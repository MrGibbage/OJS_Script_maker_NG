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showInkAnnotation="0" codeName="ThisWorkbook"/>
  <mc:AlternateContent xmlns:mc="http://schemas.openxmlformats.org/markup-compatibility/2006">
    <mc:Choice Requires="x15">
      <x15ac:absPath xmlns:x15ac="http://schemas.microsoft.com/office/spreadsheetml/2010/11/ac" url="C:\Github-Projects\OJS_Script_maker_NG\"/>
    </mc:Choice>
  </mc:AlternateContent>
  <xr:revisionPtr revIDLastSave="0" documentId="13_ncr:1_{A78BF34A-F6AB-44C2-9DA9-BC7BBAF49581}" xr6:coauthVersionLast="47" xr6:coauthVersionMax="47" xr10:uidLastSave="{00000000-0000-0000-0000-000000000000}"/>
  <bookViews>
    <workbookView xWindow="-120" yWindow="-120" windowWidth="38640" windowHeight="21120" tabRatio="879" activeTab="3" xr2:uid="{00000000-000D-0000-FFFF-FFFF00000000}"/>
  </bookViews>
  <sheets>
    <sheet name="Instructions" sheetId="12" r:id="rId1"/>
    <sheet name="Team and Program Information" sheetId="7" r:id="rId2"/>
    <sheet name="Meta" sheetId="13" r:id="rId3"/>
    <sheet name="Results and Rankings" sheetId="1" r:id="rId4"/>
    <sheet name="Robot Game Scores" sheetId="9" r:id="rId5"/>
    <sheet name="Innovation Project Input" sheetId="6" r:id="rId6"/>
    <sheet name="Robot Design Input" sheetId="4" r:id="rId7"/>
    <sheet name="Core Values Input" sheetId="5" r:id="rId8"/>
    <sheet name="GP Scores" sheetId="11" state="hidden" r:id="rId9"/>
    <sheet name="Area Deliberations" sheetId="10" state="hidden" r:id="rId10"/>
  </sheets>
  <definedNames>
    <definedName name="_xleta.NA" hidden="1" xlm="1">#NAME?</definedName>
    <definedName name="CVIPSplit" localSheetId="0">Instructions!#REF!</definedName>
    <definedName name="CVIPSplit">'Team and Program Information'!#REF!</definedName>
    <definedName name="CVRDSplit" localSheetId="0">Instructions!#REF!</definedName>
    <definedName name="CVRDSplit">'Team and Program Information'!$A$11</definedName>
    <definedName name="DynamicTeams">OFFSET('Results and Rankings'!$A$3,0,0,COUNTA('Results and Rankings'!$A$3:$A$1048576),16)</definedName>
    <definedName name="GPScores">'GP Scores'!$A:$C</definedName>
    <definedName name="NumberOfLanes" localSheetId="0">Instructions!#REF!</definedName>
    <definedName name="NumberOfLanes">'Team and Program Information'!#REF!</definedName>
    <definedName name="NumberofTeamAdvancing" localSheetId="0">Instructions!#REF!</definedName>
    <definedName name="NumberofTeamAdvancing">'Team and Program Information'!$A$8</definedName>
    <definedName name="NumberOfTeams" localSheetId="0">Instructions!#REF!</definedName>
    <definedName name="NumberOfTeams">'Team and Program Information'!$A$5</definedName>
    <definedName name="NumberofTeamsAdvancing" localSheetId="0">Instructions!#REF!</definedName>
    <definedName name="NumberofTeamsAdvancing">'Team and Program Information'!$A$8</definedName>
    <definedName name="_xlnm.Print_Titles" localSheetId="3">'Results and Rankings'!$1:$1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5" l="1"/>
  <c r="H3" i="5"/>
  <c r="H4" i="5"/>
  <c r="H5" i="5"/>
  <c r="H6" i="5"/>
  <c r="H7" i="5"/>
  <c r="H8" i="5"/>
  <c r="H9" i="5"/>
  <c r="H10" i="5"/>
  <c r="H11" i="5"/>
  <c r="H12" i="5"/>
  <c r="I2" i="5"/>
  <c r="I3" i="5"/>
  <c r="I4" i="5"/>
  <c r="I5" i="5"/>
  <c r="I6" i="5"/>
  <c r="I7" i="5"/>
  <c r="I8" i="5"/>
  <c r="I9" i="5"/>
  <c r="I10" i="5"/>
  <c r="I11" i="5"/>
  <c r="I12" i="5"/>
  <c r="C2" i="5"/>
  <c r="C3" i="5"/>
  <c r="C4" i="5"/>
  <c r="C5" i="5"/>
  <c r="C6" i="5"/>
  <c r="C7" i="5"/>
  <c r="C8" i="5"/>
  <c r="C9" i="5"/>
  <c r="C10" i="5"/>
  <c r="C11" i="5"/>
  <c r="C12" i="5"/>
  <c r="D2" i="5"/>
  <c r="H3" i="9"/>
  <c r="H4" i="9"/>
  <c r="H5" i="9"/>
  <c r="H6" i="9"/>
  <c r="H7" i="9"/>
  <c r="H8" i="9"/>
  <c r="H9" i="9"/>
  <c r="H10" i="9"/>
  <c r="H11" i="9"/>
  <c r="H12" i="9"/>
  <c r="H2" i="9"/>
  <c r="J2" i="5"/>
  <c r="K2" i="5"/>
  <c r="L2" i="5"/>
  <c r="J3" i="5"/>
  <c r="K3" i="5"/>
  <c r="L3" i="5"/>
  <c r="J4" i="5"/>
  <c r="K4" i="5"/>
  <c r="L4" i="5"/>
  <c r="E2" i="5"/>
  <c r="F2" i="5"/>
  <c r="G2" i="5"/>
  <c r="D3" i="5"/>
  <c r="E3" i="5"/>
  <c r="F3" i="5"/>
  <c r="G3" i="5"/>
  <c r="D4" i="5"/>
  <c r="E4" i="5"/>
  <c r="F4" i="5"/>
  <c r="G4" i="5"/>
  <c r="L5" i="5"/>
  <c r="L6" i="5"/>
  <c r="L7" i="5"/>
  <c r="L8" i="5"/>
  <c r="L9" i="5"/>
  <c r="L10" i="5"/>
  <c r="L11" i="5"/>
  <c r="L12" i="5"/>
  <c r="K5" i="5"/>
  <c r="K6" i="5"/>
  <c r="K7" i="5"/>
  <c r="K8" i="5"/>
  <c r="K9" i="5"/>
  <c r="K10" i="5"/>
  <c r="K11" i="5"/>
  <c r="K12" i="5"/>
  <c r="J5" i="5"/>
  <c r="J6" i="5"/>
  <c r="J7" i="5"/>
  <c r="J8" i="5"/>
  <c r="J9" i="5"/>
  <c r="J10" i="5"/>
  <c r="J11" i="5"/>
  <c r="J12" i="5"/>
  <c r="G5" i="5"/>
  <c r="G6" i="5"/>
  <c r="G7" i="5"/>
  <c r="G8" i="5"/>
  <c r="G9" i="5"/>
  <c r="G10" i="5"/>
  <c r="G11" i="5"/>
  <c r="G12" i="5"/>
  <c r="F5" i="5"/>
  <c r="F6" i="5"/>
  <c r="F7" i="5"/>
  <c r="F8" i="5"/>
  <c r="F9" i="5"/>
  <c r="F10" i="5"/>
  <c r="F11" i="5"/>
  <c r="F12" i="5"/>
  <c r="E5" i="5"/>
  <c r="E6" i="5"/>
  <c r="E7" i="5"/>
  <c r="E8" i="5"/>
  <c r="E9" i="5"/>
  <c r="E10" i="5"/>
  <c r="E11" i="5"/>
  <c r="E12" i="5"/>
  <c r="D5" i="5"/>
  <c r="D6" i="5"/>
  <c r="D7" i="5"/>
  <c r="D8" i="5"/>
  <c r="D9" i="5"/>
  <c r="D10" i="5"/>
  <c r="D11" i="5"/>
  <c r="D12" i="5"/>
  <c r="B3" i="5" l="1"/>
  <c r="R3" i="5"/>
  <c r="T3" i="5" s="1"/>
  <c r="S3" i="5"/>
  <c r="B4" i="5"/>
  <c r="R4" i="5"/>
  <c r="T4" i="5" s="1"/>
  <c r="S4" i="5"/>
  <c r="B5" i="5"/>
  <c r="R5" i="5"/>
  <c r="T5" i="5" s="1"/>
  <c r="S5" i="5"/>
  <c r="B6" i="5"/>
  <c r="R6" i="5"/>
  <c r="T6" i="5" s="1"/>
  <c r="S6" i="5"/>
  <c r="B7" i="5"/>
  <c r="R7" i="5"/>
  <c r="T7" i="5" s="1"/>
  <c r="S7" i="5"/>
  <c r="B8" i="5"/>
  <c r="R8" i="5"/>
  <c r="T8" i="5" s="1"/>
  <c r="S8" i="5"/>
  <c r="B9" i="5"/>
  <c r="R9" i="5"/>
  <c r="T9" i="5" s="1"/>
  <c r="S9" i="5"/>
  <c r="B10" i="5"/>
  <c r="R10" i="5"/>
  <c r="T10" i="5" s="1"/>
  <c r="S10" i="5"/>
  <c r="B11" i="5"/>
  <c r="R11" i="5"/>
  <c r="T11" i="5" s="1"/>
  <c r="S11" i="5"/>
  <c r="B12" i="5"/>
  <c r="R12" i="5"/>
  <c r="T12" i="5" s="1"/>
  <c r="S12" i="5"/>
  <c r="B2" i="4" l="1"/>
  <c r="B3" i="4"/>
  <c r="B2" i="6"/>
  <c r="B3" i="6"/>
  <c r="B2" i="5"/>
  <c r="F3" i="1"/>
  <c r="F4" i="1"/>
  <c r="F5" i="1"/>
  <c r="F6" i="1"/>
  <c r="F7" i="1"/>
  <c r="F8" i="1"/>
  <c r="F9" i="1"/>
  <c r="F10" i="1"/>
  <c r="F11" i="1"/>
  <c r="F12" i="1"/>
  <c r="F13" i="1"/>
  <c r="G4" i="1"/>
  <c r="G5" i="1"/>
  <c r="G6" i="1"/>
  <c r="G7" i="1"/>
  <c r="G8" i="1"/>
  <c r="G9" i="1"/>
  <c r="G10" i="1"/>
  <c r="G11" i="1"/>
  <c r="G12" i="1"/>
  <c r="G13" i="1"/>
  <c r="G3" i="1"/>
  <c r="U7" i="5" l="1"/>
  <c r="U10" i="5"/>
  <c r="U9" i="5"/>
  <c r="U11" i="5"/>
  <c r="U4" i="5"/>
  <c r="U6" i="5"/>
  <c r="U12" i="5"/>
  <c r="U8" i="5"/>
  <c r="U5" i="5"/>
  <c r="R2" i="5"/>
  <c r="S2" i="5"/>
  <c r="E3" i="1"/>
  <c r="E4" i="1"/>
  <c r="E5" i="1"/>
  <c r="E6" i="1"/>
  <c r="E7" i="1"/>
  <c r="E8" i="1"/>
  <c r="E9" i="1"/>
  <c r="E10" i="1"/>
  <c r="E11" i="1"/>
  <c r="E12" i="1"/>
  <c r="E13" i="1"/>
  <c r="D3" i="1"/>
  <c r="D4" i="1"/>
  <c r="D5" i="1"/>
  <c r="D6" i="1"/>
  <c r="D7" i="1"/>
  <c r="D8" i="1"/>
  <c r="D9" i="1"/>
  <c r="D10" i="1"/>
  <c r="D11" i="1"/>
  <c r="D12" i="1"/>
  <c r="D13" i="1"/>
  <c r="C3" i="1"/>
  <c r="C4" i="1"/>
  <c r="C5" i="1"/>
  <c r="C6" i="1"/>
  <c r="H6" i="1" s="1"/>
  <c r="C7" i="1"/>
  <c r="C8" i="1"/>
  <c r="C9" i="1"/>
  <c r="C10" i="1"/>
  <c r="C11" i="1"/>
  <c r="C12" i="1"/>
  <c r="C13" i="1"/>
  <c r="H10" i="1" l="1"/>
  <c r="H7" i="1"/>
  <c r="H9" i="1"/>
  <c r="H11" i="1"/>
  <c r="H8" i="1"/>
  <c r="H12" i="1"/>
  <c r="H13" i="1"/>
  <c r="T2" i="5"/>
  <c r="U2" i="5" s="1"/>
  <c r="H4" i="1"/>
  <c r="H5" i="1"/>
  <c r="H3" i="1"/>
  <c r="U3" i="5"/>
  <c r="I13" i="1" l="1"/>
  <c r="I3" i="1"/>
  <c r="I11" i="1"/>
  <c r="I5" i="1"/>
  <c r="I6" i="1"/>
  <c r="I10" i="1"/>
  <c r="I7" i="1"/>
  <c r="I8" i="1"/>
  <c r="I4" i="1"/>
  <c r="I12" i="1"/>
  <c r="I9" i="1"/>
  <c r="M2" i="4"/>
  <c r="M3" i="4"/>
  <c r="M4" i="4"/>
  <c r="M5" i="4"/>
  <c r="M6" i="4"/>
  <c r="M7" i="4"/>
  <c r="M8" i="4"/>
  <c r="M9" i="4"/>
  <c r="M10" i="4"/>
  <c r="M11" i="4"/>
  <c r="M12" i="4"/>
  <c r="M2" i="6"/>
  <c r="M3" i="6"/>
  <c r="M4" i="6"/>
  <c r="M5" i="6"/>
  <c r="M6" i="6"/>
  <c r="M7" i="6"/>
  <c r="M8" i="6"/>
  <c r="M9" i="6"/>
  <c r="M10" i="6"/>
  <c r="M11" i="6"/>
  <c r="M12" i="6"/>
  <c r="O2" i="6" l="1"/>
  <c r="O3" i="6"/>
  <c r="O4" i="6"/>
  <c r="O5" i="6"/>
  <c r="O6" i="6"/>
  <c r="O7" i="6"/>
  <c r="O8" i="6"/>
  <c r="O9" i="6"/>
  <c r="O10" i="6"/>
  <c r="O11" i="6"/>
  <c r="O12" i="6"/>
  <c r="Q6" i="1" l="1"/>
  <c r="Q9" i="1"/>
  <c r="Q8" i="1"/>
  <c r="Q10" i="1"/>
  <c r="Q11" i="1"/>
  <c r="Q4" i="1"/>
  <c r="Q5" i="1"/>
  <c r="Q7" i="1"/>
  <c r="Q13" i="1"/>
  <c r="Q3" i="1"/>
  <c r="Q12" i="1"/>
  <c r="B4" i="4" l="1"/>
  <c r="B8" i="4"/>
  <c r="B12" i="4"/>
  <c r="B5" i="4"/>
  <c r="B5" i="6"/>
  <c r="B12" i="6"/>
  <c r="B8" i="6"/>
  <c r="B4" i="6"/>
  <c r="R9" i="1" l="1"/>
  <c r="R7" i="1"/>
  <c r="R5" i="1"/>
  <c r="S13" i="1"/>
  <c r="R13" i="1"/>
  <c r="R8" i="1"/>
  <c r="R10" i="1"/>
  <c r="S7" i="1"/>
  <c r="R11" i="1"/>
  <c r="R6" i="1"/>
  <c r="S10" i="1"/>
  <c r="S11" i="1"/>
  <c r="S5" i="1"/>
  <c r="S6" i="1"/>
  <c r="S9" i="1"/>
  <c r="S12" i="1"/>
  <c r="S8" i="1"/>
  <c r="S3" i="1"/>
  <c r="R3" i="1"/>
  <c r="R12" i="1"/>
  <c r="T9" i="1" l="1"/>
  <c r="T7" i="1"/>
  <c r="T10" i="1"/>
  <c r="T5" i="1"/>
  <c r="T13" i="1"/>
  <c r="T8" i="1"/>
  <c r="T11" i="1"/>
  <c r="T6" i="1"/>
  <c r="T3" i="1"/>
  <c r="T12" i="1"/>
  <c r="H25" i="10" l="1"/>
  <c r="C24" i="10"/>
  <c r="C8" i="10"/>
  <c r="H14" i="10"/>
  <c r="C35" i="10"/>
  <c r="C7" i="10"/>
  <c r="H51" i="10"/>
  <c r="H11" i="10"/>
  <c r="H42" i="10"/>
  <c r="C22" i="10"/>
  <c r="C5" i="10"/>
  <c r="M43" i="10"/>
  <c r="C23" i="10"/>
  <c r="C40" i="10"/>
  <c r="C31" i="10"/>
  <c r="C36" i="10"/>
  <c r="C9" i="10"/>
  <c r="C53" i="10"/>
  <c r="C6" i="10"/>
  <c r="H6" i="10"/>
  <c r="C30" i="10"/>
  <c r="H22" i="10"/>
  <c r="M29" i="10"/>
  <c r="H12" i="10"/>
  <c r="M24" i="10"/>
  <c r="H54" i="10"/>
  <c r="M36" i="10"/>
  <c r="C54" i="10"/>
  <c r="H29" i="10"/>
  <c r="M50" i="10"/>
  <c r="H34" i="10"/>
  <c r="H24" i="10"/>
  <c r="C51" i="10"/>
  <c r="M22" i="10"/>
  <c r="H32" i="10"/>
  <c r="M40" i="10"/>
  <c r="H30" i="10"/>
  <c r="C41" i="10"/>
  <c r="C32" i="10"/>
  <c r="H13" i="10"/>
  <c r="H8" i="10"/>
  <c r="H16" i="10"/>
  <c r="M54" i="10"/>
  <c r="C15" i="10"/>
  <c r="H23" i="10"/>
  <c r="C12" i="10"/>
  <c r="H53" i="10"/>
  <c r="C47" i="10"/>
  <c r="C16" i="10"/>
  <c r="M26" i="10"/>
  <c r="H27" i="10"/>
  <c r="M23" i="10"/>
  <c r="C42" i="10"/>
  <c r="H41" i="10"/>
  <c r="C13" i="10"/>
  <c r="M35" i="10"/>
  <c r="H15" i="10"/>
  <c r="C44" i="10"/>
  <c r="M33" i="10"/>
  <c r="H28" i="10"/>
  <c r="M27" i="10"/>
  <c r="C50" i="10"/>
  <c r="C18" i="10"/>
  <c r="H10" i="10"/>
  <c r="H33" i="10"/>
  <c r="M47" i="10"/>
  <c r="M34" i="10"/>
  <c r="C34" i="10"/>
  <c r="H9" i="10"/>
  <c r="H35" i="10"/>
  <c r="H31" i="10"/>
  <c r="C25" i="10"/>
  <c r="H36" i="10"/>
  <c r="C14" i="10"/>
  <c r="H49" i="10"/>
  <c r="M48" i="10"/>
  <c r="H50" i="10"/>
  <c r="C27" i="10"/>
  <c r="H5" i="10"/>
  <c r="H46" i="10"/>
  <c r="M53" i="10"/>
  <c r="C45" i="10"/>
  <c r="C17" i="10"/>
  <c r="M32" i="10"/>
  <c r="H4" i="10"/>
  <c r="H18" i="10"/>
  <c r="C46" i="10"/>
  <c r="C10" i="10"/>
  <c r="M28" i="10"/>
  <c r="H43" i="10"/>
  <c r="M42" i="10"/>
  <c r="M52" i="10"/>
  <c r="H52" i="10"/>
  <c r="C33" i="10"/>
  <c r="M25" i="10"/>
  <c r="H40" i="10"/>
  <c r="H17" i="10"/>
  <c r="C52" i="10"/>
  <c r="C48" i="10"/>
  <c r="H7" i="10"/>
  <c r="M41" i="10"/>
  <c r="C29" i="10"/>
  <c r="H47" i="10"/>
  <c r="H48" i="10"/>
  <c r="H26" i="10"/>
  <c r="M30" i="10"/>
  <c r="M46" i="10"/>
  <c r="M31" i="10"/>
  <c r="M49" i="10"/>
  <c r="H45" i="10"/>
  <c r="C28" i="10"/>
  <c r="C43" i="10"/>
  <c r="H44" i="10"/>
  <c r="M45" i="10"/>
  <c r="M51" i="10"/>
  <c r="C11" i="10"/>
  <c r="C49" i="10"/>
  <c r="M44" i="10"/>
  <c r="C4" i="10"/>
  <c r="C26" i="10"/>
  <c r="B9" i="4"/>
  <c r="B6" i="6"/>
  <c r="B9" i="6"/>
  <c r="B11" i="4"/>
  <c r="B10" i="4"/>
  <c r="A5" i="7"/>
  <c r="V2" i="5" s="1"/>
  <c r="J3" i="1" s="1"/>
  <c r="B6" i="4"/>
  <c r="B7" i="6"/>
  <c r="B10" i="6"/>
  <c r="B7" i="4"/>
  <c r="B11" i="6"/>
  <c r="S4" i="1" l="1"/>
  <c r="R4" i="1"/>
  <c r="D52" i="10"/>
  <c r="I53" i="10"/>
  <c r="N54" i="10"/>
  <c r="I4" i="10"/>
  <c r="D6" i="10"/>
  <c r="D45" i="10"/>
  <c r="I46" i="10"/>
  <c r="N47" i="10"/>
  <c r="I13" i="10"/>
  <c r="D15" i="10"/>
  <c r="D50" i="10"/>
  <c r="I51" i="10"/>
  <c r="N52" i="10"/>
  <c r="I18" i="10"/>
  <c r="D43" i="10"/>
  <c r="I44" i="10"/>
  <c r="N45" i="10"/>
  <c r="I11" i="10"/>
  <c r="D13" i="10"/>
  <c r="I30" i="10"/>
  <c r="N31" i="10"/>
  <c r="D32" i="10"/>
  <c r="I31" i="10"/>
  <c r="N32" i="10"/>
  <c r="D33" i="10"/>
  <c r="I36" i="10"/>
  <c r="D22" i="10"/>
  <c r="I25" i="10"/>
  <c r="N26" i="10"/>
  <c r="D27" i="10"/>
  <c r="V5" i="5"/>
  <c r="J6" i="1" s="1"/>
  <c r="V12" i="5"/>
  <c r="J13" i="1" s="1"/>
  <c r="D40" i="10"/>
  <c r="I41" i="10"/>
  <c r="N42" i="10"/>
  <c r="I8" i="10"/>
  <c r="D10" i="10"/>
  <c r="D49" i="10"/>
  <c r="I50" i="10"/>
  <c r="N51" i="10"/>
  <c r="I17" i="10"/>
  <c r="D17" i="10"/>
  <c r="D54" i="10"/>
  <c r="N40" i="10"/>
  <c r="I6" i="10"/>
  <c r="D8" i="10"/>
  <c r="D47" i="10"/>
  <c r="I48" i="10"/>
  <c r="N49" i="10"/>
  <c r="I15" i="10"/>
  <c r="D14" i="10"/>
  <c r="I34" i="10"/>
  <c r="N35" i="10"/>
  <c r="D36" i="10"/>
  <c r="I35" i="10"/>
  <c r="N36" i="10"/>
  <c r="I24" i="10"/>
  <c r="N25" i="10"/>
  <c r="D26" i="10"/>
  <c r="I29" i="10"/>
  <c r="N30" i="10"/>
  <c r="D31" i="10"/>
  <c r="D44" i="10"/>
  <c r="I45" i="10"/>
  <c r="N46" i="10"/>
  <c r="I12" i="10"/>
  <c r="D18" i="10"/>
  <c r="D53" i="10"/>
  <c r="I54" i="10"/>
  <c r="I5" i="10"/>
  <c r="D7" i="10"/>
  <c r="D42" i="10"/>
  <c r="I43" i="10"/>
  <c r="N44" i="10"/>
  <c r="I10" i="10"/>
  <c r="D12" i="10"/>
  <c r="D51" i="10"/>
  <c r="I52" i="10"/>
  <c r="N53" i="10"/>
  <c r="D5" i="10"/>
  <c r="I22" i="10"/>
  <c r="N23" i="10"/>
  <c r="D24" i="10"/>
  <c r="I23" i="10"/>
  <c r="N24" i="10"/>
  <c r="D25" i="10"/>
  <c r="I28" i="10"/>
  <c r="N29" i="10"/>
  <c r="D30" i="10"/>
  <c r="I33" i="10"/>
  <c r="N34" i="10"/>
  <c r="D35" i="10"/>
  <c r="N43" i="10"/>
  <c r="D46" i="10"/>
  <c r="I14" i="10"/>
  <c r="N27" i="10"/>
  <c r="D29" i="10"/>
  <c r="N22" i="10"/>
  <c r="V9" i="5"/>
  <c r="J10" i="1" s="1"/>
  <c r="V10" i="5"/>
  <c r="J11" i="1" s="1"/>
  <c r="V3" i="5"/>
  <c r="J4" i="1" s="1"/>
  <c r="I42" i="10"/>
  <c r="D11" i="10"/>
  <c r="N41" i="10"/>
  <c r="I26" i="10"/>
  <c r="D34" i="10"/>
  <c r="V6" i="5"/>
  <c r="J7" i="1" s="1"/>
  <c r="D48" i="10"/>
  <c r="I16" i="10"/>
  <c r="I47" i="10"/>
  <c r="D16" i="10"/>
  <c r="I7" i="10"/>
  <c r="D28" i="10"/>
  <c r="I32" i="10"/>
  <c r="D23" i="10"/>
  <c r="I49" i="10"/>
  <c r="D41" i="10"/>
  <c r="I9" i="10"/>
  <c r="N48" i="10"/>
  <c r="I40" i="10"/>
  <c r="D9" i="10"/>
  <c r="I27" i="10"/>
  <c r="N33" i="10"/>
  <c r="V7" i="5"/>
  <c r="J8" i="1" s="1"/>
  <c r="V11" i="5"/>
  <c r="J12" i="1" s="1"/>
  <c r="N50" i="10"/>
  <c r="N28" i="10"/>
  <c r="V4" i="5"/>
  <c r="J5" i="1" s="1"/>
  <c r="V8" i="5"/>
  <c r="J9" i="1" s="1"/>
  <c r="U9" i="1"/>
  <c r="U6" i="1"/>
  <c r="U8" i="1"/>
  <c r="U11" i="1"/>
  <c r="U7" i="1"/>
  <c r="U12" i="1"/>
  <c r="U13" i="1"/>
  <c r="U10" i="1"/>
  <c r="T4" i="1" l="1"/>
  <c r="N2" i="4"/>
  <c r="L3" i="1" s="1"/>
  <c r="N9" i="4"/>
  <c r="L10" i="1" s="1"/>
  <c r="N5" i="4"/>
  <c r="L6" i="1" s="1"/>
  <c r="N3" i="4"/>
  <c r="L4" i="1" s="1"/>
  <c r="N7" i="4"/>
  <c r="L8" i="1" s="1"/>
  <c r="N10" i="4"/>
  <c r="L11" i="1" s="1"/>
  <c r="N6" i="4"/>
  <c r="L7" i="1" s="1"/>
  <c r="N12" i="4"/>
  <c r="L13" i="1" s="1"/>
  <c r="N11" i="4"/>
  <c r="L12" i="1" s="1"/>
  <c r="N4" i="4"/>
  <c r="L5" i="1" s="1"/>
  <c r="N8" i="4"/>
  <c r="L9" i="1" s="1"/>
  <c r="N11" i="6"/>
  <c r="K12" i="1" s="1"/>
  <c r="N8" i="6"/>
  <c r="K9" i="1" s="1"/>
  <c r="N7" i="6"/>
  <c r="K8" i="1" s="1"/>
  <c r="N6" i="6"/>
  <c r="K7" i="1" s="1"/>
  <c r="N12" i="6"/>
  <c r="K13" i="1" s="1"/>
  <c r="N5" i="6"/>
  <c r="K6" i="1" s="1"/>
  <c r="N2" i="6"/>
  <c r="K3" i="1" s="1"/>
  <c r="N9" i="6"/>
  <c r="K10" i="1" s="1"/>
  <c r="N10" i="6"/>
  <c r="K11" i="1" s="1"/>
  <c r="N3" i="6"/>
  <c r="K4" i="1" s="1"/>
  <c r="N4" i="6"/>
  <c r="K5" i="1" s="1"/>
  <c r="M4" i="1" l="1"/>
  <c r="M10" i="1"/>
  <c r="M9" i="1"/>
  <c r="M3" i="1"/>
  <c r="M7" i="1"/>
  <c r="M5" i="1"/>
  <c r="U4" i="1"/>
  <c r="U5" i="1"/>
  <c r="U3" i="1"/>
  <c r="M6" i="1"/>
  <c r="N6" i="1" s="1"/>
  <c r="M8" i="1"/>
  <c r="N8" i="1" s="1"/>
  <c r="M12" i="1"/>
  <c r="N12" i="1" s="1"/>
  <c r="M11" i="1"/>
  <c r="M13" i="1"/>
  <c r="D4" i="10"/>
  <c r="N5" i="1" l="1"/>
  <c r="N7" i="1"/>
  <c r="N3" i="1"/>
  <c r="N9" i="1"/>
  <c r="N13" i="1"/>
  <c r="N10" i="1"/>
  <c r="N11" i="1"/>
  <c r="N4" i="1"/>
</calcChain>
</file>

<file path=xl/sharedStrings.xml><?xml version="1.0" encoding="utf-8"?>
<sst xmlns="http://schemas.openxmlformats.org/spreadsheetml/2006/main" count="220" uniqueCount="157">
  <si>
    <t>1.</t>
  </si>
  <si>
    <t>2.</t>
  </si>
  <si>
    <t>3.</t>
  </si>
  <si>
    <t>4.</t>
  </si>
  <si>
    <t>5.</t>
  </si>
  <si>
    <r>
      <t xml:space="preserve">If you are copying data into the Input pages please remember to use the </t>
    </r>
    <r>
      <rPr>
        <b/>
        <sz val="20"/>
        <color theme="1"/>
        <rFont val="Calibri"/>
        <family val="2"/>
        <scheme val="minor"/>
      </rPr>
      <t xml:space="preserve">'Paste Values' </t>
    </r>
    <r>
      <rPr>
        <sz val="20"/>
        <color theme="1"/>
        <rFont val="Calibri"/>
        <family val="2"/>
        <scheme val="minor"/>
      </rPr>
      <t>or</t>
    </r>
    <r>
      <rPr>
        <b/>
        <sz val="20"/>
        <color theme="1"/>
        <rFont val="Calibri"/>
        <family val="2"/>
        <scheme val="minor"/>
      </rPr>
      <t xml:space="preserve"> 'Use Destination Formatting'</t>
    </r>
    <r>
      <rPr>
        <sz val="20"/>
        <color theme="1"/>
        <rFont val="Calibri"/>
        <family val="2"/>
        <scheme val="minor"/>
      </rPr>
      <t xml:space="preserve"> option.</t>
    </r>
  </si>
  <si>
    <t>(This stops the formatting and formulae being overwritten)</t>
  </si>
  <si>
    <t>Version</t>
  </si>
  <si>
    <r>
      <rPr>
        <b/>
        <i/>
        <sz val="20"/>
        <color theme="1"/>
        <rFont val="Calibri"/>
        <family val="2"/>
        <scheme val="minor"/>
      </rPr>
      <t>FIRST® LEGO</t>
    </r>
    <r>
      <rPr>
        <b/>
        <sz val="20"/>
        <color theme="1"/>
        <rFont val="Calibri"/>
        <family val="2"/>
      </rPr>
      <t>®</t>
    </r>
    <r>
      <rPr>
        <b/>
        <sz val="20"/>
        <color theme="1"/>
        <rFont val="Calibri"/>
        <family val="2"/>
        <scheme val="minor"/>
      </rPr>
      <t xml:space="preserve"> League Challenge Official Judging Spreadsheet</t>
    </r>
  </si>
  <si>
    <t>Team Number</t>
  </si>
  <si>
    <t>Team Name</t>
  </si>
  <si>
    <t>Coach</t>
  </si>
  <si>
    <t>Pod Number</t>
  </si>
  <si>
    <t>Number of Teams</t>
  </si>
  <si>
    <t>DO NOT CLICK THIS BUTTON AFTER SCORE ENTRY HAS BEGUN. IF TEAM INFORMATION NEEDS UPDATING IT MUST BE CHANGED MANUALLY ON EACH PAGE.</t>
  </si>
  <si>
    <t>Number of Teams Advancing</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</si>
  <si>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</si>
  <si>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</si>
  <si>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</si>
  <si>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</si>
  <si>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</si>
  <si>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</si>
  <si>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</si>
  <si>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</si>
  <si>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</si>
  <si>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</si>
  <si>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</si>
  <si>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</si>
  <si>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</si>
  <si>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</si>
  <si>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</si>
  <si>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</si>
  <si>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</si>
  <si>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</si>
  <si>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</si>
  <si>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Breakthrough</t>
  </si>
  <si>
    <t>Rising All-Star</t>
  </si>
  <si>
    <t>Motivate</t>
  </si>
  <si>
    <t>Award</t>
  </si>
  <si>
    <t>Advance?</t>
  </si>
  <si>
    <t>Core Values Score</t>
  </si>
  <si>
    <t>Innovattion Project Score</t>
  </si>
  <si>
    <t>Robot Design Score</t>
  </si>
  <si>
    <t>Overall Score - Geometric Mean</t>
  </si>
  <si>
    <t>Overall Ranking - Geometric Mean</t>
  </si>
  <si>
    <t>Champion's</t>
  </si>
  <si>
    <t>Core Values</t>
  </si>
  <si>
    <t>Innovation Project</t>
  </si>
  <si>
    <t>Robot Design</t>
  </si>
  <si>
    <t>Highest Robot Game Score</t>
  </si>
  <si>
    <t>Robot Game 1 Score</t>
  </si>
  <si>
    <t>Robot Game 2 Score</t>
  </si>
  <si>
    <t>Robot Game 3 Score</t>
  </si>
  <si>
    <t>Robot Game 4 Score</t>
  </si>
  <si>
    <t>Robot Game 5 Score</t>
  </si>
  <si>
    <t>rank</t>
  </si>
  <si>
    <t>team</t>
  </si>
  <si>
    <t>total</t>
  </si>
  <si>
    <t>Gracious Professionalism 1</t>
  </si>
  <si>
    <t>Gracious Professionalism 2</t>
  </si>
  <si>
    <t>Gracious Professionalism 3</t>
  </si>
  <si>
    <t>Gracious Professionalism 4</t>
  </si>
  <si>
    <t>Gracious Professionalism 5</t>
  </si>
  <si>
    <t>Gracious Professionalism Empty Count</t>
  </si>
  <si>
    <t>Gracious Professionalism Total</t>
  </si>
  <si>
    <t>Gracious Professionalism Score</t>
  </si>
  <si>
    <t>Breakthrough Selection</t>
  </si>
  <si>
    <t>Rising All-Star Selection</t>
  </si>
  <si>
    <t>Motivate Selection</t>
  </si>
  <si>
    <t>Create - Model</t>
  </si>
  <si>
    <t>Iterate - Sharing</t>
  </si>
  <si>
    <t>Innovation Project Score</t>
  </si>
  <si>
    <t>GIA Score</t>
  </si>
  <si>
    <t>Identify - Strategy</t>
  </si>
  <si>
    <t>Iterate - Testing</t>
  </si>
  <si>
    <t>Advancement</t>
  </si>
  <si>
    <t>Deliberated Rank</t>
  </si>
  <si>
    <t>SUBMERGED</t>
  </si>
  <si>
    <r>
      <t>When all the data has been inputted, go the '</t>
    </r>
    <r>
      <rPr>
        <b/>
        <sz val="36"/>
        <color theme="1"/>
        <rFont val="Calibri"/>
        <family val="2"/>
        <scheme val="minor"/>
      </rPr>
      <t>Results and Rankings</t>
    </r>
    <r>
      <rPr>
        <sz val="36"/>
        <color theme="1"/>
        <rFont val="Calibri"/>
        <family val="2"/>
        <scheme val="minor"/>
      </rPr>
      <t>' page to view all of the information in one place.</t>
    </r>
  </si>
  <si>
    <t>Useful Tips:</t>
  </si>
  <si>
    <t>Discovery (IP)</t>
  </si>
  <si>
    <t>Teamwork (IP)</t>
  </si>
  <si>
    <t>Innovation (IP)</t>
  </si>
  <si>
    <t>Impact (IP)</t>
  </si>
  <si>
    <t>Fun (IP)</t>
  </si>
  <si>
    <t>Discovery (RD)</t>
  </si>
  <si>
    <t>Inclusion (RD)</t>
  </si>
  <si>
    <t>Innovation (RD)</t>
  </si>
  <si>
    <t>Impact (RD)</t>
  </si>
  <si>
    <t>Fun (RD)</t>
  </si>
  <si>
    <r>
      <t xml:space="preserve">Core Values scores, except </t>
    </r>
    <r>
      <rPr>
        <i/>
        <sz val="22"/>
        <color theme="1"/>
        <rFont val="Calibri"/>
        <family val="2"/>
        <scheme val="minor"/>
      </rPr>
      <t xml:space="preserve">Gracious Professionalism </t>
    </r>
    <r>
      <rPr>
        <sz val="22"/>
        <color theme="1"/>
        <rFont val="Calibri"/>
        <family val="2"/>
        <scheme val="minor"/>
      </rPr>
      <t>scores from the robot game, are populated automatically from the other rubric scores - no score information should be added to columns C-L on the 'Core Values Input' page.</t>
    </r>
  </si>
  <si>
    <r>
      <t xml:space="preserve">You can sort your data by a specific column by clicking on the small arrow in the column header box and selecting </t>
    </r>
    <r>
      <rPr>
        <b/>
        <sz val="20"/>
        <color theme="1"/>
        <rFont val="Calibri"/>
        <family val="2"/>
        <scheme val="minor"/>
      </rPr>
      <t>'sort smallest to largest'</t>
    </r>
    <r>
      <rPr>
        <sz val="20"/>
        <color theme="1"/>
        <rFont val="Calibri"/>
        <family val="2"/>
        <scheme val="minor"/>
      </rPr>
      <t xml:space="preserve"> or 'A to Z'.</t>
    </r>
  </si>
  <si>
    <r>
      <t xml:space="preserve">If referees hand in printed scoresheets, robot game scores will need to be calclulated using the </t>
    </r>
    <r>
      <rPr>
        <b/>
        <sz val="20"/>
        <color theme="1"/>
        <rFont val="Calibri"/>
        <family val="2"/>
        <scheme val="minor"/>
      </rPr>
      <t>'Official Scoring Calculator'</t>
    </r>
    <r>
      <rPr>
        <sz val="20"/>
        <color theme="1"/>
        <rFont val="Calibri"/>
        <family val="2"/>
        <scheme val="minor"/>
      </rPr>
      <t xml:space="preserve"> tool (online).</t>
    </r>
  </si>
  <si>
    <t>Design - Plan</t>
  </si>
  <si>
    <t>Create - Attachments</t>
  </si>
  <si>
    <t>Create - Code/ Sensors</t>
  </si>
  <si>
    <r>
      <t>Open the '</t>
    </r>
    <r>
      <rPr>
        <b/>
        <sz val="36"/>
        <color theme="1"/>
        <rFont val="Calibri"/>
        <family val="2"/>
        <scheme val="minor"/>
      </rPr>
      <t>Team and Program Information'</t>
    </r>
    <r>
      <rPr>
        <sz val="36"/>
        <color theme="1"/>
        <rFont val="Calibri"/>
        <family val="2"/>
        <scheme val="minor"/>
      </rPr>
      <t xml:space="preserve"> page. Enter the team numbers and the team names. Also, the number of teams advancing from this event in the box on the left.</t>
    </r>
  </si>
  <si>
    <r>
      <t xml:space="preserve">You are now ready to </t>
    </r>
    <r>
      <rPr>
        <b/>
        <sz val="36"/>
        <color theme="1"/>
        <rFont val="Calibri"/>
        <family val="2"/>
        <scheme val="minor"/>
      </rPr>
      <t>allocate your awards</t>
    </r>
    <r>
      <rPr>
        <sz val="36"/>
        <color theme="1"/>
        <rFont val="Calibri"/>
        <family val="2"/>
        <scheme val="minor"/>
      </rPr>
      <t xml:space="preserve"> based on your rankings using the 'Awards and Allocations' document in the judging toolkit.</t>
    </r>
  </si>
  <si>
    <r>
      <t xml:space="preserve">As you work with the OJS you should </t>
    </r>
    <r>
      <rPr>
        <b/>
        <sz val="20"/>
        <color theme="1"/>
        <rFont val="Calibri"/>
        <family val="2"/>
        <scheme val="minor"/>
      </rPr>
      <t>save your spreadsheet regularly</t>
    </r>
    <r>
      <rPr>
        <sz val="20"/>
        <color theme="1"/>
        <rFont val="Calibri"/>
        <family val="2"/>
        <scheme val="minor"/>
      </rPr>
      <t xml:space="preserve"> in case of IT issues.</t>
    </r>
  </si>
  <si>
    <t>DESIGNED FOR USE IN MICROSOFT EXCEL (DESKTOP APP).
SOME FUNCTIONALITY WILL BE LOST IN WEB OR OTHER APPLICATIONS.</t>
  </si>
  <si>
    <r>
      <t xml:space="preserve">If you have Macros enabled then you can </t>
    </r>
    <r>
      <rPr>
        <b/>
        <sz val="36"/>
        <color theme="1"/>
        <rFont val="Calibri"/>
        <family val="2"/>
        <scheme val="minor"/>
      </rPr>
      <t>press the 'Update Teams' button</t>
    </r>
    <r>
      <rPr>
        <sz val="36"/>
        <color theme="1"/>
        <rFont val="Calibri"/>
        <family val="2"/>
        <scheme val="minor"/>
      </rPr>
      <t xml:space="preserve">. This will copy the team information onto each corresponding page. If not, then you need to copy and paste the team numbers into the 'Results and Rankings', 'Robot Game Scores' and all 'Input' pages. </t>
    </r>
  </si>
  <si>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</si>
  <si>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r>
      <t xml:space="preserve">Collect the rubric scores from the judges and the robot game scores (including </t>
    </r>
    <r>
      <rPr>
        <i/>
        <sz val="36"/>
        <color theme="1"/>
        <rFont val="Calibri"/>
        <family val="2"/>
        <scheme val="minor"/>
      </rPr>
      <t>Gracious Professionalism</t>
    </r>
    <r>
      <rPr>
        <sz val="36"/>
        <color theme="1"/>
        <rFont val="Calibri"/>
        <family val="2"/>
        <scheme val="minor"/>
      </rPr>
      <t xml:space="preserve">® scores) from the referees throughout the event and </t>
    </r>
    <r>
      <rPr>
        <b/>
        <sz val="36"/>
        <color theme="1"/>
        <rFont val="Calibri"/>
        <family val="2"/>
        <scheme val="minor"/>
      </rPr>
      <t>enter the data</t>
    </r>
    <r>
      <rPr>
        <sz val="36"/>
        <color theme="1"/>
        <rFont val="Calibri"/>
        <family val="2"/>
        <scheme val="minor"/>
      </rPr>
      <t xml:space="preserve"> into the corresponding pages of this spreadsheet.</t>
    </r>
  </si>
  <si>
    <r>
      <t xml:space="preserve">If your event uses more than 3 official robot game matches, you can unhide columns F-G in 'Robot Game Scores' and columns P-Q in 'Core Values Input' for </t>
    </r>
    <r>
      <rPr>
        <i/>
        <sz val="20"/>
        <color theme="1"/>
        <rFont val="Calibri"/>
        <family val="2"/>
        <scheme val="minor"/>
      </rPr>
      <t xml:space="preserve">Gracious Professionalism </t>
    </r>
    <r>
      <rPr>
        <sz val="20"/>
        <color theme="1"/>
        <rFont val="Calibri"/>
        <family val="2"/>
        <scheme val="minor"/>
      </rPr>
      <t>scores.</t>
    </r>
  </si>
  <si>
    <t>Design - Building/Coding</t>
  </si>
  <si>
    <t>Identify - Define</t>
  </si>
  <si>
    <t>Iterate - Improvement</t>
  </si>
  <si>
    <t>Identify - Research (CV)</t>
  </si>
  <si>
    <t>Design - Teamwork (CV)</t>
  </si>
  <si>
    <t>Create - Innovation (CV)</t>
  </si>
  <si>
    <t>Communicate - Impact (CV)</t>
  </si>
  <si>
    <t>Communicate - Fun (CV)</t>
  </si>
  <si>
    <t>Design - Ideas (CV)</t>
  </si>
  <si>
    <t>Iterate - Improvements (CV)</t>
  </si>
  <si>
    <t>Alternate</t>
  </si>
  <si>
    <t>Yes</t>
  </si>
  <si>
    <t>No</t>
  </si>
  <si>
    <t>Champion's 1st Place</t>
  </si>
  <si>
    <t>Champion's 2nd Place</t>
  </si>
  <si>
    <t>Robot Design 1st Place</t>
  </si>
  <si>
    <t>Core Values 1st Place</t>
  </si>
  <si>
    <t>Innovation Project 1st Place</t>
  </si>
  <si>
    <t>Robot Performance 1st Place</t>
  </si>
  <si>
    <t>Robot Performance 2nd Place</t>
  </si>
  <si>
    <t>Judges Award 1</t>
  </si>
  <si>
    <t>Mech Mavericks</t>
  </si>
  <si>
    <t>Circuit Savants</t>
  </si>
  <si>
    <t>RoboRiders</t>
  </si>
  <si>
    <t>Bot Builders</t>
  </si>
  <si>
    <t>RoboRookies</t>
  </si>
  <si>
    <t>Data Dreamers</t>
  </si>
  <si>
    <t>NanoNavigators</t>
  </si>
  <si>
    <t>Tech Tornadoes</t>
  </si>
  <si>
    <t>CyberSamurais</t>
  </si>
  <si>
    <t>Gear Grinders</t>
  </si>
  <si>
    <t>Code Crushers</t>
  </si>
  <si>
    <t>Smallville Regional Qualifying Tournament</t>
  </si>
  <si>
    <t>vadc-fll-challenge-submerged-ojs-Smallville-script.html</t>
  </si>
  <si>
    <t>All the way from Gotham City, Batman and Robin!</t>
  </si>
  <si>
    <t>Flash</t>
  </si>
  <si>
    <t>Quickly helped with setup, and takedown</t>
  </si>
  <si>
    <t>tournament_name</t>
  </si>
  <si>
    <t>complete_script_file</t>
  </si>
  <si>
    <t>Division 1 Robot Game</t>
  </si>
  <si>
    <t>Division 1 Innovation Project</t>
  </si>
  <si>
    <t>Division 1 Core Values</t>
  </si>
  <si>
    <t>Division 1 Robot Design</t>
  </si>
  <si>
    <t>Division 1 Champions</t>
  </si>
  <si>
    <t>Division 1 Advancing</t>
  </si>
  <si>
    <t>Special Guests</t>
  </si>
  <si>
    <t>Judges Awards</t>
  </si>
  <si>
    <t>Volunteer Awardee</t>
  </si>
  <si>
    <t>Volunteer Justification</t>
  </si>
  <si>
    <t>Key</t>
  </si>
  <si>
    <t>Value</t>
  </si>
  <si>
    <t>Comment</t>
  </si>
  <si>
    <t>Fill in after deliberation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</si>
</sst>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0.0"/>
    <numFmt numFmtId="166" formatCode="0;\-0;;@"/>
  </numFmts>
  <fonts count="4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i/>
      <sz val="20"/>
      <color theme="1"/>
      <name val="Calibri"/>
      <family val="2"/>
      <scheme val="minor"/>
    </font>
    <font>
      <b/>
      <sz val="20"/>
      <color theme="1"/>
      <name val="Calibri"/>
      <family val="2"/>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2"/>
      <color rgb="FF000000"/>
      <name val="Calibri"/>
      <family val="2"/>
    </font>
    <font>
      <b/>
      <sz val="16"/>
      <color theme="1"/>
      <name val="Calibri"/>
      <family val="2"/>
      <scheme val="minor"/>
    </font>
    <font>
      <sz val="16"/>
      <color theme="1"/>
      <name val="Calibri"/>
      <family val="2"/>
      <scheme val="minor"/>
    </font>
    <font>
      <sz val="12"/>
      <name val="Calibri"/>
      <family val="2"/>
      <scheme val="minor"/>
    </font>
    <font>
      <sz val="11"/>
      <name val="Calibri"/>
      <family val="2"/>
      <scheme val="minor"/>
    </font>
    <font>
      <b/>
      <sz val="12"/>
      <name val="Calibri"/>
      <family val="2"/>
      <scheme val="minor"/>
    </font>
    <font>
      <sz val="8"/>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i/>
      <sz val="36"/>
      <color theme="1"/>
      <name val="Calibri"/>
      <family val="2"/>
      <scheme val="minor"/>
    </font>
    <font>
      <sz val="20"/>
      <color theme="1"/>
      <name val="Calibri"/>
      <family val="2"/>
      <scheme val="minor"/>
    </font>
    <font>
      <b/>
      <sz val="11"/>
      <color rgb="FFFF0000"/>
      <name val="Calibri"/>
      <family val="2"/>
      <scheme val="minor"/>
    </font>
    <font>
      <b/>
      <sz val="9"/>
      <color rgb="FFFF0000"/>
      <name val="Calibri"/>
      <family val="2"/>
      <scheme val="minor"/>
    </font>
    <font>
      <sz val="16"/>
      <color rgb="FF000000"/>
      <name val="Calibri"/>
      <family val="2"/>
    </font>
    <font>
      <i/>
      <sz val="12"/>
      <color rgb="FFFF0000"/>
      <name val="Calibri"/>
      <family val="2"/>
      <scheme val="minor"/>
    </font>
    <font>
      <i/>
      <sz val="11"/>
      <color rgb="FFFF0000"/>
      <name val="Calibri"/>
      <family val="2"/>
      <scheme val="minor"/>
    </font>
    <font>
      <b/>
      <sz val="36"/>
      <color theme="1"/>
      <name val="Calibri"/>
      <family val="2"/>
      <scheme val="minor"/>
    </font>
    <font>
      <i/>
      <sz val="22"/>
      <color theme="1"/>
      <name val="Calibri"/>
      <family val="2"/>
      <scheme val="minor"/>
    </font>
    <font>
      <i/>
      <sz val="20"/>
      <color theme="1"/>
      <name val="Calibri"/>
      <family val="2"/>
      <scheme val="minor"/>
    </font>
    <font>
      <b/>
      <u/>
      <sz val="28"/>
      <color rgb="FFFF0000"/>
      <name val="Calibri"/>
      <family val="2"/>
      <scheme val="minor"/>
    </font>
    <font>
      <b/>
      <i/>
      <sz val="14"/>
      <color theme="0"/>
      <name val="Calibri"/>
      <family val="2"/>
      <scheme val="minor"/>
    </font>
    <font>
      <b/>
      <sz val="18"/>
      <name val="Calibri"/>
      <family val="2"/>
      <scheme val="minor"/>
    </font>
    <font>
      <b/>
      <sz val="18"/>
      <color theme="0"/>
      <name val="Calibri"/>
      <family val="2"/>
      <scheme val="minor"/>
    </font>
    <font>
      <sz val="12"/>
      <color theme="0"/>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89999084444715716"/>
        <bgColor indexed="64"/>
      </patternFill>
    </fill>
    <fill>
      <patternFill patternType="solid">
        <fgColor theme="0" tint="-0.14999847407452621"/>
        <bgColor indexed="64"/>
      </patternFill>
    </fill>
    <fill>
      <patternFill patternType="solid">
        <fgColor rgb="FFFFFF0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ck">
        <color rgb="FF7030A0"/>
      </left>
      <right style="thick">
        <color rgb="FF7030A0"/>
      </right>
      <top style="thick">
        <color rgb="FF7030A0"/>
      </top>
      <bottom style="thick">
        <color rgb="FF7030A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14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0" fontId="9" fillId="0" borderId="0" xfId="0" applyFont="1" applyAlignment="1">
      <alignment vertical="top"/>
    </xf>
    <xf numFmtId="0" fontId="13" fillId="0" borderId="3" xfId="0" applyFont="1" applyBorder="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13" fillId="0" borderId="0" xfId="0" applyFont="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1" fontId="15" fillId="0" borderId="0" xfId="0" applyNumberFormat="1" applyFont="1" applyAlignment="1" applyProtection="1">
      <alignment horizontal="center" vertical="center"/>
      <protection locked="0"/>
    </xf>
    <xf numFmtId="0" fontId="15" fillId="0" borderId="0" xfId="0" applyFont="1" applyAlignment="1" applyProtection="1">
      <alignment horizontal="center" vertical="center"/>
      <protection locked="0"/>
    </xf>
    <xf numFmtId="164" fontId="15" fillId="0" borderId="0" xfId="0" applyNumberFormat="1" applyFont="1" applyAlignment="1" applyProtection="1">
      <alignment horizontal="center" vertical="center"/>
      <protection locked="0"/>
    </xf>
    <xf numFmtId="2" fontId="15" fillId="0" borderId="0" xfId="0" applyNumberFormat="1" applyFont="1" applyAlignment="1" applyProtection="1">
      <alignment horizontal="center" vertical="center"/>
      <protection locked="0"/>
    </xf>
    <xf numFmtId="0" fontId="16" fillId="0" borderId="0" xfId="0" applyFont="1" applyAlignment="1" applyProtection="1">
      <alignment horizontal="center" vertical="center"/>
      <protection locked="0"/>
    </xf>
    <xf numFmtId="1" fontId="8" fillId="16" borderId="0" xfId="0" applyNumberFormat="1" applyFont="1" applyFill="1" applyAlignment="1">
      <alignment horizontal="center" vertical="center" textRotation="90"/>
    </xf>
    <xf numFmtId="1" fontId="9" fillId="16" borderId="0" xfId="0" applyNumberFormat="1" applyFont="1" applyFill="1" applyAlignment="1">
      <alignment horizontal="center" vertical="center"/>
    </xf>
    <xf numFmtId="0" fontId="0" fillId="16" borderId="0" xfId="0" applyFill="1"/>
    <xf numFmtId="0" fontId="19" fillId="0" borderId="0" xfId="0" applyFont="1"/>
    <xf numFmtId="1" fontId="17" fillId="14" borderId="1" xfId="0" applyNumberFormat="1" applyFont="1" applyFill="1" applyBorder="1" applyAlignment="1">
      <alignment horizontal="center" vertical="center" textRotation="90" wrapText="1"/>
    </xf>
    <xf numFmtId="1" fontId="17" fillId="10" borderId="1" xfId="0" applyNumberFormat="1" applyFont="1" applyFill="1" applyBorder="1" applyAlignment="1">
      <alignment horizontal="center" vertical="center" textRotation="90" wrapText="1"/>
    </xf>
    <xf numFmtId="1" fontId="17" fillId="13" borderId="1" xfId="0" applyNumberFormat="1" applyFont="1" applyFill="1" applyBorder="1" applyAlignment="1">
      <alignment horizontal="center" vertical="center" textRotation="90" wrapText="1"/>
    </xf>
    <xf numFmtId="2" fontId="17" fillId="15" borderId="1" xfId="0" applyNumberFormat="1" applyFont="1" applyFill="1" applyBorder="1" applyAlignment="1">
      <alignment horizontal="center" vertical="center" textRotation="90" wrapText="1"/>
    </xf>
    <xf numFmtId="0" fontId="17"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20" fillId="0" borderId="0" xfId="0" applyFont="1"/>
    <xf numFmtId="0" fontId="13" fillId="3" borderId="0" xfId="0" applyFont="1" applyFill="1" applyAlignment="1">
      <alignment horizontal="center" vertical="center"/>
    </xf>
    <xf numFmtId="0" fontId="0" fillId="3" borderId="0" xfId="0" applyFill="1" applyAlignment="1">
      <alignment horizontal="center" vertical="center"/>
    </xf>
    <xf numFmtId="0" fontId="23" fillId="3" borderId="0" xfId="0" applyFont="1" applyFill="1" applyAlignment="1">
      <alignment horizontal="left" vertical="center"/>
    </xf>
    <xf numFmtId="0" fontId="24" fillId="3" borderId="0" xfId="0" applyFont="1" applyFill="1" applyAlignment="1">
      <alignment horizontal="left" vertical="center"/>
    </xf>
    <xf numFmtId="0" fontId="23" fillId="3" borderId="0" xfId="0" applyFont="1" applyFill="1" applyAlignment="1">
      <alignment vertical="top" wrapText="1"/>
    </xf>
    <xf numFmtId="49" fontId="23" fillId="3" borderId="0" xfId="0" applyNumberFormat="1" applyFont="1" applyFill="1" applyAlignment="1">
      <alignment horizontal="left" vertical="center"/>
    </xf>
    <xf numFmtId="0" fontId="1" fillId="3" borderId="0" xfId="0" applyFont="1" applyFill="1" applyAlignment="1">
      <alignment horizontal="center" vertical="center"/>
    </xf>
    <xf numFmtId="0" fontId="21" fillId="0" borderId="0" xfId="0" applyFont="1" applyAlignment="1">
      <alignment horizontal="center" vertical="center"/>
    </xf>
    <xf numFmtId="0" fontId="0" fillId="0" borderId="13" xfId="0" applyBorder="1"/>
    <xf numFmtId="0" fontId="3" fillId="9" borderId="12" xfId="0" applyFont="1" applyFill="1" applyBorder="1" applyAlignment="1">
      <alignment horizontal="center" vertical="center" wrapText="1"/>
    </xf>
    <xf numFmtId="0" fontId="8" fillId="18" borderId="12" xfId="0" applyFont="1" applyFill="1" applyBorder="1" applyAlignment="1">
      <alignment horizontal="center" vertical="center" textRotation="90"/>
    </xf>
    <xf numFmtId="0" fontId="25" fillId="0" borderId="0" xfId="0" applyFont="1" applyAlignment="1">
      <alignment horizontal="center" vertical="center" textRotation="90"/>
    </xf>
    <xf numFmtId="0" fontId="11" fillId="17" borderId="12" xfId="0" applyFont="1" applyFill="1" applyBorder="1" applyAlignment="1">
      <alignment horizontal="center" vertical="center" textRotation="90"/>
    </xf>
    <xf numFmtId="0" fontId="4" fillId="20" borderId="4" xfId="0" applyFont="1" applyFill="1" applyBorder="1" applyAlignment="1">
      <alignment horizontal="left" vertical="center"/>
    </xf>
    <xf numFmtId="0" fontId="4" fillId="20" borderId="5" xfId="0" applyFont="1" applyFill="1" applyBorder="1" applyAlignment="1">
      <alignment horizontal="left" vertical="center"/>
    </xf>
    <xf numFmtId="0" fontId="0" fillId="20" borderId="6" xfId="0" applyFill="1" applyBorder="1" applyAlignment="1">
      <alignment vertical="center"/>
    </xf>
    <xf numFmtId="0" fontId="0" fillId="20" borderId="7" xfId="0" applyFill="1" applyBorder="1" applyAlignment="1">
      <alignment horizontal="center" vertical="center"/>
    </xf>
    <xf numFmtId="0" fontId="0" fillId="20" borderId="0" xfId="0" applyFill="1" applyAlignment="1">
      <alignment horizontal="center" vertical="center"/>
    </xf>
    <xf numFmtId="0" fontId="0" fillId="20" borderId="8" xfId="0" applyFill="1" applyBorder="1" applyAlignment="1">
      <alignment horizontal="center" vertical="center"/>
    </xf>
    <xf numFmtId="0" fontId="0" fillId="20" borderId="9" xfId="0" applyFill="1" applyBorder="1" applyAlignment="1">
      <alignment horizontal="center" vertical="center"/>
    </xf>
    <xf numFmtId="0" fontId="0" fillId="20" borderId="10" xfId="0" applyFill="1" applyBorder="1" applyAlignment="1">
      <alignment horizontal="center" vertical="center"/>
    </xf>
    <xf numFmtId="0" fontId="0" fillId="20" borderId="11" xfId="0" applyFill="1" applyBorder="1" applyAlignment="1">
      <alignment horizontal="center" vertical="center"/>
    </xf>
    <xf numFmtId="0" fontId="13" fillId="3" borderId="0" xfId="0" applyFont="1" applyFill="1" applyAlignment="1">
      <alignment horizontal="center" vertical="top"/>
    </xf>
    <xf numFmtId="0" fontId="0" fillId="3" borderId="0" xfId="0" applyFill="1" applyAlignment="1">
      <alignment horizontal="center" vertical="top"/>
    </xf>
    <xf numFmtId="0" fontId="23" fillId="3" borderId="0" xfId="0" applyFont="1" applyFill="1" applyAlignment="1">
      <alignment horizontal="left" vertical="top"/>
    </xf>
    <xf numFmtId="0" fontId="22" fillId="3" borderId="0" xfId="0" applyFont="1" applyFill="1" applyAlignment="1">
      <alignment horizontal="left" vertical="top"/>
    </xf>
    <xf numFmtId="0" fontId="28" fillId="0" borderId="0" xfId="0" applyFont="1" applyAlignment="1">
      <alignment vertical="center" wrapText="1"/>
    </xf>
    <xf numFmtId="0" fontId="27" fillId="3" borderId="0" xfId="0" applyFont="1" applyFill="1" applyAlignment="1">
      <alignment vertical="center" wrapText="1"/>
    </xf>
    <xf numFmtId="0" fontId="1" fillId="0" borderId="0" xfId="0" applyFont="1" applyAlignment="1">
      <alignment horizontal="center" vertical="center"/>
    </xf>
    <xf numFmtId="0" fontId="9" fillId="0" borderId="0" xfId="0" applyFont="1" applyAlignment="1">
      <alignment horizontal="left" vertical="center"/>
    </xf>
    <xf numFmtId="0" fontId="1" fillId="3" borderId="0" xfId="0" applyFont="1" applyFill="1" applyAlignment="1" applyProtection="1">
      <alignment horizontal="center" vertical="center"/>
      <protection locked="0"/>
    </xf>
    <xf numFmtId="0" fontId="31" fillId="3" borderId="0" xfId="0" applyFont="1" applyFill="1" applyAlignment="1" applyProtection="1">
      <alignment horizontal="center" vertical="center"/>
      <protection locked="0"/>
    </xf>
    <xf numFmtId="0" fontId="32" fillId="0" borderId="0" xfId="0" applyFont="1"/>
    <xf numFmtId="166" fontId="11" fillId="17" borderId="12" xfId="0" applyNumberFormat="1" applyFont="1" applyFill="1" applyBorder="1" applyAlignment="1">
      <alignment horizontal="center" vertical="center" textRotation="90" wrapText="1"/>
    </xf>
    <xf numFmtId="166" fontId="21" fillId="0" borderId="0" xfId="0" applyNumberFormat="1" applyFont="1" applyAlignment="1">
      <alignment horizontal="center" vertical="center"/>
    </xf>
    <xf numFmtId="0" fontId="27" fillId="3" borderId="0" xfId="0" applyFont="1" applyFill="1" applyAlignment="1">
      <alignment horizontal="left" vertical="top"/>
    </xf>
    <xf numFmtId="166" fontId="9" fillId="3" borderId="0" xfId="0" applyNumberFormat="1" applyFont="1" applyFill="1" applyAlignment="1">
      <alignment horizontal="center" vertical="center"/>
    </xf>
    <xf numFmtId="0" fontId="38" fillId="0" borderId="0" xfId="0" applyFont="1" applyAlignment="1">
      <alignment horizontal="left" vertical="center"/>
    </xf>
    <xf numFmtId="0" fontId="11" fillId="0" borderId="0" xfId="0" applyFont="1" applyAlignment="1">
      <alignment horizontal="center" vertical="center" wrapText="1"/>
    </xf>
    <xf numFmtId="0" fontId="39" fillId="0" borderId="0" xfId="0" applyFont="1" applyAlignment="1">
      <alignment horizontal="left" vertical="center" wrapText="1"/>
    </xf>
    <xf numFmtId="0" fontId="40" fillId="0" borderId="0" xfId="0" applyFont="1" applyAlignment="1" applyProtection="1">
      <alignment horizontal="center" vertical="center" wrapText="1"/>
      <protection locked="0"/>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27" fillId="21" borderId="4" xfId="0" applyFont="1" applyFill="1" applyBorder="1" applyAlignment="1">
      <alignment horizontal="center" vertical="center" wrapText="1"/>
    </xf>
    <xf numFmtId="0" fontId="27" fillId="21" borderId="5" xfId="0" applyFont="1" applyFill="1" applyBorder="1" applyAlignment="1">
      <alignment horizontal="center" vertical="center" wrapText="1"/>
    </xf>
    <xf numFmtId="0" fontId="27" fillId="21" borderId="6" xfId="0" applyFont="1" applyFill="1" applyBorder="1" applyAlignment="1">
      <alignment horizontal="center" vertical="center" wrapText="1"/>
    </xf>
    <xf numFmtId="0" fontId="27" fillId="21" borderId="7" xfId="0" applyFont="1" applyFill="1" applyBorder="1" applyAlignment="1">
      <alignment horizontal="center" vertical="center" wrapText="1"/>
    </xf>
    <xf numFmtId="0" fontId="27" fillId="21" borderId="0" xfId="0" applyFont="1" applyFill="1" applyAlignment="1">
      <alignment horizontal="center" vertical="center" wrapText="1"/>
    </xf>
    <xf numFmtId="0" fontId="27" fillId="21" borderId="8" xfId="0" applyFont="1" applyFill="1" applyBorder="1" applyAlignment="1">
      <alignment horizontal="center" vertical="center" wrapText="1"/>
    </xf>
    <xf numFmtId="0" fontId="27" fillId="21" borderId="9" xfId="0" applyFont="1" applyFill="1" applyBorder="1" applyAlignment="1">
      <alignment horizontal="center" vertical="center" wrapText="1"/>
    </xf>
    <xf numFmtId="0" fontId="27" fillId="21" borderId="10" xfId="0" applyFont="1" applyFill="1" applyBorder="1" applyAlignment="1">
      <alignment horizontal="center" vertical="center" wrapText="1"/>
    </xf>
    <xf numFmtId="0" fontId="27" fillId="21" borderId="11" xfId="0" applyFont="1" applyFill="1" applyBorder="1" applyAlignment="1">
      <alignment horizontal="center" vertical="center" wrapText="1"/>
    </xf>
    <xf numFmtId="0" fontId="23" fillId="3" borderId="0" xfId="0" applyFont="1" applyFill="1" applyAlignment="1">
      <alignment horizontal="left" vertical="center"/>
    </xf>
    <xf numFmtId="0" fontId="23" fillId="3" borderId="0" xfId="0" applyFont="1" applyFill="1" applyAlignment="1">
      <alignment horizontal="left" vertical="top" wrapText="1"/>
    </xf>
    <xf numFmtId="0" fontId="13" fillId="3" borderId="0" xfId="0" applyFont="1" applyFill="1" applyAlignment="1">
      <alignment horizontal="center" vertical="center"/>
    </xf>
    <xf numFmtId="0" fontId="22" fillId="3" borderId="0" xfId="0" applyFont="1" applyFill="1" applyAlignment="1">
      <alignment horizontal="left" vertical="top" wrapText="1"/>
    </xf>
    <xf numFmtId="0" fontId="36" fillId="3" borderId="0" xfId="0" applyFont="1" applyFill="1" applyAlignment="1">
      <alignment horizontal="center" vertical="center" wrapText="1"/>
    </xf>
    <xf numFmtId="0" fontId="5" fillId="2" borderId="0" xfId="0" applyFont="1" applyFill="1" applyAlignment="1">
      <alignment horizontal="center" vertical="center"/>
    </xf>
    <xf numFmtId="0" fontId="29" fillId="0" borderId="5" xfId="0" applyFont="1" applyBorder="1" applyAlignment="1">
      <alignment horizontal="center" vertical="center" wrapText="1"/>
    </xf>
    <xf numFmtId="0" fontId="29" fillId="0" borderId="0" xfId="0" applyFont="1" applyAlignment="1">
      <alignment horizontal="center" vertical="center" wrapText="1"/>
    </xf>
    <xf numFmtId="0" fontId="4" fillId="0" borderId="0" xfId="0" applyFont="1" applyAlignment="1">
      <alignment horizontal="center" vertical="center"/>
    </xf>
    <xf numFmtId="0" fontId="3" fillId="9" borderId="1" xfId="0" applyFont="1" applyFill="1" applyBorder="1" applyAlignment="1" applyProtection="1">
      <alignment horizontal="center" vertical="center" wrapText="1"/>
    </xf>
    <xf numFmtId="0" fontId="10" fillId="17" borderId="1" xfId="0" applyFont="1" applyFill="1" applyBorder="1" applyAlignment="1" applyProtection="1">
      <alignment horizontal="center" vertical="center" wrapText="1"/>
    </xf>
    <xf numFmtId="0" fontId="11" fillId="17" borderId="1" xfId="0" applyFont="1" applyFill="1" applyBorder="1" applyAlignment="1" applyProtection="1">
      <alignment horizontal="center" vertical="center" wrapText="1"/>
    </xf>
    <xf numFmtId="0" fontId="10" fillId="6" borderId="1" xfId="0" applyFont="1" applyFill="1" applyBorder="1" applyAlignment="1" applyProtection="1">
      <alignment horizontal="center" vertical="center" wrapText="1"/>
    </xf>
    <xf numFmtId="0" fontId="10" fillId="5" borderId="1" xfId="0" applyFont="1" applyFill="1" applyBorder="1" applyAlignment="1" applyProtection="1">
      <alignment horizontal="center" vertical="center" wrapText="1"/>
    </xf>
    <xf numFmtId="0" fontId="10" fillId="19" borderId="1" xfId="0" applyFont="1" applyFill="1" applyBorder="1" applyAlignment="1" applyProtection="1">
      <alignment horizontal="center" vertical="center" wrapText="1"/>
    </xf>
    <xf numFmtId="1" fontId="11" fillId="8" borderId="1" xfId="0" applyNumberFormat="1" applyFont="1" applyFill="1" applyBorder="1" applyAlignment="1" applyProtection="1">
      <alignment horizontal="center" vertical="center" wrapText="1"/>
    </xf>
    <xf numFmtId="0" fontId="11" fillId="8" borderId="1" xfId="0" applyFont="1" applyFill="1" applyBorder="1" applyAlignment="1" applyProtection="1">
      <alignment horizontal="center" vertical="center" wrapText="1"/>
    </xf>
    <xf numFmtId="0" fontId="4" fillId="0" borderId="0" xfId="0" applyFont="1" applyAlignment="1" applyProtection="1">
      <alignment horizontal="center" vertical="center"/>
    </xf>
    <xf numFmtId="1" fontId="15" fillId="0" borderId="0" xfId="0" applyNumberFormat="1" applyFont="1" applyAlignment="1" applyProtection="1">
      <alignment horizontal="center" vertical="center"/>
    </xf>
    <xf numFmtId="0" fontId="15" fillId="0" borderId="0" xfId="0" applyFont="1" applyAlignment="1" applyProtection="1">
      <alignment horizontal="left" vertical="center"/>
    </xf>
    <xf numFmtId="1" fontId="0" fillId="0" borderId="0" xfId="0" applyNumberFormat="1" applyAlignment="1" applyProtection="1">
      <alignment horizontal="center" vertical="center"/>
    </xf>
    <xf numFmtId="0" fontId="3" fillId="9" borderId="0" xfId="0" applyFont="1" applyFill="1" applyAlignment="1" applyProtection="1">
      <alignment horizontal="center" vertical="center" wrapText="1"/>
    </xf>
    <xf numFmtId="0" fontId="3" fillId="9" borderId="0" xfId="0" applyFont="1" applyFill="1" applyAlignment="1" applyProtection="1">
      <alignment horizontal="center" vertical="center"/>
    </xf>
    <xf numFmtId="0" fontId="3" fillId="10" borderId="0" xfId="0" applyFont="1" applyFill="1" applyAlignment="1" applyProtection="1">
      <alignment horizontal="center" vertical="center" textRotation="90"/>
    </xf>
    <xf numFmtId="1" fontId="8" fillId="5" borderId="0" xfId="0" applyNumberFormat="1" applyFont="1" applyFill="1" applyAlignment="1" applyProtection="1">
      <alignment horizontal="center" vertical="center" textRotation="90"/>
    </xf>
    <xf numFmtId="0" fontId="8" fillId="5" borderId="0" xfId="0" applyFont="1" applyFill="1" applyAlignment="1" applyProtection="1">
      <alignment horizontal="center" vertical="center" textRotation="90"/>
    </xf>
    <xf numFmtId="0" fontId="1" fillId="3" borderId="0" xfId="0" applyFont="1" applyFill="1" applyAlignment="1" applyProtection="1">
      <alignment horizontal="center" vertical="center"/>
    </xf>
    <xf numFmtId="0" fontId="1" fillId="3" borderId="0" xfId="0" applyFont="1" applyFill="1" applyAlignment="1" applyProtection="1">
      <alignment horizontal="left" vertical="center"/>
    </xf>
    <xf numFmtId="1" fontId="9" fillId="3" borderId="0" xfId="0" applyNumberFormat="1" applyFont="1" applyFill="1" applyAlignment="1" applyProtection="1">
      <alignment horizontal="center" vertical="center"/>
    </xf>
    <xf numFmtId="0" fontId="9" fillId="3" borderId="0" xfId="0" applyFont="1" applyFill="1" applyAlignment="1" applyProtection="1">
      <alignment horizontal="center" vertical="center"/>
    </xf>
    <xf numFmtId="0" fontId="3" fillId="18" borderId="0" xfId="0" applyFont="1" applyFill="1" applyAlignment="1" applyProtection="1">
      <alignment horizontal="center" vertical="center" textRotation="90" wrapText="1"/>
    </xf>
    <xf numFmtId="1" fontId="11" fillId="19" borderId="0" xfId="0" applyNumberFormat="1" applyFont="1" applyFill="1" applyAlignment="1" applyProtection="1">
      <alignment horizontal="center" vertical="center" textRotation="90"/>
    </xf>
    <xf numFmtId="0" fontId="11" fillId="19" borderId="0" xfId="0" applyFont="1" applyFill="1" applyAlignment="1" applyProtection="1">
      <alignment horizontal="center" vertical="center" textRotation="90"/>
    </xf>
    <xf numFmtId="0" fontId="37" fillId="16" borderId="0" xfId="0" applyFont="1" applyFill="1" applyAlignment="1" applyProtection="1">
      <alignment horizontal="center" vertical="center" textRotation="90"/>
    </xf>
    <xf numFmtId="0" fontId="3" fillId="11" borderId="0" xfId="0" applyFont="1" applyFill="1" applyAlignment="1" applyProtection="1">
      <alignment horizontal="center" vertical="center" textRotation="90"/>
    </xf>
    <xf numFmtId="0" fontId="3" fillId="11" borderId="0" xfId="0" applyFont="1" applyFill="1" applyAlignment="1" applyProtection="1">
      <alignment horizontal="center" vertical="center" textRotation="90" wrapText="1"/>
    </xf>
    <xf numFmtId="0" fontId="11" fillId="6" borderId="0" xfId="0" applyFont="1" applyFill="1" applyAlignment="1" applyProtection="1">
      <alignment horizontal="center" vertical="center" textRotation="90" wrapText="1"/>
    </xf>
    <xf numFmtId="0" fontId="11" fillId="6" borderId="0" xfId="0" applyFont="1" applyFill="1" applyAlignment="1" applyProtection="1">
      <alignment horizontal="center" vertical="center" textRotation="90"/>
    </xf>
    <xf numFmtId="0" fontId="3" fillId="4" borderId="0" xfId="0" applyFont="1" applyFill="1" applyAlignment="1" applyProtection="1">
      <alignment horizontal="center" vertical="center" textRotation="90"/>
    </xf>
    <xf numFmtId="165" fontId="9" fillId="3" borderId="0" xfId="0" applyNumberFormat="1" applyFont="1" applyFill="1" applyAlignment="1" applyProtection="1">
      <alignment horizontal="center" vertical="center"/>
    </xf>
    <xf numFmtId="164" fontId="12" fillId="3" borderId="0" xfId="0" applyNumberFormat="1" applyFont="1" applyFill="1" applyAlignment="1" applyProtection="1">
      <alignment horizontal="center" vertical="center"/>
    </xf>
    <xf numFmtId="0" fontId="0" fillId="22" borderId="0" xfId="0" applyFill="1" applyProtection="1">
      <protection locked="0"/>
    </xf>
    <xf numFmtId="0" fontId="0" fillId="0" borderId="0" xfId="0" applyProtection="1">
      <protection locked="0"/>
    </xf>
  </cellXfs>
  <cellStyles count="1">
    <cellStyle name="Normal" xfId="0" builtinId="0"/>
  </cellStyles>
  <dxfs count="179">
    <dxf>
      <font>
        <strike val="0"/>
        <outline val="0"/>
        <shadow val="0"/>
        <u val="none"/>
        <vertAlign val="baseline"/>
        <sz val="12"/>
        <color theme="1"/>
        <name val="Calibri"/>
        <scheme val="minor"/>
      </font>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numFmt numFmtId="0" formatCode="General"/>
      <alignment horizontal="left" vertical="center" textRotation="0" wrapText="0" indent="0" justifyLastLine="0" shrinkToFit="0" readingOrder="0"/>
    </dxf>
    <dxf>
      <font>
        <strike val="0"/>
        <outline val="0"/>
        <shadow val="0"/>
        <u val="none"/>
        <vertAlign val="baseline"/>
        <sz val="12"/>
        <color theme="1"/>
        <name val="Calibri"/>
        <scheme val="minor"/>
      </font>
      <alignment horizontal="center" vertical="center" textRotation="0" wrapText="0" indent="0" justifyLastLine="0" shrinkToFit="0" readingOrder="0"/>
    </dxf>
    <dxf>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rgb="FF000000"/>
        <name val="Calibri"/>
        <scheme val="none"/>
      </font>
      <fill>
        <patternFill>
          <fgColor indexed="64"/>
          <bgColor theme="0"/>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4"/>
        <color theme="1"/>
        <name val="Calibri"/>
        <scheme val="minor"/>
      </font>
      <fill>
        <patternFill>
          <fgColor indexed="64"/>
          <bgColor theme="0"/>
        </patternFill>
      </fill>
      <alignment horizontal="center" vertical="center" textRotation="90" wrapText="0" indent="0" justifyLastLine="0" shrinkToFit="0" readingOrder="0"/>
      <border diagonalUp="0" diagonalDown="0">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center" textRotation="90" wrapText="0" indent="0" justifyLastLine="0" shrinkToFit="0" readingOrder="0"/>
      <border diagonalUp="0" diagonalDown="0">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16DB6"/>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0963F"/>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E40613"/>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0B0F0"/>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7030A0"/>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5"/>
        </patternFill>
      </fill>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i val="0"/>
        <strike val="0"/>
        <condense val="0"/>
        <extend val="0"/>
        <outline val="0"/>
        <shadow val="0"/>
        <u val="none"/>
        <vertAlign val="baseline"/>
        <sz val="12"/>
        <color theme="1"/>
        <name val="Calibri"/>
        <scheme val="minor"/>
      </font>
      <numFmt numFmtId="1" formatCode="0"/>
      <fill>
        <patternFill patternType="solid">
          <fgColor indexed="64"/>
          <bgColor rgb="FFFF0000"/>
        </patternFill>
      </fill>
      <alignment horizontal="center" vertical="center" textRotation="0" wrapText="0" indent="0" justifyLastLine="0" shrinkToFit="0" readingOrder="0"/>
      <protection locked="1" hidden="0"/>
    </dxf>
    <dxf>
      <font>
        <strike val="0"/>
        <outline val="0"/>
        <shadow val="0"/>
        <u val="none"/>
        <vertAlign val="baseline"/>
        <sz val="12"/>
        <color rgb="FF000000"/>
        <name val="Calibri"/>
        <scheme val="none"/>
      </font>
      <fill>
        <patternFill>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fgColor indexed="64"/>
          <bgColor theme="0"/>
        </patternFill>
      </fill>
      <alignment horizontal="center" vertical="center" textRotation="90" wrapText="0" indent="0" justifyLastLine="0" shrinkToFit="0" readingOrder="0"/>
      <border diagonalUp="0" diagonalDown="0">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i val="0"/>
        <strike val="0"/>
        <condense val="0"/>
        <extend val="0"/>
        <outline val="0"/>
        <shadow val="0"/>
        <u val="none"/>
        <vertAlign val="baseline"/>
        <sz val="12"/>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name val="Calibri"/>
        <family val="2"/>
        <scheme val="minor"/>
      </font>
      <fill>
        <patternFill patternType="solid">
          <fgColor indexed="64"/>
          <bgColor theme="9" tint="0.39997558519241921"/>
        </patternFill>
      </fill>
      <alignment horizontal="center" vertical="center" textRotation="90" wrapText="0" indent="0" justifyLastLine="0" shrinkToFit="0" readingOrder="0"/>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64" formatCode=";;;"/>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bottom style="thin">
          <color auto="1"/>
        </bottom>
      </border>
    </dxf>
    <dxf>
      <font>
        <b/>
        <i val="0"/>
        <strike val="0"/>
        <condense val="0"/>
        <extend val="0"/>
        <outline val="0"/>
        <shadow val="0"/>
        <u val="none"/>
        <vertAlign val="baseline"/>
        <sz val="14"/>
        <color auto="1"/>
        <name val="Calibri"/>
        <scheme val="minor"/>
      </font>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border>
      <protection locked="1" hidden="0"/>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FFFF99"/>
        </patternFill>
      </fill>
    </dxf>
    <dxf>
      <fill>
        <patternFill patternType="darkHorizontal">
          <fgColor theme="0"/>
          <bgColor rgb="FFFFC000"/>
        </patternFill>
      </fill>
    </dxf>
    <dxf>
      <fill>
        <patternFill>
          <bgColor rgb="FF00B0F0"/>
        </patternFill>
      </fill>
    </dxf>
    <dxf>
      <fill>
        <patternFill>
          <bgColor theme="9" tint="0.59996337778862885"/>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u val="none"/>
        <vertAlign val="baseline"/>
        <sz val="12"/>
        <color theme="1"/>
        <name val="Calibri"/>
        <scheme val="minor"/>
      </font>
    </dxf>
    <dxf>
      <font>
        <strike val="0"/>
        <outline val="0"/>
        <shadow val="0"/>
        <u val="none"/>
        <vertAlign val="baseline"/>
        <sz val="16"/>
        <color theme="1"/>
        <name val="Calibri"/>
        <scheme val="minor"/>
      </font>
      <alignment horizontal="center" vertical="center" textRotation="0" wrapText="0" indent="0" justifyLastLine="0" shrinkToFit="0" readingOrder="0"/>
    </dxf>
  </dxfs>
  <tableStyles count="0" defaultTableStyle="TableStyleMedium2" defaultPivotStyle="PivotStyleLight16"/>
  <colors>
    <mruColors>
      <color rgb="FF016DB6"/>
      <color rgb="FFD7D7D7"/>
      <color rgb="FF82CCFE"/>
      <color rgb="FFFFFF99"/>
      <color rgb="FFAD8A56"/>
      <color rgb="FFC9B037"/>
      <color rgb="FFD890CA"/>
      <color rgb="FFFF8181"/>
      <color rgb="FF00963F"/>
      <color rgb="FFE406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199390</xdr:colOff>
      <xdr:row>0</xdr:row>
      <xdr:rowOff>323850</xdr:rowOff>
    </xdr:from>
    <xdr:to>
      <xdr:col>16</xdr:col>
      <xdr:colOff>227244</xdr:colOff>
      <xdr:row>2</xdr:row>
      <xdr:rowOff>398145</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3323590" y="323850"/>
          <a:ext cx="6901094" cy="1245870"/>
        </a:xfrm>
        <a:prstGeom prst="rect">
          <a:avLst/>
        </a:prstGeom>
      </xdr:spPr>
    </xdr:pic>
    <xdr:clientData/>
  </xdr:twoCellAnchor>
  <xdr:twoCellAnchor editAs="oneCell">
    <xdr:from>
      <xdr:col>0</xdr:col>
      <xdr:colOff>323851</xdr:colOff>
      <xdr:row>0</xdr:row>
      <xdr:rowOff>127398</xdr:rowOff>
    </xdr:from>
    <xdr:to>
      <xdr:col>5</xdr:col>
      <xdr:colOff>17145</xdr:colOff>
      <xdr:row>3</xdr:row>
      <xdr:rowOff>92140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323851" y="127398"/>
          <a:ext cx="2830829" cy="17059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219075</xdr:colOff>
          <xdr:row>2</xdr:row>
          <xdr:rowOff>200025</xdr:rowOff>
        </xdr:from>
        <xdr:to>
          <xdr:col>9</xdr:col>
          <xdr:colOff>447675</xdr:colOff>
          <xdr:row>4</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ea typeface="Calibri"/>
                  <a:cs typeface="Calibri"/>
                </a:rPr>
                <a:t>Update Teams</a:t>
              </a:r>
            </a:p>
            <a:p>
              <a:pPr algn="ctr" rtl="0">
                <a:defRPr sz="1000"/>
              </a:pPr>
              <a:r>
                <a:rPr lang="en-US" sz="1600" b="0" i="0" u="none" strike="noStrike" baseline="0">
                  <a:solidFill>
                    <a:srgbClr val="000000"/>
                  </a:solidFill>
                  <a:latin typeface="Calibri"/>
                  <a:ea typeface="Calibri"/>
                  <a:cs typeface="Calibri"/>
                </a:rPr>
                <a:t>(Click Here)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OfficialTeamList" displayName="OfficialTeamList" ref="C2:F13" totalsRowShown="0" headerRowDxfId="178" dataDxfId="177">
  <autoFilter ref="C2:F13" xr:uid="{00000000-0009-0000-0100-000005000000}"/>
  <sortState xmlns:xlrd2="http://schemas.microsoft.com/office/spreadsheetml/2017/richdata2" ref="C3:F13">
    <sortCondition ref="C2:C13"/>
  </sortState>
  <tableColumns count="4">
    <tableColumn id="1" xr3:uid="{00000000-0010-0000-0000-000001000000}" name="Team Number" dataDxfId="3"/>
    <tableColumn id="2" xr3:uid="{00000000-0010-0000-0000-000002000000}" name="Team Name" dataDxfId="2"/>
    <tableColumn id="3" xr3:uid="{00000000-0010-0000-0000-000003000000}" name="Coach" dataDxfId="1"/>
    <tableColumn id="4" xr3:uid="{00000000-0010-0000-0000-000004000000}" name="Pod Number"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6E3771A-B2AF-471C-ABD3-0F9AAAA83F5B}" name="Meta" displayName="Meta" ref="A1:C13" totalsRowShown="0">
  <autoFilter ref="A1:C13" xr:uid="{96E3771A-B2AF-471C-ABD3-0F9AAAA83F5B}"/>
  <tableColumns count="3">
    <tableColumn id="1" xr3:uid="{45EDA5F4-FCDF-4FE2-BBF2-4EE954040307}" name="Key"/>
    <tableColumn id="2" xr3:uid="{C828F688-8B56-45F1-AC8E-3FFD1DE8679E}" name="Value"/>
    <tableColumn id="3" xr3:uid="{9DA94320-5184-4459-BCE7-D4C705F0FCA9}" name="Comment" dataDxfId="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ournamentData" displayName="TournamentData" ref="A2:V13" totalsRowShown="0" headerRowDxfId="167" dataDxfId="165" headerRowBorderDxfId="166">
  <autoFilter ref="A2:V13" xr:uid="{00000000-0009-0000-0100-000001000000}"/>
  <sortState xmlns:xlrd2="http://schemas.microsoft.com/office/spreadsheetml/2017/richdata2" ref="A3:V13">
    <sortCondition ref="N2:N13"/>
  </sortState>
  <tableColumns count="22">
    <tableColumn id="1" xr3:uid="{00000000-0010-0000-0100-000001000000}" name="Team Number" dataDxfId="78"/>
    <tableColumn id="2" xr3:uid="{00000000-0010-0000-0100-000002000000}" name="Team Name" dataDxfId="77">
      <calculatedColumnFormula>IF(ISNA(INDEX(OfficialTeamList[Team Name],MATCH(TournamentData[[#This Row],[Team Number]], OfficialTeamList[Team Number],0))),"",INDEX(OfficialTeamList[Team Name],MATCH(TournamentData[[#This Row],[Team Number]], OfficialTeamList[Team Number],0)))</calculatedColumnFormula>
    </tableColumn>
    <tableColumn id="6" xr3:uid="{00000000-0010-0000-0100-000006000000}" name="Robot Game Score 1" dataDxfId="76">
      <calculatedColumnFormula>IF(TournamentData[[#This Row],[Team Number]]="","",IF(ISNA(INDEX('Robot Game Scores'!C:C,MATCH(TournamentData[[#This Row],[Team Number]], 'Robot Game Scores'!$B:$B,0))),0,INDEX('Robot Game Scores'!C:C,MATCH(TournamentData[[#This Row],[Team Number]], 'Robot Game Scores'!$B:$B,0))))</calculatedColumnFormula>
    </tableColumn>
    <tableColumn id="7" xr3:uid="{00000000-0010-0000-0100-000007000000}" name="Robot Game Score 2" dataDxfId="75">
      <calculatedColumnFormula>IF(TournamentData[[#This Row],[Team Number]]="","",IF(ISNA(INDEX('Robot Game Scores'!D:D,MATCH(TournamentData[[#This Row],[Team Number]], 'Robot Game Scores'!$B:$B,0))),0,INDEX('Robot Game Scores'!D:D,MATCH(TournamentData[[#This Row],[Team Number]], 'Robot Game Scores'!$B:$B,0))))</calculatedColumnFormula>
    </tableColumn>
    <tableColumn id="8" xr3:uid="{00000000-0010-0000-0100-000008000000}" name="Robot Game Score 3" dataDxfId="74">
      <calculatedColumnFormula>IF(TournamentData[[#This Row],[Team Number]]="","",IF(ISNA(INDEX('Robot Game Scores'!E:E,MATCH(TournamentData[[#This Row],[Team Number]], 'Robot Game Scores'!$B:$B,0))),0,INDEX('Robot Game Scores'!E:E,MATCH(TournamentData[[#This Row],[Team Number]], 'Robot Game Scores'!$B:$B,0))))</calculatedColumnFormula>
    </tableColumn>
    <tableColumn id="16" xr3:uid="{00000000-0010-0000-0100-000010000000}" name="Robot Game Score 4" dataDxfId="73">
      <calculatedColumnFormula>IF(TournamentData[[#This Row],[Team Number]]="","",IF(ISNA(INDEX('Robot Game Scores'!F:F,MATCH(TournamentData[[#This Row],[Team Number]], 'Robot Game Scores'!$B:$B,0))),0,INDEX('Robot Game Scores'!F:F,MATCH(TournamentData[[#This Row],[Team Number]], 'Robot Game Scores'!$B:$B,0))))</calculatedColumnFormula>
    </tableColumn>
    <tableColumn id="9" xr3:uid="{00000000-0010-0000-0100-000009000000}" name="Robot Game Score 5" dataDxfId="72">
      <calculatedColumnFormula>IF(TournamentData[[#This Row],[Team Number]]="","",IF(ISNA(INDEX('Robot Game Scores'!G:G,MATCH(TournamentData[[#This Row],[Team Number]], 'Robot Game Scores'!$B:$B,0))),0,INDEX('Robot Game Scores'!G:G,MATCH(TournamentData[[#This Row],[Team Number]], 'Robot Game Scores'!$B:$B,0))))</calculatedColumnFormula>
    </tableColumn>
    <tableColumn id="10" xr3:uid="{00000000-0010-0000-0100-00000A000000}" name="Max Robot Game Score" dataDxfId="71">
      <calculatedColumnFormula>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calculatedColumnFormula>
    </tableColumn>
    <tableColumn id="15" xr3:uid="{00000000-0010-0000-0100-00000F000000}" name="Robot Game Rank" dataDxfId="70">
      <calculatedColumnFormula>IF(TournamentData[[#This Row],[Team Number]]="","",_xlfn.RANK.EQ(TournamentData[[#This Row],[Max Robot Game Score]],TournamentData[Max Robot Game Score]))</calculatedColumnFormula>
    </tableColumn>
    <tableColumn id="3" xr3:uid="{00000000-0010-0000-0100-000003000000}" name="Core Values Rank" dataDxfId="69">
      <calculatedColumnFormula>IF(TournamentData[[#This Row],[Team Number]]="","",IF(ISNA(INDEX(CoreValuesResults[Core Values Rank],MATCH(TournamentData[[#This Row],[Team Number]],CoreValuesResults[Team Number],0))),NumberOfTeams+1,INDEX(CoreValuesResults[Core Values Rank],MATCH(TournamentData[[#This Row],[Team Number]],CoreValuesResults[Team Number],0))))</calculatedColumnFormula>
    </tableColumn>
    <tableColumn id="4" xr3:uid="{00000000-0010-0000-0100-000004000000}" name="Innovation Project Rank" dataDxfId="68">
      <calculatedColumnFormula>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calculatedColumnFormula>
    </tableColumn>
    <tableColumn id="5" xr3:uid="{00000000-0010-0000-0100-000005000000}" name="Robot Design Rank" dataDxfId="67">
      <calculatedColumnFormula>IF(TournamentData[[#This Row],[Team Number]]="","",IF(ISNA(INDEX(RobotDesignResults[Robot Design Rank],MATCH(TournamentData[[#This Row],[Team Number]],RobotDesignResults[Team Number],0))),NumberOfTeams+1,INDEX(RobotDesignResults[Robot Design Rank],MATCH(TournamentData[[#This Row],[Team Number]],RobotDesignResults[Team Number],0))))</calculatedColumnFormula>
    </tableColumn>
    <tableColumn id="14" xr3:uid="{00000000-0010-0000-0100-00000E000000}" name="Champion's Score" dataDxfId="66">
      <calculatedColumnFormula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calculatedColumnFormula>
    </tableColumn>
    <tableColumn id="11" xr3:uid="{00000000-0010-0000-0100-00000B000000}" name="Champion's Rank" dataDxfId="65">
      <calculatedColumnFormula>IF(TournamentData[[#This Row],[Team Number]]="","",IF(M3,RANK(M3,M$3:M$13,1)-COUNTIF(M$3:M$13,0),NumberOfTeams+1))</calculatedColumnFormula>
    </tableColumn>
    <tableColumn id="12" xr3:uid="{00000000-0010-0000-0100-00000C000000}" name="Award" dataDxfId="164"/>
    <tableColumn id="21" xr3:uid="{00000000-0010-0000-0100-000015000000}" name="Advance?" dataDxfId="163"/>
    <tableColumn id="28" xr3:uid="{00000000-0010-0000-0100-00001C000000}" name="Core Values Score" dataDxfId="162">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100-00001B000000}" name="Innovattion Project Score" dataDxfId="161">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100-00001A000000}" name="Robot Design Score" dataDxfId="160">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100-000019000000}" name="Overall Score - Geometric Mean" dataDxfId="159">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100-000018000000}" name="Overall Ranking - Geometric Mean" dataDxfId="158">
      <calculatedColumnFormula>IF(T3,_xlfn.RANK.EQ(T3,T$3:T$13,0),NumberOfTeams)</calculatedColumnFormula>
    </tableColumn>
    <tableColumn id="20" xr3:uid="{00000000-0010-0000-0100-000014000000}" name="Comments" dataDxfId="15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FE11D51-E3CA-4BAA-94D0-6E85B13B79ED}" name="RobotGameScores" displayName="RobotGameScores" ref="A1:H12" totalsRowShown="0" headerRowDxfId="152" dataDxfId="150" headerRowBorderDxfId="151">
  <autoFilter ref="A1:H12" xr:uid="{0FE11D51-E3CA-4BAA-94D0-6E85B13B79ED}"/>
  <tableColumns count="8">
    <tableColumn id="1" xr3:uid="{0AA15385-5D24-43CE-8D5B-2CABA1D3EB49}" name="Robot Game Rank" dataDxfId="149"/>
    <tableColumn id="2" xr3:uid="{E545252B-2FFD-4062-A469-6EDF596E4A1A}" name="Team Number" dataDxfId="148"/>
    <tableColumn id="3" xr3:uid="{0E79EE2E-71CF-43C7-B8A0-A15CD9D31001}" name="Robot Game 1 Score" dataDxfId="64"/>
    <tableColumn id="4" xr3:uid="{2BCD73C5-C4FD-403B-A635-2D295C2377E2}" name="Robot Game 2 Score" dataDxfId="63"/>
    <tableColumn id="5" xr3:uid="{5313935C-95D8-4002-9CC6-DDFCA676C197}" name="Robot Game 3 Score" dataDxfId="62"/>
    <tableColumn id="6" xr3:uid="{8CFFC7D3-0B23-4D53-8815-FF4FDA7D58D2}" name="Robot Game 4 Score" dataDxfId="147"/>
    <tableColumn id="7" xr3:uid="{692B9F21-E9B8-4AA5-A73A-314126F49101}" name="Robot Game 5 Score" dataDxfId="146"/>
    <tableColumn id="8" xr3:uid="{82F1B1A6-6CF1-40E6-A871-A0626F1DB2A9}" name="Highest Robot Game Score" dataDxfId="145">
      <calculatedColumnFormula>MAX(C2:G2)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InnovationProjectResults" displayName="InnovationProjectResults" ref="A1:O12" totalsRowShown="0" headerRowDxfId="138" dataDxfId="137">
  <autoFilter ref="A1:O12" xr:uid="{00000000-0009-0000-0100-000004000000}"/>
  <sortState xmlns:xlrd2="http://schemas.microsoft.com/office/spreadsheetml/2017/richdata2" ref="A2:O12">
    <sortCondition ref="A1:A12"/>
  </sortState>
  <tableColumns count="15">
    <tableColumn id="1" xr3:uid="{00000000-0010-0000-0300-000001000000}" name="Team Number" dataDxfId="61"/>
    <tableColumn id="2" xr3:uid="{00000000-0010-0000-0300-000002000000}" name="Team Name" dataDxfId="60">
      <calculatedColumnFormula>IF(ISNA(INDEX(OfficialTeamList[Team Name],MATCH(InnovationProjectResults[[#This Row],[Team Number]], OfficialTeamList[Team Number],0))),"",INDEX(OfficialTeamList[Team Name],MATCH(InnovationProjectResults[[#This Row],[Team Number]], OfficialTeamList[Team Number],0)))</calculatedColumnFormula>
    </tableColumn>
    <tableColumn id="3" xr3:uid="{00000000-0010-0000-0300-000003000000}" name="Identify - Define" dataDxfId="57">
      <calculatedColumnFormula>FLOOR(RAND()*5,1)</calculatedColumnFormula>
    </tableColumn>
    <tableColumn id="4" xr3:uid="{00000000-0010-0000-0300-000004000000}" name="Identify - Research (CV)" dataDxfId="56">
      <calculatedColumnFormula>FLOOR(RAND()*5,1)</calculatedColumnFormula>
    </tableColumn>
    <tableColumn id="5" xr3:uid="{00000000-0010-0000-0300-000005000000}" name="Design - Plan" dataDxfId="55">
      <calculatedColumnFormula>FLOOR(RAND()*5,1)</calculatedColumnFormula>
    </tableColumn>
    <tableColumn id="7" xr3:uid="{00000000-0010-0000-0300-000007000000}" name="Design - Teamwork (CV)" dataDxfId="54">
      <calculatedColumnFormula>FLOOR(RAND()*5,1)</calculatedColumnFormula>
    </tableColumn>
    <tableColumn id="10" xr3:uid="{00000000-0010-0000-0300-00000A000000}" name="Create - Innovation (CV)" dataDxfId="53">
      <calculatedColumnFormula>FLOOR(RAND()*5,1)</calculatedColumnFormula>
    </tableColumn>
    <tableColumn id="8" xr3:uid="{00000000-0010-0000-0300-000008000000}" name="Create - Model" dataDxfId="52">
      <calculatedColumnFormula>FLOOR(RAND()*5,1)</calculatedColumnFormula>
    </tableColumn>
    <tableColumn id="9" xr3:uid="{00000000-0010-0000-0300-000009000000}" name="Iterate - Sharing" dataDxfId="51">
      <calculatedColumnFormula>FLOOR(RAND()*5,1)</calculatedColumnFormula>
    </tableColumn>
    <tableColumn id="11" xr3:uid="{00000000-0010-0000-0300-00000B000000}" name="Iterate - Improvement" dataDxfId="50">
      <calculatedColumnFormula>FLOOR(RAND()*5,1)</calculatedColumnFormula>
    </tableColumn>
    <tableColumn id="12" xr3:uid="{00000000-0010-0000-0300-00000C000000}" name="Communicate - Impact (CV)" dataDxfId="49">
      <calculatedColumnFormula>FLOOR(RAND()*5,1)</calculatedColumnFormula>
    </tableColumn>
    <tableColumn id="13" xr3:uid="{00000000-0010-0000-0300-00000D000000}" name="Communicate - Fun (CV)" dataDxfId="48">
      <calculatedColumnFormula>FLOOR(RAND()*5,1)</calculatedColumnFormula>
    </tableColumn>
    <tableColumn id="19" xr3:uid="{00000000-0010-0000-0300-000013000000}" name="Innovation Project Score" dataDxfId="59">
      <calculatedColumnFormula>SUM(InnovationProjectResults[[#This Row],[Identify - Define]:[Communicate - Fun (CV)]])</calculatedColumnFormula>
    </tableColumn>
    <tableColumn id="20" xr3:uid="{00000000-0010-0000-0300-000014000000}" name="Innovation Project Rank" dataDxfId="58">
      <calculatedColumnFormula>IF(InnovationProjectResults[[#This Row],[Team Number]]&gt;0,MIN(_xlfn.RANK.EQ(InnovationProjectResults[[#This Row],[Innovation Project Score]],InnovationProjectResults[Innovation Project Score],0),NumberOfTeams),NumberOfTeams+1)</calculatedColumnFormula>
    </tableColumn>
    <tableColumn id="6" xr3:uid="{00000000-0010-0000-0300-000006000000}" name="GIA Score" dataDxfId="136">
      <calculatedColumnFormula>SUM(InnovationProjectResults[[#This Row],[Design - Teamwork (CV)]:[Iterate - Sharing]])</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RobotDesignResults" displayName="RobotDesignResults" ref="A1:N12" totalsRowShown="0" headerRowDxfId="43" dataDxfId="42">
  <autoFilter ref="A1:N12" xr:uid="{00000000-0009-0000-0100-000002000000}"/>
  <sortState xmlns:xlrd2="http://schemas.microsoft.com/office/spreadsheetml/2017/richdata2" ref="A2:N12">
    <sortCondition ref="A1:A12"/>
  </sortState>
  <tableColumns count="14">
    <tableColumn id="1" xr3:uid="{00000000-0010-0000-0400-000001000000}" name="Team Number" dataDxfId="47"/>
    <tableColumn id="2" xr3:uid="{00000000-0010-0000-0400-000002000000}" name="Team Name" dataDxfId="46">
      <calculatedColumnFormula>IF(ISNA(INDEX(OfficialTeamList[Team Name],MATCH(RobotDesignResults[[#This Row],[Team Number]], OfficialTeamList[Team Number],0))),"",INDEX(OfficialTeamList[Team Name],MATCH(RobotDesignResults[[#This Row],[Team Number]], OfficialTeamList[Team Number],0)))</calculatedColumnFormula>
    </tableColumn>
    <tableColumn id="3" xr3:uid="{00000000-0010-0000-0400-000003000000}" name="Identify - Strategy" dataDxfId="41">
      <calculatedColumnFormula>FLOOR(RAND()*5,1)</calculatedColumnFormula>
    </tableColumn>
    <tableColumn id="4" xr3:uid="{00000000-0010-0000-0400-000004000000}" name="Identify - Research (CV)" dataDxfId="40">
      <calculatedColumnFormula>FLOOR(RAND()*5,1)</calculatedColumnFormula>
    </tableColumn>
    <tableColumn id="5" xr3:uid="{00000000-0010-0000-0400-000005000000}" name="Design - Ideas (CV)" dataDxfId="39">
      <calculatedColumnFormula>FLOOR(RAND()*5,1)</calculatedColumnFormula>
    </tableColumn>
    <tableColumn id="7" xr3:uid="{00000000-0010-0000-0400-000007000000}" name="Design - Building/Coding" dataDxfId="38">
      <calculatedColumnFormula>FLOOR(RAND()*5,1)</calculatedColumnFormula>
    </tableColumn>
    <tableColumn id="6" xr3:uid="{00000000-0010-0000-0400-000006000000}" name="Create - Attachments" dataDxfId="37">
      <calculatedColumnFormula>FLOOR(RAND()*5,1)</calculatedColumnFormula>
    </tableColumn>
    <tableColumn id="8" xr3:uid="{00000000-0010-0000-0400-000008000000}" name="Create - Code/ Sensors" dataDxfId="36">
      <calculatedColumnFormula>FLOOR(RAND()*5,1)</calculatedColumnFormula>
    </tableColumn>
    <tableColumn id="9" xr3:uid="{00000000-0010-0000-0400-000009000000}" name="Iterate - Testing" dataDxfId="35">
      <calculatedColumnFormula>FLOOR(RAND()*5,1)</calculatedColumnFormula>
    </tableColumn>
    <tableColumn id="11" xr3:uid="{00000000-0010-0000-0400-00000B000000}" name="Iterate - Improvements (CV)" dataDxfId="34">
      <calculatedColumnFormula>FLOOR(RAND()*5,1)</calculatedColumnFormula>
    </tableColumn>
    <tableColumn id="12" xr3:uid="{00000000-0010-0000-0400-00000C000000}" name="Communicate - Impact (CV)" dataDxfId="33">
      <calculatedColumnFormula>FLOOR(RAND()*5,1)</calculatedColumnFormula>
    </tableColumn>
    <tableColumn id="13" xr3:uid="{00000000-0010-0000-0400-00000D000000}" name="Communicate - Fun (CV)" dataDxfId="32">
      <calculatedColumnFormula>FLOOR(RAND()*5,1)</calculatedColumnFormula>
    </tableColumn>
    <tableColumn id="19" xr3:uid="{00000000-0010-0000-0400-000013000000}" name="Robot Design Score" dataDxfId="45">
      <calculatedColumnFormula>SUM(RobotDesignResults[[#This Row],[Identify - Strategy]:[Communicate - Fun (CV)]])</calculatedColumnFormula>
    </tableColumn>
    <tableColumn id="20" xr3:uid="{00000000-0010-0000-0400-000014000000}" name="Robot Design Rank" dataDxfId="44">
      <calculatedColumnFormula>IF(RobotDesignResults[[#This Row],[Team Number]]&gt;0,MIN(_xlfn.RANK.EQ(RobotDesignResults[[#This Row],[Robot Design Score]],RobotDesignResults[Robot Design Score],0),NumberOfTeams),NumberOfTeams+1)</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CoreValuesResults" displayName="CoreValuesResults" ref="A1:Y12" totalsRowShown="0" headerRowDxfId="19" dataDxfId="18">
  <autoFilter ref="A1:Y12" xr:uid="{00000000-0009-0000-0100-000003000000}"/>
  <sortState xmlns:xlrd2="http://schemas.microsoft.com/office/spreadsheetml/2017/richdata2" ref="A2:Q12">
    <sortCondition ref="A1:A12"/>
  </sortState>
  <tableColumns count="25">
    <tableColumn id="1" xr3:uid="{00000000-0010-0000-0200-000001000000}" name="Team Number" dataDxfId="31"/>
    <tableColumn id="2" xr3:uid="{00000000-0010-0000-0200-000002000000}" name="Team Name" dataDxfId="30">
      <calculatedColumnFormula>IF(ISNA(INDEX(OfficialTeamList[Team Name],MATCH(CoreValuesResults[[#This Row],[Team Number]], OfficialTeamList[Team Number],0))),"",INDEX(OfficialTeamList[Team Name],MATCH(CoreValuesResults[[#This Row],[Team Number]], OfficialTeamList[Team Number],0)))</calculatedColumnFormula>
    </tableColumn>
    <tableColumn id="3" xr3:uid="{00000000-0010-0000-0200-000003000000}" name="Discovery (IP)" dataDxfId="17">
      <calculatedColumnFormula>'Innovation Project Input'!D2</calculatedColumnFormula>
    </tableColumn>
    <tableColumn id="4" xr3:uid="{00000000-0010-0000-0200-000004000000}" name="Teamwork (IP)" dataDxfId="16">
      <calculatedColumnFormula>InnovationProjectResults[[#This Row],[Design - Teamwork (CV)]]</calculatedColumnFormula>
    </tableColumn>
    <tableColumn id="5" xr3:uid="{00000000-0010-0000-0200-000005000000}" name="Innovation (IP)" dataDxfId="15">
      <calculatedColumnFormula>InnovationProjectResults[[#This Row],[Create - Innovation (CV)]]</calculatedColumnFormula>
    </tableColumn>
    <tableColumn id="11" xr3:uid="{00000000-0010-0000-0200-00000B000000}" name="Impact (IP)" dataDxfId="14">
      <calculatedColumnFormula>InnovationProjectResults[[#This Row],[Communicate - Impact (CV)]]</calculatedColumnFormula>
    </tableColumn>
    <tableColumn id="12" xr3:uid="{00000000-0010-0000-0200-00000C000000}" name="Fun (IP)" dataDxfId="13">
      <calculatedColumnFormula>InnovationProjectResults[[#This Row],[Communicate - Fun (CV)]]</calculatedColumnFormula>
    </tableColumn>
    <tableColumn id="22" xr3:uid="{189641EA-F0E5-4292-884D-C0850CA86A88}" name="Discovery (RD)" dataDxfId="12">
      <calculatedColumnFormula>'Robot Design Input'!D2</calculatedColumnFormula>
    </tableColumn>
    <tableColumn id="25" xr3:uid="{1AD656BF-A2B2-47A6-A517-75C5C5278D33}" name="Inclusion (RD)" dataDxfId="11">
      <calculatedColumnFormula>'Robot Design Input'!E2</calculatedColumnFormula>
    </tableColumn>
    <tableColumn id="24" xr3:uid="{779BE708-26EE-4DB8-9D09-41F980D9D3AD}" name="Innovation (RD)" dataDxfId="10">
      <calculatedColumnFormula>RobotDesignResults[[#This Row],[Iterate - Improvements (CV)]]</calculatedColumnFormula>
    </tableColumn>
    <tableColumn id="23" xr3:uid="{E81DAB0B-80D6-4DB1-A7A5-CF451511994C}" name="Impact (RD)" dataDxfId="9">
      <calculatedColumnFormula>RobotDesignResults[[#This Row],[Communicate - Impact (CV)]]</calculatedColumnFormula>
    </tableColumn>
    <tableColumn id="13" xr3:uid="{00000000-0010-0000-0200-00000D000000}" name="Fun (RD)" dataDxfId="8">
      <calculatedColumnFormula>RobotDesignResults[[#This Row],[Communicate - Fun (CV)]]</calculatedColumnFormula>
    </tableColumn>
    <tableColumn id="7" xr3:uid="{00000000-0010-0000-0200-000007000000}" name="Gracious Professionalism 1" dataDxfId="7">
      <calculatedColumnFormula>IF('Robot Game Scores'!#REF!="","",IF(ISNA(INDEX('Robot Game Scores'!#REF!,MATCH(CoreValuesResults[[#This Row],[Team Number]], 'Robot Game Scores'!$B:$B,0))),0,INDEX('Robot Game Scores'!#REF!,MATCH(CoreValuesResults[[#This Row],[Team Number]], 'Robot Game Scores'!$B:$B,0))))</calculatedColumnFormula>
    </tableColumn>
    <tableColumn id="8" xr3:uid="{00000000-0010-0000-0200-000008000000}" name="Gracious Professionalism 2" dataDxfId="6">
      <calculatedColumnFormula>IF('Robot Game Scores'!#REF!="","",IF(ISNA(INDEX('Robot Game Scores'!#REF!,MATCH(CoreValuesResults[[#This Row],[Team Number]], 'Robot Game Scores'!$B:$B,0))),0,INDEX('Robot Game Scores'!#REF!,MATCH(CoreValuesResults[[#This Row],[Team Number]], 'Robot Game Scores'!$B:$B,0))))</calculatedColumnFormula>
    </tableColumn>
    <tableColumn id="6" xr3:uid="{00000000-0010-0000-0200-000006000000}" name="Gracious Professionalism 3" dataDxfId="5">
      <calculatedColumnFormula>IF('Robot Game Scores'!#REF!="","",IF(ISNA(INDEX('Robot Game Scores'!#REF!,MATCH(CoreValuesResults[[#This Row],[Team Number]], 'Robot Game Scores'!$B:$B,0))),0,INDEX('Robot Game Scores'!#REF!,MATCH(CoreValuesResults[[#This Row],[Team Number]], 'Robot Game Scores'!$B:$B,0))))</calculatedColumnFormula>
    </tableColumn>
    <tableColumn id="9" xr3:uid="{00000000-0010-0000-0200-000009000000}" name="Gracious Professionalism 4" dataDxfId="29">
      <calculatedColumnFormula>IF('Robot Game Scores'!#REF!="","",IF(ISNA(INDEX('Robot Game Scores'!#REF!,MATCH(CoreValuesResults[[#This Row],[Team Number]], 'Robot Game Scores'!$B:$B,0))),0,INDEX('Robot Game Scores'!#REF!,MATCH(CoreValuesResults[[#This Row],[Team Number]], 'Robot Game Scores'!$B:$B,0))))</calculatedColumnFormula>
    </tableColumn>
    <tableColumn id="10" xr3:uid="{00000000-0010-0000-0200-00000A000000}" name="Gracious Professionalism 5" dataDxfId="28">
      <calculatedColumnFormula>IF('Robot Game Scores'!#REF!="","",IF(ISNA(INDEX('Robot Game Scores'!#REF!,MATCH(CoreValuesResults[[#This Row],[Team Number]], 'Robot Game Scores'!$B:$B,0))),0,INDEX('Robot Game Scores'!#REF!,MATCH(CoreValuesResults[[#This Row],[Team Number]], 'Robot Game Scores'!$B:$B,0))))</calculatedColumnFormula>
    </tableColumn>
    <tableColumn id="21" xr3:uid="{00000000-0010-0000-0200-000015000000}" name="Gracious Professionalism Empty Count" dataDxfId="27">
      <calculatedColumnFormula>IF(CoreValuesResults[[#This Row],[Gracious Professionalism 1]]="","",COUNTIF(CoreValuesResults[[#This Row],[Gracious Professionalism 1]:[Gracious Professionalism 5]],""))</calculatedColumnFormula>
    </tableColumn>
    <tableColumn id="14" xr3:uid="{00000000-0010-0000-0200-00000E000000}" name="Gracious Professionalism Total" dataDxfId="26">
      <calculatedColumnFormula>IF(CoreValuesResults[[#This Row],[Gracious Professionalism 1]]="","",SUM(CoreValuesResults[[#This Row],[Gracious Professionalism 1]:[Gracious Professionalism 5]]))</calculatedColumnFormula>
    </tableColumn>
    <tableColumn id="18" xr3:uid="{00000000-0010-0000-0200-000012000000}" name="Gracious Professionalism Score" dataDxfId="25">
      <calculatedColumnFormula>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calculatedColumnFormula>
    </tableColumn>
    <tableColumn id="19" xr3:uid="{00000000-0010-0000-0200-000013000000}" name="Core Values Score" dataDxfId="24">
      <calculatedColumnFormula>SUM(CoreValuesResults[[#This Row],[Discovery (IP)]:[Fun (RD)]],CoreValuesResults[[#This Row],[Gracious Professionalism Score]])</calculatedColumnFormula>
    </tableColumn>
    <tableColumn id="20" xr3:uid="{00000000-0010-0000-0200-000014000000}" name="Core Values Rank" dataDxfId="23">
      <calculatedColumnFormula>IF(CoreValuesResults[[#This Row],[Team Number]]&gt;0,MIN(_xlfn.RANK.EQ(CoreValuesResults[[#This Row],[Core Values Score]],CoreValuesResults[Core Values Score],0),NumberOfTeams),NumberOfTeams+1)</calculatedColumnFormula>
    </tableColumn>
    <tableColumn id="15" xr3:uid="{00000000-0010-0000-0200-00000F000000}" name="Breakthrough Selection" dataDxfId="22"/>
    <tableColumn id="16" xr3:uid="{00000000-0010-0000-0200-000010000000}" name="Rising All-Star Selection" dataDxfId="21"/>
    <tableColumn id="17" xr3:uid="{00000000-0010-0000-0200-000011000000}" name="Motivate Selection" dataDxfId="2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ChampionsDelib" displayName="ChampionsDelib" ref="B3:E18" totalsRowShown="0" headerRowDxfId="126" dataDxfId="125">
  <autoFilter ref="B3:E18" xr:uid="{00000000-0009-0000-0100-000006000000}"/>
  <tableColumns count="4">
    <tableColumn id="1" xr3:uid="{00000000-0010-0000-0500-000001000000}" name="Team Number" dataDxfId="124"/>
    <tableColumn id="2" xr3:uid="{00000000-0010-0000-0500-000002000000}" name="Team Name" dataDxfId="123">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500-000003000000}" name="Champion's Rank" dataDxfId="122">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500-000004000000}" name="Deliberated Rank" dataDxfId="121"/>
  </tableColumns>
  <tableStyleInfo name="TableStyleMedium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Delib" displayName="RobotGameDelib" ref="G3:J18" totalsRowShown="0" headerRowDxfId="120" dataDxfId="119">
  <autoFilter ref="G3:J18" xr:uid="{00000000-0009-0000-0100-000007000000}"/>
  <tableColumns count="4">
    <tableColumn id="1" xr3:uid="{00000000-0010-0000-0600-000001000000}" name="Team Number" dataDxfId="118"/>
    <tableColumn id="2" xr3:uid="{00000000-0010-0000-0600-000002000000}" name="Team Name" dataDxfId="117">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600-000003000000}" name="Champion's Rank" dataDxfId="116">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600-000004000000}" name="Deliberated Rank" dataDxfId="115"/>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oreValuesDelib" displayName="CoreValuesDelib" ref="B21:E36" totalsRowShown="0" headerRowDxfId="114" dataDxfId="113">
  <autoFilter ref="B21:E36" xr:uid="{00000000-0009-0000-0100-000008000000}"/>
  <tableColumns count="4">
    <tableColumn id="1" xr3:uid="{00000000-0010-0000-0700-000001000000}" name="Team Number" dataDxfId="112"/>
    <tableColumn id="2" xr3:uid="{00000000-0010-0000-0700-000002000000}" name="Team Name" dataDxfId="111">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700-000003000000}" name="Core Values Rank" dataDxfId="110">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700-000004000000}" name="Deliberated Rank" dataDxfId="109"/>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Delib" displayName="RobotDesignDelib" ref="G21:J36" totalsRowShown="0" headerRowDxfId="108" dataDxfId="107">
  <autoFilter ref="G21:J36" xr:uid="{00000000-0009-0000-0100-000009000000}"/>
  <tableColumns count="4">
    <tableColumn id="1" xr3:uid="{00000000-0010-0000-0800-000001000000}" name="Team Number" dataDxfId="106"/>
    <tableColumn id="2" xr3:uid="{00000000-0010-0000-0800-000002000000}" name="Team Name" dataDxfId="105">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800-000003000000}" name="Robot Design Rank" dataDxfId="104">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800-000004000000}" name="Deliberated Rank" dataDxfId="103"/>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InnovationProjectDelib" displayName="InnovationProjectDelib" ref="L21:O36" totalsRowShown="0" headerRowDxfId="102" dataDxfId="101">
  <autoFilter ref="L21:O36" xr:uid="{00000000-0009-0000-0100-00000B000000}"/>
  <tableColumns count="4">
    <tableColumn id="1" xr3:uid="{00000000-0010-0000-0900-000001000000}" name="Team Number" dataDxfId="100"/>
    <tableColumn id="2" xr3:uid="{00000000-0010-0000-0900-000002000000}" name="Team Name" dataDxfId="99">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900-000003000000}" name="Innovation Project Rank" dataDxfId="98">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900-000004000000}" name="Deliberated Rank" dataDxfId="97"/>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BreakthroughDelib" displayName="BreakthroughDelib" ref="B39:E54" totalsRowShown="0" headerRowDxfId="96" dataDxfId="95">
  <autoFilter ref="B39:E54" xr:uid="{00000000-0009-0000-0100-00000C000000}"/>
  <tableColumns count="4">
    <tableColumn id="1" xr3:uid="{00000000-0010-0000-0A00-000001000000}" name="Team Number" dataDxfId="94"/>
    <tableColumn id="2" xr3:uid="{00000000-0010-0000-0A00-000002000000}" name="Team Name" dataDxfId="93">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A00-000003000000}" name="Champion's Rank" dataDxfId="92">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A00-000004000000}" name="Deliberated Rank" dataDxfId="91"/>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RookiAllStarDelib" displayName="RookiAllStarDelib" ref="G39:J54" totalsRowShown="0" headerRowDxfId="90" dataDxfId="89">
  <autoFilter ref="G39:J54" xr:uid="{00000000-0009-0000-0100-00000D000000}"/>
  <tableColumns count="4">
    <tableColumn id="1" xr3:uid="{00000000-0010-0000-0B00-000001000000}" name="Team Number" dataDxfId="88"/>
    <tableColumn id="2" xr3:uid="{00000000-0010-0000-0B00-000002000000}" name="Team Name" dataDxfId="87">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B00-000003000000}" name="Champion's Rank" dataDxfId="86">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B00-000004000000}" name="Deliberated Rank" dataDxfId="85"/>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MotivateDelib" displayName="MotivateDelib" ref="L39:O54" totalsRowShown="0" headerRowDxfId="84" dataDxfId="83">
  <autoFilter ref="L39:O54" xr:uid="{00000000-0009-0000-0100-00000E000000}"/>
  <tableColumns count="4">
    <tableColumn id="1" xr3:uid="{00000000-0010-0000-0C00-000001000000}" name="Team Number" dataDxfId="82"/>
    <tableColumn id="2" xr3:uid="{00000000-0010-0000-0C00-000002000000}" name="Team Name" dataDxfId="81">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C00-000003000000}" name="Champion's Rank" dataDxfId="80">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C00-000004000000}" name="Deliberated Rank" dataDxfId="79"/>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45" customWidth="1"/>
    <col min="2" max="29" width="9.140625" style="46"/>
    <col min="30" max="30" width="9.140625" style="46" customWidth="1"/>
    <col min="31" max="16384" width="9.140625" style="46"/>
  </cols>
  <sheetData>
    <row r="1" spans="1:44" ht="45.6" customHeight="1" x14ac:dyDescent="0.25">
      <c r="A1" s="103"/>
      <c r="B1" s="103"/>
      <c r="C1" s="103"/>
      <c r="D1" s="103"/>
      <c r="E1" s="103"/>
      <c r="F1" s="103"/>
      <c r="G1" s="103"/>
      <c r="H1" s="103"/>
      <c r="I1" s="103"/>
      <c r="J1" s="103"/>
      <c r="K1" s="103"/>
      <c r="W1" s="105" t="s">
        <v>99</v>
      </c>
      <c r="X1" s="105"/>
      <c r="Y1" s="105"/>
      <c r="Z1" s="105"/>
      <c r="AA1" s="105"/>
      <c r="AB1" s="105"/>
      <c r="AC1" s="105"/>
      <c r="AD1" s="105"/>
      <c r="AE1" s="105"/>
      <c r="AF1" s="105"/>
      <c r="AG1" s="105"/>
      <c r="AH1" s="105"/>
      <c r="AI1" s="105"/>
      <c r="AJ1" s="105"/>
      <c r="AK1" s="105"/>
      <c r="AL1" s="105"/>
      <c r="AM1" s="105"/>
      <c r="AN1" s="105"/>
    </row>
    <row r="2" spans="1:44" ht="45.6" customHeight="1" x14ac:dyDescent="0.25">
      <c r="A2" s="103"/>
      <c r="B2" s="103"/>
      <c r="C2" s="103"/>
      <c r="D2" s="103"/>
      <c r="E2" s="103"/>
      <c r="F2" s="103"/>
      <c r="G2" s="103"/>
      <c r="H2" s="103"/>
      <c r="I2" s="103"/>
      <c r="J2" s="103"/>
      <c r="K2" s="103"/>
      <c r="W2" s="105"/>
      <c r="X2" s="105"/>
      <c r="Y2" s="105"/>
      <c r="Z2" s="105"/>
      <c r="AA2" s="105"/>
      <c r="AB2" s="105"/>
      <c r="AC2" s="105"/>
      <c r="AD2" s="105"/>
      <c r="AE2" s="105"/>
      <c r="AF2" s="105"/>
      <c r="AG2" s="105"/>
      <c r="AH2" s="105"/>
      <c r="AI2" s="105"/>
      <c r="AJ2" s="105"/>
      <c r="AK2" s="105"/>
      <c r="AL2" s="105"/>
      <c r="AM2" s="105"/>
      <c r="AN2" s="105"/>
    </row>
    <row r="3" spans="1:44" ht="45.6" customHeight="1" x14ac:dyDescent="0.25">
      <c r="W3" s="105"/>
      <c r="X3" s="105"/>
      <c r="Y3" s="105"/>
      <c r="Z3" s="105"/>
      <c r="AA3" s="105"/>
      <c r="AB3" s="105"/>
      <c r="AC3" s="105"/>
      <c r="AD3" s="105"/>
      <c r="AE3" s="105"/>
      <c r="AF3" s="105"/>
      <c r="AG3" s="105"/>
      <c r="AH3" s="105"/>
      <c r="AI3" s="105"/>
      <c r="AJ3" s="105"/>
      <c r="AK3" s="105"/>
      <c r="AL3" s="105"/>
      <c r="AM3" s="105"/>
      <c r="AN3" s="105"/>
    </row>
    <row r="4" spans="1:44" ht="47.1" customHeight="1" x14ac:dyDescent="0.25">
      <c r="D4" s="50" t="s">
        <v>0</v>
      </c>
      <c r="E4" s="102" t="s">
        <v>96</v>
      </c>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row>
    <row r="5" spans="1:44" ht="48" customHeight="1" x14ac:dyDescent="0.25">
      <c r="D5" s="49"/>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row>
    <row r="6" spans="1:44" ht="30" customHeight="1" x14ac:dyDescent="0.25">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row>
    <row r="7" spans="1:44" ht="39.950000000000003" customHeight="1" x14ac:dyDescent="0.25">
      <c r="D7" s="50" t="s">
        <v>1</v>
      </c>
      <c r="E7" s="102" t="s">
        <v>100</v>
      </c>
      <c r="F7" s="102"/>
      <c r="G7" s="102"/>
      <c r="H7" s="102"/>
      <c r="I7" s="102"/>
      <c r="J7" s="102"/>
      <c r="K7" s="102"/>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row>
    <row r="8" spans="1:44" ht="39.950000000000003" customHeight="1" x14ac:dyDescent="0.25">
      <c r="D8" s="47"/>
      <c r="E8" s="102"/>
      <c r="F8" s="102"/>
      <c r="G8" s="102"/>
      <c r="H8" s="102"/>
      <c r="I8" s="102"/>
      <c r="J8" s="102"/>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row>
    <row r="9" spans="1:44" ht="61.15" customHeight="1" x14ac:dyDescent="0.25">
      <c r="D9" s="47"/>
      <c r="E9" s="102"/>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row>
    <row r="10" spans="1:44" s="68" customFormat="1" ht="61.9" customHeight="1" x14ac:dyDescent="0.25">
      <c r="A10" s="67"/>
      <c r="D10" s="69"/>
      <c r="F10" s="104" t="s">
        <v>101</v>
      </c>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4"/>
      <c r="AI10" s="104"/>
      <c r="AJ10" s="104"/>
      <c r="AK10" s="104"/>
      <c r="AL10" s="104"/>
      <c r="AM10" s="104"/>
      <c r="AN10" s="104"/>
      <c r="AO10" s="104"/>
      <c r="AP10" s="104"/>
      <c r="AQ10" s="104"/>
    </row>
    <row r="11" spans="1:44" s="68" customFormat="1" ht="20.45" customHeight="1" x14ac:dyDescent="0.25">
      <c r="A11" s="67"/>
      <c r="D11" s="69"/>
      <c r="F11" s="70"/>
    </row>
    <row r="12" spans="1:44" ht="46.35" customHeight="1" x14ac:dyDescent="0.25">
      <c r="D12" s="50" t="s">
        <v>2</v>
      </c>
      <c r="E12" s="102" t="s">
        <v>102</v>
      </c>
      <c r="F12" s="102"/>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row>
    <row r="13" spans="1:44" ht="52.9" customHeight="1" x14ac:dyDescent="0.25">
      <c r="D13" s="47"/>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row>
    <row r="14" spans="1:44" ht="60" customHeight="1" x14ac:dyDescent="0.25">
      <c r="D14" s="47"/>
      <c r="F14" s="104" t="s">
        <v>90</v>
      </c>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row>
    <row r="15" spans="1:44" ht="1.9" customHeight="1" x14ac:dyDescent="0.25">
      <c r="D15" s="47"/>
      <c r="F15" s="104"/>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row>
    <row r="16" spans="1:44" ht="20.45" customHeight="1" x14ac:dyDescent="0.25">
      <c r="D16" s="47"/>
      <c r="F16" s="80"/>
    </row>
    <row r="17" spans="2:45" ht="47.45" customHeight="1" x14ac:dyDescent="0.25">
      <c r="D17" s="50" t="s">
        <v>3</v>
      </c>
      <c r="E17" s="101" t="s">
        <v>78</v>
      </c>
      <c r="F17" s="101"/>
      <c r="G17" s="101"/>
      <c r="H17" s="101"/>
      <c r="I17" s="101"/>
      <c r="J17" s="101"/>
      <c r="K17" s="101"/>
      <c r="L17" s="101"/>
      <c r="M17" s="101"/>
      <c r="N17" s="101"/>
      <c r="O17" s="101"/>
      <c r="P17" s="101"/>
      <c r="Q17" s="101"/>
      <c r="R17" s="101"/>
      <c r="S17" s="101"/>
      <c r="T17" s="101"/>
      <c r="U17" s="101"/>
      <c r="V17" s="101"/>
      <c r="W17" s="101"/>
      <c r="X17" s="101"/>
      <c r="Y17" s="101"/>
      <c r="Z17" s="101"/>
      <c r="AA17" s="101"/>
      <c r="AB17" s="101"/>
      <c r="AC17" s="101"/>
      <c r="AD17" s="101"/>
      <c r="AE17" s="101"/>
      <c r="AF17" s="101"/>
      <c r="AG17" s="101"/>
      <c r="AH17" s="101"/>
      <c r="AI17" s="101"/>
      <c r="AJ17" s="101"/>
      <c r="AK17" s="101"/>
      <c r="AL17" s="101"/>
      <c r="AM17" s="101"/>
      <c r="AN17" s="101"/>
      <c r="AO17" s="101"/>
      <c r="AP17" s="101"/>
      <c r="AQ17" s="101"/>
    </row>
    <row r="18" spans="2:45" ht="30" customHeight="1" x14ac:dyDescent="0.25">
      <c r="D18" s="47"/>
    </row>
    <row r="19" spans="2:45" ht="39.950000000000003" customHeight="1" x14ac:dyDescent="0.25">
      <c r="D19" s="50" t="s">
        <v>4</v>
      </c>
      <c r="E19" s="101" t="s">
        <v>97</v>
      </c>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01"/>
      <c r="AK19" s="101"/>
      <c r="AL19" s="101"/>
      <c r="AM19" s="101"/>
      <c r="AN19" s="101"/>
      <c r="AO19" s="101"/>
      <c r="AP19" s="101"/>
      <c r="AQ19" s="101"/>
      <c r="AR19" s="101"/>
      <c r="AS19" s="101"/>
    </row>
    <row r="20" spans="2:45" ht="30" customHeight="1" thickBot="1" x14ac:dyDescent="0.3">
      <c r="D20" s="50"/>
      <c r="E20" s="47"/>
    </row>
    <row r="21" spans="2:45" ht="39.950000000000003" customHeight="1" x14ac:dyDescent="0.25">
      <c r="B21" s="48" t="s">
        <v>79</v>
      </c>
      <c r="F21" s="92" t="s">
        <v>5</v>
      </c>
      <c r="G21" s="93"/>
      <c r="H21" s="93"/>
      <c r="I21" s="93"/>
      <c r="J21" s="93"/>
      <c r="K21" s="93"/>
      <c r="L21" s="93"/>
      <c r="M21" s="94"/>
      <c r="N21" s="72"/>
      <c r="O21" s="92" t="s">
        <v>91</v>
      </c>
      <c r="P21" s="93"/>
      <c r="Q21" s="93"/>
      <c r="R21" s="93"/>
      <c r="S21" s="93"/>
      <c r="T21" s="93"/>
      <c r="U21" s="93"/>
      <c r="V21" s="94"/>
      <c r="W21" s="72"/>
      <c r="X21" s="92" t="s">
        <v>98</v>
      </c>
      <c r="Y21" s="93"/>
      <c r="Z21" s="93"/>
      <c r="AA21" s="93"/>
      <c r="AB21" s="93"/>
      <c r="AC21" s="94"/>
      <c r="AD21" s="72"/>
      <c r="AE21" s="92" t="s">
        <v>103</v>
      </c>
      <c r="AF21" s="93"/>
      <c r="AG21" s="93"/>
      <c r="AH21" s="93"/>
      <c r="AI21" s="93"/>
      <c r="AJ21" s="93"/>
      <c r="AK21" s="93"/>
      <c r="AL21" s="93"/>
      <c r="AM21" s="93"/>
      <c r="AN21" s="93"/>
      <c r="AO21" s="93"/>
      <c r="AP21" s="93"/>
      <c r="AQ21" s="93"/>
      <c r="AR21" s="94"/>
    </row>
    <row r="22" spans="2:45" ht="49.35" customHeight="1" thickBot="1" x14ac:dyDescent="0.3">
      <c r="D22" s="47"/>
      <c r="F22" s="95"/>
      <c r="G22" s="96"/>
      <c r="H22" s="96"/>
      <c r="I22" s="96"/>
      <c r="J22" s="96"/>
      <c r="K22" s="96"/>
      <c r="L22" s="96"/>
      <c r="M22" s="97"/>
      <c r="N22" s="72"/>
      <c r="O22" s="95"/>
      <c r="P22" s="96"/>
      <c r="Q22" s="96"/>
      <c r="R22" s="96"/>
      <c r="S22" s="96"/>
      <c r="T22" s="96"/>
      <c r="U22" s="96"/>
      <c r="V22" s="97"/>
      <c r="W22" s="72"/>
      <c r="X22" s="95"/>
      <c r="Y22" s="96"/>
      <c r="Z22" s="96"/>
      <c r="AA22" s="96"/>
      <c r="AB22" s="96"/>
      <c r="AC22" s="97"/>
      <c r="AD22" s="72"/>
      <c r="AE22" s="98"/>
      <c r="AF22" s="99"/>
      <c r="AG22" s="99"/>
      <c r="AH22" s="99"/>
      <c r="AI22" s="99"/>
      <c r="AJ22" s="99"/>
      <c r="AK22" s="99"/>
      <c r="AL22" s="99"/>
      <c r="AM22" s="99"/>
      <c r="AN22" s="99"/>
      <c r="AO22" s="99"/>
      <c r="AP22" s="99"/>
      <c r="AQ22" s="99"/>
      <c r="AR22" s="100"/>
    </row>
    <row r="23" spans="2:45" ht="43.35" customHeight="1" x14ac:dyDescent="0.25">
      <c r="F23" s="95" t="s">
        <v>6</v>
      </c>
      <c r="G23" s="96"/>
      <c r="H23" s="96"/>
      <c r="I23" s="96"/>
      <c r="J23" s="96"/>
      <c r="K23" s="96"/>
      <c r="L23" s="96"/>
      <c r="M23" s="97"/>
      <c r="N23" s="72"/>
      <c r="O23" s="95"/>
      <c r="P23" s="96"/>
      <c r="Q23" s="96"/>
      <c r="R23" s="96"/>
      <c r="S23" s="96"/>
      <c r="T23" s="96"/>
      <c r="U23" s="96"/>
      <c r="V23" s="97"/>
      <c r="W23" s="72"/>
      <c r="X23" s="95"/>
      <c r="Y23" s="96"/>
      <c r="Z23" s="96"/>
      <c r="AA23" s="96"/>
      <c r="AB23" s="96"/>
      <c r="AC23" s="97"/>
      <c r="AD23" s="72"/>
      <c r="AE23" s="95" t="s">
        <v>92</v>
      </c>
      <c r="AF23" s="96"/>
      <c r="AG23" s="96"/>
      <c r="AH23" s="96"/>
      <c r="AI23" s="96"/>
      <c r="AJ23" s="96"/>
      <c r="AK23" s="96"/>
      <c r="AL23" s="96"/>
      <c r="AM23" s="96"/>
      <c r="AN23" s="96"/>
      <c r="AO23" s="96"/>
      <c r="AP23" s="96"/>
      <c r="AQ23" s="96"/>
      <c r="AR23" s="97"/>
    </row>
    <row r="24" spans="2:45" ht="39.6" customHeight="1" thickBot="1" x14ac:dyDescent="0.3">
      <c r="F24" s="98"/>
      <c r="G24" s="99"/>
      <c r="H24" s="99"/>
      <c r="I24" s="99"/>
      <c r="J24" s="99"/>
      <c r="K24" s="99"/>
      <c r="L24" s="99"/>
      <c r="M24" s="100"/>
      <c r="N24" s="72"/>
      <c r="O24" s="98"/>
      <c r="P24" s="99"/>
      <c r="Q24" s="99"/>
      <c r="R24" s="99"/>
      <c r="S24" s="99"/>
      <c r="T24" s="99"/>
      <c r="U24" s="99"/>
      <c r="V24" s="100"/>
      <c r="W24" s="72"/>
      <c r="X24" s="98"/>
      <c r="Y24" s="99"/>
      <c r="Z24" s="99"/>
      <c r="AA24" s="99"/>
      <c r="AB24" s="99"/>
      <c r="AC24" s="100"/>
      <c r="AD24" s="72"/>
      <c r="AE24" s="98"/>
      <c r="AF24" s="99"/>
      <c r="AG24" s="99"/>
      <c r="AH24" s="99"/>
      <c r="AI24" s="99"/>
      <c r="AJ24" s="99"/>
      <c r="AK24" s="99"/>
      <c r="AL24" s="99"/>
      <c r="AM24" s="99"/>
      <c r="AN24" s="99"/>
      <c r="AO24" s="99"/>
      <c r="AP24" s="99"/>
      <c r="AQ24" s="99"/>
      <c r="AR24" s="100"/>
    </row>
  </sheetData>
  <mergeCells count="15">
    <mergeCell ref="E19:AS19"/>
    <mergeCell ref="E4:AQ5"/>
    <mergeCell ref="A1:K2"/>
    <mergeCell ref="E7:AQ9"/>
    <mergeCell ref="E12:AQ13"/>
    <mergeCell ref="E17:AQ17"/>
    <mergeCell ref="F10:AQ10"/>
    <mergeCell ref="F14:AR15"/>
    <mergeCell ref="W1:AN3"/>
    <mergeCell ref="F21:M22"/>
    <mergeCell ref="F23:M24"/>
    <mergeCell ref="X21:AC24"/>
    <mergeCell ref="AE21:AR22"/>
    <mergeCell ref="AE23:AR24"/>
    <mergeCell ref="O21:V24"/>
  </mergeCells>
  <pageMargins left="0.7" right="0.7" top="0.75" bottom="0.75" header="0.3" footer="0.3"/>
  <pageSetup orientation="landscape" horizontalDpi="1200" verticalDpi="1200" r:id="rId1"/>
  <ignoredErrors>
    <ignoredError sqref="D4 D17:D19 D12:D13 D7:D9" numberStoredAsText="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K13"/>
  <sheetViews>
    <sheetView zoomScaleNormal="100" workbookViewId="0">
      <selection activeCell="D7" sqref="D7"/>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6384" width="9.140625" style="6"/>
  </cols>
  <sheetData>
    <row r="1" spans="1:11" s="1" customFormat="1" ht="39.950000000000003" customHeight="1" x14ac:dyDescent="0.25">
      <c r="A1" s="7" t="s">
        <v>7</v>
      </c>
      <c r="B1" s="73"/>
      <c r="C1" s="106" t="s">
        <v>8</v>
      </c>
      <c r="D1" s="106"/>
      <c r="E1" s="106"/>
      <c r="F1" s="106"/>
      <c r="G1" s="73"/>
      <c r="H1" s="73"/>
      <c r="I1" s="73"/>
      <c r="J1" s="4"/>
      <c r="K1" s="4"/>
    </row>
    <row r="2" spans="1:11" s="2" customFormat="1" ht="39.950000000000003" customHeight="1" thickBot="1" x14ac:dyDescent="0.3">
      <c r="A2" s="7" t="s">
        <v>77</v>
      </c>
      <c r="B2" s="5"/>
      <c r="C2" s="8" t="s">
        <v>9</v>
      </c>
      <c r="D2" s="8" t="s">
        <v>10</v>
      </c>
      <c r="E2" s="7" t="s">
        <v>11</v>
      </c>
      <c r="F2" s="7" t="s">
        <v>12</v>
      </c>
      <c r="J2" s="4"/>
      <c r="K2" s="4"/>
    </row>
    <row r="3" spans="1:11" s="2" customFormat="1" ht="39.950000000000003" customHeight="1" x14ac:dyDescent="0.25">
      <c r="A3" s="73"/>
      <c r="B3" s="3"/>
      <c r="C3" s="86">
        <v>12863</v>
      </c>
      <c r="D3" s="87" t="s">
        <v>125</v>
      </c>
      <c r="E3" s="73"/>
      <c r="F3" s="73"/>
      <c r="H3" s="58"/>
      <c r="I3" s="59"/>
      <c r="J3" s="60"/>
      <c r="K3" s="4"/>
    </row>
    <row r="4" spans="1:11" ht="39.950000000000003" customHeight="1" x14ac:dyDescent="0.25">
      <c r="A4" s="7" t="s">
        <v>13</v>
      </c>
      <c r="C4" s="88">
        <v>35256</v>
      </c>
      <c r="D4" s="89" t="s">
        <v>126</v>
      </c>
      <c r="E4" s="73"/>
      <c r="F4" s="73"/>
      <c r="H4" s="61"/>
      <c r="I4" s="62"/>
      <c r="J4" s="63"/>
    </row>
    <row r="5" spans="1:11" ht="39.950000000000003" customHeight="1" thickBot="1" x14ac:dyDescent="0.3">
      <c r="A5" s="7">
        <f>COUNTIF(OfficialTeamList[Team Number],"&gt;0")</f>
        <v>11</v>
      </c>
      <c r="C5" s="88">
        <v>41235</v>
      </c>
      <c r="D5" s="89" t="s">
        <v>127</v>
      </c>
      <c r="E5" s="9"/>
      <c r="F5" s="74"/>
      <c r="H5" s="64"/>
      <c r="I5" s="65"/>
      <c r="J5" s="66"/>
    </row>
    <row r="6" spans="1:11" ht="39.950000000000003" customHeight="1" x14ac:dyDescent="0.25">
      <c r="C6" s="88">
        <v>46172</v>
      </c>
      <c r="D6" s="89" t="s">
        <v>128</v>
      </c>
      <c r="E6" s="73"/>
      <c r="F6" s="73"/>
      <c r="H6" s="107" t="s">
        <v>14</v>
      </c>
      <c r="I6" s="107"/>
      <c r="J6" s="107"/>
    </row>
    <row r="7" spans="1:11" ht="39.950000000000003" customHeight="1" thickBot="1" x14ac:dyDescent="0.3">
      <c r="A7" s="23" t="s">
        <v>15</v>
      </c>
      <c r="C7" s="88">
        <v>68211</v>
      </c>
      <c r="D7" s="89" t="s">
        <v>129</v>
      </c>
      <c r="E7" s="73"/>
      <c r="F7" s="73"/>
      <c r="H7" s="108"/>
      <c r="I7" s="108"/>
      <c r="J7" s="108"/>
    </row>
    <row r="8" spans="1:11" ht="39.950000000000003" customHeight="1" thickTop="1" thickBot="1" x14ac:dyDescent="0.3">
      <c r="A8" s="10">
        <v>3</v>
      </c>
      <c r="C8" s="88">
        <v>71908</v>
      </c>
      <c r="D8" s="89" t="s">
        <v>130</v>
      </c>
      <c r="E8" s="73"/>
      <c r="F8" s="73"/>
      <c r="H8" s="71"/>
      <c r="I8" s="71"/>
      <c r="J8" s="71"/>
    </row>
    <row r="9" spans="1:11" ht="39.950000000000003" customHeight="1" thickTop="1" x14ac:dyDescent="0.25">
      <c r="C9" s="88">
        <v>75865</v>
      </c>
      <c r="D9" s="89" t="s">
        <v>131</v>
      </c>
      <c r="E9" s="73"/>
      <c r="F9" s="73"/>
    </row>
    <row r="10" spans="1:11" ht="39.950000000000003" customHeight="1" x14ac:dyDescent="0.25">
      <c r="A10"/>
      <c r="C10" s="88">
        <v>87296</v>
      </c>
      <c r="D10" s="89" t="s">
        <v>132</v>
      </c>
      <c r="E10" s="73"/>
      <c r="F10" s="73"/>
    </row>
    <row r="11" spans="1:11" ht="39.950000000000003" customHeight="1" x14ac:dyDescent="0.25">
      <c r="A11"/>
      <c r="C11" s="88">
        <v>90556</v>
      </c>
      <c r="D11" s="89" t="s">
        <v>133</v>
      </c>
      <c r="E11" s="73"/>
      <c r="F11" s="73"/>
    </row>
    <row r="12" spans="1:11" ht="39.950000000000003" customHeight="1" x14ac:dyDescent="0.25">
      <c r="A12"/>
      <c r="C12" s="88">
        <v>92134</v>
      </c>
      <c r="D12" s="89" t="s">
        <v>134</v>
      </c>
      <c r="E12" s="73"/>
      <c r="F12" s="73"/>
    </row>
    <row r="13" spans="1:11" ht="39.950000000000003" customHeight="1" x14ac:dyDescent="0.25">
      <c r="A13"/>
      <c r="C13" s="90">
        <v>93244</v>
      </c>
      <c r="D13" s="91" t="s">
        <v>135</v>
      </c>
      <c r="E13" s="73"/>
      <c r="F13" s="73"/>
    </row>
  </sheetData>
  <mergeCells count="2">
    <mergeCell ref="C1:F1"/>
    <mergeCell ref="H6:J7"/>
  </mergeCells>
  <phoneticPr fontId="18" type="noConversion"/>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cro2">
                <anchor moveWithCells="1" sizeWithCells="1">
                  <from>
                    <xdr:col>7</xdr:col>
                    <xdr:colOff>219075</xdr:colOff>
                    <xdr:row>2</xdr:row>
                    <xdr:rowOff>200025</xdr:rowOff>
                  </from>
                  <to>
                    <xdr:col>9</xdr:col>
                    <xdr:colOff>447675</xdr:colOff>
                    <xdr:row>4</xdr:row>
                    <xdr:rowOff>333375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A3E95-EAB9-453A-B814-DF5960BE44EC}">
  <dimension ref="A1:C13"/>
  <sheetViews>
    <sheetView workbookViewId="0">
      <selection activeCell="A2" sqref="A2"/>
    </sheetView>
  </sheetViews>
  <sheetFormatPr defaultRowHeight="15" x14ac:dyDescent="0.25"/>
  <cols>
    <col min="1" max="1" width="29.42578125" customWidth="1"/>
    <col min="2" max="2" width="55.85546875" customWidth="1"/>
    <col min="3" max="3" width="49.7109375" customWidth="1"/>
  </cols>
  <sheetData>
    <row r="1" spans="1:3" x14ac:dyDescent="0.25">
      <c r="A1" t="s">
        <v>153</v>
      </c>
      <c r="B1" t="s">
        <v>154</v>
      </c>
      <c r="C1" t="s">
        <v>155</v>
      </c>
    </row>
    <row r="2" spans="1:3" x14ac:dyDescent="0.25">
      <c r="A2" t="s">
        <v>141</v>
      </c>
      <c r="B2" t="s">
        <v>136</v>
      </c>
      <c r="C2" s="143"/>
    </row>
    <row r="3" spans="1:3" x14ac:dyDescent="0.25">
      <c r="A3" t="s">
        <v>142</v>
      </c>
      <c r="B3" t="s">
        <v>137</v>
      </c>
      <c r="C3" s="143"/>
    </row>
    <row r="4" spans="1:3" x14ac:dyDescent="0.25">
      <c r="A4" t="s">
        <v>143</v>
      </c>
      <c r="B4">
        <v>2</v>
      </c>
      <c r="C4" s="143"/>
    </row>
    <row r="5" spans="1:3" x14ac:dyDescent="0.25">
      <c r="A5" t="s">
        <v>144</v>
      </c>
      <c r="B5">
        <v>1</v>
      </c>
      <c r="C5" s="143"/>
    </row>
    <row r="6" spans="1:3" x14ac:dyDescent="0.25">
      <c r="A6" t="s">
        <v>145</v>
      </c>
      <c r="B6">
        <v>1</v>
      </c>
      <c r="C6" s="143"/>
    </row>
    <row r="7" spans="1:3" x14ac:dyDescent="0.25">
      <c r="A7" t="s">
        <v>146</v>
      </c>
      <c r="B7">
        <v>1</v>
      </c>
      <c r="C7" s="143"/>
    </row>
    <row r="8" spans="1:3" x14ac:dyDescent="0.25">
      <c r="A8" t="s">
        <v>147</v>
      </c>
      <c r="B8">
        <v>2</v>
      </c>
      <c r="C8" s="143"/>
    </row>
    <row r="9" spans="1:3" x14ac:dyDescent="0.25">
      <c r="A9" t="s">
        <v>148</v>
      </c>
      <c r="B9">
        <v>3</v>
      </c>
      <c r="C9" s="143"/>
    </row>
    <row r="10" spans="1:3" x14ac:dyDescent="0.25">
      <c r="A10" t="s">
        <v>150</v>
      </c>
      <c r="B10">
        <v>1</v>
      </c>
      <c r="C10" s="143"/>
    </row>
    <row r="11" spans="1:3" x14ac:dyDescent="0.25">
      <c r="A11" t="s">
        <v>149</v>
      </c>
      <c r="B11" s="142" t="s">
        <v>138</v>
      </c>
      <c r="C11" s="143" t="s">
        <v>156</v>
      </c>
    </row>
    <row r="12" spans="1:3" x14ac:dyDescent="0.25">
      <c r="A12" t="s">
        <v>151</v>
      </c>
      <c r="B12" s="142" t="s">
        <v>139</v>
      </c>
      <c r="C12" s="143" t="s">
        <v>156</v>
      </c>
    </row>
    <row r="13" spans="1:3" x14ac:dyDescent="0.25">
      <c r="A13" t="s">
        <v>152</v>
      </c>
      <c r="B13" s="142" t="s">
        <v>140</v>
      </c>
      <c r="C13" s="143" t="s">
        <v>156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C13"/>
  <sheetViews>
    <sheetView tabSelected="1" zoomScaleNormal="100" workbookViewId="0">
      <pane xSplit="2" ySplit="2" topLeftCell="C3" activePane="bottomRight" state="frozen"/>
      <selection pane="topRight" activeCell="C1" sqref="C1"/>
      <selection pane="bottomLeft" activeCell="A3" sqref="A3"/>
      <selection pane="bottomRight" activeCell="O7" sqref="O7"/>
    </sheetView>
  </sheetViews>
  <sheetFormatPr defaultColWidth="9.140625" defaultRowHeight="20.25" customHeight="1" x14ac:dyDescent="0.25"/>
  <cols>
    <col min="1" max="1" width="15.42578125" style="11" customWidth="1"/>
    <col min="2" max="2" width="32.4257812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8" hidden="1" customWidth="1"/>
    <col min="20" max="20" width="8.42578125" style="27" hidden="1" customWidth="1"/>
    <col min="21" max="21" width="8.42578125" hidden="1" customWidth="1"/>
    <col min="22" max="22" width="80.42578125" style="11" customWidth="1"/>
    <col min="23" max="23" width="9.140625" style="11" customWidth="1"/>
    <col min="24" max="24" width="13" style="30" bestFit="1" customWidth="1"/>
    <col min="25" max="26" width="13" style="85" bestFit="1" customWidth="1"/>
    <col min="27" max="29" width="9.140625" style="31"/>
    <col min="30" max="16384" width="9.140625" style="30"/>
  </cols>
  <sheetData>
    <row r="1" spans="1:29" s="82" customFormat="1" ht="39.950000000000003" customHeight="1" x14ac:dyDescent="0.25">
      <c r="A1" s="118" t="s">
        <v>16</v>
      </c>
      <c r="B1" s="118"/>
      <c r="C1" s="118" t="s">
        <v>17</v>
      </c>
      <c r="D1" s="118"/>
      <c r="E1" s="118"/>
      <c r="F1" s="118"/>
      <c r="G1" s="118"/>
      <c r="H1" s="118"/>
      <c r="I1" s="118"/>
      <c r="J1" s="118" t="s">
        <v>18</v>
      </c>
      <c r="K1" s="118"/>
      <c r="L1" s="118"/>
      <c r="M1" s="118" t="s">
        <v>19</v>
      </c>
      <c r="N1" s="118"/>
      <c r="O1" s="109" t="s">
        <v>20</v>
      </c>
      <c r="P1" s="109"/>
      <c r="Q1" s="109" t="s">
        <v>21</v>
      </c>
      <c r="R1" s="109"/>
      <c r="S1" s="109"/>
      <c r="T1" s="109"/>
      <c r="U1" s="109"/>
      <c r="V1" s="5" t="s">
        <v>22</v>
      </c>
      <c r="W1" s="5"/>
      <c r="Y1" s="84"/>
      <c r="Z1" s="84"/>
    </row>
    <row r="2" spans="1:29" s="12" customFormat="1" ht="118.5" customHeight="1" x14ac:dyDescent="0.25">
      <c r="A2" s="110" t="s">
        <v>9</v>
      </c>
      <c r="B2" s="110" t="s">
        <v>10</v>
      </c>
      <c r="C2" s="111" t="s">
        <v>23</v>
      </c>
      <c r="D2" s="111" t="s">
        <v>24</v>
      </c>
      <c r="E2" s="111" t="s">
        <v>25</v>
      </c>
      <c r="F2" s="111" t="s">
        <v>26</v>
      </c>
      <c r="G2" s="111" t="s">
        <v>27</v>
      </c>
      <c r="H2" s="111" t="s">
        <v>28</v>
      </c>
      <c r="I2" s="112" t="s">
        <v>29</v>
      </c>
      <c r="J2" s="113" t="s">
        <v>30</v>
      </c>
      <c r="K2" s="114" t="s">
        <v>31</v>
      </c>
      <c r="L2" s="115" t="s">
        <v>32</v>
      </c>
      <c r="M2" s="116" t="s">
        <v>33</v>
      </c>
      <c r="N2" s="117" t="s">
        <v>34</v>
      </c>
      <c r="O2" s="26" t="s">
        <v>38</v>
      </c>
      <c r="P2" s="26" t="s">
        <v>39</v>
      </c>
      <c r="Q2" s="38" t="s">
        <v>40</v>
      </c>
      <c r="R2" s="39" t="s">
        <v>41</v>
      </c>
      <c r="S2" s="40" t="s">
        <v>42</v>
      </c>
      <c r="T2" s="41" t="s">
        <v>43</v>
      </c>
      <c r="U2" s="42" t="s">
        <v>44</v>
      </c>
      <c r="V2" s="43" t="s">
        <v>22</v>
      </c>
      <c r="Y2" s="83" t="s">
        <v>117</v>
      </c>
      <c r="Z2" s="83" t="s">
        <v>115</v>
      </c>
    </row>
    <row r="3" spans="1:29" ht="20.25" customHeight="1" x14ac:dyDescent="0.25">
      <c r="A3" s="119">
        <v>12863</v>
      </c>
      <c r="B3" s="120" t="s">
        <v>125</v>
      </c>
      <c r="C3" s="119">
        <f>IF(TournamentData[[#This Row],[Team Number]]="","",IF(ISNA(INDEX('Robot Game Scores'!C:C,MATCH(TournamentData[[#This Row],[Team Number]], 'Robot Game Scores'!$B:$B,0))),0,INDEX('Robot Game Scores'!C:C,MATCH(TournamentData[[#This Row],[Team Number]], 'Robot Game Scores'!$B:$B,0))))</f>
        <v>0</v>
      </c>
      <c r="D3" s="119">
        <f>IF(TournamentData[[#This Row],[Team Number]]="","",IF(ISNA(INDEX('Robot Game Scores'!D:D,MATCH(TournamentData[[#This Row],[Team Number]], 'Robot Game Scores'!$B:$B,0))),0,INDEX('Robot Game Scores'!D:D,MATCH(TournamentData[[#This Row],[Team Number]], 'Robot Game Scores'!$B:$B,0))))</f>
        <v>0</v>
      </c>
      <c r="E3" s="119">
        <f>IF(TournamentData[[#This Row],[Team Number]]="","",IF(ISNA(INDEX('Robot Game Scores'!E:E,MATCH(TournamentData[[#This Row],[Team Number]], 'Robot Game Scores'!$B:$B,0))),0,INDEX('Robot Game Scores'!E:E,MATCH(TournamentData[[#This Row],[Team Number]], 'Robot Game Scores'!$B:$B,0))))</f>
        <v>0</v>
      </c>
      <c r="F3" s="119">
        <f>IF(TournamentData[[#This Row],[Team Number]]="","",IF(ISNA(INDEX('Robot Game Scores'!F:F,MATCH(TournamentData[[#This Row],[Team Number]], 'Robot Game Scores'!$B:$B,0))),0,INDEX('Robot Game Scores'!F:F,MATCH(TournamentData[[#This Row],[Team Number]], 'Robot Game Scores'!$B:$B,0))))</f>
        <v>0</v>
      </c>
      <c r="G3" s="119">
        <f>IF(TournamentData[[#This Row],[Team Number]]="","",IF(ISNA(INDEX('Robot Game Scores'!G:G,MATCH(TournamentData[[#This Row],[Team Number]], 'Robot Game Scores'!$B:$B,0))),0,INDEX('Robot Game Scores'!G:G,MATCH(TournamentData[[#This Row],[Team Number]], 'Robot Game Scores'!$B:$B,0))))</f>
        <v>0</v>
      </c>
      <c r="H3"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3" s="119">
        <f>IF(TournamentData[[#This Row],[Team Number]]="","",_xlfn.RANK.EQ(TournamentData[[#This Row],[Max Robot Game Score]],TournamentData[Max Robot Game Score]))</f>
        <v>1</v>
      </c>
      <c r="J3"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3"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3"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3"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3" s="121">
        <f>IF(TournamentData[[#This Row],[Team Number]]="","",IF(M3,RANK(M3,M$3:M$13,1)-COUNTIF(M$3:M$13,0),NumberOfTeams+1))</f>
        <v>1</v>
      </c>
      <c r="O3" s="30"/>
      <c r="P3" s="31"/>
      <c r="Q3" s="29">
        <f>IF(ISNA(INDEX(CoreValuesResults[Core Values Score],MATCH(TournamentData[[#This Row],[Team Number]],CoreValuesResults[Team Number],0))),0,INDEX(CoreValuesResults[Core Values Score],MATCH(TournamentData[[#This Row],[Team Number]],CoreValuesResults[Team Number],0)))</f>
        <v>0</v>
      </c>
      <c r="R3" s="29">
        <f>IF(ISNA(INDEX(InnovationProjectResults[Innovation Project Score],MATCH(TournamentData[[#This Row],[Team Number]],InnovationProjectResults[Team Number],0))),0,INDEX(InnovationProjectResults[Innovation Project Score],MATCH(TournamentData[[#This Row],[Team Number]],InnovationProjectResults[Team Number],0)))</f>
        <v>0</v>
      </c>
      <c r="S3" s="29">
        <f>IF(ISNA(INDEX(RobotDesignResults[Robot Design Score],MATCH(TournamentData[[#This Row],[Team Number]],RobotDesignResults[Team Number],0))),0,INDEX(RobotDesignResults[Robot Design Score],MATCH(TournamentData[[#This Row],[Team Number]],RobotDesignResults[Team Number],0)))</f>
        <v>0</v>
      </c>
      <c r="T3"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33">
        <f t="shared" ref="U3:U13" si="0">IF(T3,_xlfn.RANK.EQ(T3,T$3:T$13,0),NumberOfTeams)</f>
        <v>11</v>
      </c>
      <c r="V3" s="30"/>
      <c r="W3" s="30"/>
      <c r="Y3" s="85" t="s">
        <v>118</v>
      </c>
      <c r="Z3" s="85" t="s">
        <v>116</v>
      </c>
      <c r="AA3" s="30"/>
      <c r="AB3" s="30"/>
      <c r="AC3" s="30"/>
    </row>
    <row r="4" spans="1:29" ht="20.25" customHeight="1" x14ac:dyDescent="0.25">
      <c r="A4" s="119">
        <v>35256</v>
      </c>
      <c r="B4" s="120" t="s">
        <v>126</v>
      </c>
      <c r="C4" s="119">
        <f>IF(TournamentData[[#This Row],[Team Number]]="","",IF(ISNA(INDEX('Robot Game Scores'!C:C,MATCH(TournamentData[[#This Row],[Team Number]], 'Robot Game Scores'!$B:$B,0))),0,INDEX('Robot Game Scores'!C:C,MATCH(TournamentData[[#This Row],[Team Number]], 'Robot Game Scores'!$B:$B,0))))</f>
        <v>0</v>
      </c>
      <c r="D4" s="119">
        <f>IF(TournamentData[[#This Row],[Team Number]]="","",IF(ISNA(INDEX('Robot Game Scores'!D:D,MATCH(TournamentData[[#This Row],[Team Number]], 'Robot Game Scores'!$B:$B,0))),0,INDEX('Robot Game Scores'!D:D,MATCH(TournamentData[[#This Row],[Team Number]], 'Robot Game Scores'!$B:$B,0))))</f>
        <v>0</v>
      </c>
      <c r="E4" s="119">
        <f>IF(TournamentData[[#This Row],[Team Number]]="","",IF(ISNA(INDEX('Robot Game Scores'!E:E,MATCH(TournamentData[[#This Row],[Team Number]], 'Robot Game Scores'!$B:$B,0))),0,INDEX('Robot Game Scores'!E:E,MATCH(TournamentData[[#This Row],[Team Number]], 'Robot Game Scores'!$B:$B,0))))</f>
        <v>0</v>
      </c>
      <c r="F4" s="119">
        <f>IF(TournamentData[[#This Row],[Team Number]]="","",IF(ISNA(INDEX('Robot Game Scores'!F:F,MATCH(TournamentData[[#This Row],[Team Number]], 'Robot Game Scores'!$B:$B,0))),0,INDEX('Robot Game Scores'!F:F,MATCH(TournamentData[[#This Row],[Team Number]], 'Robot Game Scores'!$B:$B,0))))</f>
        <v>0</v>
      </c>
      <c r="G4" s="119">
        <f>IF(TournamentData[[#This Row],[Team Number]]="","",IF(ISNA(INDEX('Robot Game Scores'!G:G,MATCH(TournamentData[[#This Row],[Team Number]], 'Robot Game Scores'!$B:$B,0))),0,INDEX('Robot Game Scores'!G:G,MATCH(TournamentData[[#This Row],[Team Number]], 'Robot Game Scores'!$B:$B,0))))</f>
        <v>0</v>
      </c>
      <c r="H4"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4" s="119">
        <f>IF(TournamentData[[#This Row],[Team Number]]="","",_xlfn.RANK.EQ(TournamentData[[#This Row],[Max Robot Game Score]],TournamentData[Max Robot Game Score]))</f>
        <v>1</v>
      </c>
      <c r="J4"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4"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4"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4"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4" s="121">
        <f>IF(TournamentData[[#This Row],[Team Number]]="","",IF(M4,RANK(M4,M$3:M$13,1)-COUNTIF(M$3:M$13,0),NumberOfTeams+1))</f>
        <v>1</v>
      </c>
      <c r="O4" s="30"/>
      <c r="P4" s="31"/>
      <c r="Q4" s="29">
        <f>IF(ISNA(INDEX(CoreValuesResults[Core Values Score],MATCH(TournamentData[[#This Row],[Team Number]],CoreValuesResults[Team Number],0))),0,INDEX(CoreValuesResults[Core Values Score],MATCH(TournamentData[[#This Row],[Team Number]],CoreValuesResults[Team Number],0)))</f>
        <v>0</v>
      </c>
      <c r="R4" s="29">
        <f>IF(ISNA(INDEX(InnovationProjectResults[Innovation Project Score],MATCH(TournamentData[[#This Row],[Team Number]],InnovationProjectResults[Team Number],0))),0,INDEX(InnovationProjectResults[Innovation Project Score],MATCH(TournamentData[[#This Row],[Team Number]],InnovationProjectResults[Team Number],0)))</f>
        <v>0</v>
      </c>
      <c r="S4" s="29">
        <f>IF(ISNA(INDEX(RobotDesignResults[Robot Design Score],MATCH(TournamentData[[#This Row],[Team Number]],RobotDesignResults[Team Number],0))),0,INDEX(RobotDesignResults[Robot Design Score],MATCH(TournamentData[[#This Row],[Team Number]],RobotDesignResults[Team Number],0)))</f>
        <v>0</v>
      </c>
      <c r="T4"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33">
        <f t="shared" si="0"/>
        <v>11</v>
      </c>
      <c r="V4" s="30"/>
      <c r="W4" s="30"/>
      <c r="Y4" s="85" t="s">
        <v>119</v>
      </c>
      <c r="Z4" s="85" t="s">
        <v>114</v>
      </c>
      <c r="AA4" s="30"/>
      <c r="AB4" s="30"/>
      <c r="AC4" s="30"/>
    </row>
    <row r="5" spans="1:29" ht="20.25" customHeight="1" x14ac:dyDescent="0.25">
      <c r="A5" s="119">
        <v>41235</v>
      </c>
      <c r="B5" s="120" t="s">
        <v>127</v>
      </c>
      <c r="C5" s="119">
        <f>IF(TournamentData[[#This Row],[Team Number]]="","",IF(ISNA(INDEX('Robot Game Scores'!C:C,MATCH(TournamentData[[#This Row],[Team Number]], 'Robot Game Scores'!$B:$B,0))),0,INDEX('Robot Game Scores'!C:C,MATCH(TournamentData[[#This Row],[Team Number]], 'Robot Game Scores'!$B:$B,0))))</f>
        <v>0</v>
      </c>
      <c r="D5" s="119">
        <f>IF(TournamentData[[#This Row],[Team Number]]="","",IF(ISNA(INDEX('Robot Game Scores'!D:D,MATCH(TournamentData[[#This Row],[Team Number]], 'Robot Game Scores'!$B:$B,0))),0,INDEX('Robot Game Scores'!D:D,MATCH(TournamentData[[#This Row],[Team Number]], 'Robot Game Scores'!$B:$B,0))))</f>
        <v>0</v>
      </c>
      <c r="E5" s="119">
        <f>IF(TournamentData[[#This Row],[Team Number]]="","",IF(ISNA(INDEX('Robot Game Scores'!E:E,MATCH(TournamentData[[#This Row],[Team Number]], 'Robot Game Scores'!$B:$B,0))),0,INDEX('Robot Game Scores'!E:E,MATCH(TournamentData[[#This Row],[Team Number]], 'Robot Game Scores'!$B:$B,0))))</f>
        <v>0</v>
      </c>
      <c r="F5" s="119">
        <f>IF(TournamentData[[#This Row],[Team Number]]="","",IF(ISNA(INDEX('Robot Game Scores'!F:F,MATCH(TournamentData[[#This Row],[Team Number]], 'Robot Game Scores'!$B:$B,0))),0,INDEX('Robot Game Scores'!F:F,MATCH(TournamentData[[#This Row],[Team Number]], 'Robot Game Scores'!$B:$B,0))))</f>
        <v>0</v>
      </c>
      <c r="G5" s="119">
        <f>IF(TournamentData[[#This Row],[Team Number]]="","",IF(ISNA(INDEX('Robot Game Scores'!G:G,MATCH(TournamentData[[#This Row],[Team Number]], 'Robot Game Scores'!$B:$B,0))),0,INDEX('Robot Game Scores'!G:G,MATCH(TournamentData[[#This Row],[Team Number]], 'Robot Game Scores'!$B:$B,0))))</f>
        <v>0</v>
      </c>
      <c r="H5"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5" s="119">
        <f>IF(TournamentData[[#This Row],[Team Number]]="","",_xlfn.RANK.EQ(TournamentData[[#This Row],[Max Robot Game Score]],TournamentData[Max Robot Game Score]))</f>
        <v>1</v>
      </c>
      <c r="J5"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5"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5"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5"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5" s="121">
        <f>IF(TournamentData[[#This Row],[Team Number]]="","",IF(M5,RANK(M5,M$3:M$13,1)-COUNTIF(M$3:M$13,0),NumberOfTeams+1))</f>
        <v>1</v>
      </c>
      <c r="O5" s="30"/>
      <c r="P5" s="31"/>
      <c r="Q5" s="29">
        <f>IF(ISNA(INDEX(CoreValuesResults[Core Values Score],MATCH(TournamentData[[#This Row],[Team Number]],CoreValuesResults[Team Number],0))),0,INDEX(CoreValuesResults[Core Values Score],MATCH(TournamentData[[#This Row],[Team Number]],CoreValuesResults[Team Number],0)))</f>
        <v>0</v>
      </c>
      <c r="R5" s="29">
        <f>IF(ISNA(INDEX(InnovationProjectResults[Innovation Project Score],MATCH(TournamentData[[#This Row],[Team Number]],InnovationProjectResults[Team Number],0))),0,INDEX(InnovationProjectResults[Innovation Project Score],MATCH(TournamentData[[#This Row],[Team Number]],InnovationProjectResults[Team Number],0)))</f>
        <v>0</v>
      </c>
      <c r="S5" s="29">
        <f>IF(ISNA(INDEX(RobotDesignResults[Robot Design Score],MATCH(TournamentData[[#This Row],[Team Number]],RobotDesignResults[Team Number],0))),0,INDEX(RobotDesignResults[Robot Design Score],MATCH(TournamentData[[#This Row],[Team Number]],RobotDesignResults[Team Number],0)))</f>
        <v>0</v>
      </c>
      <c r="T5"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 s="33">
        <f t="shared" si="0"/>
        <v>11</v>
      </c>
      <c r="V5" s="30"/>
      <c r="W5" s="30"/>
      <c r="Y5" s="85" t="s">
        <v>120</v>
      </c>
      <c r="AA5" s="30"/>
      <c r="AB5" s="30"/>
      <c r="AC5" s="30"/>
    </row>
    <row r="6" spans="1:29" ht="20.25" customHeight="1" x14ac:dyDescent="0.25">
      <c r="A6" s="119">
        <v>46172</v>
      </c>
      <c r="B6" s="120" t="s">
        <v>128</v>
      </c>
      <c r="C6" s="119">
        <f>IF(TournamentData[[#This Row],[Team Number]]="","",IF(ISNA(INDEX('Robot Game Scores'!C:C,MATCH(TournamentData[[#This Row],[Team Number]], 'Robot Game Scores'!$B:$B,0))),0,INDEX('Robot Game Scores'!C:C,MATCH(TournamentData[[#This Row],[Team Number]], 'Robot Game Scores'!$B:$B,0))))</f>
        <v>0</v>
      </c>
      <c r="D6" s="119">
        <f>IF(TournamentData[[#This Row],[Team Number]]="","",IF(ISNA(INDEX('Robot Game Scores'!D:D,MATCH(TournamentData[[#This Row],[Team Number]], 'Robot Game Scores'!$B:$B,0))),0,INDEX('Robot Game Scores'!D:D,MATCH(TournamentData[[#This Row],[Team Number]], 'Robot Game Scores'!$B:$B,0))))</f>
        <v>0</v>
      </c>
      <c r="E6" s="119">
        <f>IF(TournamentData[[#This Row],[Team Number]]="","",IF(ISNA(INDEX('Robot Game Scores'!E:E,MATCH(TournamentData[[#This Row],[Team Number]], 'Robot Game Scores'!$B:$B,0))),0,INDEX('Robot Game Scores'!E:E,MATCH(TournamentData[[#This Row],[Team Number]], 'Robot Game Scores'!$B:$B,0))))</f>
        <v>0</v>
      </c>
      <c r="F6" s="119">
        <f>IF(TournamentData[[#This Row],[Team Number]]="","",IF(ISNA(INDEX('Robot Game Scores'!F:F,MATCH(TournamentData[[#This Row],[Team Number]], 'Robot Game Scores'!$B:$B,0))),0,INDEX('Robot Game Scores'!F:F,MATCH(TournamentData[[#This Row],[Team Number]], 'Robot Game Scores'!$B:$B,0))))</f>
        <v>0</v>
      </c>
      <c r="G6" s="119">
        <f>IF(TournamentData[[#This Row],[Team Number]]="","",IF(ISNA(INDEX('Robot Game Scores'!G:G,MATCH(TournamentData[[#This Row],[Team Number]], 'Robot Game Scores'!$B:$B,0))),0,INDEX('Robot Game Scores'!G:G,MATCH(TournamentData[[#This Row],[Team Number]], 'Robot Game Scores'!$B:$B,0))))</f>
        <v>0</v>
      </c>
      <c r="H6"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6" s="119">
        <f>IF(TournamentData[[#This Row],[Team Number]]="","",_xlfn.RANK.EQ(TournamentData[[#This Row],[Max Robot Game Score]],TournamentData[Max Robot Game Score]))</f>
        <v>1</v>
      </c>
      <c r="J6"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6"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6"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6"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6" s="121">
        <f>IF(TournamentData[[#This Row],[Team Number]]="","",IF(M6,RANK(M6,M$3:M$13,1)-COUNTIF(M$3:M$13,0),NumberOfTeams+1))</f>
        <v>1</v>
      </c>
      <c r="O6" s="30"/>
      <c r="P6" s="31"/>
      <c r="Q6" s="29">
        <f>IF(ISNA(INDEX(CoreValuesResults[Core Values Score],MATCH(TournamentData[[#This Row],[Team Number]],CoreValuesResults[Team Number],0))),0,INDEX(CoreValuesResults[Core Values Score],MATCH(TournamentData[[#This Row],[Team Number]],CoreValuesResults[Team Number],0)))</f>
        <v>0</v>
      </c>
      <c r="R6" s="29">
        <f>IF(ISNA(INDEX(InnovationProjectResults[Innovation Project Score],MATCH(TournamentData[[#This Row],[Team Number]],InnovationProjectResults[Team Number],0))),0,INDEX(InnovationProjectResults[Innovation Project Score],MATCH(TournamentData[[#This Row],[Team Number]],InnovationProjectResults[Team Number],0)))</f>
        <v>0</v>
      </c>
      <c r="S6" s="29">
        <f>IF(ISNA(INDEX(RobotDesignResults[Robot Design Score],MATCH(TournamentData[[#This Row],[Team Number]],RobotDesignResults[Team Number],0))),0,INDEX(RobotDesignResults[Robot Design Score],MATCH(TournamentData[[#This Row],[Team Number]],RobotDesignResults[Team Number],0)))</f>
        <v>0</v>
      </c>
      <c r="T6"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 s="33">
        <f t="shared" si="0"/>
        <v>11</v>
      </c>
      <c r="V6" s="30"/>
      <c r="W6" s="30"/>
      <c r="Y6" s="85" t="s">
        <v>121</v>
      </c>
      <c r="AA6" s="30"/>
      <c r="AB6" s="30"/>
      <c r="AC6" s="30"/>
    </row>
    <row r="7" spans="1:29" ht="20.25" customHeight="1" x14ac:dyDescent="0.25">
      <c r="A7" s="119">
        <v>68211</v>
      </c>
      <c r="B7" s="120" t="s">
        <v>129</v>
      </c>
      <c r="C7" s="119">
        <f>IF(TournamentData[[#This Row],[Team Number]]="","",IF(ISNA(INDEX('Robot Game Scores'!C:C,MATCH(TournamentData[[#This Row],[Team Number]], 'Robot Game Scores'!$B:$B,0))),0,INDEX('Robot Game Scores'!C:C,MATCH(TournamentData[[#This Row],[Team Number]], 'Robot Game Scores'!$B:$B,0))))</f>
        <v>0</v>
      </c>
      <c r="D7" s="119">
        <f>IF(TournamentData[[#This Row],[Team Number]]="","",IF(ISNA(INDEX('Robot Game Scores'!D:D,MATCH(TournamentData[[#This Row],[Team Number]], 'Robot Game Scores'!$B:$B,0))),0,INDEX('Robot Game Scores'!D:D,MATCH(TournamentData[[#This Row],[Team Number]], 'Robot Game Scores'!$B:$B,0))))</f>
        <v>0</v>
      </c>
      <c r="E7" s="119">
        <f>IF(TournamentData[[#This Row],[Team Number]]="","",IF(ISNA(INDEX('Robot Game Scores'!E:E,MATCH(TournamentData[[#This Row],[Team Number]], 'Robot Game Scores'!$B:$B,0))),0,INDEX('Robot Game Scores'!E:E,MATCH(TournamentData[[#This Row],[Team Number]], 'Robot Game Scores'!$B:$B,0))))</f>
        <v>0</v>
      </c>
      <c r="F7" s="119">
        <f>IF(TournamentData[[#This Row],[Team Number]]="","",IF(ISNA(INDEX('Robot Game Scores'!F:F,MATCH(TournamentData[[#This Row],[Team Number]], 'Robot Game Scores'!$B:$B,0))),0,INDEX('Robot Game Scores'!F:F,MATCH(TournamentData[[#This Row],[Team Number]], 'Robot Game Scores'!$B:$B,0))))</f>
        <v>0</v>
      </c>
      <c r="G7" s="119">
        <f>IF(TournamentData[[#This Row],[Team Number]]="","",IF(ISNA(INDEX('Robot Game Scores'!G:G,MATCH(TournamentData[[#This Row],[Team Number]], 'Robot Game Scores'!$B:$B,0))),0,INDEX('Robot Game Scores'!G:G,MATCH(TournamentData[[#This Row],[Team Number]], 'Robot Game Scores'!$B:$B,0))))</f>
        <v>0</v>
      </c>
      <c r="H7"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7" s="119">
        <f>IF(TournamentData[[#This Row],[Team Number]]="","",_xlfn.RANK.EQ(TournamentData[[#This Row],[Max Robot Game Score]],TournamentData[Max Robot Game Score]))</f>
        <v>1</v>
      </c>
      <c r="J7"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7"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7"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7"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7" s="121">
        <f>IF(TournamentData[[#This Row],[Team Number]]="","",IF(M7,RANK(M7,M$3:M$13,1)-COUNTIF(M$3:M$13,0),NumberOfTeams+1))</f>
        <v>1</v>
      </c>
      <c r="O7" s="30"/>
      <c r="P7" s="31"/>
      <c r="Q7" s="29">
        <f>IF(ISNA(INDEX(CoreValuesResults[Core Values Score],MATCH(TournamentData[[#This Row],[Team Number]],CoreValuesResults[Team Number],0))),0,INDEX(CoreValuesResults[Core Values Score],MATCH(TournamentData[[#This Row],[Team Number]],CoreValuesResults[Team Number],0)))</f>
        <v>0</v>
      </c>
      <c r="R7" s="29">
        <f>IF(ISNA(INDEX(InnovationProjectResults[Innovation Project Score],MATCH(TournamentData[[#This Row],[Team Number]],InnovationProjectResults[Team Number],0))),0,INDEX(InnovationProjectResults[Innovation Project Score],MATCH(TournamentData[[#This Row],[Team Number]],InnovationProjectResults[Team Number],0)))</f>
        <v>0</v>
      </c>
      <c r="S7" s="29">
        <f>IF(ISNA(INDEX(RobotDesignResults[Robot Design Score],MATCH(TournamentData[[#This Row],[Team Number]],RobotDesignResults[Team Number],0))),0,INDEX(RobotDesignResults[Robot Design Score],MATCH(TournamentData[[#This Row],[Team Number]],RobotDesignResults[Team Number],0)))</f>
        <v>0</v>
      </c>
      <c r="T7"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 s="33">
        <f t="shared" si="0"/>
        <v>11</v>
      </c>
      <c r="V7" s="30"/>
      <c r="W7" s="30"/>
      <c r="Y7" s="85" t="s">
        <v>122</v>
      </c>
      <c r="AA7" s="30"/>
      <c r="AB7" s="30"/>
      <c r="AC7" s="30"/>
    </row>
    <row r="8" spans="1:29" ht="20.25" customHeight="1" x14ac:dyDescent="0.25">
      <c r="A8" s="119">
        <v>71908</v>
      </c>
      <c r="B8" s="120" t="s">
        <v>130</v>
      </c>
      <c r="C8" s="119">
        <f>IF(TournamentData[[#This Row],[Team Number]]="","",IF(ISNA(INDEX('Robot Game Scores'!C:C,MATCH(TournamentData[[#This Row],[Team Number]], 'Robot Game Scores'!$B:$B,0))),0,INDEX('Robot Game Scores'!C:C,MATCH(TournamentData[[#This Row],[Team Number]], 'Robot Game Scores'!$B:$B,0))))</f>
        <v>0</v>
      </c>
      <c r="D8" s="119">
        <f>IF(TournamentData[[#This Row],[Team Number]]="","",IF(ISNA(INDEX('Robot Game Scores'!D:D,MATCH(TournamentData[[#This Row],[Team Number]], 'Robot Game Scores'!$B:$B,0))),0,INDEX('Robot Game Scores'!D:D,MATCH(TournamentData[[#This Row],[Team Number]], 'Robot Game Scores'!$B:$B,0))))</f>
        <v>0</v>
      </c>
      <c r="E8" s="119">
        <f>IF(TournamentData[[#This Row],[Team Number]]="","",IF(ISNA(INDEX('Robot Game Scores'!E:E,MATCH(TournamentData[[#This Row],[Team Number]], 'Robot Game Scores'!$B:$B,0))),0,INDEX('Robot Game Scores'!E:E,MATCH(TournamentData[[#This Row],[Team Number]], 'Robot Game Scores'!$B:$B,0))))</f>
        <v>0</v>
      </c>
      <c r="F8" s="119">
        <f>IF(TournamentData[[#This Row],[Team Number]]="","",IF(ISNA(INDEX('Robot Game Scores'!F:F,MATCH(TournamentData[[#This Row],[Team Number]], 'Robot Game Scores'!$B:$B,0))),0,INDEX('Robot Game Scores'!F:F,MATCH(TournamentData[[#This Row],[Team Number]], 'Robot Game Scores'!$B:$B,0))))</f>
        <v>0</v>
      </c>
      <c r="G8" s="119">
        <f>IF(TournamentData[[#This Row],[Team Number]]="","",IF(ISNA(INDEX('Robot Game Scores'!G:G,MATCH(TournamentData[[#This Row],[Team Number]], 'Robot Game Scores'!$B:$B,0))),0,INDEX('Robot Game Scores'!G:G,MATCH(TournamentData[[#This Row],[Team Number]], 'Robot Game Scores'!$B:$B,0))))</f>
        <v>0</v>
      </c>
      <c r="H8"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8" s="119">
        <f>IF(TournamentData[[#This Row],[Team Number]]="","",_xlfn.RANK.EQ(TournamentData[[#This Row],[Max Robot Game Score]],TournamentData[Max Robot Game Score]))</f>
        <v>1</v>
      </c>
      <c r="J8"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8"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8"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8"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8" s="121">
        <f>IF(TournamentData[[#This Row],[Team Number]]="","",IF(M8,RANK(M8,M$3:M$13,1)-COUNTIF(M$3:M$13,0),NumberOfTeams+1))</f>
        <v>1</v>
      </c>
      <c r="O8" s="30"/>
      <c r="P8" s="31"/>
      <c r="Q8" s="29">
        <f>IF(ISNA(INDEX(CoreValuesResults[Core Values Score],MATCH(TournamentData[[#This Row],[Team Number]],CoreValuesResults[Team Number],0))),0,INDEX(CoreValuesResults[Core Values Score],MATCH(TournamentData[[#This Row],[Team Number]],CoreValuesResults[Team Number],0)))</f>
        <v>0</v>
      </c>
      <c r="R8" s="29">
        <f>IF(ISNA(INDEX(InnovationProjectResults[Innovation Project Score],MATCH(TournamentData[[#This Row],[Team Number]],InnovationProjectResults[Team Number],0))),0,INDEX(InnovationProjectResults[Innovation Project Score],MATCH(TournamentData[[#This Row],[Team Number]],InnovationProjectResults[Team Number],0)))</f>
        <v>0</v>
      </c>
      <c r="S8" s="29">
        <f>IF(ISNA(INDEX(RobotDesignResults[Robot Design Score],MATCH(TournamentData[[#This Row],[Team Number]],RobotDesignResults[Team Number],0))),0,INDEX(RobotDesignResults[Robot Design Score],MATCH(TournamentData[[#This Row],[Team Number]],RobotDesignResults[Team Number],0)))</f>
        <v>0</v>
      </c>
      <c r="T8"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 s="33">
        <f t="shared" si="0"/>
        <v>11</v>
      </c>
      <c r="V8" s="30"/>
      <c r="W8" s="30"/>
      <c r="Y8" s="85" t="s">
        <v>123</v>
      </c>
      <c r="AB8" s="30"/>
      <c r="AC8" s="30"/>
    </row>
    <row r="9" spans="1:29" ht="20.25" customHeight="1" x14ac:dyDescent="0.25">
      <c r="A9" s="119">
        <v>75865</v>
      </c>
      <c r="B9" s="120" t="s">
        <v>131</v>
      </c>
      <c r="C9" s="119">
        <f>IF(TournamentData[[#This Row],[Team Number]]="","",IF(ISNA(INDEX('Robot Game Scores'!C:C,MATCH(TournamentData[[#This Row],[Team Number]], 'Robot Game Scores'!$B:$B,0))),0,INDEX('Robot Game Scores'!C:C,MATCH(TournamentData[[#This Row],[Team Number]], 'Robot Game Scores'!$B:$B,0))))</f>
        <v>0</v>
      </c>
      <c r="D9" s="119">
        <f>IF(TournamentData[[#This Row],[Team Number]]="","",IF(ISNA(INDEX('Robot Game Scores'!D:D,MATCH(TournamentData[[#This Row],[Team Number]], 'Robot Game Scores'!$B:$B,0))),0,INDEX('Robot Game Scores'!D:D,MATCH(TournamentData[[#This Row],[Team Number]], 'Robot Game Scores'!$B:$B,0))))</f>
        <v>0</v>
      </c>
      <c r="E9" s="119">
        <f>IF(TournamentData[[#This Row],[Team Number]]="","",IF(ISNA(INDEX('Robot Game Scores'!E:E,MATCH(TournamentData[[#This Row],[Team Number]], 'Robot Game Scores'!$B:$B,0))),0,INDEX('Robot Game Scores'!E:E,MATCH(TournamentData[[#This Row],[Team Number]], 'Robot Game Scores'!$B:$B,0))))</f>
        <v>0</v>
      </c>
      <c r="F9" s="119">
        <f>IF(TournamentData[[#This Row],[Team Number]]="","",IF(ISNA(INDEX('Robot Game Scores'!F:F,MATCH(TournamentData[[#This Row],[Team Number]], 'Robot Game Scores'!$B:$B,0))),0,INDEX('Robot Game Scores'!F:F,MATCH(TournamentData[[#This Row],[Team Number]], 'Robot Game Scores'!$B:$B,0))))</f>
        <v>0</v>
      </c>
      <c r="G9" s="119">
        <f>IF(TournamentData[[#This Row],[Team Number]]="","",IF(ISNA(INDEX('Robot Game Scores'!G:G,MATCH(TournamentData[[#This Row],[Team Number]], 'Robot Game Scores'!$B:$B,0))),0,INDEX('Robot Game Scores'!G:G,MATCH(TournamentData[[#This Row],[Team Number]], 'Robot Game Scores'!$B:$B,0))))</f>
        <v>0</v>
      </c>
      <c r="H9"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9" s="119">
        <f>IF(TournamentData[[#This Row],[Team Number]]="","",_xlfn.RANK.EQ(TournamentData[[#This Row],[Max Robot Game Score]],TournamentData[Max Robot Game Score]))</f>
        <v>1</v>
      </c>
      <c r="J9"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9"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9"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9"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9" s="121">
        <f>IF(TournamentData[[#This Row],[Team Number]]="","",IF(M9,RANK(M9,M$3:M$13,1)-COUNTIF(M$3:M$13,0),NumberOfTeams+1))</f>
        <v>1</v>
      </c>
      <c r="O9" s="30"/>
      <c r="P9" s="31"/>
      <c r="Q9" s="29">
        <f>IF(ISNA(INDEX(CoreValuesResults[Core Values Score],MATCH(TournamentData[[#This Row],[Team Number]],CoreValuesResults[Team Number],0))),0,INDEX(CoreValuesResults[Core Values Score],MATCH(TournamentData[[#This Row],[Team Number]],CoreValuesResults[Team Number],0)))</f>
        <v>0</v>
      </c>
      <c r="R9" s="29">
        <f>IF(ISNA(INDEX(InnovationProjectResults[Innovation Project Score],MATCH(TournamentData[[#This Row],[Team Number]],InnovationProjectResults[Team Number],0))),0,INDEX(InnovationProjectResults[Innovation Project Score],MATCH(TournamentData[[#This Row],[Team Number]],InnovationProjectResults[Team Number],0)))</f>
        <v>0</v>
      </c>
      <c r="S9" s="29">
        <f>IF(ISNA(INDEX(RobotDesignResults[Robot Design Score],MATCH(TournamentData[[#This Row],[Team Number]],RobotDesignResults[Team Number],0))),0,INDEX(RobotDesignResults[Robot Design Score],MATCH(TournamentData[[#This Row],[Team Number]],RobotDesignResults[Team Number],0)))</f>
        <v>0</v>
      </c>
      <c r="T9"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 s="33">
        <f t="shared" si="0"/>
        <v>11</v>
      </c>
      <c r="V9" s="30"/>
      <c r="W9" s="30"/>
      <c r="Y9" s="85" t="s">
        <v>124</v>
      </c>
      <c r="AB9" s="30"/>
      <c r="AC9" s="30"/>
    </row>
    <row r="10" spans="1:29" ht="20.25" customHeight="1" x14ac:dyDescent="0.25">
      <c r="A10" s="119">
        <v>87296</v>
      </c>
      <c r="B10" s="120" t="s">
        <v>132</v>
      </c>
      <c r="C10" s="119">
        <f>IF(TournamentData[[#This Row],[Team Number]]="","",IF(ISNA(INDEX('Robot Game Scores'!C:C,MATCH(TournamentData[[#This Row],[Team Number]], 'Robot Game Scores'!$B:$B,0))),0,INDEX('Robot Game Scores'!C:C,MATCH(TournamentData[[#This Row],[Team Number]], 'Robot Game Scores'!$B:$B,0))))</f>
        <v>0</v>
      </c>
      <c r="D10" s="119">
        <f>IF(TournamentData[[#This Row],[Team Number]]="","",IF(ISNA(INDEX('Robot Game Scores'!D:D,MATCH(TournamentData[[#This Row],[Team Number]], 'Robot Game Scores'!$B:$B,0))),0,INDEX('Robot Game Scores'!D:D,MATCH(TournamentData[[#This Row],[Team Number]], 'Robot Game Scores'!$B:$B,0))))</f>
        <v>0</v>
      </c>
      <c r="E10" s="119">
        <f>IF(TournamentData[[#This Row],[Team Number]]="","",IF(ISNA(INDEX('Robot Game Scores'!E:E,MATCH(TournamentData[[#This Row],[Team Number]], 'Robot Game Scores'!$B:$B,0))),0,INDEX('Robot Game Scores'!E:E,MATCH(TournamentData[[#This Row],[Team Number]], 'Robot Game Scores'!$B:$B,0))))</f>
        <v>0</v>
      </c>
      <c r="F10" s="119">
        <f>IF(TournamentData[[#This Row],[Team Number]]="","",IF(ISNA(INDEX('Robot Game Scores'!F:F,MATCH(TournamentData[[#This Row],[Team Number]], 'Robot Game Scores'!$B:$B,0))),0,INDEX('Robot Game Scores'!F:F,MATCH(TournamentData[[#This Row],[Team Number]], 'Robot Game Scores'!$B:$B,0))))</f>
        <v>0</v>
      </c>
      <c r="G10" s="119">
        <f>IF(TournamentData[[#This Row],[Team Number]]="","",IF(ISNA(INDEX('Robot Game Scores'!G:G,MATCH(TournamentData[[#This Row],[Team Number]], 'Robot Game Scores'!$B:$B,0))),0,INDEX('Robot Game Scores'!G:G,MATCH(TournamentData[[#This Row],[Team Number]], 'Robot Game Scores'!$B:$B,0))))</f>
        <v>0</v>
      </c>
      <c r="H10"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10" s="119">
        <f>IF(TournamentData[[#This Row],[Team Number]]="","",_xlfn.RANK.EQ(TournamentData[[#This Row],[Max Robot Game Score]],TournamentData[Max Robot Game Score]))</f>
        <v>1</v>
      </c>
      <c r="J10"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10"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10"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10"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10" s="121">
        <f>IF(TournamentData[[#This Row],[Team Number]]="","",IF(M10,RANK(M10,M$3:M$13,1)-COUNTIF(M$3:M$13,0),NumberOfTeams+1))</f>
        <v>1</v>
      </c>
      <c r="O10" s="30"/>
      <c r="P10" s="31"/>
      <c r="Q10" s="29">
        <f>IF(ISNA(INDEX(CoreValuesResults[Core Values Score],MATCH(TournamentData[[#This Row],[Team Number]],CoreValuesResults[Team Number],0))),0,INDEX(CoreValuesResults[Core Values Score],MATCH(TournamentData[[#This Row],[Team Number]],CoreValuesResults[Team Number],0)))</f>
        <v>0</v>
      </c>
      <c r="R10" s="29">
        <f>IF(ISNA(INDEX(InnovationProjectResults[Innovation Project Score],MATCH(TournamentData[[#This Row],[Team Number]],InnovationProjectResults[Team Number],0))),0,INDEX(InnovationProjectResults[Innovation Project Score],MATCH(TournamentData[[#This Row],[Team Number]],InnovationProjectResults[Team Number],0)))</f>
        <v>0</v>
      </c>
      <c r="S10" s="29">
        <f>IF(ISNA(INDEX(RobotDesignResults[Robot Design Score],MATCH(TournamentData[[#This Row],[Team Number]],RobotDesignResults[Team Number],0))),0,INDEX(RobotDesignResults[Robot Design Score],MATCH(TournamentData[[#This Row],[Team Number]],RobotDesignResults[Team Number],0)))</f>
        <v>0</v>
      </c>
      <c r="T10"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 s="33">
        <f t="shared" si="0"/>
        <v>11</v>
      </c>
      <c r="V10" s="30"/>
      <c r="W10" s="30"/>
      <c r="AB10" s="30"/>
      <c r="AC10" s="30"/>
    </row>
    <row r="11" spans="1:29" ht="20.25" customHeight="1" x14ac:dyDescent="0.25">
      <c r="A11" s="119">
        <v>90556</v>
      </c>
      <c r="B11" s="120" t="s">
        <v>133</v>
      </c>
      <c r="C11" s="119">
        <f>IF(TournamentData[[#This Row],[Team Number]]="","",IF(ISNA(INDEX('Robot Game Scores'!C:C,MATCH(TournamentData[[#This Row],[Team Number]], 'Robot Game Scores'!$B:$B,0))),0,INDEX('Robot Game Scores'!C:C,MATCH(TournamentData[[#This Row],[Team Number]], 'Robot Game Scores'!$B:$B,0))))</f>
        <v>0</v>
      </c>
      <c r="D11" s="119">
        <f>IF(TournamentData[[#This Row],[Team Number]]="","",IF(ISNA(INDEX('Robot Game Scores'!D:D,MATCH(TournamentData[[#This Row],[Team Number]], 'Robot Game Scores'!$B:$B,0))),0,INDEX('Robot Game Scores'!D:D,MATCH(TournamentData[[#This Row],[Team Number]], 'Robot Game Scores'!$B:$B,0))))</f>
        <v>0</v>
      </c>
      <c r="E11" s="119">
        <f>IF(TournamentData[[#This Row],[Team Number]]="","",IF(ISNA(INDEX('Robot Game Scores'!E:E,MATCH(TournamentData[[#This Row],[Team Number]], 'Robot Game Scores'!$B:$B,0))),0,INDEX('Robot Game Scores'!E:E,MATCH(TournamentData[[#This Row],[Team Number]], 'Robot Game Scores'!$B:$B,0))))</f>
        <v>0</v>
      </c>
      <c r="F11" s="119">
        <f>IF(TournamentData[[#This Row],[Team Number]]="","",IF(ISNA(INDEX('Robot Game Scores'!F:F,MATCH(TournamentData[[#This Row],[Team Number]], 'Robot Game Scores'!$B:$B,0))),0,INDEX('Robot Game Scores'!F:F,MATCH(TournamentData[[#This Row],[Team Number]], 'Robot Game Scores'!$B:$B,0))))</f>
        <v>0</v>
      </c>
      <c r="G11" s="119">
        <f>IF(TournamentData[[#This Row],[Team Number]]="","",IF(ISNA(INDEX('Robot Game Scores'!G:G,MATCH(TournamentData[[#This Row],[Team Number]], 'Robot Game Scores'!$B:$B,0))),0,INDEX('Robot Game Scores'!G:G,MATCH(TournamentData[[#This Row],[Team Number]], 'Robot Game Scores'!$B:$B,0))))</f>
        <v>0</v>
      </c>
      <c r="H11"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11" s="119">
        <f>IF(TournamentData[[#This Row],[Team Number]]="","",_xlfn.RANK.EQ(TournamentData[[#This Row],[Max Robot Game Score]],TournamentData[Max Robot Game Score]))</f>
        <v>1</v>
      </c>
      <c r="J11"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11"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11"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11"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11" s="121">
        <f>IF(TournamentData[[#This Row],[Team Number]]="","",IF(M11,RANK(M11,M$3:M$13,1)-COUNTIF(M$3:M$13,0),NumberOfTeams+1))</f>
        <v>1</v>
      </c>
      <c r="O11" s="30"/>
      <c r="P11" s="31"/>
      <c r="Q11" s="29">
        <f>IF(ISNA(INDEX(CoreValuesResults[Core Values Score],MATCH(TournamentData[[#This Row],[Team Number]],CoreValuesResults[Team Number],0))),0,INDEX(CoreValuesResults[Core Values Score],MATCH(TournamentData[[#This Row],[Team Number]],CoreValuesResults[Team Number],0)))</f>
        <v>0</v>
      </c>
      <c r="R11" s="29">
        <f>IF(ISNA(INDEX(InnovationProjectResults[Innovation Project Score],MATCH(TournamentData[[#This Row],[Team Number]],InnovationProjectResults[Team Number],0))),0,INDEX(InnovationProjectResults[Innovation Project Score],MATCH(TournamentData[[#This Row],[Team Number]],InnovationProjectResults[Team Number],0)))</f>
        <v>0</v>
      </c>
      <c r="S11" s="29">
        <f>IF(ISNA(INDEX(RobotDesignResults[Robot Design Score],MATCH(TournamentData[[#This Row],[Team Number]],RobotDesignResults[Team Number],0))),0,INDEX(RobotDesignResults[Robot Design Score],MATCH(TournamentData[[#This Row],[Team Number]],RobotDesignResults[Team Number],0)))</f>
        <v>0</v>
      </c>
      <c r="T11"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 s="33">
        <f t="shared" si="0"/>
        <v>11</v>
      </c>
      <c r="V11" s="30"/>
      <c r="W11" s="30"/>
      <c r="AA11" s="30"/>
      <c r="AB11" s="30"/>
      <c r="AC11" s="30"/>
    </row>
    <row r="12" spans="1:29" ht="20.25" customHeight="1" x14ac:dyDescent="0.25">
      <c r="A12" s="119">
        <v>92134</v>
      </c>
      <c r="B12" s="120" t="s">
        <v>134</v>
      </c>
      <c r="C12" s="119">
        <f>IF(TournamentData[[#This Row],[Team Number]]="","",IF(ISNA(INDEX('Robot Game Scores'!C:C,MATCH(TournamentData[[#This Row],[Team Number]], 'Robot Game Scores'!$B:$B,0))),0,INDEX('Robot Game Scores'!C:C,MATCH(TournamentData[[#This Row],[Team Number]], 'Robot Game Scores'!$B:$B,0))))</f>
        <v>0</v>
      </c>
      <c r="D12" s="119">
        <f>IF(TournamentData[[#This Row],[Team Number]]="","",IF(ISNA(INDEX('Robot Game Scores'!D:D,MATCH(TournamentData[[#This Row],[Team Number]], 'Robot Game Scores'!$B:$B,0))),0,INDEX('Robot Game Scores'!D:D,MATCH(TournamentData[[#This Row],[Team Number]], 'Robot Game Scores'!$B:$B,0))))</f>
        <v>0</v>
      </c>
      <c r="E12" s="119">
        <f>IF(TournamentData[[#This Row],[Team Number]]="","",IF(ISNA(INDEX('Robot Game Scores'!E:E,MATCH(TournamentData[[#This Row],[Team Number]], 'Robot Game Scores'!$B:$B,0))),0,INDEX('Robot Game Scores'!E:E,MATCH(TournamentData[[#This Row],[Team Number]], 'Robot Game Scores'!$B:$B,0))))</f>
        <v>0</v>
      </c>
      <c r="F12" s="119">
        <f>IF(TournamentData[[#This Row],[Team Number]]="","",IF(ISNA(INDEX('Robot Game Scores'!F:F,MATCH(TournamentData[[#This Row],[Team Number]], 'Robot Game Scores'!$B:$B,0))),0,INDEX('Robot Game Scores'!F:F,MATCH(TournamentData[[#This Row],[Team Number]], 'Robot Game Scores'!$B:$B,0))))</f>
        <v>0</v>
      </c>
      <c r="G12" s="119">
        <f>IF(TournamentData[[#This Row],[Team Number]]="","",IF(ISNA(INDEX('Robot Game Scores'!G:G,MATCH(TournamentData[[#This Row],[Team Number]], 'Robot Game Scores'!$B:$B,0))),0,INDEX('Robot Game Scores'!G:G,MATCH(TournamentData[[#This Row],[Team Number]], 'Robot Game Scores'!$B:$B,0))))</f>
        <v>0</v>
      </c>
      <c r="H12"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12" s="119">
        <f>IF(TournamentData[[#This Row],[Team Number]]="","",_xlfn.RANK.EQ(TournamentData[[#This Row],[Max Robot Game Score]],TournamentData[Max Robot Game Score]))</f>
        <v>1</v>
      </c>
      <c r="J12"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12"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12"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12"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12" s="121">
        <f>IF(TournamentData[[#This Row],[Team Number]]="","",IF(M12,RANK(M12,M$3:M$13,1)-COUNTIF(M$3:M$13,0),NumberOfTeams+1))</f>
        <v>1</v>
      </c>
      <c r="O12" s="30"/>
      <c r="P12" s="31"/>
      <c r="Q12" s="29">
        <f>IF(ISNA(INDEX(CoreValuesResults[Core Values Score],MATCH(TournamentData[[#This Row],[Team Number]],CoreValuesResults[Team Number],0))),0,INDEX(CoreValuesResults[Core Values Score],MATCH(TournamentData[[#This Row],[Team Number]],CoreValuesResults[Team Number],0)))</f>
        <v>0</v>
      </c>
      <c r="R12" s="29">
        <f>IF(ISNA(INDEX(InnovationProjectResults[Innovation Project Score],MATCH(TournamentData[[#This Row],[Team Number]],InnovationProjectResults[Team Number],0))),0,INDEX(InnovationProjectResults[Innovation Project Score],MATCH(TournamentData[[#This Row],[Team Number]],InnovationProjectResults[Team Number],0)))</f>
        <v>0</v>
      </c>
      <c r="S12" s="29">
        <f>IF(ISNA(INDEX(RobotDesignResults[Robot Design Score],MATCH(TournamentData[[#This Row],[Team Number]],RobotDesignResults[Team Number],0))),0,INDEX(RobotDesignResults[Robot Design Score],MATCH(TournamentData[[#This Row],[Team Number]],RobotDesignResults[Team Number],0)))</f>
        <v>0</v>
      </c>
      <c r="T12"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 s="33">
        <f t="shared" si="0"/>
        <v>11</v>
      </c>
      <c r="V12" s="30"/>
      <c r="W12" s="30"/>
      <c r="AA12" s="30"/>
      <c r="AB12" s="30"/>
      <c r="AC12" s="30"/>
    </row>
    <row r="13" spans="1:29" ht="20.25" customHeight="1" x14ac:dyDescent="0.25">
      <c r="A13" s="119">
        <v>93244</v>
      </c>
      <c r="B13" s="120" t="s">
        <v>135</v>
      </c>
      <c r="C13" s="119">
        <f>IF(TournamentData[[#This Row],[Team Number]]="","",IF(ISNA(INDEX('Robot Game Scores'!C:C,MATCH(TournamentData[[#This Row],[Team Number]], 'Robot Game Scores'!$B:$B,0))),0,INDEX('Robot Game Scores'!C:C,MATCH(TournamentData[[#This Row],[Team Number]], 'Robot Game Scores'!$B:$B,0))))</f>
        <v>0</v>
      </c>
      <c r="D13" s="119">
        <f>IF(TournamentData[[#This Row],[Team Number]]="","",IF(ISNA(INDEX('Robot Game Scores'!D:D,MATCH(TournamentData[[#This Row],[Team Number]], 'Robot Game Scores'!$B:$B,0))),0,INDEX('Robot Game Scores'!D:D,MATCH(TournamentData[[#This Row],[Team Number]], 'Robot Game Scores'!$B:$B,0))))</f>
        <v>0</v>
      </c>
      <c r="E13" s="119">
        <f>IF(TournamentData[[#This Row],[Team Number]]="","",IF(ISNA(INDEX('Robot Game Scores'!E:E,MATCH(TournamentData[[#This Row],[Team Number]], 'Robot Game Scores'!$B:$B,0))),0,INDEX('Robot Game Scores'!E:E,MATCH(TournamentData[[#This Row],[Team Number]], 'Robot Game Scores'!$B:$B,0))))</f>
        <v>0</v>
      </c>
      <c r="F13" s="119">
        <f>IF(TournamentData[[#This Row],[Team Number]]="","",IF(ISNA(INDEX('Robot Game Scores'!F:F,MATCH(TournamentData[[#This Row],[Team Number]], 'Robot Game Scores'!$B:$B,0))),0,INDEX('Robot Game Scores'!F:F,MATCH(TournamentData[[#This Row],[Team Number]], 'Robot Game Scores'!$B:$B,0))))</f>
        <v>0</v>
      </c>
      <c r="G13" s="119">
        <f>IF(TournamentData[[#This Row],[Team Number]]="","",IF(ISNA(INDEX('Robot Game Scores'!G:G,MATCH(TournamentData[[#This Row],[Team Number]], 'Robot Game Scores'!$B:$B,0))),0,INDEX('Robot Game Scores'!G:G,MATCH(TournamentData[[#This Row],[Team Number]], 'Robot Game Scores'!$B:$B,0))))</f>
        <v>0</v>
      </c>
      <c r="H13"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13" s="119">
        <f>IF(TournamentData[[#This Row],[Team Number]]="","",_xlfn.RANK.EQ(TournamentData[[#This Row],[Max Robot Game Score]],TournamentData[Max Robot Game Score]))</f>
        <v>1</v>
      </c>
      <c r="J13"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13"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13"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13"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13" s="121">
        <f>IF(TournamentData[[#This Row],[Team Number]]="","",IF(M13,RANK(M13,M$3:M$13,1)-COUNTIF(M$3:M$13,0),NumberOfTeams+1))</f>
        <v>1</v>
      </c>
      <c r="O13" s="30"/>
      <c r="P13" s="31"/>
      <c r="Q13" s="29">
        <f>IF(ISNA(INDEX(CoreValuesResults[Core Values Score],MATCH(TournamentData[[#This Row],[Team Number]],CoreValuesResults[Team Number],0))),0,INDEX(CoreValuesResults[Core Values Score],MATCH(TournamentData[[#This Row],[Team Number]],CoreValuesResults[Team Number],0)))</f>
        <v>0</v>
      </c>
      <c r="R13" s="29">
        <f>IF(ISNA(INDEX(InnovationProjectResults[Innovation Project Score],MATCH(TournamentData[[#This Row],[Team Number]],InnovationProjectResults[Team Number],0))),0,INDEX(InnovationProjectResults[Innovation Project Score],MATCH(TournamentData[[#This Row],[Team Number]],InnovationProjectResults[Team Number],0)))</f>
        <v>0</v>
      </c>
      <c r="S13" s="29">
        <f>IF(ISNA(INDEX(RobotDesignResults[Robot Design Score],MATCH(TournamentData[[#This Row],[Team Number]],RobotDesignResults[Team Number],0))),0,INDEX(RobotDesignResults[Robot Design Score],MATCH(TournamentData[[#This Row],[Team Number]],RobotDesignResults[Team Number],0)))</f>
        <v>0</v>
      </c>
      <c r="T13"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 s="33">
        <f t="shared" si="0"/>
        <v>11</v>
      </c>
      <c r="V13" s="30"/>
      <c r="W13" s="30"/>
      <c r="AA13" s="30"/>
      <c r="AB13" s="30"/>
      <c r="AC13" s="30"/>
    </row>
  </sheetData>
  <sheetProtection algorithmName="SHA-512" hashValue="UR8RERV81+m1dhaNhE5/eQ85+rOpDvgEvhUdd6PV7Gw3Lqm8KPt8/2djPw5JQcVLutzsIAH9Wz/tL6AHmXhY8g==" saltValue="VIrRIUxbFBzAt351EprX9w==" spinCount="100000" sheet="1" selectLockedCells="1" sort="0" autoFilter="0"/>
  <protectedRanges>
    <protectedRange sqref="A1:B2 B14:B1048576 O1:W2 F14:U1048576 X1:XFD2 B1:N13" name="ResultsSort"/>
  </protectedRanges>
  <mergeCells count="6">
    <mergeCell ref="Q1:U1"/>
    <mergeCell ref="A1:B1"/>
    <mergeCell ref="J1:L1"/>
    <mergeCell ref="O1:P1"/>
    <mergeCell ref="M1:N1"/>
    <mergeCell ref="C1:I1"/>
  </mergeCells>
  <conditionalFormatting sqref="A3:W13">
    <cfRule type="expression" dxfId="176" priority="15">
      <formula>ROW()-NumberOfTeams=2</formula>
    </cfRule>
  </conditionalFormatting>
  <conditionalFormatting sqref="A3:A13">
    <cfRule type="expression" dxfId="175" priority="9">
      <formula>IF($N3 &lt;= NumberofTeamsAdvancing,TRUE,FALSE)</formula>
    </cfRule>
  </conditionalFormatting>
  <conditionalFormatting sqref="P3:P13">
    <cfRule type="cellIs" dxfId="174" priority="1" operator="equal">
      <formula>$Z$4</formula>
    </cfRule>
    <cfRule type="cellIs" dxfId="173" priority="5" operator="equal">
      <formula>"Yes"</formula>
    </cfRule>
  </conditionalFormatting>
  <conditionalFormatting sqref="P2">
    <cfRule type="expression" dxfId="172" priority="4">
      <formula>IF(COUNTIF($P:$P,"=Yes")&lt;&gt;NumberofTeamsAdvancing,1,0)</formula>
    </cfRule>
  </conditionalFormatting>
  <conditionalFormatting sqref="B3:W13">
    <cfRule type="expression" dxfId="171" priority="19">
      <formula>IF($O3&lt;&gt;"",TRUE,FALSE)</formula>
    </cfRule>
  </conditionalFormatting>
  <conditionalFormatting sqref="I1:I1048576">
    <cfRule type="expression" dxfId="170" priority="25">
      <formula>AND(I1=3,IF(VLOOKUP("Robot Performance 3rd Place",$Y$1:$Y$13,1,FALSE)="Robot Performance 3rd Place", TRUE, FALSE))</formula>
    </cfRule>
    <cfRule type="expression" dxfId="169" priority="26">
      <formula>AND(I1=2,IF(VLOOKUP("Robot Performance 2nd Place",$Y$1:$Y$13,1,FALSE)="Robot Performance 2nd Place", TRUE, FALSE))</formula>
    </cfRule>
    <cfRule type="expression" dxfId="168" priority="27">
      <formula>AND(I1=1,IF(VLOOKUP("Robot Performance 1st Place",$Y$1:$Y$13,1,FALSE)="Robot Performance 1st Place", TRUE, FALSE))</formula>
    </cfRule>
  </conditionalFormatting>
  <dataValidations count="2">
    <dataValidation type="list" allowBlank="1" showInputMessage="1" showErrorMessage="1" sqref="P3:P13" xr:uid="{00000000-0002-0000-0200-000000000000}">
      <formula1>$Z$2:$Z$4</formula1>
    </dataValidation>
    <dataValidation type="list" allowBlank="1" showInputMessage="1" showErrorMessage="1" sqref="O3:O13" xr:uid="{00000000-0002-0000-0200-000002000000}">
      <formula1>$Y$1:$Y$13</formula1>
    </dataValidation>
  </dataValidations>
  <pageMargins left="0.7" right="0.7" top="0.75" bottom="0.75" header="0.3" footer="0.3"/>
  <pageSetup scale="39"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sheetPr>
  <dimension ref="A1:H12"/>
  <sheetViews>
    <sheetView zoomScaleNormal="100" workbookViewId="0">
      <selection activeCell="B3" sqref="B3"/>
    </sheetView>
  </sheetViews>
  <sheetFormatPr defaultColWidth="8.85546875" defaultRowHeight="30" customHeight="1" x14ac:dyDescent="0.25"/>
  <cols>
    <col min="1" max="1" width="7.42578125" style="52" customWidth="1"/>
    <col min="2" max="2" width="33.7109375" style="52" customWidth="1"/>
    <col min="3" max="5" width="7.42578125" style="52" customWidth="1"/>
    <col min="6" max="7" width="7.42578125" style="52" hidden="1" customWidth="1"/>
    <col min="8" max="8" width="10.42578125" style="79" customWidth="1"/>
    <col min="9" max="16384" width="8.85546875" style="6"/>
  </cols>
  <sheetData>
    <row r="1" spans="1:8" s="56" customFormat="1" ht="169.7" customHeight="1" x14ac:dyDescent="0.25">
      <c r="A1" s="57" t="s">
        <v>29</v>
      </c>
      <c r="B1" s="54" t="s">
        <v>9</v>
      </c>
      <c r="C1" s="55" t="s">
        <v>50</v>
      </c>
      <c r="D1" s="55" t="s">
        <v>51</v>
      </c>
      <c r="E1" s="55" t="s">
        <v>52</v>
      </c>
      <c r="F1" s="55" t="s">
        <v>53</v>
      </c>
      <c r="G1" s="55" t="s">
        <v>54</v>
      </c>
      <c r="H1" s="78" t="s">
        <v>49</v>
      </c>
    </row>
    <row r="2" spans="1:8" ht="30" customHeight="1" x14ac:dyDescent="0.25">
      <c r="A2" s="51"/>
      <c r="B2" s="51">
        <v>12863</v>
      </c>
      <c r="C2" s="75"/>
      <c r="D2" s="75"/>
      <c r="E2" s="75"/>
      <c r="F2" s="51"/>
      <c r="G2" s="51"/>
      <c r="H2" s="81">
        <f t="shared" ref="H2:H12" si="0">MAX(C2:G2)</f>
        <v>0</v>
      </c>
    </row>
    <row r="3" spans="1:8" ht="30" customHeight="1" x14ac:dyDescent="0.25">
      <c r="A3" s="51"/>
      <c r="B3" s="51">
        <v>35256</v>
      </c>
      <c r="C3" s="75"/>
      <c r="D3" s="75"/>
      <c r="E3" s="75"/>
      <c r="F3" s="51"/>
      <c r="G3" s="51"/>
      <c r="H3" s="81">
        <f t="shared" si="0"/>
        <v>0</v>
      </c>
    </row>
    <row r="4" spans="1:8" ht="30" customHeight="1" x14ac:dyDescent="0.25">
      <c r="A4" s="51"/>
      <c r="B4" s="51">
        <v>41235</v>
      </c>
      <c r="C4" s="75"/>
      <c r="D4" s="75"/>
      <c r="E4" s="75"/>
      <c r="F4" s="51"/>
      <c r="G4" s="51"/>
      <c r="H4" s="81">
        <f t="shared" si="0"/>
        <v>0</v>
      </c>
    </row>
    <row r="5" spans="1:8" ht="30" customHeight="1" x14ac:dyDescent="0.25">
      <c r="A5" s="51"/>
      <c r="B5" s="51">
        <v>46172</v>
      </c>
      <c r="C5" s="75"/>
      <c r="D5" s="75"/>
      <c r="E5" s="75"/>
      <c r="F5" s="51"/>
      <c r="G5" s="51"/>
      <c r="H5" s="81">
        <f t="shared" si="0"/>
        <v>0</v>
      </c>
    </row>
    <row r="6" spans="1:8" ht="30" customHeight="1" x14ac:dyDescent="0.25">
      <c r="A6" s="51"/>
      <c r="B6" s="51">
        <v>68211</v>
      </c>
      <c r="C6" s="75"/>
      <c r="D6" s="75"/>
      <c r="E6" s="75"/>
      <c r="F6" s="51"/>
      <c r="G6" s="51"/>
      <c r="H6" s="81">
        <f t="shared" si="0"/>
        <v>0</v>
      </c>
    </row>
    <row r="7" spans="1:8" ht="30" customHeight="1" x14ac:dyDescent="0.25">
      <c r="A7" s="51"/>
      <c r="B7" s="51">
        <v>71908</v>
      </c>
      <c r="C7" s="75"/>
      <c r="D7" s="75"/>
      <c r="E7" s="75"/>
      <c r="F7" s="51"/>
      <c r="G7" s="51"/>
      <c r="H7" s="81">
        <f t="shared" si="0"/>
        <v>0</v>
      </c>
    </row>
    <row r="8" spans="1:8" ht="30" customHeight="1" x14ac:dyDescent="0.25">
      <c r="A8" s="51"/>
      <c r="B8" s="51">
        <v>75865</v>
      </c>
      <c r="C8" s="75"/>
      <c r="D8" s="75"/>
      <c r="E8" s="75"/>
      <c r="F8" s="51"/>
      <c r="G8" s="51"/>
      <c r="H8" s="81">
        <f t="shared" si="0"/>
        <v>0</v>
      </c>
    </row>
    <row r="9" spans="1:8" ht="30" customHeight="1" x14ac:dyDescent="0.25">
      <c r="A9" s="51"/>
      <c r="B9" s="51">
        <v>87296</v>
      </c>
      <c r="C9" s="75"/>
      <c r="D9" s="75"/>
      <c r="E9" s="75"/>
      <c r="F9" s="51"/>
      <c r="G9" s="51"/>
      <c r="H9" s="81">
        <f t="shared" si="0"/>
        <v>0</v>
      </c>
    </row>
    <row r="10" spans="1:8" ht="30" customHeight="1" x14ac:dyDescent="0.25">
      <c r="A10" s="51"/>
      <c r="B10" s="51">
        <v>90556</v>
      </c>
      <c r="C10" s="75"/>
      <c r="D10" s="75"/>
      <c r="E10" s="75"/>
      <c r="F10" s="51"/>
      <c r="G10" s="51"/>
      <c r="H10" s="81">
        <f t="shared" si="0"/>
        <v>0</v>
      </c>
    </row>
    <row r="11" spans="1:8" ht="30" customHeight="1" x14ac:dyDescent="0.25">
      <c r="A11" s="51"/>
      <c r="B11" s="51">
        <v>92134</v>
      </c>
      <c r="C11" s="75"/>
      <c r="D11" s="75"/>
      <c r="E11" s="75"/>
      <c r="F11" s="51"/>
      <c r="G11" s="51"/>
      <c r="H11" s="81">
        <f t="shared" si="0"/>
        <v>0</v>
      </c>
    </row>
    <row r="12" spans="1:8" ht="30" customHeight="1" x14ac:dyDescent="0.25">
      <c r="A12" s="51"/>
      <c r="B12" s="51">
        <v>93244</v>
      </c>
      <c r="C12" s="75"/>
      <c r="D12" s="75"/>
      <c r="E12" s="75"/>
      <c r="F12" s="51"/>
      <c r="G12" s="51"/>
      <c r="H12" s="81">
        <f t="shared" si="0"/>
        <v>0</v>
      </c>
    </row>
  </sheetData>
  <conditionalFormatting sqref="A2:A12 E2:E12 C2:C12 G2:H12">
    <cfRule type="expression" dxfId="156" priority="4">
      <formula>MOD(ROW(),2)</formula>
    </cfRule>
  </conditionalFormatting>
  <conditionalFormatting sqref="A2:A12 E2:E12 C2:C12 G2:H12">
    <cfRule type="expression" dxfId="155" priority="3">
      <formula>ROW()-NumberOfTeams=1</formula>
    </cfRule>
  </conditionalFormatting>
  <conditionalFormatting sqref="B2:B12 D2:D12 F2:F12">
    <cfRule type="expression" dxfId="154" priority="2">
      <formula>MOD(ROW(),2)</formula>
    </cfRule>
  </conditionalFormatting>
  <conditionalFormatting sqref="B2:B12 D2:D12 F2:F12">
    <cfRule type="expression" dxfId="153" priority="1">
      <formula>ROW()-NumberOfTeams=1</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16DB6"/>
    <pageSetUpPr fitToPage="1"/>
  </sheetPr>
  <dimension ref="A1:P12"/>
  <sheetViews>
    <sheetView showZeros="0" zoomScaleNormal="100" zoomScalePageLayoutView="130" workbookViewId="0">
      <selection activeCell="L12" sqref="C2:L12"/>
    </sheetView>
  </sheetViews>
  <sheetFormatPr defaultColWidth="8.42578125" defaultRowHeight="30" customHeight="1" x14ac:dyDescent="0.25"/>
  <cols>
    <col min="1" max="1" width="15.42578125" customWidth="1"/>
    <col min="2" max="2" width="32.42578125" customWidth="1"/>
    <col min="3" max="12" width="7.42578125" customWidth="1"/>
    <col min="13" max="13" width="10.42578125" customWidth="1"/>
    <col min="14" max="14" width="15.42578125" customWidth="1"/>
    <col min="15" max="15" width="10.42578125" style="36" hidden="1" customWidth="1"/>
    <col min="16" max="16" width="8.42578125" style="53"/>
  </cols>
  <sheetData>
    <row r="1" spans="1:15" ht="170.25" customHeight="1" x14ac:dyDescent="0.25">
      <c r="A1" s="122" t="s">
        <v>9</v>
      </c>
      <c r="B1" s="123" t="s">
        <v>10</v>
      </c>
      <c r="C1" s="124" t="s">
        <v>105</v>
      </c>
      <c r="D1" s="124" t="s">
        <v>107</v>
      </c>
      <c r="E1" s="124" t="s">
        <v>93</v>
      </c>
      <c r="F1" s="124" t="s">
        <v>108</v>
      </c>
      <c r="G1" s="124" t="s">
        <v>109</v>
      </c>
      <c r="H1" s="124" t="s">
        <v>69</v>
      </c>
      <c r="I1" s="124" t="s">
        <v>70</v>
      </c>
      <c r="J1" s="124" t="s">
        <v>106</v>
      </c>
      <c r="K1" s="124" t="s">
        <v>110</v>
      </c>
      <c r="L1" s="124" t="s">
        <v>111</v>
      </c>
      <c r="M1" s="125" t="s">
        <v>71</v>
      </c>
      <c r="N1" s="126" t="s">
        <v>31</v>
      </c>
      <c r="O1" s="34" t="s">
        <v>72</v>
      </c>
    </row>
    <row r="2" spans="1:15" ht="30" customHeight="1" x14ac:dyDescent="0.25">
      <c r="A2" s="127">
        <v>12863</v>
      </c>
      <c r="B2" s="128" t="str">
        <f>IF(ISNA(INDEX(OfficialTeamList[Team Name],MATCH(InnovationProjectResults[[#This Row],[Team Number]], OfficialTeamList[Team Number],0))),"",INDEX(OfficialTeamList[Team Name],MATCH(InnovationProjectResults[[#This Row],[Team Number]], OfficialTeamList[Team Number],0)))</f>
        <v>Mech Mavericks</v>
      </c>
      <c r="C2" s="75"/>
      <c r="D2" s="75"/>
      <c r="E2" s="75"/>
      <c r="F2" s="75"/>
      <c r="G2" s="75"/>
      <c r="H2" s="75"/>
      <c r="I2" s="75"/>
      <c r="J2" s="75"/>
      <c r="K2" s="75"/>
      <c r="L2" s="75"/>
      <c r="M2" s="129">
        <f>SUM(InnovationProjectResults[[#This Row],[Identify - Define]:[Communicate - Fun (CV)]])</f>
        <v>0</v>
      </c>
      <c r="N2" s="130">
        <f>IF(InnovationProjectResults[[#This Row],[Team Number]]&gt;0,MIN(_xlfn.RANK.EQ(InnovationProjectResults[[#This Row],[Innovation Project Score]],InnovationProjectResults[Innovation Project Score],0),NumberOfTeams),NumberOfTeams+1)</f>
        <v>1</v>
      </c>
      <c r="O2" s="35">
        <f>SUM(InnovationProjectResults[[#This Row],[Design - Teamwork (CV)]:[Iterate - Sharing]])</f>
        <v>0</v>
      </c>
    </row>
    <row r="3" spans="1:15" ht="30" customHeight="1" x14ac:dyDescent="0.25">
      <c r="A3" s="127">
        <v>35256</v>
      </c>
      <c r="B3" s="128" t="str">
        <f>IF(ISNA(INDEX(OfficialTeamList[Team Name],MATCH(InnovationProjectResults[[#This Row],[Team Number]], OfficialTeamList[Team Number],0))),"",INDEX(OfficialTeamList[Team Name],MATCH(InnovationProjectResults[[#This Row],[Team Number]], OfficialTeamList[Team Number],0)))</f>
        <v>Circuit Savants</v>
      </c>
      <c r="C3" s="75"/>
      <c r="D3" s="75"/>
      <c r="E3" s="75"/>
      <c r="F3" s="75"/>
      <c r="G3" s="75"/>
      <c r="H3" s="75"/>
      <c r="I3" s="75"/>
      <c r="J3" s="75"/>
      <c r="K3" s="75"/>
      <c r="L3" s="75"/>
      <c r="M3" s="129">
        <f>SUM(InnovationProjectResults[[#This Row],[Identify - Define]:[Communicate - Fun (CV)]])</f>
        <v>0</v>
      </c>
      <c r="N3" s="130">
        <f>IF(InnovationProjectResults[[#This Row],[Team Number]]&gt;0,MIN(_xlfn.RANK.EQ(InnovationProjectResults[[#This Row],[Innovation Project Score]],InnovationProjectResults[Innovation Project Score],0),NumberOfTeams),NumberOfTeams+1)</f>
        <v>1</v>
      </c>
      <c r="O3" s="35">
        <f>SUM(InnovationProjectResults[[#This Row],[Design - Teamwork (CV)]:[Iterate - Sharing]])</f>
        <v>0</v>
      </c>
    </row>
    <row r="4" spans="1:15" ht="30" customHeight="1" x14ac:dyDescent="0.25">
      <c r="A4" s="127">
        <v>41235</v>
      </c>
      <c r="B4" s="128" t="str">
        <f>IF(ISNA(INDEX(OfficialTeamList[Team Name],MATCH(InnovationProjectResults[[#This Row],[Team Number]], OfficialTeamList[Team Number],0))),"",INDEX(OfficialTeamList[Team Name],MATCH(InnovationProjectResults[[#This Row],[Team Number]], OfficialTeamList[Team Number],0)))</f>
        <v>RoboRiders</v>
      </c>
      <c r="C4" s="75"/>
      <c r="D4" s="75"/>
      <c r="E4" s="75"/>
      <c r="F4" s="75"/>
      <c r="G4" s="75"/>
      <c r="H4" s="75"/>
      <c r="I4" s="75"/>
      <c r="J4" s="75"/>
      <c r="K4" s="75"/>
      <c r="L4" s="75"/>
      <c r="M4" s="129">
        <f>SUM(InnovationProjectResults[[#This Row],[Identify - Define]:[Communicate - Fun (CV)]])</f>
        <v>0</v>
      </c>
      <c r="N4" s="130">
        <f>IF(InnovationProjectResults[[#This Row],[Team Number]]&gt;0,MIN(_xlfn.RANK.EQ(InnovationProjectResults[[#This Row],[Innovation Project Score]],InnovationProjectResults[Innovation Project Score],0),NumberOfTeams),NumberOfTeams+1)</f>
        <v>1</v>
      </c>
      <c r="O4" s="35">
        <f>SUM(InnovationProjectResults[[#This Row],[Design - Teamwork (CV)]:[Iterate - Sharing]])</f>
        <v>0</v>
      </c>
    </row>
    <row r="5" spans="1:15" ht="30" customHeight="1" x14ac:dyDescent="0.25">
      <c r="A5" s="127">
        <v>46172</v>
      </c>
      <c r="B5" s="128" t="str">
        <f>IF(ISNA(INDEX(OfficialTeamList[Team Name],MATCH(InnovationProjectResults[[#This Row],[Team Number]], OfficialTeamList[Team Number],0))),"",INDEX(OfficialTeamList[Team Name],MATCH(InnovationProjectResults[[#This Row],[Team Number]], OfficialTeamList[Team Number],0)))</f>
        <v>Bot Builders</v>
      </c>
      <c r="C5" s="75"/>
      <c r="D5" s="75"/>
      <c r="E5" s="75"/>
      <c r="F5" s="75"/>
      <c r="G5" s="75"/>
      <c r="H5" s="75"/>
      <c r="I5" s="75"/>
      <c r="J5" s="75"/>
      <c r="K5" s="75"/>
      <c r="L5" s="75"/>
      <c r="M5" s="129">
        <f>SUM(InnovationProjectResults[[#This Row],[Identify - Define]:[Communicate - Fun (CV)]])</f>
        <v>0</v>
      </c>
      <c r="N5" s="130">
        <f>IF(InnovationProjectResults[[#This Row],[Team Number]]&gt;0,MIN(_xlfn.RANK.EQ(InnovationProjectResults[[#This Row],[Innovation Project Score]],InnovationProjectResults[Innovation Project Score],0),NumberOfTeams),NumberOfTeams+1)</f>
        <v>1</v>
      </c>
      <c r="O5" s="35">
        <f>SUM(InnovationProjectResults[[#This Row],[Design - Teamwork (CV)]:[Iterate - Sharing]])</f>
        <v>0</v>
      </c>
    </row>
    <row r="6" spans="1:15" ht="30" customHeight="1" x14ac:dyDescent="0.25">
      <c r="A6" s="127">
        <v>68211</v>
      </c>
      <c r="B6" s="128" t="str">
        <f>IF(ISNA(INDEX(OfficialTeamList[Team Name],MATCH(InnovationProjectResults[[#This Row],[Team Number]], OfficialTeamList[Team Number],0))),"",INDEX(OfficialTeamList[Team Name],MATCH(InnovationProjectResults[[#This Row],[Team Number]], OfficialTeamList[Team Number],0)))</f>
        <v>RoboRookies</v>
      </c>
      <c r="C6" s="75"/>
      <c r="D6" s="75"/>
      <c r="E6" s="75"/>
      <c r="F6" s="75"/>
      <c r="G6" s="75"/>
      <c r="H6" s="75"/>
      <c r="I6" s="75"/>
      <c r="J6" s="75"/>
      <c r="K6" s="75"/>
      <c r="L6" s="75"/>
      <c r="M6" s="129">
        <f>SUM(InnovationProjectResults[[#This Row],[Identify - Define]:[Communicate - Fun (CV)]])</f>
        <v>0</v>
      </c>
      <c r="N6" s="130">
        <f>IF(InnovationProjectResults[[#This Row],[Team Number]]&gt;0,MIN(_xlfn.RANK.EQ(InnovationProjectResults[[#This Row],[Innovation Project Score]],InnovationProjectResults[Innovation Project Score],0),NumberOfTeams),NumberOfTeams+1)</f>
        <v>1</v>
      </c>
      <c r="O6" s="35">
        <f>SUM(InnovationProjectResults[[#This Row],[Design - Teamwork (CV)]:[Iterate - Sharing]])</f>
        <v>0</v>
      </c>
    </row>
    <row r="7" spans="1:15" ht="30" customHeight="1" x14ac:dyDescent="0.25">
      <c r="A7" s="127">
        <v>71908</v>
      </c>
      <c r="B7" s="128" t="str">
        <f>IF(ISNA(INDEX(OfficialTeamList[Team Name],MATCH(InnovationProjectResults[[#This Row],[Team Number]], OfficialTeamList[Team Number],0))),"",INDEX(OfficialTeamList[Team Name],MATCH(InnovationProjectResults[[#This Row],[Team Number]], OfficialTeamList[Team Number],0)))</f>
        <v>Data Dreamers</v>
      </c>
      <c r="C7" s="75"/>
      <c r="D7" s="75"/>
      <c r="E7" s="75"/>
      <c r="F7" s="75"/>
      <c r="G7" s="75"/>
      <c r="H7" s="75"/>
      <c r="I7" s="75"/>
      <c r="J7" s="75"/>
      <c r="K7" s="75"/>
      <c r="L7" s="75"/>
      <c r="M7" s="129">
        <f>SUM(InnovationProjectResults[[#This Row],[Identify - Define]:[Communicate - Fun (CV)]])</f>
        <v>0</v>
      </c>
      <c r="N7" s="130">
        <f>IF(InnovationProjectResults[[#This Row],[Team Number]]&gt;0,MIN(_xlfn.RANK.EQ(InnovationProjectResults[[#This Row],[Innovation Project Score]],InnovationProjectResults[Innovation Project Score],0),NumberOfTeams),NumberOfTeams+1)</f>
        <v>1</v>
      </c>
      <c r="O7" s="35">
        <f>SUM(InnovationProjectResults[[#This Row],[Design - Teamwork (CV)]:[Iterate - Sharing]])</f>
        <v>0</v>
      </c>
    </row>
    <row r="8" spans="1:15" ht="30" customHeight="1" x14ac:dyDescent="0.25">
      <c r="A8" s="127">
        <v>75865</v>
      </c>
      <c r="B8" s="128" t="str">
        <f>IF(ISNA(INDEX(OfficialTeamList[Team Name],MATCH(InnovationProjectResults[[#This Row],[Team Number]], OfficialTeamList[Team Number],0))),"",INDEX(OfficialTeamList[Team Name],MATCH(InnovationProjectResults[[#This Row],[Team Number]], OfficialTeamList[Team Number],0)))</f>
        <v>NanoNavigators</v>
      </c>
      <c r="C8" s="75"/>
      <c r="D8" s="75"/>
      <c r="E8" s="75"/>
      <c r="F8" s="75"/>
      <c r="G8" s="75"/>
      <c r="H8" s="75"/>
      <c r="I8" s="75"/>
      <c r="J8" s="75"/>
      <c r="K8" s="75"/>
      <c r="L8" s="75"/>
      <c r="M8" s="129">
        <f>SUM(InnovationProjectResults[[#This Row],[Identify - Define]:[Communicate - Fun (CV)]])</f>
        <v>0</v>
      </c>
      <c r="N8" s="130">
        <f>IF(InnovationProjectResults[[#This Row],[Team Number]]&gt;0,MIN(_xlfn.RANK.EQ(InnovationProjectResults[[#This Row],[Innovation Project Score]],InnovationProjectResults[Innovation Project Score],0),NumberOfTeams),NumberOfTeams+1)</f>
        <v>1</v>
      </c>
      <c r="O8" s="35">
        <f>SUM(InnovationProjectResults[[#This Row],[Design - Teamwork (CV)]:[Iterate - Sharing]])</f>
        <v>0</v>
      </c>
    </row>
    <row r="9" spans="1:15" ht="30" customHeight="1" x14ac:dyDescent="0.25">
      <c r="A9" s="127">
        <v>87296</v>
      </c>
      <c r="B9" s="128" t="str">
        <f>IF(ISNA(INDEX(OfficialTeamList[Team Name],MATCH(InnovationProjectResults[[#This Row],[Team Number]], OfficialTeamList[Team Number],0))),"",INDEX(OfficialTeamList[Team Name],MATCH(InnovationProjectResults[[#This Row],[Team Number]], OfficialTeamList[Team Number],0)))</f>
        <v>Tech Tornadoes</v>
      </c>
      <c r="C9" s="75"/>
      <c r="D9" s="75"/>
      <c r="E9" s="75"/>
      <c r="F9" s="75"/>
      <c r="G9" s="75"/>
      <c r="H9" s="75"/>
      <c r="I9" s="75"/>
      <c r="J9" s="75"/>
      <c r="K9" s="75"/>
      <c r="L9" s="75"/>
      <c r="M9" s="129">
        <f>SUM(InnovationProjectResults[[#This Row],[Identify - Define]:[Communicate - Fun (CV)]])</f>
        <v>0</v>
      </c>
      <c r="N9" s="130">
        <f>IF(InnovationProjectResults[[#This Row],[Team Number]]&gt;0,MIN(_xlfn.RANK.EQ(InnovationProjectResults[[#This Row],[Innovation Project Score]],InnovationProjectResults[Innovation Project Score],0),NumberOfTeams),NumberOfTeams+1)</f>
        <v>1</v>
      </c>
      <c r="O9" s="35">
        <f>SUM(InnovationProjectResults[[#This Row],[Design - Teamwork (CV)]:[Iterate - Sharing]])</f>
        <v>0</v>
      </c>
    </row>
    <row r="10" spans="1:15" ht="30" customHeight="1" x14ac:dyDescent="0.25">
      <c r="A10" s="127">
        <v>90556</v>
      </c>
      <c r="B10" s="128" t="str">
        <f>IF(ISNA(INDEX(OfficialTeamList[Team Name],MATCH(InnovationProjectResults[[#This Row],[Team Number]], OfficialTeamList[Team Number],0))),"",INDEX(OfficialTeamList[Team Name],MATCH(InnovationProjectResults[[#This Row],[Team Number]], OfficialTeamList[Team Number],0)))</f>
        <v>CyberSamurais</v>
      </c>
      <c r="C10" s="75"/>
      <c r="D10" s="75"/>
      <c r="E10" s="75"/>
      <c r="F10" s="75"/>
      <c r="G10" s="75"/>
      <c r="H10" s="75"/>
      <c r="I10" s="75"/>
      <c r="J10" s="75"/>
      <c r="K10" s="75"/>
      <c r="L10" s="75"/>
      <c r="M10" s="129">
        <f>SUM(InnovationProjectResults[[#This Row],[Identify - Define]:[Communicate - Fun (CV)]])</f>
        <v>0</v>
      </c>
      <c r="N10" s="130">
        <f>IF(InnovationProjectResults[[#This Row],[Team Number]]&gt;0,MIN(_xlfn.RANK.EQ(InnovationProjectResults[[#This Row],[Innovation Project Score]],InnovationProjectResults[Innovation Project Score],0),NumberOfTeams),NumberOfTeams+1)</f>
        <v>1</v>
      </c>
      <c r="O10" s="35">
        <f>SUM(InnovationProjectResults[[#This Row],[Design - Teamwork (CV)]:[Iterate - Sharing]])</f>
        <v>0</v>
      </c>
    </row>
    <row r="11" spans="1:15" ht="30" customHeight="1" x14ac:dyDescent="0.25">
      <c r="A11" s="127">
        <v>92134</v>
      </c>
      <c r="B11" s="128" t="str">
        <f>IF(ISNA(INDEX(OfficialTeamList[Team Name],MATCH(InnovationProjectResults[[#This Row],[Team Number]], OfficialTeamList[Team Number],0))),"",INDEX(OfficialTeamList[Team Name],MATCH(InnovationProjectResults[[#This Row],[Team Number]], OfficialTeamList[Team Number],0)))</f>
        <v>Gear Grinders</v>
      </c>
      <c r="C11" s="75"/>
      <c r="D11" s="75"/>
      <c r="E11" s="75"/>
      <c r="F11" s="75"/>
      <c r="G11" s="75"/>
      <c r="H11" s="75"/>
      <c r="I11" s="75"/>
      <c r="J11" s="75"/>
      <c r="K11" s="75"/>
      <c r="L11" s="75"/>
      <c r="M11" s="129">
        <f>SUM(InnovationProjectResults[[#This Row],[Identify - Define]:[Communicate - Fun (CV)]])</f>
        <v>0</v>
      </c>
      <c r="N11" s="130">
        <f>IF(InnovationProjectResults[[#This Row],[Team Number]]&gt;0,MIN(_xlfn.RANK.EQ(InnovationProjectResults[[#This Row],[Innovation Project Score]],InnovationProjectResults[Innovation Project Score],0),NumberOfTeams),NumberOfTeams+1)</f>
        <v>1</v>
      </c>
      <c r="O11" s="35">
        <f>SUM(InnovationProjectResults[[#This Row],[Design - Teamwork (CV)]:[Iterate - Sharing]])</f>
        <v>0</v>
      </c>
    </row>
    <row r="12" spans="1:15" ht="30" customHeight="1" x14ac:dyDescent="0.25">
      <c r="A12" s="127">
        <v>93244</v>
      </c>
      <c r="B12" s="128" t="str">
        <f>IF(ISNA(INDEX(OfficialTeamList[Team Name],MATCH(InnovationProjectResults[[#This Row],[Team Number]], OfficialTeamList[Team Number],0))),"",INDEX(OfficialTeamList[Team Name],MATCH(InnovationProjectResults[[#This Row],[Team Number]], OfficialTeamList[Team Number],0)))</f>
        <v>Code Crushers</v>
      </c>
      <c r="C12" s="75"/>
      <c r="D12" s="75"/>
      <c r="E12" s="75"/>
      <c r="F12" s="75"/>
      <c r="G12" s="75"/>
      <c r="H12" s="75"/>
      <c r="I12" s="75"/>
      <c r="J12" s="75"/>
      <c r="K12" s="75"/>
      <c r="L12" s="75"/>
      <c r="M12" s="129">
        <f>SUM(InnovationProjectResults[[#This Row],[Identify - Define]:[Communicate - Fun (CV)]])</f>
        <v>0</v>
      </c>
      <c r="N12" s="130">
        <f>IF(InnovationProjectResults[[#This Row],[Team Number]]&gt;0,MIN(_xlfn.RANK.EQ(InnovationProjectResults[[#This Row],[Innovation Project Score]],InnovationProjectResults[Innovation Project Score],0),NumberOfTeams),NumberOfTeams+1)</f>
        <v>1</v>
      </c>
      <c r="O12" s="35">
        <f>SUM(InnovationProjectResults[[#This Row],[Design - Teamwork (CV)]:[Iterate - Sharing]])</f>
        <v>0</v>
      </c>
    </row>
  </sheetData>
  <sheetProtection selectLockedCells="1" sort="0" autoFilter="0"/>
  <protectedRanges>
    <protectedRange sqref="A1:XFD1 B1:B1048576 M1:O1048576" name="AllowIPSort"/>
  </protectedRanges>
  <phoneticPr fontId="18" type="noConversion"/>
  <conditionalFormatting sqref="A4:N12 M2:N2 C3:N3 A2:B3">
    <cfRule type="expression" dxfId="144" priority="9">
      <formula>MOD(ROW(),2)</formula>
    </cfRule>
  </conditionalFormatting>
  <conditionalFormatting sqref="A4:N12 M2:N2 C3:N3 A2:B3">
    <cfRule type="expression" dxfId="143" priority="7">
      <formula>ROW()-NumberOfTeams=1</formula>
    </cfRule>
  </conditionalFormatting>
  <conditionalFormatting sqref="O2:O12">
    <cfRule type="expression" dxfId="142" priority="4">
      <formula>MOD(ROW(),2)</formula>
    </cfRule>
  </conditionalFormatting>
  <conditionalFormatting sqref="O2:O12">
    <cfRule type="expression" dxfId="141" priority="3">
      <formula>ROW()-NumberOfTeams=1</formula>
    </cfRule>
  </conditionalFormatting>
  <conditionalFormatting sqref="C2:L2">
    <cfRule type="expression" dxfId="140" priority="2">
      <formula>MOD(ROW(),2)</formula>
    </cfRule>
  </conditionalFormatting>
  <conditionalFormatting sqref="C2:L2">
    <cfRule type="expression" dxfId="139" priority="1">
      <formula>ROW()-NumberOfTeams=1</formula>
    </cfRule>
  </conditionalFormatting>
  <printOptions horizontalCentered="1"/>
  <pageMargins left="0.25" right="0.25" top="0.75" bottom="0.75" header="0.3" footer="0.3"/>
  <pageSetup scale="69" fitToHeight="0" orientation="portrait" horizontalDpi="1200" verticalDpi="1200" r:id="rId1"/>
  <headerFooter>
    <oddHeader>&amp;C&amp;"-,Bold"&amp;36Inovation Project Input</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92D050"/>
    <pageSetUpPr fitToPage="1"/>
  </sheetPr>
  <dimension ref="A1:O12"/>
  <sheetViews>
    <sheetView showZeros="0" zoomScaleNormal="100" zoomScalePageLayoutView="130" workbookViewId="0">
      <selection activeCell="C2" sqref="C2:L12"/>
    </sheetView>
  </sheetViews>
  <sheetFormatPr defaultColWidth="8.42578125" defaultRowHeight="30" customHeight="1" x14ac:dyDescent="0.25"/>
  <cols>
    <col min="1" max="1" width="15.42578125" customWidth="1"/>
    <col min="2" max="2" width="32.42578125" customWidth="1"/>
    <col min="3" max="12" width="7.42578125" customWidth="1"/>
    <col min="13" max="13" width="10.42578125" customWidth="1"/>
    <col min="14" max="14" width="15.42578125" customWidth="1"/>
    <col min="15" max="15" width="8.42578125" style="53"/>
  </cols>
  <sheetData>
    <row r="1" spans="1:14" ht="170.25" customHeight="1" x14ac:dyDescent="0.25">
      <c r="A1" s="122" t="s">
        <v>9</v>
      </c>
      <c r="B1" s="123" t="s">
        <v>10</v>
      </c>
      <c r="C1" s="131" t="s">
        <v>73</v>
      </c>
      <c r="D1" s="131" t="s">
        <v>107</v>
      </c>
      <c r="E1" s="131" t="s">
        <v>112</v>
      </c>
      <c r="F1" s="131" t="s">
        <v>104</v>
      </c>
      <c r="G1" s="131" t="s">
        <v>94</v>
      </c>
      <c r="H1" s="131" t="s">
        <v>95</v>
      </c>
      <c r="I1" s="131" t="s">
        <v>74</v>
      </c>
      <c r="J1" s="131" t="s">
        <v>113</v>
      </c>
      <c r="K1" s="131" t="s">
        <v>110</v>
      </c>
      <c r="L1" s="131" t="s">
        <v>111</v>
      </c>
      <c r="M1" s="132" t="s">
        <v>42</v>
      </c>
      <c r="N1" s="133" t="s">
        <v>32</v>
      </c>
    </row>
    <row r="2" spans="1:14" ht="30" customHeight="1" x14ac:dyDescent="0.25">
      <c r="A2" s="127">
        <v>12863</v>
      </c>
      <c r="B2" s="128" t="str">
        <f>IF(ISNA(INDEX(OfficialTeamList[Team Name],MATCH(RobotDesignResults[[#This Row],[Team Number]], OfficialTeamList[Team Number],0))),"",INDEX(OfficialTeamList[Team Name],MATCH(RobotDesignResults[[#This Row],[Team Number]], OfficialTeamList[Team Number],0)))</f>
        <v>Mech Mavericks</v>
      </c>
      <c r="C2" s="75"/>
      <c r="D2" s="75"/>
      <c r="E2" s="75"/>
      <c r="F2" s="75"/>
      <c r="G2" s="75"/>
      <c r="H2" s="75"/>
      <c r="I2" s="75"/>
      <c r="J2" s="75"/>
      <c r="K2" s="75"/>
      <c r="L2" s="75"/>
      <c r="M2" s="129">
        <f>SUM(RobotDesignResults[[#This Row],[Identify - Strategy]:[Communicate - Fun (CV)]])</f>
        <v>0</v>
      </c>
      <c r="N2" s="130">
        <f>IF(RobotDesignResults[[#This Row],[Team Number]]&gt;0,MIN(_xlfn.RANK.EQ(RobotDesignResults[[#This Row],[Robot Design Score]],RobotDesignResults[Robot Design Score],0),NumberOfTeams),NumberOfTeams+1)</f>
        <v>1</v>
      </c>
    </row>
    <row r="3" spans="1:14" ht="30" customHeight="1" x14ac:dyDescent="0.25">
      <c r="A3" s="127">
        <v>35256</v>
      </c>
      <c r="B3" s="128" t="str">
        <f>IF(ISNA(INDEX(OfficialTeamList[Team Name],MATCH(RobotDesignResults[[#This Row],[Team Number]], OfficialTeamList[Team Number],0))),"",INDEX(OfficialTeamList[Team Name],MATCH(RobotDesignResults[[#This Row],[Team Number]], OfficialTeamList[Team Number],0)))</f>
        <v>Circuit Savants</v>
      </c>
      <c r="C3" s="75"/>
      <c r="D3" s="75"/>
      <c r="E3" s="75"/>
      <c r="F3" s="75"/>
      <c r="G3" s="75"/>
      <c r="H3" s="75"/>
      <c r="I3" s="75"/>
      <c r="J3" s="75"/>
      <c r="K3" s="75"/>
      <c r="L3" s="75"/>
      <c r="M3" s="129">
        <f>SUM(RobotDesignResults[[#This Row],[Identify - Strategy]:[Communicate - Fun (CV)]])</f>
        <v>0</v>
      </c>
      <c r="N3" s="130">
        <f>IF(RobotDesignResults[[#This Row],[Team Number]]&gt;0,MIN(_xlfn.RANK.EQ(RobotDesignResults[[#This Row],[Robot Design Score]],RobotDesignResults[Robot Design Score],0),NumberOfTeams),NumberOfTeams+1)</f>
        <v>1</v>
      </c>
    </row>
    <row r="4" spans="1:14" ht="30" customHeight="1" x14ac:dyDescent="0.25">
      <c r="A4" s="127">
        <v>41235</v>
      </c>
      <c r="B4" s="128" t="str">
        <f>IF(ISNA(INDEX(OfficialTeamList[Team Name],MATCH(RobotDesignResults[[#This Row],[Team Number]], OfficialTeamList[Team Number],0))),"",INDEX(OfficialTeamList[Team Name],MATCH(RobotDesignResults[[#This Row],[Team Number]], OfficialTeamList[Team Number],0)))</f>
        <v>RoboRiders</v>
      </c>
      <c r="C4" s="75"/>
      <c r="D4" s="75"/>
      <c r="E4" s="75"/>
      <c r="F4" s="75"/>
      <c r="G4" s="75"/>
      <c r="H4" s="75"/>
      <c r="I4" s="75"/>
      <c r="J4" s="75"/>
      <c r="K4" s="75"/>
      <c r="L4" s="75"/>
      <c r="M4" s="129">
        <f>SUM(RobotDesignResults[[#This Row],[Identify - Strategy]:[Communicate - Fun (CV)]])</f>
        <v>0</v>
      </c>
      <c r="N4" s="130">
        <f>IF(RobotDesignResults[[#This Row],[Team Number]]&gt;0,MIN(_xlfn.RANK.EQ(RobotDesignResults[[#This Row],[Robot Design Score]],RobotDesignResults[Robot Design Score],0),NumberOfTeams),NumberOfTeams+1)</f>
        <v>1</v>
      </c>
    </row>
    <row r="5" spans="1:14" ht="30" customHeight="1" x14ac:dyDescent="0.25">
      <c r="A5" s="127">
        <v>46172</v>
      </c>
      <c r="B5" s="128" t="str">
        <f>IF(ISNA(INDEX(OfficialTeamList[Team Name],MATCH(RobotDesignResults[[#This Row],[Team Number]], OfficialTeamList[Team Number],0))),"",INDEX(OfficialTeamList[Team Name],MATCH(RobotDesignResults[[#This Row],[Team Number]], OfficialTeamList[Team Number],0)))</f>
        <v>Bot Builders</v>
      </c>
      <c r="C5" s="75"/>
      <c r="D5" s="75"/>
      <c r="E5" s="75"/>
      <c r="F5" s="75"/>
      <c r="G5" s="75"/>
      <c r="H5" s="75"/>
      <c r="I5" s="75"/>
      <c r="J5" s="75"/>
      <c r="K5" s="75"/>
      <c r="L5" s="75"/>
      <c r="M5" s="129">
        <f>SUM(RobotDesignResults[[#This Row],[Identify - Strategy]:[Communicate - Fun (CV)]])</f>
        <v>0</v>
      </c>
      <c r="N5" s="130">
        <f>IF(RobotDesignResults[[#This Row],[Team Number]]&gt;0,MIN(_xlfn.RANK.EQ(RobotDesignResults[[#This Row],[Robot Design Score]],RobotDesignResults[Robot Design Score],0),NumberOfTeams),NumberOfTeams+1)</f>
        <v>1</v>
      </c>
    </row>
    <row r="6" spans="1:14" ht="30" customHeight="1" x14ac:dyDescent="0.25">
      <c r="A6" s="127">
        <v>68211</v>
      </c>
      <c r="B6" s="128" t="str">
        <f>IF(ISNA(INDEX(OfficialTeamList[Team Name],MATCH(RobotDesignResults[[#This Row],[Team Number]], OfficialTeamList[Team Number],0))),"",INDEX(OfficialTeamList[Team Name],MATCH(RobotDesignResults[[#This Row],[Team Number]], OfficialTeamList[Team Number],0)))</f>
        <v>RoboRookies</v>
      </c>
      <c r="C6" s="75"/>
      <c r="D6" s="75"/>
      <c r="E6" s="75"/>
      <c r="F6" s="75"/>
      <c r="G6" s="75"/>
      <c r="H6" s="75"/>
      <c r="I6" s="75"/>
      <c r="J6" s="75"/>
      <c r="K6" s="75"/>
      <c r="L6" s="75"/>
      <c r="M6" s="129">
        <f>SUM(RobotDesignResults[[#This Row],[Identify - Strategy]:[Communicate - Fun (CV)]])</f>
        <v>0</v>
      </c>
      <c r="N6" s="130">
        <f>IF(RobotDesignResults[[#This Row],[Team Number]]&gt;0,MIN(_xlfn.RANK.EQ(RobotDesignResults[[#This Row],[Robot Design Score]],RobotDesignResults[Robot Design Score],0),NumberOfTeams),NumberOfTeams+1)</f>
        <v>1</v>
      </c>
    </row>
    <row r="7" spans="1:14" ht="30" customHeight="1" x14ac:dyDescent="0.25">
      <c r="A7" s="127">
        <v>71908</v>
      </c>
      <c r="B7" s="128" t="str">
        <f>IF(ISNA(INDEX(OfficialTeamList[Team Name],MATCH(RobotDesignResults[[#This Row],[Team Number]], OfficialTeamList[Team Number],0))),"",INDEX(OfficialTeamList[Team Name],MATCH(RobotDesignResults[[#This Row],[Team Number]], OfficialTeamList[Team Number],0)))</f>
        <v>Data Dreamers</v>
      </c>
      <c r="C7" s="75"/>
      <c r="D7" s="75"/>
      <c r="E7" s="75"/>
      <c r="F7" s="75"/>
      <c r="G7" s="75"/>
      <c r="H7" s="75"/>
      <c r="I7" s="75"/>
      <c r="J7" s="75"/>
      <c r="K7" s="75"/>
      <c r="L7" s="75"/>
      <c r="M7" s="129">
        <f>SUM(RobotDesignResults[[#This Row],[Identify - Strategy]:[Communicate - Fun (CV)]])</f>
        <v>0</v>
      </c>
      <c r="N7" s="130">
        <f>IF(RobotDesignResults[[#This Row],[Team Number]]&gt;0,MIN(_xlfn.RANK.EQ(RobotDesignResults[[#This Row],[Robot Design Score]],RobotDesignResults[Robot Design Score],0),NumberOfTeams),NumberOfTeams+1)</f>
        <v>1</v>
      </c>
    </row>
    <row r="8" spans="1:14" ht="30" customHeight="1" x14ac:dyDescent="0.25">
      <c r="A8" s="127">
        <v>75865</v>
      </c>
      <c r="B8" s="128" t="str">
        <f>IF(ISNA(INDEX(OfficialTeamList[Team Name],MATCH(RobotDesignResults[[#This Row],[Team Number]], OfficialTeamList[Team Number],0))),"",INDEX(OfficialTeamList[Team Name],MATCH(RobotDesignResults[[#This Row],[Team Number]], OfficialTeamList[Team Number],0)))</f>
        <v>NanoNavigators</v>
      </c>
      <c r="C8" s="75"/>
      <c r="D8" s="75"/>
      <c r="E8" s="75"/>
      <c r="F8" s="75"/>
      <c r="G8" s="75"/>
      <c r="H8" s="75"/>
      <c r="I8" s="75"/>
      <c r="J8" s="75"/>
      <c r="K8" s="75"/>
      <c r="L8" s="75"/>
      <c r="M8" s="129">
        <f>SUM(RobotDesignResults[[#This Row],[Identify - Strategy]:[Communicate - Fun (CV)]])</f>
        <v>0</v>
      </c>
      <c r="N8" s="130">
        <f>IF(RobotDesignResults[[#This Row],[Team Number]]&gt;0,MIN(_xlfn.RANK.EQ(RobotDesignResults[[#This Row],[Robot Design Score]],RobotDesignResults[Robot Design Score],0),NumberOfTeams),NumberOfTeams+1)</f>
        <v>1</v>
      </c>
    </row>
    <row r="9" spans="1:14" ht="30" customHeight="1" x14ac:dyDescent="0.25">
      <c r="A9" s="127">
        <v>87296</v>
      </c>
      <c r="B9" s="128" t="str">
        <f>IF(ISNA(INDEX(OfficialTeamList[Team Name],MATCH(RobotDesignResults[[#This Row],[Team Number]], OfficialTeamList[Team Number],0))),"",INDEX(OfficialTeamList[Team Name],MATCH(RobotDesignResults[[#This Row],[Team Number]], OfficialTeamList[Team Number],0)))</f>
        <v>Tech Tornadoes</v>
      </c>
      <c r="C9" s="75"/>
      <c r="D9" s="75"/>
      <c r="E9" s="75"/>
      <c r="F9" s="75"/>
      <c r="G9" s="75"/>
      <c r="H9" s="75"/>
      <c r="I9" s="75"/>
      <c r="J9" s="75"/>
      <c r="K9" s="75"/>
      <c r="L9" s="75"/>
      <c r="M9" s="129">
        <f>SUM(RobotDesignResults[[#This Row],[Identify - Strategy]:[Communicate - Fun (CV)]])</f>
        <v>0</v>
      </c>
      <c r="N9" s="130">
        <f>IF(RobotDesignResults[[#This Row],[Team Number]]&gt;0,MIN(_xlfn.RANK.EQ(RobotDesignResults[[#This Row],[Robot Design Score]],RobotDesignResults[Robot Design Score],0),NumberOfTeams),NumberOfTeams+1)</f>
        <v>1</v>
      </c>
    </row>
    <row r="10" spans="1:14" ht="30" customHeight="1" x14ac:dyDescent="0.25">
      <c r="A10" s="127">
        <v>90556</v>
      </c>
      <c r="B10" s="128" t="str">
        <f>IF(ISNA(INDEX(OfficialTeamList[Team Name],MATCH(RobotDesignResults[[#This Row],[Team Number]], OfficialTeamList[Team Number],0))),"",INDEX(OfficialTeamList[Team Name],MATCH(RobotDesignResults[[#This Row],[Team Number]], OfficialTeamList[Team Number],0)))</f>
        <v>CyberSamurais</v>
      </c>
      <c r="C10" s="75"/>
      <c r="D10" s="75"/>
      <c r="E10" s="75"/>
      <c r="F10" s="75"/>
      <c r="G10" s="75"/>
      <c r="H10" s="75"/>
      <c r="I10" s="75"/>
      <c r="J10" s="75"/>
      <c r="K10" s="75"/>
      <c r="L10" s="75"/>
      <c r="M10" s="129">
        <f>SUM(RobotDesignResults[[#This Row],[Identify - Strategy]:[Communicate - Fun (CV)]])</f>
        <v>0</v>
      </c>
      <c r="N10" s="130">
        <f>IF(RobotDesignResults[[#This Row],[Team Number]]&gt;0,MIN(_xlfn.RANK.EQ(RobotDesignResults[[#This Row],[Robot Design Score]],RobotDesignResults[Robot Design Score],0),NumberOfTeams),NumberOfTeams+1)</f>
        <v>1</v>
      </c>
    </row>
    <row r="11" spans="1:14" ht="30" customHeight="1" x14ac:dyDescent="0.25">
      <c r="A11" s="127">
        <v>92134</v>
      </c>
      <c r="B11" s="128" t="str">
        <f>IF(ISNA(INDEX(OfficialTeamList[Team Name],MATCH(RobotDesignResults[[#This Row],[Team Number]], OfficialTeamList[Team Number],0))),"",INDEX(OfficialTeamList[Team Name],MATCH(RobotDesignResults[[#This Row],[Team Number]], OfficialTeamList[Team Number],0)))</f>
        <v>Gear Grinders</v>
      </c>
      <c r="C11" s="75"/>
      <c r="D11" s="75"/>
      <c r="E11" s="75"/>
      <c r="F11" s="75"/>
      <c r="G11" s="75"/>
      <c r="H11" s="75"/>
      <c r="I11" s="75"/>
      <c r="J11" s="75"/>
      <c r="K11" s="75"/>
      <c r="L11" s="75"/>
      <c r="M11" s="129">
        <f>SUM(RobotDesignResults[[#This Row],[Identify - Strategy]:[Communicate - Fun (CV)]])</f>
        <v>0</v>
      </c>
      <c r="N11" s="130">
        <f>IF(RobotDesignResults[[#This Row],[Team Number]]&gt;0,MIN(_xlfn.RANK.EQ(RobotDesignResults[[#This Row],[Robot Design Score]],RobotDesignResults[Robot Design Score],0),NumberOfTeams),NumberOfTeams+1)</f>
        <v>1</v>
      </c>
    </row>
    <row r="12" spans="1:14" ht="30" customHeight="1" x14ac:dyDescent="0.25">
      <c r="A12" s="127">
        <v>93244</v>
      </c>
      <c r="B12" s="128" t="str">
        <f>IF(ISNA(INDEX(OfficialTeamList[Team Name],MATCH(RobotDesignResults[[#This Row],[Team Number]], OfficialTeamList[Team Number],0))),"",INDEX(OfficialTeamList[Team Name],MATCH(RobotDesignResults[[#This Row],[Team Number]], OfficialTeamList[Team Number],0)))</f>
        <v>Code Crushers</v>
      </c>
      <c r="C12" s="75"/>
      <c r="D12" s="75"/>
      <c r="E12" s="75"/>
      <c r="F12" s="75"/>
      <c r="G12" s="75"/>
      <c r="H12" s="75"/>
      <c r="I12" s="75"/>
      <c r="J12" s="75"/>
      <c r="K12" s="75"/>
      <c r="L12" s="75"/>
      <c r="M12" s="129">
        <f>SUM(RobotDesignResults[[#This Row],[Identify - Strategy]:[Communicate - Fun (CV)]])</f>
        <v>0</v>
      </c>
      <c r="N12" s="130">
        <f>IF(RobotDesignResults[[#This Row],[Team Number]]&gt;0,MIN(_xlfn.RANK.EQ(RobotDesignResults[[#This Row],[Robot Design Score]],RobotDesignResults[Robot Design Score],0),NumberOfTeams),NumberOfTeams+1)</f>
        <v>1</v>
      </c>
    </row>
  </sheetData>
  <sheetProtection selectLockedCells="1" sort="0" autoFilter="0"/>
  <protectedRanges>
    <protectedRange sqref="A1:XFD1 B1:B1048478 M1:N1048478" name="AllowRDSort"/>
  </protectedRanges>
  <conditionalFormatting sqref="A4:N12 M2:N2 C3:N3 A2:B3">
    <cfRule type="expression" dxfId="135" priority="5">
      <formula>MOD(ROW(),2)</formula>
    </cfRule>
  </conditionalFormatting>
  <conditionalFormatting sqref="A4:N12 M2:N2 C3:N3 A2:B3">
    <cfRule type="expression" dxfId="134" priority="3">
      <formula>ROW()-NumberOfTeams=1</formula>
    </cfRule>
  </conditionalFormatting>
  <conditionalFormatting sqref="C2:L2">
    <cfRule type="expression" dxfId="133" priority="2">
      <formula>MOD(ROW(),2)</formula>
    </cfRule>
  </conditionalFormatting>
  <conditionalFormatting sqref="C2:L2">
    <cfRule type="expression" dxfId="132" priority="1">
      <formula>ROW()-NumberOfTeams=1</formula>
    </cfRule>
  </conditionalFormatting>
  <printOptions horizontalCentered="1"/>
  <pageMargins left="0.25" right="0.25" top="0.75" bottom="0.75" header="0.3" footer="0.3"/>
  <pageSetup scale="69" fitToHeight="0" orientation="portrait" horizontalDpi="1200" verticalDpi="1200" r:id="rId1"/>
  <headerFooter>
    <oddHeader>&amp;C&amp;"-,Bold"&amp;36Robot Design Input</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pageSetUpPr fitToPage="1"/>
  </sheetPr>
  <dimension ref="A1:AD12"/>
  <sheetViews>
    <sheetView showZeros="0" zoomScaleNormal="100" zoomScalePageLayoutView="140" workbookViewId="0">
      <selection activeCell="C2" sqref="C2:O12"/>
    </sheetView>
  </sheetViews>
  <sheetFormatPr defaultColWidth="8.42578125" defaultRowHeight="30" customHeight="1" x14ac:dyDescent="0.25"/>
  <cols>
    <col min="1" max="1" width="15.42578125" customWidth="1"/>
    <col min="2" max="2" width="32.42578125" customWidth="1"/>
    <col min="3" max="12" width="5.85546875" style="77" customWidth="1"/>
    <col min="13" max="15" width="7.42578125" customWidth="1"/>
    <col min="16" max="19" width="7.42578125" hidden="1" customWidth="1"/>
    <col min="20" max="20" width="7.42578125" customWidth="1"/>
    <col min="21" max="21" width="10.42578125" customWidth="1"/>
    <col min="22" max="22" width="15.42578125" customWidth="1"/>
    <col min="23" max="25" width="10.42578125" customWidth="1"/>
    <col min="26" max="26" width="8.42578125" style="53"/>
    <col min="29" max="31" width="0" hidden="1" customWidth="1"/>
  </cols>
  <sheetData>
    <row r="1" spans="1:30" ht="170.25" customHeight="1" x14ac:dyDescent="0.25">
      <c r="A1" s="122" t="s">
        <v>9</v>
      </c>
      <c r="B1" s="123" t="s">
        <v>10</v>
      </c>
      <c r="C1" s="134" t="s">
        <v>80</v>
      </c>
      <c r="D1" s="134" t="s">
        <v>81</v>
      </c>
      <c r="E1" s="134" t="s">
        <v>82</v>
      </c>
      <c r="F1" s="134" t="s">
        <v>83</v>
      </c>
      <c r="G1" s="134" t="s">
        <v>84</v>
      </c>
      <c r="H1" s="134" t="s">
        <v>85</v>
      </c>
      <c r="I1" s="134" t="s">
        <v>86</v>
      </c>
      <c r="J1" s="134" t="s">
        <v>87</v>
      </c>
      <c r="K1" s="134" t="s">
        <v>88</v>
      </c>
      <c r="L1" s="134" t="s">
        <v>89</v>
      </c>
      <c r="M1" s="135" t="s">
        <v>58</v>
      </c>
      <c r="N1" s="135" t="s">
        <v>59</v>
      </c>
      <c r="O1" s="135" t="s">
        <v>60</v>
      </c>
      <c r="P1" s="135" t="s">
        <v>61</v>
      </c>
      <c r="Q1" s="135" t="s">
        <v>62</v>
      </c>
      <c r="R1" s="136" t="s">
        <v>63</v>
      </c>
      <c r="S1" s="136" t="s">
        <v>64</v>
      </c>
      <c r="T1" s="137" t="s">
        <v>65</v>
      </c>
      <c r="U1" s="138" t="s">
        <v>40</v>
      </c>
      <c r="V1" s="138" t="s">
        <v>30</v>
      </c>
      <c r="W1" s="139" t="s">
        <v>66</v>
      </c>
      <c r="X1" s="139" t="s">
        <v>67</v>
      </c>
      <c r="Y1" s="139" t="s">
        <v>68</v>
      </c>
      <c r="AD1" s="44"/>
    </row>
    <row r="2" spans="1:30" ht="30" customHeight="1" x14ac:dyDescent="0.25">
      <c r="A2" s="127">
        <v>12863</v>
      </c>
      <c r="B2" s="128" t="str">
        <f>IF(ISNA(INDEX(OfficialTeamList[Team Name],MATCH(CoreValuesResults[[#This Row],[Team Number]], OfficialTeamList[Team Number],0))),"",INDEX(OfficialTeamList[Team Name],MATCH(CoreValuesResults[[#This Row],[Team Number]], OfficialTeamList[Team Number],0)))</f>
        <v>Mech Mavericks</v>
      </c>
      <c r="C2" s="76">
        <f>'Innovation Project Input'!D2</f>
        <v>0</v>
      </c>
      <c r="D2" s="76">
        <f>InnovationProjectResults[[#This Row],[Design - Teamwork (CV)]]</f>
        <v>0</v>
      </c>
      <c r="E2" s="76">
        <f>InnovationProjectResults[[#This Row],[Create - Innovation (CV)]]</f>
        <v>0</v>
      </c>
      <c r="F2" s="76">
        <f>InnovationProjectResults[[#This Row],[Communicate - Impact (CV)]]</f>
        <v>0</v>
      </c>
      <c r="G2" s="76">
        <f>InnovationProjectResults[[#This Row],[Communicate - Fun (CV)]]</f>
        <v>0</v>
      </c>
      <c r="H2" s="76">
        <f>'Robot Design Input'!D2</f>
        <v>0</v>
      </c>
      <c r="I2" s="76">
        <f>'Robot Design Input'!E2</f>
        <v>0</v>
      </c>
      <c r="J2" s="76">
        <f>RobotDesignResults[[#This Row],[Iterate - Improvements (CV)]]</f>
        <v>0</v>
      </c>
      <c r="K2" s="76">
        <f>RobotDesignResults[[#This Row],[Communicate - Impact (CV)]]</f>
        <v>0</v>
      </c>
      <c r="L2" s="76">
        <f>RobotDesignResults[[#This Row],[Communicate - Fun (CV)]]</f>
        <v>0</v>
      </c>
      <c r="M2" s="75"/>
      <c r="N2" s="75"/>
      <c r="O2" s="75"/>
      <c r="P2" s="127"/>
      <c r="Q2" s="127"/>
      <c r="R2" s="127" t="str">
        <f>IF(CoreValuesResults[[#This Row],[Gracious Professionalism 1]]="","",COUNTIF(CoreValuesResults[[#This Row],[Gracious Professionalism 1]:[Gracious Professionalism 5]],""))</f>
        <v/>
      </c>
      <c r="S2" s="127" t="str">
        <f>IF(CoreValuesResults[[#This Row],[Gracious Professionalism 1]]="","",SUM(CoreValuesResults[[#This Row],[Gracious Professionalism 1]:[Gracious Professionalism 5]]))</f>
        <v/>
      </c>
      <c r="T2"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 s="140">
        <f>SUM(CoreValuesResults[[#This Row],[Discovery (IP)]:[Fun (RD)]],CoreValuesResults[[#This Row],[Gracious Professionalism Score]])</f>
        <v>0</v>
      </c>
      <c r="V2" s="130">
        <f>IF(CoreValuesResults[[#This Row],[Team Number]]&gt;0,MIN(_xlfn.RANK.EQ(CoreValuesResults[[#This Row],[Core Values Score]],CoreValuesResults[Core Values Score],0),NumberOfTeams),NumberOfTeams+1)</f>
        <v>1</v>
      </c>
      <c r="W2" s="141"/>
      <c r="X2" s="141"/>
      <c r="Y2" s="141"/>
      <c r="AD2" s="44" t="b">
        <v>1</v>
      </c>
    </row>
    <row r="3" spans="1:30" ht="30" customHeight="1" x14ac:dyDescent="0.25">
      <c r="A3" s="127">
        <v>35256</v>
      </c>
      <c r="B3" s="128" t="str">
        <f>IF(ISNA(INDEX(OfficialTeamList[Team Name],MATCH(CoreValuesResults[[#This Row],[Team Number]], OfficialTeamList[Team Number],0))),"",INDEX(OfficialTeamList[Team Name],MATCH(CoreValuesResults[[#This Row],[Team Number]], OfficialTeamList[Team Number],0)))</f>
        <v>Circuit Savants</v>
      </c>
      <c r="C3" s="76">
        <f>'Innovation Project Input'!D3</f>
        <v>0</v>
      </c>
      <c r="D3" s="76">
        <f>InnovationProjectResults[[#This Row],[Design - Teamwork (CV)]]</f>
        <v>0</v>
      </c>
      <c r="E3" s="76">
        <f>InnovationProjectResults[[#This Row],[Create - Innovation (CV)]]</f>
        <v>0</v>
      </c>
      <c r="F3" s="76">
        <f>InnovationProjectResults[[#This Row],[Communicate - Impact (CV)]]</f>
        <v>0</v>
      </c>
      <c r="G3" s="76">
        <f>InnovationProjectResults[[#This Row],[Communicate - Fun (CV)]]</f>
        <v>0</v>
      </c>
      <c r="H3" s="76">
        <f>'Robot Design Input'!D3</f>
        <v>0</v>
      </c>
      <c r="I3" s="76">
        <f>'Robot Design Input'!E3</f>
        <v>0</v>
      </c>
      <c r="J3" s="76">
        <f>RobotDesignResults[[#This Row],[Iterate - Improvements (CV)]]</f>
        <v>0</v>
      </c>
      <c r="K3" s="76">
        <f>RobotDesignResults[[#This Row],[Communicate - Impact (CV)]]</f>
        <v>0</v>
      </c>
      <c r="L3" s="76">
        <f>RobotDesignResults[[#This Row],[Communicate - Fun (CV)]]</f>
        <v>0</v>
      </c>
      <c r="M3" s="75"/>
      <c r="N3" s="75"/>
      <c r="O3" s="75"/>
      <c r="P3" s="127"/>
      <c r="Q3" s="127"/>
      <c r="R3" s="127" t="str">
        <f>IF(CoreValuesResults[[#This Row],[Gracious Professionalism 1]]="","",COUNTIF(CoreValuesResults[[#This Row],[Gracious Professionalism 1]:[Gracious Professionalism 5]],""))</f>
        <v/>
      </c>
      <c r="S3" s="127" t="str">
        <f>IF(CoreValuesResults[[#This Row],[Gracious Professionalism 1]]="","",SUM(CoreValuesResults[[#This Row],[Gracious Professionalism 1]:[Gracious Professionalism 5]]))</f>
        <v/>
      </c>
      <c r="T3"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 s="140">
        <f>SUM(CoreValuesResults[[#This Row],[Discovery (IP)]:[Fun (RD)]],CoreValuesResults[[#This Row],[Gracious Professionalism Score]])</f>
        <v>0</v>
      </c>
      <c r="V3" s="130">
        <f>IF(CoreValuesResults[[#This Row],[Team Number]]&gt;0,MIN(_xlfn.RANK.EQ(CoreValuesResults[[#This Row],[Core Values Score]],CoreValuesResults[Core Values Score],0),NumberOfTeams),NumberOfTeams+1)</f>
        <v>1</v>
      </c>
      <c r="W3" s="141"/>
      <c r="X3" s="141"/>
      <c r="Y3" s="141"/>
      <c r="AD3" s="44"/>
    </row>
    <row r="4" spans="1:30" ht="30" customHeight="1" x14ac:dyDescent="0.25">
      <c r="A4" s="127">
        <v>41235</v>
      </c>
      <c r="B4" s="128" t="str">
        <f>IF(ISNA(INDEX(OfficialTeamList[Team Name],MATCH(CoreValuesResults[[#This Row],[Team Number]], OfficialTeamList[Team Number],0))),"",INDEX(OfficialTeamList[Team Name],MATCH(CoreValuesResults[[#This Row],[Team Number]], OfficialTeamList[Team Number],0)))</f>
        <v>RoboRiders</v>
      </c>
      <c r="C4" s="76">
        <f>'Innovation Project Input'!D4</f>
        <v>0</v>
      </c>
      <c r="D4" s="76">
        <f>InnovationProjectResults[[#This Row],[Design - Teamwork (CV)]]</f>
        <v>0</v>
      </c>
      <c r="E4" s="76">
        <f>InnovationProjectResults[[#This Row],[Create - Innovation (CV)]]</f>
        <v>0</v>
      </c>
      <c r="F4" s="76">
        <f>InnovationProjectResults[[#This Row],[Communicate - Impact (CV)]]</f>
        <v>0</v>
      </c>
      <c r="G4" s="76">
        <f>InnovationProjectResults[[#This Row],[Communicate - Fun (CV)]]</f>
        <v>0</v>
      </c>
      <c r="H4" s="76">
        <f>'Robot Design Input'!D4</f>
        <v>0</v>
      </c>
      <c r="I4" s="76">
        <f>'Robot Design Input'!E4</f>
        <v>0</v>
      </c>
      <c r="J4" s="76">
        <f>RobotDesignResults[[#This Row],[Iterate - Improvements (CV)]]</f>
        <v>0</v>
      </c>
      <c r="K4" s="76">
        <f>RobotDesignResults[[#This Row],[Communicate - Impact (CV)]]</f>
        <v>0</v>
      </c>
      <c r="L4" s="76">
        <f>RobotDesignResults[[#This Row],[Communicate - Fun (CV)]]</f>
        <v>0</v>
      </c>
      <c r="M4" s="75"/>
      <c r="N4" s="75"/>
      <c r="O4" s="75"/>
      <c r="P4" s="127"/>
      <c r="Q4" s="127"/>
      <c r="R4" s="127" t="str">
        <f>IF(CoreValuesResults[[#This Row],[Gracious Professionalism 1]]="","",COUNTIF(CoreValuesResults[[#This Row],[Gracious Professionalism 1]:[Gracious Professionalism 5]],""))</f>
        <v/>
      </c>
      <c r="S4" s="127" t="str">
        <f>IF(CoreValuesResults[[#This Row],[Gracious Professionalism 1]]="","",SUM(CoreValuesResults[[#This Row],[Gracious Professionalism 1]:[Gracious Professionalism 5]]))</f>
        <v/>
      </c>
      <c r="T4"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 s="140">
        <f>SUM(CoreValuesResults[[#This Row],[Discovery (IP)]:[Fun (RD)]],CoreValuesResults[[#This Row],[Gracious Professionalism Score]])</f>
        <v>0</v>
      </c>
      <c r="V4" s="130">
        <f>IF(CoreValuesResults[[#This Row],[Team Number]]&gt;0,MIN(_xlfn.RANK.EQ(CoreValuesResults[[#This Row],[Core Values Score]],CoreValuesResults[Core Values Score],0),NumberOfTeams),NumberOfTeams+1)</f>
        <v>1</v>
      </c>
      <c r="W4" s="141"/>
      <c r="X4" s="141"/>
      <c r="Y4" s="141"/>
      <c r="AD4" s="44"/>
    </row>
    <row r="5" spans="1:30" ht="30" customHeight="1" x14ac:dyDescent="0.25">
      <c r="A5" s="127">
        <v>46172</v>
      </c>
      <c r="B5" s="128" t="str">
        <f>IF(ISNA(INDEX(OfficialTeamList[Team Name],MATCH(CoreValuesResults[[#This Row],[Team Number]], OfficialTeamList[Team Number],0))),"",INDEX(OfficialTeamList[Team Name],MATCH(CoreValuesResults[[#This Row],[Team Number]], OfficialTeamList[Team Number],0)))</f>
        <v>Bot Builders</v>
      </c>
      <c r="C5" s="76">
        <f>'Innovation Project Input'!D5</f>
        <v>0</v>
      </c>
      <c r="D5" s="76">
        <f>InnovationProjectResults[[#This Row],[Design - Teamwork (CV)]]</f>
        <v>0</v>
      </c>
      <c r="E5" s="76">
        <f>InnovationProjectResults[[#This Row],[Create - Innovation (CV)]]</f>
        <v>0</v>
      </c>
      <c r="F5" s="76">
        <f>InnovationProjectResults[[#This Row],[Communicate - Impact (CV)]]</f>
        <v>0</v>
      </c>
      <c r="G5" s="76">
        <f>InnovationProjectResults[[#This Row],[Communicate - Fun (CV)]]</f>
        <v>0</v>
      </c>
      <c r="H5" s="76">
        <f>'Robot Design Input'!D5</f>
        <v>0</v>
      </c>
      <c r="I5" s="76">
        <f>'Robot Design Input'!E5</f>
        <v>0</v>
      </c>
      <c r="J5" s="76">
        <f>RobotDesignResults[[#This Row],[Iterate - Improvements (CV)]]</f>
        <v>0</v>
      </c>
      <c r="K5" s="76">
        <f>RobotDesignResults[[#This Row],[Communicate - Impact (CV)]]</f>
        <v>0</v>
      </c>
      <c r="L5" s="76">
        <f>RobotDesignResults[[#This Row],[Communicate - Fun (CV)]]</f>
        <v>0</v>
      </c>
      <c r="M5" s="75"/>
      <c r="N5" s="75"/>
      <c r="O5" s="75"/>
      <c r="P5" s="127"/>
      <c r="Q5" s="127"/>
      <c r="R5" s="127" t="str">
        <f>IF(CoreValuesResults[[#This Row],[Gracious Professionalism 1]]="","",COUNTIF(CoreValuesResults[[#This Row],[Gracious Professionalism 1]:[Gracious Professionalism 5]],""))</f>
        <v/>
      </c>
      <c r="S5" s="127" t="str">
        <f>IF(CoreValuesResults[[#This Row],[Gracious Professionalism 1]]="","",SUM(CoreValuesResults[[#This Row],[Gracious Professionalism 1]:[Gracious Professionalism 5]]))</f>
        <v/>
      </c>
      <c r="T5"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 s="140">
        <f>SUM(CoreValuesResults[[#This Row],[Discovery (IP)]:[Fun (RD)]],CoreValuesResults[[#This Row],[Gracious Professionalism Score]])</f>
        <v>0</v>
      </c>
      <c r="V5" s="130">
        <f>IF(CoreValuesResults[[#This Row],[Team Number]]&gt;0,MIN(_xlfn.RANK.EQ(CoreValuesResults[[#This Row],[Core Values Score]],CoreValuesResults[Core Values Score],0),NumberOfTeams),NumberOfTeams+1)</f>
        <v>1</v>
      </c>
      <c r="W5" s="141"/>
      <c r="X5" s="141"/>
      <c r="Y5" s="141"/>
    </row>
    <row r="6" spans="1:30" ht="30" customHeight="1" x14ac:dyDescent="0.25">
      <c r="A6" s="127">
        <v>68211</v>
      </c>
      <c r="B6" s="128" t="str">
        <f>IF(ISNA(INDEX(OfficialTeamList[Team Name],MATCH(CoreValuesResults[[#This Row],[Team Number]], OfficialTeamList[Team Number],0))),"",INDEX(OfficialTeamList[Team Name],MATCH(CoreValuesResults[[#This Row],[Team Number]], OfficialTeamList[Team Number],0)))</f>
        <v>RoboRookies</v>
      </c>
      <c r="C6" s="76">
        <f>'Innovation Project Input'!D6</f>
        <v>0</v>
      </c>
      <c r="D6" s="76">
        <f>InnovationProjectResults[[#This Row],[Design - Teamwork (CV)]]</f>
        <v>0</v>
      </c>
      <c r="E6" s="76">
        <f>InnovationProjectResults[[#This Row],[Create - Innovation (CV)]]</f>
        <v>0</v>
      </c>
      <c r="F6" s="76">
        <f>InnovationProjectResults[[#This Row],[Communicate - Impact (CV)]]</f>
        <v>0</v>
      </c>
      <c r="G6" s="76">
        <f>InnovationProjectResults[[#This Row],[Communicate - Fun (CV)]]</f>
        <v>0</v>
      </c>
      <c r="H6" s="76">
        <f>'Robot Design Input'!D6</f>
        <v>0</v>
      </c>
      <c r="I6" s="76">
        <f>'Robot Design Input'!E6</f>
        <v>0</v>
      </c>
      <c r="J6" s="76">
        <f>RobotDesignResults[[#This Row],[Iterate - Improvements (CV)]]</f>
        <v>0</v>
      </c>
      <c r="K6" s="76">
        <f>RobotDesignResults[[#This Row],[Communicate - Impact (CV)]]</f>
        <v>0</v>
      </c>
      <c r="L6" s="76">
        <f>RobotDesignResults[[#This Row],[Communicate - Fun (CV)]]</f>
        <v>0</v>
      </c>
      <c r="M6" s="75"/>
      <c r="N6" s="75"/>
      <c r="O6" s="75"/>
      <c r="P6" s="127"/>
      <c r="Q6" s="127"/>
      <c r="R6" s="127" t="str">
        <f>IF(CoreValuesResults[[#This Row],[Gracious Professionalism 1]]="","",COUNTIF(CoreValuesResults[[#This Row],[Gracious Professionalism 1]:[Gracious Professionalism 5]],""))</f>
        <v/>
      </c>
      <c r="S6" s="127" t="str">
        <f>IF(CoreValuesResults[[#This Row],[Gracious Professionalism 1]]="","",SUM(CoreValuesResults[[#This Row],[Gracious Professionalism 1]:[Gracious Professionalism 5]]))</f>
        <v/>
      </c>
      <c r="T6"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 s="140">
        <f>SUM(CoreValuesResults[[#This Row],[Discovery (IP)]:[Fun (RD)]],CoreValuesResults[[#This Row],[Gracious Professionalism Score]])</f>
        <v>0</v>
      </c>
      <c r="V6" s="130">
        <f>IF(CoreValuesResults[[#This Row],[Team Number]]&gt;0,MIN(_xlfn.RANK.EQ(CoreValuesResults[[#This Row],[Core Values Score]],CoreValuesResults[Core Values Score],0),NumberOfTeams),NumberOfTeams+1)</f>
        <v>1</v>
      </c>
      <c r="W6" s="141"/>
      <c r="X6" s="141"/>
      <c r="Y6" s="141"/>
    </row>
    <row r="7" spans="1:30" ht="30" customHeight="1" x14ac:dyDescent="0.25">
      <c r="A7" s="127">
        <v>71908</v>
      </c>
      <c r="B7" s="128" t="str">
        <f>IF(ISNA(INDEX(OfficialTeamList[Team Name],MATCH(CoreValuesResults[[#This Row],[Team Number]], OfficialTeamList[Team Number],0))),"",INDEX(OfficialTeamList[Team Name],MATCH(CoreValuesResults[[#This Row],[Team Number]], OfficialTeamList[Team Number],0)))</f>
        <v>Data Dreamers</v>
      </c>
      <c r="C7" s="76">
        <f>'Innovation Project Input'!D7</f>
        <v>0</v>
      </c>
      <c r="D7" s="76">
        <f>InnovationProjectResults[[#This Row],[Design - Teamwork (CV)]]</f>
        <v>0</v>
      </c>
      <c r="E7" s="76">
        <f>InnovationProjectResults[[#This Row],[Create - Innovation (CV)]]</f>
        <v>0</v>
      </c>
      <c r="F7" s="76">
        <f>InnovationProjectResults[[#This Row],[Communicate - Impact (CV)]]</f>
        <v>0</v>
      </c>
      <c r="G7" s="76">
        <f>InnovationProjectResults[[#This Row],[Communicate - Fun (CV)]]</f>
        <v>0</v>
      </c>
      <c r="H7" s="76">
        <f>'Robot Design Input'!D7</f>
        <v>0</v>
      </c>
      <c r="I7" s="76">
        <f>'Robot Design Input'!E7</f>
        <v>0</v>
      </c>
      <c r="J7" s="76">
        <f>RobotDesignResults[[#This Row],[Iterate - Improvements (CV)]]</f>
        <v>0</v>
      </c>
      <c r="K7" s="76">
        <f>RobotDesignResults[[#This Row],[Communicate - Impact (CV)]]</f>
        <v>0</v>
      </c>
      <c r="L7" s="76">
        <f>RobotDesignResults[[#This Row],[Communicate - Fun (CV)]]</f>
        <v>0</v>
      </c>
      <c r="M7" s="75"/>
      <c r="N7" s="75"/>
      <c r="O7" s="75"/>
      <c r="P7" s="127"/>
      <c r="Q7" s="127"/>
      <c r="R7" s="127" t="str">
        <f>IF(CoreValuesResults[[#This Row],[Gracious Professionalism 1]]="","",COUNTIF(CoreValuesResults[[#This Row],[Gracious Professionalism 1]:[Gracious Professionalism 5]],""))</f>
        <v/>
      </c>
      <c r="S7" s="127" t="str">
        <f>IF(CoreValuesResults[[#This Row],[Gracious Professionalism 1]]="","",SUM(CoreValuesResults[[#This Row],[Gracious Professionalism 1]:[Gracious Professionalism 5]]))</f>
        <v/>
      </c>
      <c r="T7"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 s="140">
        <f>SUM(CoreValuesResults[[#This Row],[Discovery (IP)]:[Fun (RD)]],CoreValuesResults[[#This Row],[Gracious Professionalism Score]])</f>
        <v>0</v>
      </c>
      <c r="V7" s="130">
        <f>IF(CoreValuesResults[[#This Row],[Team Number]]&gt;0,MIN(_xlfn.RANK.EQ(CoreValuesResults[[#This Row],[Core Values Score]],CoreValuesResults[Core Values Score],0),NumberOfTeams),NumberOfTeams+1)</f>
        <v>1</v>
      </c>
      <c r="W7" s="141"/>
      <c r="X7" s="141"/>
      <c r="Y7" s="141"/>
    </row>
    <row r="8" spans="1:30" ht="30" customHeight="1" x14ac:dyDescent="0.25">
      <c r="A8" s="127">
        <v>75865</v>
      </c>
      <c r="B8" s="128" t="str">
        <f>IF(ISNA(INDEX(OfficialTeamList[Team Name],MATCH(CoreValuesResults[[#This Row],[Team Number]], OfficialTeamList[Team Number],0))),"",INDEX(OfficialTeamList[Team Name],MATCH(CoreValuesResults[[#This Row],[Team Number]], OfficialTeamList[Team Number],0)))</f>
        <v>NanoNavigators</v>
      </c>
      <c r="C8" s="76">
        <f>'Innovation Project Input'!D8</f>
        <v>0</v>
      </c>
      <c r="D8" s="76">
        <f>InnovationProjectResults[[#This Row],[Design - Teamwork (CV)]]</f>
        <v>0</v>
      </c>
      <c r="E8" s="76">
        <f>InnovationProjectResults[[#This Row],[Create - Innovation (CV)]]</f>
        <v>0</v>
      </c>
      <c r="F8" s="76">
        <f>InnovationProjectResults[[#This Row],[Communicate - Impact (CV)]]</f>
        <v>0</v>
      </c>
      <c r="G8" s="76">
        <f>InnovationProjectResults[[#This Row],[Communicate - Fun (CV)]]</f>
        <v>0</v>
      </c>
      <c r="H8" s="76">
        <f>'Robot Design Input'!D8</f>
        <v>0</v>
      </c>
      <c r="I8" s="76">
        <f>'Robot Design Input'!E8</f>
        <v>0</v>
      </c>
      <c r="J8" s="76">
        <f>RobotDesignResults[[#This Row],[Iterate - Improvements (CV)]]</f>
        <v>0</v>
      </c>
      <c r="K8" s="76">
        <f>RobotDesignResults[[#This Row],[Communicate - Impact (CV)]]</f>
        <v>0</v>
      </c>
      <c r="L8" s="76">
        <f>RobotDesignResults[[#This Row],[Communicate - Fun (CV)]]</f>
        <v>0</v>
      </c>
      <c r="M8" s="75"/>
      <c r="N8" s="75"/>
      <c r="O8" s="75"/>
      <c r="P8" s="127"/>
      <c r="Q8" s="127"/>
      <c r="R8" s="127" t="str">
        <f>IF(CoreValuesResults[[#This Row],[Gracious Professionalism 1]]="","",COUNTIF(CoreValuesResults[[#This Row],[Gracious Professionalism 1]:[Gracious Professionalism 5]],""))</f>
        <v/>
      </c>
      <c r="S8" s="127" t="str">
        <f>IF(CoreValuesResults[[#This Row],[Gracious Professionalism 1]]="","",SUM(CoreValuesResults[[#This Row],[Gracious Professionalism 1]:[Gracious Professionalism 5]]))</f>
        <v/>
      </c>
      <c r="T8"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 s="140">
        <f>SUM(CoreValuesResults[[#This Row],[Discovery (IP)]:[Fun (RD)]],CoreValuesResults[[#This Row],[Gracious Professionalism Score]])</f>
        <v>0</v>
      </c>
      <c r="V8" s="130">
        <f>IF(CoreValuesResults[[#This Row],[Team Number]]&gt;0,MIN(_xlfn.RANK.EQ(CoreValuesResults[[#This Row],[Core Values Score]],CoreValuesResults[Core Values Score],0),NumberOfTeams),NumberOfTeams+1)</f>
        <v>1</v>
      </c>
      <c r="W8" s="141"/>
      <c r="X8" s="141"/>
      <c r="Y8" s="141"/>
    </row>
    <row r="9" spans="1:30" ht="30" customHeight="1" x14ac:dyDescent="0.25">
      <c r="A9" s="127">
        <v>87296</v>
      </c>
      <c r="B9" s="128" t="str">
        <f>IF(ISNA(INDEX(OfficialTeamList[Team Name],MATCH(CoreValuesResults[[#This Row],[Team Number]], OfficialTeamList[Team Number],0))),"",INDEX(OfficialTeamList[Team Name],MATCH(CoreValuesResults[[#This Row],[Team Number]], OfficialTeamList[Team Number],0)))</f>
        <v>Tech Tornadoes</v>
      </c>
      <c r="C9" s="76">
        <f>'Innovation Project Input'!D9</f>
        <v>0</v>
      </c>
      <c r="D9" s="76">
        <f>InnovationProjectResults[[#This Row],[Design - Teamwork (CV)]]</f>
        <v>0</v>
      </c>
      <c r="E9" s="76">
        <f>InnovationProjectResults[[#This Row],[Create - Innovation (CV)]]</f>
        <v>0</v>
      </c>
      <c r="F9" s="76">
        <f>InnovationProjectResults[[#This Row],[Communicate - Impact (CV)]]</f>
        <v>0</v>
      </c>
      <c r="G9" s="76">
        <f>InnovationProjectResults[[#This Row],[Communicate - Fun (CV)]]</f>
        <v>0</v>
      </c>
      <c r="H9" s="76">
        <f>'Robot Design Input'!D9</f>
        <v>0</v>
      </c>
      <c r="I9" s="76">
        <f>'Robot Design Input'!E9</f>
        <v>0</v>
      </c>
      <c r="J9" s="76">
        <f>RobotDesignResults[[#This Row],[Iterate - Improvements (CV)]]</f>
        <v>0</v>
      </c>
      <c r="K9" s="76">
        <f>RobotDesignResults[[#This Row],[Communicate - Impact (CV)]]</f>
        <v>0</v>
      </c>
      <c r="L9" s="76">
        <f>RobotDesignResults[[#This Row],[Communicate - Fun (CV)]]</f>
        <v>0</v>
      </c>
      <c r="M9" s="75"/>
      <c r="N9" s="75"/>
      <c r="O9" s="75"/>
      <c r="P9" s="127"/>
      <c r="Q9" s="127"/>
      <c r="R9" s="127" t="str">
        <f>IF(CoreValuesResults[[#This Row],[Gracious Professionalism 1]]="","",COUNTIF(CoreValuesResults[[#This Row],[Gracious Professionalism 1]:[Gracious Professionalism 5]],""))</f>
        <v/>
      </c>
      <c r="S9" s="127" t="str">
        <f>IF(CoreValuesResults[[#This Row],[Gracious Professionalism 1]]="","",SUM(CoreValuesResults[[#This Row],[Gracious Professionalism 1]:[Gracious Professionalism 5]]))</f>
        <v/>
      </c>
      <c r="T9"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 s="140">
        <f>SUM(CoreValuesResults[[#This Row],[Discovery (IP)]:[Fun (RD)]],CoreValuesResults[[#This Row],[Gracious Professionalism Score]])</f>
        <v>0</v>
      </c>
      <c r="V9" s="130">
        <f>IF(CoreValuesResults[[#This Row],[Team Number]]&gt;0,MIN(_xlfn.RANK.EQ(CoreValuesResults[[#This Row],[Core Values Score]],CoreValuesResults[Core Values Score],0),NumberOfTeams),NumberOfTeams+1)</f>
        <v>1</v>
      </c>
      <c r="W9" s="141"/>
      <c r="X9" s="141"/>
      <c r="Y9" s="141"/>
    </row>
    <row r="10" spans="1:30" ht="30" customHeight="1" x14ac:dyDescent="0.25">
      <c r="A10" s="127">
        <v>90556</v>
      </c>
      <c r="B10" s="128" t="str">
        <f>IF(ISNA(INDEX(OfficialTeamList[Team Name],MATCH(CoreValuesResults[[#This Row],[Team Number]], OfficialTeamList[Team Number],0))),"",INDEX(OfficialTeamList[Team Name],MATCH(CoreValuesResults[[#This Row],[Team Number]], OfficialTeamList[Team Number],0)))</f>
        <v>CyberSamurais</v>
      </c>
      <c r="C10" s="76">
        <f>'Innovation Project Input'!D10</f>
        <v>0</v>
      </c>
      <c r="D10" s="76">
        <f>InnovationProjectResults[[#This Row],[Design - Teamwork (CV)]]</f>
        <v>0</v>
      </c>
      <c r="E10" s="76">
        <f>InnovationProjectResults[[#This Row],[Create - Innovation (CV)]]</f>
        <v>0</v>
      </c>
      <c r="F10" s="76">
        <f>InnovationProjectResults[[#This Row],[Communicate - Impact (CV)]]</f>
        <v>0</v>
      </c>
      <c r="G10" s="76">
        <f>InnovationProjectResults[[#This Row],[Communicate - Fun (CV)]]</f>
        <v>0</v>
      </c>
      <c r="H10" s="76">
        <f>'Robot Design Input'!D10</f>
        <v>0</v>
      </c>
      <c r="I10" s="76">
        <f>'Robot Design Input'!E10</f>
        <v>0</v>
      </c>
      <c r="J10" s="76">
        <f>RobotDesignResults[[#This Row],[Iterate - Improvements (CV)]]</f>
        <v>0</v>
      </c>
      <c r="K10" s="76">
        <f>RobotDesignResults[[#This Row],[Communicate - Impact (CV)]]</f>
        <v>0</v>
      </c>
      <c r="L10" s="76">
        <f>RobotDesignResults[[#This Row],[Communicate - Fun (CV)]]</f>
        <v>0</v>
      </c>
      <c r="M10" s="75"/>
      <c r="N10" s="75"/>
      <c r="O10" s="75"/>
      <c r="P10" s="127"/>
      <c r="Q10" s="127"/>
      <c r="R10" s="127" t="str">
        <f>IF(CoreValuesResults[[#This Row],[Gracious Professionalism 1]]="","",COUNTIF(CoreValuesResults[[#This Row],[Gracious Professionalism 1]:[Gracious Professionalism 5]],""))</f>
        <v/>
      </c>
      <c r="S10" s="127" t="str">
        <f>IF(CoreValuesResults[[#This Row],[Gracious Professionalism 1]]="","",SUM(CoreValuesResults[[#This Row],[Gracious Professionalism 1]:[Gracious Professionalism 5]]))</f>
        <v/>
      </c>
      <c r="T10"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 s="140">
        <f>SUM(CoreValuesResults[[#This Row],[Discovery (IP)]:[Fun (RD)]],CoreValuesResults[[#This Row],[Gracious Professionalism Score]])</f>
        <v>0</v>
      </c>
      <c r="V10" s="130">
        <f>IF(CoreValuesResults[[#This Row],[Team Number]]&gt;0,MIN(_xlfn.RANK.EQ(CoreValuesResults[[#This Row],[Core Values Score]],CoreValuesResults[Core Values Score],0),NumberOfTeams),NumberOfTeams+1)</f>
        <v>1</v>
      </c>
      <c r="W10" s="141"/>
      <c r="X10" s="141"/>
      <c r="Y10" s="141"/>
    </row>
    <row r="11" spans="1:30" ht="30" customHeight="1" x14ac:dyDescent="0.25">
      <c r="A11" s="127">
        <v>92134</v>
      </c>
      <c r="B11" s="128" t="str">
        <f>IF(ISNA(INDEX(OfficialTeamList[Team Name],MATCH(CoreValuesResults[[#This Row],[Team Number]], OfficialTeamList[Team Number],0))),"",INDEX(OfficialTeamList[Team Name],MATCH(CoreValuesResults[[#This Row],[Team Number]], OfficialTeamList[Team Number],0)))</f>
        <v>Gear Grinders</v>
      </c>
      <c r="C11" s="76">
        <f>'Innovation Project Input'!D11</f>
        <v>0</v>
      </c>
      <c r="D11" s="76">
        <f>InnovationProjectResults[[#This Row],[Design - Teamwork (CV)]]</f>
        <v>0</v>
      </c>
      <c r="E11" s="76">
        <f>InnovationProjectResults[[#This Row],[Create - Innovation (CV)]]</f>
        <v>0</v>
      </c>
      <c r="F11" s="76">
        <f>InnovationProjectResults[[#This Row],[Communicate - Impact (CV)]]</f>
        <v>0</v>
      </c>
      <c r="G11" s="76">
        <f>InnovationProjectResults[[#This Row],[Communicate - Fun (CV)]]</f>
        <v>0</v>
      </c>
      <c r="H11" s="76">
        <f>'Robot Design Input'!D11</f>
        <v>0</v>
      </c>
      <c r="I11" s="76">
        <f>'Robot Design Input'!E11</f>
        <v>0</v>
      </c>
      <c r="J11" s="76">
        <f>RobotDesignResults[[#This Row],[Iterate - Improvements (CV)]]</f>
        <v>0</v>
      </c>
      <c r="K11" s="76">
        <f>RobotDesignResults[[#This Row],[Communicate - Impact (CV)]]</f>
        <v>0</v>
      </c>
      <c r="L11" s="76">
        <f>RobotDesignResults[[#This Row],[Communicate - Fun (CV)]]</f>
        <v>0</v>
      </c>
      <c r="M11" s="75"/>
      <c r="N11" s="75"/>
      <c r="O11" s="75"/>
      <c r="P11" s="127"/>
      <c r="Q11" s="127"/>
      <c r="R11" s="127" t="str">
        <f>IF(CoreValuesResults[[#This Row],[Gracious Professionalism 1]]="","",COUNTIF(CoreValuesResults[[#This Row],[Gracious Professionalism 1]:[Gracious Professionalism 5]],""))</f>
        <v/>
      </c>
      <c r="S11" s="127" t="str">
        <f>IF(CoreValuesResults[[#This Row],[Gracious Professionalism 1]]="","",SUM(CoreValuesResults[[#This Row],[Gracious Professionalism 1]:[Gracious Professionalism 5]]))</f>
        <v/>
      </c>
      <c r="T11"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1" s="140">
        <f>SUM(CoreValuesResults[[#This Row],[Discovery (IP)]:[Fun (RD)]],CoreValuesResults[[#This Row],[Gracious Professionalism Score]])</f>
        <v>0</v>
      </c>
      <c r="V11" s="130">
        <f>IF(CoreValuesResults[[#This Row],[Team Number]]&gt;0,MIN(_xlfn.RANK.EQ(CoreValuesResults[[#This Row],[Core Values Score]],CoreValuesResults[Core Values Score],0),NumberOfTeams),NumberOfTeams+1)</f>
        <v>1</v>
      </c>
      <c r="W11" s="141"/>
      <c r="X11" s="141"/>
      <c r="Y11" s="141"/>
    </row>
    <row r="12" spans="1:30" ht="30" customHeight="1" x14ac:dyDescent="0.25">
      <c r="A12" s="127">
        <v>93244</v>
      </c>
      <c r="B12" s="128" t="str">
        <f>IF(ISNA(INDEX(OfficialTeamList[Team Name],MATCH(CoreValuesResults[[#This Row],[Team Number]], OfficialTeamList[Team Number],0))),"",INDEX(OfficialTeamList[Team Name],MATCH(CoreValuesResults[[#This Row],[Team Number]], OfficialTeamList[Team Number],0)))</f>
        <v>Code Crushers</v>
      </c>
      <c r="C12" s="76">
        <f>'Innovation Project Input'!D12</f>
        <v>0</v>
      </c>
      <c r="D12" s="76">
        <f>InnovationProjectResults[[#This Row],[Design - Teamwork (CV)]]</f>
        <v>0</v>
      </c>
      <c r="E12" s="76">
        <f>InnovationProjectResults[[#This Row],[Create - Innovation (CV)]]</f>
        <v>0</v>
      </c>
      <c r="F12" s="76">
        <f>InnovationProjectResults[[#This Row],[Communicate - Impact (CV)]]</f>
        <v>0</v>
      </c>
      <c r="G12" s="76">
        <f>InnovationProjectResults[[#This Row],[Communicate - Fun (CV)]]</f>
        <v>0</v>
      </c>
      <c r="H12" s="76">
        <f>'Robot Design Input'!D12</f>
        <v>0</v>
      </c>
      <c r="I12" s="76">
        <f>'Robot Design Input'!E12</f>
        <v>0</v>
      </c>
      <c r="J12" s="76">
        <f>RobotDesignResults[[#This Row],[Iterate - Improvements (CV)]]</f>
        <v>0</v>
      </c>
      <c r="K12" s="76">
        <f>RobotDesignResults[[#This Row],[Communicate - Impact (CV)]]</f>
        <v>0</v>
      </c>
      <c r="L12" s="76">
        <f>RobotDesignResults[[#This Row],[Communicate - Fun (CV)]]</f>
        <v>0</v>
      </c>
      <c r="M12" s="75"/>
      <c r="N12" s="75"/>
      <c r="O12" s="75"/>
      <c r="P12" s="127"/>
      <c r="Q12" s="127"/>
      <c r="R12" s="127" t="str">
        <f>IF(CoreValuesResults[[#This Row],[Gracious Professionalism 1]]="","",COUNTIF(CoreValuesResults[[#This Row],[Gracious Professionalism 1]:[Gracious Professionalism 5]],""))</f>
        <v/>
      </c>
      <c r="S12" s="127" t="str">
        <f>IF(CoreValuesResults[[#This Row],[Gracious Professionalism 1]]="","",SUM(CoreValuesResults[[#This Row],[Gracious Professionalism 1]:[Gracious Professionalism 5]]))</f>
        <v/>
      </c>
      <c r="T12" s="127"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2" s="140">
        <f>SUM(CoreValuesResults[[#This Row],[Discovery (IP)]:[Fun (RD)]],CoreValuesResults[[#This Row],[Gracious Professionalism Score]])</f>
        <v>0</v>
      </c>
      <c r="V12" s="130">
        <f>IF(CoreValuesResults[[#This Row],[Team Number]]&gt;0,MIN(_xlfn.RANK.EQ(CoreValuesResults[[#This Row],[Core Values Score]],CoreValuesResults[Core Values Score],0),NumberOfTeams),NumberOfTeams+1)</f>
        <v>1</v>
      </c>
      <c r="W12" s="141"/>
      <c r="X12" s="141"/>
      <c r="Y12" s="141"/>
    </row>
  </sheetData>
  <sheetProtection selectLockedCells="1" sort="0" autoFilter="0"/>
  <protectedRanges>
    <protectedRange sqref="Z13:AE1048478 B13:B1048478 A1:XFD1 U13:V1048478 U2:V12 Z1:AE12" name="AllowSortCV"/>
    <protectedRange sqref="B2:B12" name="AllowIPSort_1"/>
  </protectedRanges>
  <phoneticPr fontId="18" type="noConversion"/>
  <conditionalFormatting sqref="A2:A12 C2:Y12">
    <cfRule type="expression" dxfId="131" priority="22">
      <formula>MOD(ROW(),2)</formula>
    </cfRule>
  </conditionalFormatting>
  <conditionalFormatting sqref="W2:Y12">
    <cfRule type="cellIs" dxfId="130" priority="21" operator="equal">
      <formula>TRUE</formula>
    </cfRule>
  </conditionalFormatting>
  <conditionalFormatting sqref="A2:A12 C2:Y12">
    <cfRule type="expression" dxfId="129" priority="14">
      <formula>ROW()-NumberOfTeams=1</formula>
    </cfRule>
  </conditionalFormatting>
  <conditionalFormatting sqref="B2:B12">
    <cfRule type="expression" dxfId="128" priority="2">
      <formula>MOD(ROW(),2)</formula>
    </cfRule>
  </conditionalFormatting>
  <conditionalFormatting sqref="B2:B12">
    <cfRule type="expression" dxfId="127" priority="1">
      <formula>ROW()-NumberOfTeams=1</formula>
    </cfRule>
  </conditionalFormatting>
  <dataValidations count="1">
    <dataValidation type="list" allowBlank="1" showInputMessage="1" showErrorMessage="1" sqref="W2:Y12" xr:uid="{00000000-0002-0000-0500-000000000000}">
      <formula1>$AD$2:$AD$3</formula1>
    </dataValidation>
  </dataValidations>
  <printOptions horizontalCentered="1"/>
  <pageMargins left="0.25" right="0.25" top="0.75" bottom="0.75" header="0.3" footer="0.3"/>
  <pageSetup scale="50" fitToHeight="0" orientation="portrait" horizontalDpi="1200" verticalDpi="1200" r:id="rId1"/>
  <headerFooter>
    <oddHeader>&amp;C&amp;"-,Bold"&amp;36Core Values Input</oddHeader>
  </headerFooter>
  <ignoredErrors>
    <ignoredError sqref="R2:S2" unlockedFormula="1"/>
  </ignoredErrors>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61"/>
  <sheetViews>
    <sheetView workbookViewId="0">
      <selection activeCell="E1" sqref="E1"/>
    </sheetView>
  </sheetViews>
  <sheetFormatPr defaultColWidth="10.85546875" defaultRowHeight="15" x14ac:dyDescent="0.25"/>
  <sheetData>
    <row r="1" spans="1:8" x14ac:dyDescent="0.25">
      <c r="A1" s="37" t="s">
        <v>55</v>
      </c>
      <c r="B1" s="37" t="s">
        <v>56</v>
      </c>
      <c r="C1" s="37" t="s">
        <v>57</v>
      </c>
      <c r="D1" s="37">
        <v>1</v>
      </c>
      <c r="E1" s="37">
        <v>2</v>
      </c>
      <c r="F1" s="37">
        <v>3</v>
      </c>
      <c r="G1" s="37">
        <v>4</v>
      </c>
      <c r="H1" s="37">
        <v>5</v>
      </c>
    </row>
    <row r="2" spans="1:8" x14ac:dyDescent="0.25">
      <c r="A2" s="37"/>
      <c r="B2" s="37"/>
      <c r="C2" s="37"/>
      <c r="D2" s="37"/>
      <c r="E2" s="37"/>
      <c r="F2" s="37"/>
      <c r="G2" s="37"/>
      <c r="H2" s="37"/>
    </row>
    <row r="3" spans="1:8" x14ac:dyDescent="0.25">
      <c r="A3" s="37"/>
      <c r="B3" s="37"/>
      <c r="C3" s="37"/>
      <c r="D3" s="37"/>
      <c r="E3" s="37"/>
      <c r="F3" s="37"/>
      <c r="G3" s="37"/>
      <c r="H3" s="37"/>
    </row>
    <row r="4" spans="1:8" x14ac:dyDescent="0.25">
      <c r="A4" s="37"/>
      <c r="B4" s="37"/>
      <c r="C4" s="37"/>
      <c r="D4" s="37"/>
      <c r="E4" s="37"/>
      <c r="F4" s="37"/>
      <c r="G4" s="37"/>
      <c r="H4" s="37"/>
    </row>
    <row r="5" spans="1:8" x14ac:dyDescent="0.25">
      <c r="A5" s="37"/>
      <c r="B5" s="37"/>
      <c r="C5" s="37"/>
      <c r="D5" s="37"/>
      <c r="E5" s="37"/>
      <c r="F5" s="37"/>
      <c r="G5" s="37"/>
      <c r="H5" s="37"/>
    </row>
    <row r="6" spans="1:8" x14ac:dyDescent="0.25">
      <c r="A6" s="37"/>
      <c r="B6" s="37"/>
      <c r="C6" s="37"/>
      <c r="D6" s="37"/>
      <c r="E6" s="37"/>
      <c r="F6" s="37"/>
      <c r="G6" s="37"/>
      <c r="H6" s="37"/>
    </row>
    <row r="7" spans="1:8" x14ac:dyDescent="0.25">
      <c r="A7" s="37"/>
      <c r="B7" s="37"/>
      <c r="C7" s="37"/>
      <c r="D7" s="37"/>
      <c r="E7" s="37"/>
      <c r="F7" s="37"/>
      <c r="G7" s="37"/>
      <c r="H7" s="37"/>
    </row>
    <row r="8" spans="1:8" x14ac:dyDescent="0.25">
      <c r="A8" s="37"/>
      <c r="B8" s="37"/>
      <c r="C8" s="37"/>
      <c r="D8" s="37"/>
      <c r="E8" s="37"/>
      <c r="F8" s="37"/>
      <c r="G8" s="37"/>
      <c r="H8" s="37"/>
    </row>
    <row r="9" spans="1:8" x14ac:dyDescent="0.25">
      <c r="A9" s="37"/>
      <c r="B9" s="37"/>
      <c r="C9" s="37"/>
      <c r="D9" s="37"/>
      <c r="E9" s="37"/>
      <c r="F9" s="37"/>
      <c r="G9" s="37"/>
      <c r="H9" s="37"/>
    </row>
    <row r="10" spans="1:8" x14ac:dyDescent="0.25">
      <c r="A10" s="37"/>
      <c r="B10" s="37"/>
      <c r="C10" s="37"/>
      <c r="D10" s="37"/>
      <c r="E10" s="37"/>
      <c r="F10" s="37"/>
      <c r="G10" s="37"/>
      <c r="H10" s="37"/>
    </row>
    <row r="11" spans="1:8" x14ac:dyDescent="0.25">
      <c r="A11" s="37"/>
      <c r="B11" s="37"/>
      <c r="C11" s="37"/>
      <c r="D11" s="37"/>
      <c r="E11" s="37"/>
      <c r="F11" s="37"/>
      <c r="G11" s="37"/>
      <c r="H11" s="37"/>
    </row>
    <row r="12" spans="1:8" x14ac:dyDescent="0.25">
      <c r="A12" s="37"/>
      <c r="B12" s="37"/>
      <c r="C12" s="37"/>
      <c r="D12" s="37"/>
      <c r="E12" s="37"/>
      <c r="F12" s="37"/>
      <c r="G12" s="37"/>
      <c r="H12" s="37"/>
    </row>
    <row r="13" spans="1:8" x14ac:dyDescent="0.25">
      <c r="A13" s="37"/>
      <c r="B13" s="37"/>
      <c r="C13" s="37"/>
      <c r="D13" s="37"/>
      <c r="E13" s="37"/>
      <c r="F13" s="37"/>
      <c r="G13" s="37"/>
      <c r="H13" s="37"/>
    </row>
    <row r="14" spans="1:8" x14ac:dyDescent="0.25">
      <c r="A14" s="37"/>
      <c r="B14" s="37"/>
      <c r="C14" s="37"/>
      <c r="D14" s="37"/>
      <c r="E14" s="37"/>
      <c r="F14" s="37"/>
      <c r="G14" s="37"/>
      <c r="H14" s="37"/>
    </row>
    <row r="15" spans="1:8" x14ac:dyDescent="0.25">
      <c r="A15" s="37"/>
      <c r="B15" s="37"/>
      <c r="C15" s="37"/>
      <c r="D15" s="37"/>
      <c r="E15" s="37"/>
      <c r="F15" s="37"/>
      <c r="G15" s="37"/>
      <c r="H15" s="37"/>
    </row>
    <row r="16" spans="1:8" x14ac:dyDescent="0.25">
      <c r="A16" s="37"/>
      <c r="B16" s="37"/>
      <c r="C16" s="37"/>
      <c r="D16" s="37"/>
      <c r="E16" s="37"/>
      <c r="F16" s="37"/>
      <c r="G16" s="37"/>
      <c r="H16" s="37"/>
    </row>
    <row r="17" spans="1:8" x14ac:dyDescent="0.25">
      <c r="A17" s="37"/>
      <c r="B17" s="37"/>
      <c r="C17" s="37"/>
      <c r="D17" s="37"/>
      <c r="E17" s="37"/>
      <c r="F17" s="37"/>
      <c r="G17" s="37"/>
      <c r="H17" s="37"/>
    </row>
    <row r="18" spans="1:8" x14ac:dyDescent="0.25">
      <c r="A18" s="37"/>
      <c r="B18" s="37"/>
      <c r="C18" s="37"/>
      <c r="D18" s="37"/>
      <c r="E18" s="37"/>
      <c r="F18" s="37"/>
      <c r="G18" s="37"/>
      <c r="H18" s="37"/>
    </row>
    <row r="19" spans="1:8" x14ac:dyDescent="0.25">
      <c r="A19" s="37"/>
      <c r="B19" s="37"/>
      <c r="C19" s="37"/>
      <c r="D19" s="37"/>
      <c r="E19" s="37"/>
      <c r="F19" s="37"/>
      <c r="G19" s="37"/>
      <c r="H19" s="37"/>
    </row>
    <row r="20" spans="1:8" x14ac:dyDescent="0.25">
      <c r="A20" s="37"/>
      <c r="B20" s="37"/>
      <c r="C20" s="37"/>
      <c r="D20" s="37"/>
      <c r="E20" s="37"/>
      <c r="F20" s="37"/>
      <c r="G20" s="37"/>
      <c r="H20" s="37"/>
    </row>
    <row r="21" spans="1:8" x14ac:dyDescent="0.25">
      <c r="A21" s="37"/>
      <c r="B21" s="37"/>
      <c r="C21" s="37"/>
      <c r="D21" s="37"/>
      <c r="E21" s="37"/>
      <c r="F21" s="37"/>
      <c r="G21" s="37"/>
      <c r="H21" s="37"/>
    </row>
    <row r="22" spans="1:8" x14ac:dyDescent="0.25">
      <c r="A22" s="37"/>
      <c r="B22" s="37"/>
      <c r="C22" s="37"/>
      <c r="D22" s="37"/>
      <c r="E22" s="37"/>
      <c r="F22" s="37"/>
      <c r="G22" s="37"/>
      <c r="H22" s="37"/>
    </row>
    <row r="23" spans="1:8" x14ac:dyDescent="0.25">
      <c r="A23" s="37"/>
      <c r="B23" s="37"/>
      <c r="C23" s="37"/>
      <c r="D23" s="37"/>
      <c r="E23" s="37"/>
      <c r="F23" s="37"/>
      <c r="G23" s="37"/>
      <c r="H23" s="37"/>
    </row>
    <row r="24" spans="1:8" x14ac:dyDescent="0.25">
      <c r="A24" s="37"/>
      <c r="B24" s="37"/>
      <c r="C24" s="37"/>
      <c r="D24" s="37"/>
      <c r="E24" s="37"/>
      <c r="F24" s="37"/>
      <c r="G24" s="37"/>
      <c r="H24" s="37"/>
    </row>
    <row r="25" spans="1:8" x14ac:dyDescent="0.25">
      <c r="A25" s="37"/>
      <c r="B25" s="37"/>
      <c r="C25" s="37"/>
      <c r="D25" s="37"/>
      <c r="E25" s="37"/>
      <c r="F25" s="37"/>
      <c r="G25" s="37"/>
      <c r="H25" s="37"/>
    </row>
    <row r="26" spans="1:8" x14ac:dyDescent="0.25">
      <c r="A26" s="37"/>
      <c r="B26" s="37"/>
      <c r="C26" s="37"/>
      <c r="D26" s="37"/>
      <c r="E26" s="37"/>
      <c r="F26" s="37"/>
      <c r="G26" s="37"/>
      <c r="H26" s="37"/>
    </row>
    <row r="27" spans="1:8" x14ac:dyDescent="0.25">
      <c r="A27" s="37"/>
      <c r="B27" s="37"/>
      <c r="C27" s="37"/>
      <c r="D27" s="37"/>
      <c r="E27" s="37"/>
      <c r="F27" s="37"/>
      <c r="G27" s="37"/>
      <c r="H27" s="37"/>
    </row>
    <row r="28" spans="1:8" x14ac:dyDescent="0.25">
      <c r="A28" s="37"/>
      <c r="B28" s="37"/>
      <c r="C28" s="37"/>
      <c r="D28" s="37"/>
      <c r="E28" s="37"/>
      <c r="F28" s="37"/>
      <c r="G28" s="37"/>
      <c r="H28" s="37"/>
    </row>
    <row r="29" spans="1:8" x14ac:dyDescent="0.25">
      <c r="A29" s="37"/>
      <c r="B29" s="37"/>
      <c r="C29" s="37"/>
      <c r="D29" s="37"/>
      <c r="E29" s="37"/>
      <c r="F29" s="37"/>
      <c r="G29" s="37"/>
      <c r="H29" s="37"/>
    </row>
    <row r="30" spans="1:8" x14ac:dyDescent="0.25">
      <c r="A30" s="37"/>
      <c r="B30" s="37"/>
      <c r="C30" s="37"/>
      <c r="D30" s="37"/>
      <c r="E30" s="37"/>
      <c r="F30" s="37"/>
      <c r="G30" s="37"/>
      <c r="H30" s="37"/>
    </row>
    <row r="31" spans="1:8" x14ac:dyDescent="0.25">
      <c r="A31" s="37"/>
      <c r="B31" s="37"/>
      <c r="C31" s="37"/>
      <c r="D31" s="37"/>
      <c r="E31" s="37"/>
      <c r="F31" s="37"/>
      <c r="G31" s="37"/>
      <c r="H31" s="37"/>
    </row>
    <row r="32" spans="1:8" x14ac:dyDescent="0.25">
      <c r="A32" s="37"/>
      <c r="B32" s="37"/>
      <c r="C32" s="37"/>
      <c r="D32" s="37"/>
      <c r="E32" s="37"/>
      <c r="F32" s="37"/>
      <c r="G32" s="37"/>
      <c r="H32" s="37"/>
    </row>
    <row r="33" spans="1:8" x14ac:dyDescent="0.25">
      <c r="A33" s="37"/>
      <c r="B33" s="37"/>
      <c r="C33" s="37"/>
      <c r="D33" s="37"/>
      <c r="E33" s="37"/>
      <c r="F33" s="37"/>
      <c r="G33" s="37"/>
      <c r="H33" s="37"/>
    </row>
    <row r="34" spans="1:8" x14ac:dyDescent="0.25">
      <c r="A34" s="37"/>
      <c r="B34" s="37"/>
      <c r="C34" s="37"/>
      <c r="D34" s="37"/>
      <c r="E34" s="37"/>
      <c r="F34" s="37"/>
      <c r="G34" s="37"/>
      <c r="H34" s="37"/>
    </row>
    <row r="35" spans="1:8" x14ac:dyDescent="0.25">
      <c r="A35" s="37"/>
      <c r="B35" s="37"/>
      <c r="C35" s="37"/>
      <c r="D35" s="37"/>
      <c r="E35" s="37"/>
      <c r="F35" s="37"/>
      <c r="G35" s="37"/>
      <c r="H35" s="37"/>
    </row>
    <row r="36" spans="1:8" x14ac:dyDescent="0.25">
      <c r="A36" s="37"/>
      <c r="B36" s="37"/>
      <c r="C36" s="37"/>
      <c r="D36" s="37"/>
      <c r="E36" s="37"/>
      <c r="F36" s="37"/>
      <c r="G36" s="37"/>
      <c r="H36" s="37"/>
    </row>
    <row r="37" spans="1:8" x14ac:dyDescent="0.25">
      <c r="A37" s="37"/>
      <c r="B37" s="37"/>
      <c r="C37" s="37"/>
      <c r="D37" s="37"/>
      <c r="E37" s="37"/>
      <c r="F37" s="37"/>
      <c r="G37" s="37"/>
      <c r="H37" s="37"/>
    </row>
    <row r="38" spans="1:8" x14ac:dyDescent="0.25">
      <c r="A38" s="37"/>
      <c r="B38" s="37"/>
      <c r="C38" s="37"/>
      <c r="D38" s="37"/>
      <c r="E38" s="37"/>
      <c r="F38" s="37"/>
      <c r="G38" s="37"/>
      <c r="H38" s="37"/>
    </row>
    <row r="39" spans="1:8" x14ac:dyDescent="0.25">
      <c r="A39" s="37"/>
      <c r="B39" s="37"/>
      <c r="C39" s="37"/>
      <c r="D39" s="37"/>
      <c r="E39" s="37"/>
      <c r="F39" s="37"/>
      <c r="G39" s="37"/>
      <c r="H39" s="37"/>
    </row>
    <row r="40" spans="1:8" x14ac:dyDescent="0.25">
      <c r="A40" s="37"/>
      <c r="B40" s="37"/>
      <c r="C40" s="37"/>
      <c r="D40" s="37"/>
      <c r="E40" s="37"/>
      <c r="F40" s="37"/>
      <c r="G40" s="37"/>
      <c r="H40" s="37"/>
    </row>
    <row r="41" spans="1:8" x14ac:dyDescent="0.25">
      <c r="A41" s="37"/>
      <c r="B41" s="37"/>
      <c r="C41" s="37"/>
      <c r="D41" s="37"/>
      <c r="E41" s="37"/>
      <c r="F41" s="37"/>
      <c r="G41" s="37"/>
      <c r="H41" s="37"/>
    </row>
    <row r="42" spans="1:8" x14ac:dyDescent="0.25">
      <c r="A42" s="37"/>
      <c r="B42" s="37"/>
      <c r="C42" s="37"/>
      <c r="D42" s="37"/>
      <c r="E42" s="37"/>
      <c r="F42" s="37"/>
      <c r="G42" s="37"/>
      <c r="H42" s="37"/>
    </row>
    <row r="43" spans="1:8" x14ac:dyDescent="0.25">
      <c r="A43" s="37"/>
      <c r="B43" s="37"/>
      <c r="C43" s="37"/>
      <c r="D43" s="37"/>
      <c r="E43" s="37"/>
      <c r="F43" s="37"/>
      <c r="G43" s="37"/>
      <c r="H43" s="37"/>
    </row>
    <row r="44" spans="1:8" x14ac:dyDescent="0.25">
      <c r="A44" s="37"/>
      <c r="B44" s="37"/>
      <c r="C44" s="37"/>
      <c r="D44" s="37"/>
      <c r="E44" s="37"/>
      <c r="F44" s="37"/>
      <c r="G44" s="37"/>
      <c r="H44" s="37"/>
    </row>
    <row r="45" spans="1:8" x14ac:dyDescent="0.25">
      <c r="A45" s="37"/>
      <c r="B45" s="37"/>
      <c r="C45" s="37"/>
      <c r="D45" s="37"/>
      <c r="E45" s="37"/>
      <c r="F45" s="37"/>
      <c r="G45" s="37"/>
      <c r="H45" s="37"/>
    </row>
    <row r="46" spans="1:8" x14ac:dyDescent="0.25">
      <c r="A46" s="37"/>
      <c r="B46" s="37"/>
      <c r="C46" s="37"/>
      <c r="D46" s="37"/>
      <c r="E46" s="37"/>
      <c r="F46" s="37"/>
      <c r="G46" s="37"/>
      <c r="H46" s="37"/>
    </row>
    <row r="47" spans="1:8" x14ac:dyDescent="0.25">
      <c r="A47" s="37"/>
      <c r="B47" s="37"/>
      <c r="C47" s="37"/>
      <c r="D47" s="37"/>
      <c r="E47" s="37"/>
      <c r="F47" s="37"/>
      <c r="G47" s="37"/>
      <c r="H47" s="37"/>
    </row>
    <row r="48" spans="1:8" x14ac:dyDescent="0.25">
      <c r="A48" s="37"/>
      <c r="B48" s="37"/>
      <c r="C48" s="37"/>
      <c r="D48" s="37"/>
      <c r="E48" s="37"/>
      <c r="F48" s="37"/>
      <c r="G48" s="37"/>
      <c r="H48" s="37"/>
    </row>
    <row r="49" spans="1:8" x14ac:dyDescent="0.25">
      <c r="A49" s="37"/>
      <c r="B49" s="37"/>
      <c r="C49" s="37"/>
      <c r="D49" s="37"/>
      <c r="E49" s="37"/>
      <c r="F49" s="37"/>
      <c r="G49" s="37"/>
      <c r="H49" s="37"/>
    </row>
    <row r="50" spans="1:8" x14ac:dyDescent="0.25">
      <c r="A50" s="37"/>
      <c r="B50" s="37"/>
      <c r="C50" s="37"/>
      <c r="D50" s="37"/>
      <c r="E50" s="37"/>
      <c r="F50" s="37"/>
      <c r="G50" s="37"/>
      <c r="H50" s="37"/>
    </row>
    <row r="51" spans="1:8" x14ac:dyDescent="0.25">
      <c r="A51" s="37"/>
      <c r="B51" s="37"/>
      <c r="C51" s="37"/>
      <c r="D51" s="37"/>
      <c r="E51" s="37"/>
      <c r="F51" s="37"/>
      <c r="G51" s="37"/>
      <c r="H51" s="37"/>
    </row>
    <row r="52" spans="1:8" x14ac:dyDescent="0.25">
      <c r="A52" s="37"/>
      <c r="B52" s="37"/>
      <c r="C52" s="37"/>
      <c r="D52" s="37"/>
      <c r="E52" s="37"/>
      <c r="F52" s="37"/>
      <c r="G52" s="37"/>
      <c r="H52" s="37"/>
    </row>
    <row r="53" spans="1:8" x14ac:dyDescent="0.25">
      <c r="A53" s="37"/>
      <c r="B53" s="37"/>
      <c r="C53" s="37"/>
      <c r="D53" s="37"/>
      <c r="E53" s="37"/>
      <c r="F53" s="37"/>
      <c r="G53" s="37"/>
      <c r="H53" s="37"/>
    </row>
    <row r="54" spans="1:8" x14ac:dyDescent="0.25">
      <c r="A54" s="37"/>
      <c r="B54" s="37"/>
      <c r="C54" s="37"/>
      <c r="D54" s="37"/>
      <c r="E54" s="37"/>
      <c r="F54" s="37"/>
      <c r="G54" s="37"/>
      <c r="H54" s="37"/>
    </row>
    <row r="55" spans="1:8" x14ac:dyDescent="0.25">
      <c r="A55" s="37"/>
      <c r="B55" s="37"/>
      <c r="C55" s="37"/>
      <c r="D55" s="37"/>
      <c r="E55" s="37"/>
      <c r="F55" s="37"/>
      <c r="G55" s="37"/>
      <c r="H55" s="37"/>
    </row>
    <row r="56" spans="1:8" x14ac:dyDescent="0.25">
      <c r="A56" s="37"/>
      <c r="B56" s="37"/>
      <c r="C56" s="37"/>
      <c r="D56" s="37"/>
      <c r="E56" s="37"/>
      <c r="F56" s="37"/>
      <c r="G56" s="37"/>
      <c r="H56" s="37"/>
    </row>
    <row r="57" spans="1:8" x14ac:dyDescent="0.25">
      <c r="A57" s="37"/>
      <c r="B57" s="37"/>
      <c r="C57" s="37"/>
      <c r="D57" s="37"/>
      <c r="E57" s="37"/>
      <c r="F57" s="37"/>
      <c r="G57" s="37"/>
      <c r="H57" s="37"/>
    </row>
    <row r="58" spans="1:8" x14ac:dyDescent="0.25">
      <c r="A58" s="37"/>
      <c r="B58" s="37"/>
      <c r="C58" s="37"/>
      <c r="D58" s="37"/>
      <c r="E58" s="37"/>
      <c r="F58" s="37"/>
      <c r="G58" s="37"/>
      <c r="H58" s="37"/>
    </row>
    <row r="59" spans="1:8" x14ac:dyDescent="0.25">
      <c r="A59" s="37"/>
      <c r="B59" s="37"/>
      <c r="C59" s="37"/>
      <c r="D59" s="37"/>
      <c r="E59" s="37"/>
      <c r="F59" s="37"/>
      <c r="G59" s="37"/>
      <c r="H59" s="37"/>
    </row>
    <row r="60" spans="1:8" x14ac:dyDescent="0.25">
      <c r="A60" s="37"/>
      <c r="B60" s="37"/>
      <c r="C60" s="37"/>
      <c r="D60" s="37"/>
      <c r="E60" s="37"/>
      <c r="F60" s="37"/>
      <c r="G60" s="37"/>
      <c r="H60" s="37"/>
    </row>
    <row r="61" spans="1:8" x14ac:dyDescent="0.25">
      <c r="A61" s="37"/>
      <c r="B61" s="37"/>
      <c r="C61" s="37"/>
      <c r="D61" s="37"/>
      <c r="E61" s="37"/>
      <c r="F61" s="37"/>
      <c r="G61" s="37"/>
      <c r="H61" s="37"/>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ol min="2" max="2" width="15.42578125" style="6" customWidth="1"/>
    <col min="3" max="3" width="45.42578125" style="6" customWidth="1"/>
    <col min="4" max="4" width="17.140625" style="6" customWidth="1"/>
    <col min="5" max="5" width="18.42578125" style="6" customWidth="1"/>
    <col min="6" max="6" width="9.140625" style="6"/>
    <col min="7" max="7" width="15.42578125" style="6" customWidth="1"/>
    <col min="8" max="8" width="45.42578125" style="6" customWidth="1"/>
    <col min="9" max="9" width="17.140625" style="6" customWidth="1"/>
    <col min="10" max="10" width="18.42578125" style="6" customWidth="1"/>
    <col min="11" max="11" width="9.140625" style="6"/>
    <col min="12" max="12" width="15.42578125" style="6" customWidth="1"/>
    <col min="13" max="13" width="45.42578125" style="6" customWidth="1"/>
    <col min="14" max="14" width="17.140625" style="6" customWidth="1"/>
    <col min="15" max="15" width="18.42578125" style="6" customWidth="1"/>
    <col min="16" max="16384" width="9.140625" style="6"/>
  </cols>
  <sheetData>
    <row r="2" spans="2:10" ht="20.25" customHeight="1" x14ac:dyDescent="0.25">
      <c r="B2" s="6" t="s">
        <v>45</v>
      </c>
      <c r="G2" s="6" t="s">
        <v>75</v>
      </c>
    </row>
    <row r="3" spans="2:10" ht="39.950000000000003" customHeight="1" x14ac:dyDescent="0.25">
      <c r="B3" s="13" t="s">
        <v>9</v>
      </c>
      <c r="C3" s="13" t="s">
        <v>10</v>
      </c>
      <c r="D3" s="14" t="s">
        <v>34</v>
      </c>
      <c r="E3" s="14" t="s">
        <v>76</v>
      </c>
      <c r="G3" s="24" t="s">
        <v>9</v>
      </c>
      <c r="H3" s="24" t="s">
        <v>10</v>
      </c>
      <c r="I3" s="25" t="s">
        <v>34</v>
      </c>
      <c r="J3" s="25" t="s">
        <v>76</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f>IF(ISNA(INDEX(TournamentData[Champion''s Rank],MATCH(ChampionsDelib[[#This Row],[Team Number]],TournamentData[Team Number],0))),NumberOfTeams+1,INDEX(TournamentData[Champion''s Rank],MATCH(ChampionsDelib[[#This Row],[Team Number]],TournamentData[Team Number],0)))</f>
        <v>12</v>
      </c>
      <c r="H4" s="6" t="str">
        <f>IF(ISNA(INDEX(OfficialTeamList[Team Name],MATCH(RobotGameDelib[[#This Row],[Team Number]], OfficialTeamList[Team Number],0))),"",INDEX(OfficialTeamList[Team Name],MATCH(RobotGameDelib[[#This Row],[Team Number]], OfficialTeamList[Team Number],0)))</f>
        <v/>
      </c>
      <c r="I4" s="6">
        <f>IF(ISNA(INDEX(TournamentData[Champion''s Rank],MATCH(RobotGameDelib[[#This Row],[Team Number]],TournamentData[Team Number],0))),NumberOfTeams+1,INDEX(TournamentData[Champion''s Rank],MATCH(RobotGameDelib[[#This Row],[Team Number]],TournamentData[Team Number],0)))</f>
        <v>12</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f>IF(ISNA(INDEX(TournamentData[Champion''s Rank],MATCH(ChampionsDelib[[#This Row],[Team Number]],TournamentData[Team Number],0))),NumberOfTeams+1,INDEX(TournamentData[Champion''s Rank],MATCH(ChampionsDelib[[#This Row],[Team Number]],TournamentData[Team Number],0)))</f>
        <v>12</v>
      </c>
      <c r="H5" s="6" t="str">
        <f>IF(ISNA(INDEX(OfficialTeamList[Team Name],MATCH(RobotGameDelib[[#This Row],[Team Number]], OfficialTeamList[Team Number],0))),"",INDEX(OfficialTeamList[Team Name],MATCH(RobotGameDelib[[#This Row],[Team Number]], OfficialTeamList[Team Number],0)))</f>
        <v/>
      </c>
      <c r="I5" s="6">
        <f>IF(ISNA(INDEX(TournamentData[Champion''s Rank],MATCH(RobotGameDelib[[#This Row],[Team Number]],TournamentData[Team Number],0))),NumberOfTeams+1,INDEX(TournamentData[Champion''s Rank],MATCH(RobotGameDelib[[#This Row],[Team Number]],TournamentData[Team Number],0)))</f>
        <v>12</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f>IF(ISNA(INDEX(TournamentData[Champion''s Rank],MATCH(ChampionsDelib[[#This Row],[Team Number]],TournamentData[Team Number],0))),NumberOfTeams+1,INDEX(TournamentData[Champion''s Rank],MATCH(ChampionsDelib[[#This Row],[Team Number]],TournamentData[Team Number],0)))</f>
        <v>12</v>
      </c>
      <c r="H6" s="6" t="str">
        <f>IF(ISNA(INDEX(OfficialTeamList[Team Name],MATCH(RobotGameDelib[[#This Row],[Team Number]], OfficialTeamList[Team Number],0))),"",INDEX(OfficialTeamList[Team Name],MATCH(RobotGameDelib[[#This Row],[Team Number]], OfficialTeamList[Team Number],0)))</f>
        <v/>
      </c>
      <c r="I6" s="6">
        <f>IF(ISNA(INDEX(TournamentData[Champion''s Rank],MATCH(RobotGameDelib[[#This Row],[Team Number]],TournamentData[Team Number],0))),NumberOfTeams+1,INDEX(TournamentData[Champion''s Rank],MATCH(RobotGameDelib[[#This Row],[Team Number]],TournamentData[Team Number],0)))</f>
        <v>12</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f>IF(ISNA(INDEX(TournamentData[Champion''s Rank],MATCH(ChampionsDelib[[#This Row],[Team Number]],TournamentData[Team Number],0))),NumberOfTeams+1,INDEX(TournamentData[Champion''s Rank],MATCH(ChampionsDelib[[#This Row],[Team Number]],TournamentData[Team Number],0)))</f>
        <v>12</v>
      </c>
      <c r="H7" s="6" t="str">
        <f>IF(ISNA(INDEX(OfficialTeamList[Team Name],MATCH(RobotGameDelib[[#This Row],[Team Number]], OfficialTeamList[Team Number],0))),"",INDEX(OfficialTeamList[Team Name],MATCH(RobotGameDelib[[#This Row],[Team Number]], OfficialTeamList[Team Number],0)))</f>
        <v/>
      </c>
      <c r="I7" s="6">
        <f>IF(ISNA(INDEX(TournamentData[Champion''s Rank],MATCH(RobotGameDelib[[#This Row],[Team Number]],TournamentData[Team Number],0))),NumberOfTeams+1,INDEX(TournamentData[Champion''s Rank],MATCH(RobotGameDelib[[#This Row],[Team Number]],TournamentData[Team Number],0)))</f>
        <v>12</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f>IF(ISNA(INDEX(TournamentData[Champion''s Rank],MATCH(ChampionsDelib[[#This Row],[Team Number]],TournamentData[Team Number],0))),NumberOfTeams+1,INDEX(TournamentData[Champion''s Rank],MATCH(ChampionsDelib[[#This Row],[Team Number]],TournamentData[Team Number],0)))</f>
        <v>12</v>
      </c>
      <c r="H8" s="6" t="str">
        <f>IF(ISNA(INDEX(OfficialTeamList[Team Name],MATCH(RobotGameDelib[[#This Row],[Team Number]], OfficialTeamList[Team Number],0))),"",INDEX(OfficialTeamList[Team Name],MATCH(RobotGameDelib[[#This Row],[Team Number]], OfficialTeamList[Team Number],0)))</f>
        <v/>
      </c>
      <c r="I8" s="6">
        <f>IF(ISNA(INDEX(TournamentData[Champion''s Rank],MATCH(RobotGameDelib[[#This Row],[Team Number]],TournamentData[Team Number],0))),NumberOfTeams+1,INDEX(TournamentData[Champion''s Rank],MATCH(RobotGameDelib[[#This Row],[Team Number]],TournamentData[Team Number],0)))</f>
        <v>12</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f>IF(ISNA(INDEX(TournamentData[Champion''s Rank],MATCH(ChampionsDelib[[#This Row],[Team Number]],TournamentData[Team Number],0))),NumberOfTeams+1,INDEX(TournamentData[Champion''s Rank],MATCH(ChampionsDelib[[#This Row],[Team Number]],TournamentData[Team Number],0)))</f>
        <v>12</v>
      </c>
      <c r="H9" s="6" t="str">
        <f>IF(ISNA(INDEX(OfficialTeamList[Team Name],MATCH(RobotGameDelib[[#This Row],[Team Number]], OfficialTeamList[Team Number],0))),"",INDEX(OfficialTeamList[Team Name],MATCH(RobotGameDelib[[#This Row],[Team Number]], OfficialTeamList[Team Number],0)))</f>
        <v/>
      </c>
      <c r="I9" s="6">
        <f>IF(ISNA(INDEX(TournamentData[Champion''s Rank],MATCH(RobotGameDelib[[#This Row],[Team Number]],TournamentData[Team Number],0))),NumberOfTeams+1,INDEX(TournamentData[Champion''s Rank],MATCH(RobotGameDelib[[#This Row],[Team Number]],TournamentData[Team Number],0)))</f>
        <v>12</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f>IF(ISNA(INDEX(TournamentData[Champion''s Rank],MATCH(ChampionsDelib[[#This Row],[Team Number]],TournamentData[Team Number],0))),NumberOfTeams+1,INDEX(TournamentData[Champion''s Rank],MATCH(ChampionsDelib[[#This Row],[Team Number]],TournamentData[Team Number],0)))</f>
        <v>12</v>
      </c>
      <c r="H10" s="6" t="str">
        <f>IF(ISNA(INDEX(OfficialTeamList[Team Name],MATCH(RobotGameDelib[[#This Row],[Team Number]], OfficialTeamList[Team Number],0))),"",INDEX(OfficialTeamList[Team Name],MATCH(RobotGameDelib[[#This Row],[Team Number]], OfficialTeamList[Team Number],0)))</f>
        <v/>
      </c>
      <c r="I10" s="6">
        <f>IF(ISNA(INDEX(TournamentData[Champion''s Rank],MATCH(RobotGameDelib[[#This Row],[Team Number]],TournamentData[Team Number],0))),NumberOfTeams+1,INDEX(TournamentData[Champion''s Rank],MATCH(RobotGameDelib[[#This Row],[Team Number]],TournamentData[Team Number],0)))</f>
        <v>12</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f>IF(ISNA(INDEX(TournamentData[Champion''s Rank],MATCH(ChampionsDelib[[#This Row],[Team Number]],TournamentData[Team Number],0))),NumberOfTeams+1,INDEX(TournamentData[Champion''s Rank],MATCH(ChampionsDelib[[#This Row],[Team Number]],TournamentData[Team Number],0)))</f>
        <v>12</v>
      </c>
      <c r="H11" s="6" t="str">
        <f>IF(ISNA(INDEX(OfficialTeamList[Team Name],MATCH(RobotGameDelib[[#This Row],[Team Number]], OfficialTeamList[Team Number],0))),"",INDEX(OfficialTeamList[Team Name],MATCH(RobotGameDelib[[#This Row],[Team Number]], OfficialTeamList[Team Number],0)))</f>
        <v/>
      </c>
      <c r="I11" s="6">
        <f>IF(ISNA(INDEX(TournamentData[Champion''s Rank],MATCH(RobotGameDelib[[#This Row],[Team Number]],TournamentData[Team Number],0))),NumberOfTeams+1,INDEX(TournamentData[Champion''s Rank],MATCH(RobotGameDelib[[#This Row],[Team Number]],TournamentData[Team Number],0)))</f>
        <v>12</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f>IF(ISNA(INDEX(TournamentData[Champion''s Rank],MATCH(ChampionsDelib[[#This Row],[Team Number]],TournamentData[Team Number],0))),NumberOfTeams+1,INDEX(TournamentData[Champion''s Rank],MATCH(ChampionsDelib[[#This Row],[Team Number]],TournamentData[Team Number],0)))</f>
        <v>12</v>
      </c>
      <c r="H12" s="6" t="str">
        <f>IF(ISNA(INDEX(OfficialTeamList[Team Name],MATCH(RobotGameDelib[[#This Row],[Team Number]], OfficialTeamList[Team Number],0))),"",INDEX(OfficialTeamList[Team Name],MATCH(RobotGameDelib[[#This Row],[Team Number]], OfficialTeamList[Team Number],0)))</f>
        <v/>
      </c>
      <c r="I12" s="6">
        <f>IF(ISNA(INDEX(TournamentData[Champion''s Rank],MATCH(RobotGameDelib[[#This Row],[Team Number]],TournamentData[Team Number],0))),NumberOfTeams+1,INDEX(TournamentData[Champion''s Rank],MATCH(RobotGameDelib[[#This Row],[Team Number]],TournamentData[Team Number],0)))</f>
        <v>12</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f>IF(ISNA(INDEX(TournamentData[Champion''s Rank],MATCH(ChampionsDelib[[#This Row],[Team Number]],TournamentData[Team Number],0))),NumberOfTeams+1,INDEX(TournamentData[Champion''s Rank],MATCH(ChampionsDelib[[#This Row],[Team Number]],TournamentData[Team Number],0)))</f>
        <v>12</v>
      </c>
      <c r="H13" s="6" t="str">
        <f>IF(ISNA(INDEX(OfficialTeamList[Team Name],MATCH(RobotGameDelib[[#This Row],[Team Number]], OfficialTeamList[Team Number],0))),"",INDEX(OfficialTeamList[Team Name],MATCH(RobotGameDelib[[#This Row],[Team Number]], OfficialTeamList[Team Number],0)))</f>
        <v/>
      </c>
      <c r="I13" s="6">
        <f>IF(ISNA(INDEX(TournamentData[Champion''s Rank],MATCH(RobotGameDelib[[#This Row],[Team Number]],TournamentData[Team Number],0))),NumberOfTeams+1,INDEX(TournamentData[Champion''s Rank],MATCH(RobotGameDelib[[#This Row],[Team Number]],TournamentData[Team Number],0)))</f>
        <v>12</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f>IF(ISNA(INDEX(TournamentData[Champion''s Rank],MATCH(ChampionsDelib[[#This Row],[Team Number]],TournamentData[Team Number],0))),NumberOfTeams+1,INDEX(TournamentData[Champion''s Rank],MATCH(ChampionsDelib[[#This Row],[Team Number]],TournamentData[Team Number],0)))</f>
        <v>12</v>
      </c>
      <c r="H14" s="6" t="str">
        <f>IF(ISNA(INDEX(OfficialTeamList[Team Name],MATCH(RobotGameDelib[[#This Row],[Team Number]], OfficialTeamList[Team Number],0))),"",INDEX(OfficialTeamList[Team Name],MATCH(RobotGameDelib[[#This Row],[Team Number]], OfficialTeamList[Team Number],0)))</f>
        <v/>
      </c>
      <c r="I14" s="6">
        <f>IF(ISNA(INDEX(TournamentData[Champion''s Rank],MATCH(RobotGameDelib[[#This Row],[Team Number]],TournamentData[Team Number],0))),NumberOfTeams+1,INDEX(TournamentData[Champion''s Rank],MATCH(RobotGameDelib[[#This Row],[Team Number]],TournamentData[Team Number],0)))</f>
        <v>12</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f>IF(ISNA(INDEX(TournamentData[Champion''s Rank],MATCH(ChampionsDelib[[#This Row],[Team Number]],TournamentData[Team Number],0))),NumberOfTeams+1,INDEX(TournamentData[Champion''s Rank],MATCH(ChampionsDelib[[#This Row],[Team Number]],TournamentData[Team Number],0)))</f>
        <v>12</v>
      </c>
      <c r="H15" s="6" t="str">
        <f>IF(ISNA(INDEX(OfficialTeamList[Team Name],MATCH(RobotGameDelib[[#This Row],[Team Number]], OfficialTeamList[Team Number],0))),"",INDEX(OfficialTeamList[Team Name],MATCH(RobotGameDelib[[#This Row],[Team Number]], OfficialTeamList[Team Number],0)))</f>
        <v/>
      </c>
      <c r="I15" s="6">
        <f>IF(ISNA(INDEX(TournamentData[Champion''s Rank],MATCH(RobotGameDelib[[#This Row],[Team Number]],TournamentData[Team Number],0))),NumberOfTeams+1,INDEX(TournamentData[Champion''s Rank],MATCH(RobotGameDelib[[#This Row],[Team Number]],TournamentData[Team Number],0)))</f>
        <v>12</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f>IF(ISNA(INDEX(TournamentData[Champion''s Rank],MATCH(ChampionsDelib[[#This Row],[Team Number]],TournamentData[Team Number],0))),NumberOfTeams+1,INDEX(TournamentData[Champion''s Rank],MATCH(ChampionsDelib[[#This Row],[Team Number]],TournamentData[Team Number],0)))</f>
        <v>12</v>
      </c>
      <c r="H16" s="6" t="str">
        <f>IF(ISNA(INDEX(OfficialTeamList[Team Name],MATCH(RobotGameDelib[[#This Row],[Team Number]], OfficialTeamList[Team Number],0))),"",INDEX(OfficialTeamList[Team Name],MATCH(RobotGameDelib[[#This Row],[Team Number]], OfficialTeamList[Team Number],0)))</f>
        <v/>
      </c>
      <c r="I16" s="6">
        <f>IF(ISNA(INDEX(TournamentData[Champion''s Rank],MATCH(RobotGameDelib[[#This Row],[Team Number]],TournamentData[Team Number],0))),NumberOfTeams+1,INDEX(TournamentData[Champion''s Rank],MATCH(RobotGameDelib[[#This Row],[Team Number]],TournamentData[Team Number],0)))</f>
        <v>12</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f>IF(ISNA(INDEX(TournamentData[Champion''s Rank],MATCH(ChampionsDelib[[#This Row],[Team Number]],TournamentData[Team Number],0))),NumberOfTeams+1,INDEX(TournamentData[Champion''s Rank],MATCH(ChampionsDelib[[#This Row],[Team Number]],TournamentData[Team Number],0)))</f>
        <v>12</v>
      </c>
      <c r="H17" s="6" t="str">
        <f>IF(ISNA(INDEX(OfficialTeamList[Team Name],MATCH(RobotGameDelib[[#This Row],[Team Number]], OfficialTeamList[Team Number],0))),"",INDEX(OfficialTeamList[Team Name],MATCH(RobotGameDelib[[#This Row],[Team Number]], OfficialTeamList[Team Number],0)))</f>
        <v/>
      </c>
      <c r="I17" s="6">
        <f>IF(ISNA(INDEX(TournamentData[Champion''s Rank],MATCH(RobotGameDelib[[#This Row],[Team Number]],TournamentData[Team Number],0))),NumberOfTeams+1,INDEX(TournamentData[Champion''s Rank],MATCH(RobotGameDelib[[#This Row],[Team Number]],TournamentData[Team Number],0)))</f>
        <v>12</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f>IF(ISNA(INDEX(TournamentData[Champion''s Rank],MATCH(ChampionsDelib[[#This Row],[Team Number]],TournamentData[Team Number],0))),NumberOfTeams+1,INDEX(TournamentData[Champion''s Rank],MATCH(ChampionsDelib[[#This Row],[Team Number]],TournamentData[Team Number],0)))</f>
        <v>12</v>
      </c>
      <c r="H18" s="6" t="str">
        <f>IF(ISNA(INDEX(OfficialTeamList[Team Name],MATCH(RobotGameDelib[[#This Row],[Team Number]], OfficialTeamList[Team Number],0))),"",INDEX(OfficialTeamList[Team Name],MATCH(RobotGameDelib[[#This Row],[Team Number]], OfficialTeamList[Team Number],0)))</f>
        <v/>
      </c>
      <c r="I18" s="6">
        <f>IF(ISNA(INDEX(TournamentData[Champion''s Rank],MATCH(RobotGameDelib[[#This Row],[Team Number]],TournamentData[Team Number],0))),NumberOfTeams+1,INDEX(TournamentData[Champion''s Rank],MATCH(RobotGameDelib[[#This Row],[Team Number]],TournamentData[Team Number],0)))</f>
        <v>12</v>
      </c>
    </row>
    <row r="20" spans="2:15" ht="20.25" customHeight="1" x14ac:dyDescent="0.25">
      <c r="B20" s="6" t="s">
        <v>46</v>
      </c>
      <c r="G20" s="6" t="s">
        <v>48</v>
      </c>
      <c r="L20" s="6" t="s">
        <v>47</v>
      </c>
    </row>
    <row r="21" spans="2:15" ht="39.950000000000003" customHeight="1" x14ac:dyDescent="0.25">
      <c r="B21" s="17" t="s">
        <v>9</v>
      </c>
      <c r="C21" s="17" t="s">
        <v>10</v>
      </c>
      <c r="D21" s="18" t="s">
        <v>30</v>
      </c>
      <c r="E21" s="18" t="s">
        <v>76</v>
      </c>
      <c r="G21" s="21" t="s">
        <v>9</v>
      </c>
      <c r="H21" s="21" t="s">
        <v>10</v>
      </c>
      <c r="I21" s="22" t="s">
        <v>32</v>
      </c>
      <c r="J21" s="22" t="s">
        <v>76</v>
      </c>
      <c r="L21" s="19" t="s">
        <v>9</v>
      </c>
      <c r="M21" s="19" t="s">
        <v>10</v>
      </c>
      <c r="N21" s="20" t="s">
        <v>31</v>
      </c>
      <c r="O21" s="20" t="s">
        <v>76</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f>IF(ISNA(INDEX(CoreValuesResults[Core Values Rank],MATCH(CoreValuesDelib[[#This Row],[Team Number]],CoreValuesResults[Team Number],0))),NumberOfTeams+1,INDEX(CoreValuesResults[Core Values Rank],MATCH(CoreValuesDelib[[#This Row],[Team Number]],CoreValuesResults[Team Number],0)))</f>
        <v>12</v>
      </c>
      <c r="H22" s="6" t="str">
        <f>IF(ISNA(INDEX(OfficialTeamList[Team Name],MATCH(RobotDesignDelib[[#This Row],[Team Number]], OfficialTeamList[Team Number],0))),"",INDEX(OfficialTeamList[Team Name],MATCH(RobotDesignDelib[[#This Row],[Team Number]], OfficialTeamList[Team Number],0)))</f>
        <v/>
      </c>
      <c r="I22" s="6">
        <f>IF(ISNA(INDEX(RobotDesignResults[Robot Design Rank],MATCH(RobotDesignDelib[[#This Row],[Team Number]],RobotDesignResults[Team Number],0))),NumberOfTeams+1,INDEX(RobotDesignResults[Robot Design Rank],MATCH(RobotDesignDelib[[#This Row],[Team Number]],RobotDesignResults[Team Number],0)))</f>
        <v>12</v>
      </c>
      <c r="M22" s="6" t="str">
        <f>IF(ISNA(INDEX(OfficialTeamList[Team Name],MATCH(InnovationProjectDelib[[#This Row],[Team Number]], OfficialTeamList[Team Number],0))),"",INDEX(OfficialTeamList[Team Name],MATCH(InnovationProjectDelib[[#This Row],[Team Number]], OfficialTeamList[Team Number],0)))</f>
        <v/>
      </c>
      <c r="N2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f>IF(ISNA(INDEX(CoreValuesResults[Core Values Rank],MATCH(CoreValuesDelib[[#This Row],[Team Number]],CoreValuesResults[Team Number],0))),NumberOfTeams+1,INDEX(CoreValuesResults[Core Values Rank],MATCH(CoreValuesDelib[[#This Row],[Team Number]],CoreValuesResults[Team Number],0)))</f>
        <v>12</v>
      </c>
      <c r="H23" s="6" t="str">
        <f>IF(ISNA(INDEX(OfficialTeamList[Team Name],MATCH(RobotDesignDelib[[#This Row],[Team Number]], OfficialTeamList[Team Number],0))),"",INDEX(OfficialTeamList[Team Name],MATCH(RobotDesignDelib[[#This Row],[Team Number]], OfficialTeamList[Team Number],0)))</f>
        <v/>
      </c>
      <c r="I23" s="6">
        <f>IF(ISNA(INDEX(RobotDesignResults[Robot Design Rank],MATCH(RobotDesignDelib[[#This Row],[Team Number]],RobotDesignResults[Team Number],0))),NumberOfTeams+1,INDEX(RobotDesignResults[Robot Design Rank],MATCH(RobotDesignDelib[[#This Row],[Team Number]],RobotDesignResults[Team Number],0)))</f>
        <v>12</v>
      </c>
      <c r="M23" s="6" t="str">
        <f>IF(ISNA(INDEX(OfficialTeamList[Team Name],MATCH(InnovationProjectDelib[[#This Row],[Team Number]], OfficialTeamList[Team Number],0))),"",INDEX(OfficialTeamList[Team Name],MATCH(InnovationProjectDelib[[#This Row],[Team Number]], OfficialTeamList[Team Number],0)))</f>
        <v/>
      </c>
      <c r="N2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f>IF(ISNA(INDEX(CoreValuesResults[Core Values Rank],MATCH(CoreValuesDelib[[#This Row],[Team Number]],CoreValuesResults[Team Number],0))),NumberOfTeams+1,INDEX(CoreValuesResults[Core Values Rank],MATCH(CoreValuesDelib[[#This Row],[Team Number]],CoreValuesResults[Team Number],0)))</f>
        <v>12</v>
      </c>
      <c r="H24" s="6" t="str">
        <f>IF(ISNA(INDEX(OfficialTeamList[Team Name],MATCH(RobotDesignDelib[[#This Row],[Team Number]], OfficialTeamList[Team Number],0))),"",INDEX(OfficialTeamList[Team Name],MATCH(RobotDesignDelib[[#This Row],[Team Number]], OfficialTeamList[Team Number],0)))</f>
        <v/>
      </c>
      <c r="I24" s="6">
        <f>IF(ISNA(INDEX(RobotDesignResults[Robot Design Rank],MATCH(RobotDesignDelib[[#This Row],[Team Number]],RobotDesignResults[Team Number],0))),NumberOfTeams+1,INDEX(RobotDesignResults[Robot Design Rank],MATCH(RobotDesignDelib[[#This Row],[Team Number]],RobotDesignResults[Team Number],0)))</f>
        <v>12</v>
      </c>
      <c r="M24" s="6" t="str">
        <f>IF(ISNA(INDEX(OfficialTeamList[Team Name],MATCH(InnovationProjectDelib[[#This Row],[Team Number]], OfficialTeamList[Team Number],0))),"",INDEX(OfficialTeamList[Team Name],MATCH(InnovationProjectDelib[[#This Row],[Team Number]], OfficialTeamList[Team Number],0)))</f>
        <v/>
      </c>
      <c r="N2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f>IF(ISNA(INDEX(CoreValuesResults[Core Values Rank],MATCH(CoreValuesDelib[[#This Row],[Team Number]],CoreValuesResults[Team Number],0))),NumberOfTeams+1,INDEX(CoreValuesResults[Core Values Rank],MATCH(CoreValuesDelib[[#This Row],[Team Number]],CoreValuesResults[Team Number],0)))</f>
        <v>12</v>
      </c>
      <c r="H25" s="6" t="str">
        <f>IF(ISNA(INDEX(OfficialTeamList[Team Name],MATCH(RobotDesignDelib[[#This Row],[Team Number]], OfficialTeamList[Team Number],0))),"",INDEX(OfficialTeamList[Team Name],MATCH(RobotDesignDelib[[#This Row],[Team Number]], OfficialTeamList[Team Number],0)))</f>
        <v/>
      </c>
      <c r="I25" s="6">
        <f>IF(ISNA(INDEX(RobotDesignResults[Robot Design Rank],MATCH(RobotDesignDelib[[#This Row],[Team Number]],RobotDesignResults[Team Number],0))),NumberOfTeams+1,INDEX(RobotDesignResults[Robot Design Rank],MATCH(RobotDesignDelib[[#This Row],[Team Number]],RobotDesignResults[Team Number],0)))</f>
        <v>12</v>
      </c>
      <c r="M25" s="6" t="str">
        <f>IF(ISNA(INDEX(OfficialTeamList[Team Name],MATCH(InnovationProjectDelib[[#This Row],[Team Number]], OfficialTeamList[Team Number],0))),"",INDEX(OfficialTeamList[Team Name],MATCH(InnovationProjectDelib[[#This Row],[Team Number]], OfficialTeamList[Team Number],0)))</f>
        <v/>
      </c>
      <c r="N2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f>IF(ISNA(INDEX(CoreValuesResults[Core Values Rank],MATCH(CoreValuesDelib[[#This Row],[Team Number]],CoreValuesResults[Team Number],0))),NumberOfTeams+1,INDEX(CoreValuesResults[Core Values Rank],MATCH(CoreValuesDelib[[#This Row],[Team Number]],CoreValuesResults[Team Number],0)))</f>
        <v>12</v>
      </c>
      <c r="H26" s="6" t="str">
        <f>IF(ISNA(INDEX(OfficialTeamList[Team Name],MATCH(RobotDesignDelib[[#This Row],[Team Number]], OfficialTeamList[Team Number],0))),"",INDEX(OfficialTeamList[Team Name],MATCH(RobotDesignDelib[[#This Row],[Team Number]], OfficialTeamList[Team Number],0)))</f>
        <v/>
      </c>
      <c r="I26" s="6">
        <f>IF(ISNA(INDEX(RobotDesignResults[Robot Design Rank],MATCH(RobotDesignDelib[[#This Row],[Team Number]],RobotDesignResults[Team Number],0))),NumberOfTeams+1,INDEX(RobotDesignResults[Robot Design Rank],MATCH(RobotDesignDelib[[#This Row],[Team Number]],RobotDesignResults[Team Number],0)))</f>
        <v>12</v>
      </c>
      <c r="M26" s="6" t="str">
        <f>IF(ISNA(INDEX(OfficialTeamList[Team Name],MATCH(InnovationProjectDelib[[#This Row],[Team Number]], OfficialTeamList[Team Number],0))),"",INDEX(OfficialTeamList[Team Name],MATCH(InnovationProjectDelib[[#This Row],[Team Number]], OfficialTeamList[Team Number],0)))</f>
        <v/>
      </c>
      <c r="N2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f>IF(ISNA(INDEX(CoreValuesResults[Core Values Rank],MATCH(CoreValuesDelib[[#This Row],[Team Number]],CoreValuesResults[Team Number],0))),NumberOfTeams+1,INDEX(CoreValuesResults[Core Values Rank],MATCH(CoreValuesDelib[[#This Row],[Team Number]],CoreValuesResults[Team Number],0)))</f>
        <v>12</v>
      </c>
      <c r="H27" s="6" t="str">
        <f>IF(ISNA(INDEX(OfficialTeamList[Team Name],MATCH(RobotDesignDelib[[#This Row],[Team Number]], OfficialTeamList[Team Number],0))),"",INDEX(OfficialTeamList[Team Name],MATCH(RobotDesignDelib[[#This Row],[Team Number]], OfficialTeamList[Team Number],0)))</f>
        <v/>
      </c>
      <c r="I27" s="6">
        <f>IF(ISNA(INDEX(RobotDesignResults[Robot Design Rank],MATCH(RobotDesignDelib[[#This Row],[Team Number]],RobotDesignResults[Team Number],0))),NumberOfTeams+1,INDEX(RobotDesignResults[Robot Design Rank],MATCH(RobotDesignDelib[[#This Row],[Team Number]],RobotDesignResults[Team Number],0)))</f>
        <v>12</v>
      </c>
      <c r="M27" s="6" t="str">
        <f>IF(ISNA(INDEX(OfficialTeamList[Team Name],MATCH(InnovationProjectDelib[[#This Row],[Team Number]], OfficialTeamList[Team Number],0))),"",INDEX(OfficialTeamList[Team Name],MATCH(InnovationProjectDelib[[#This Row],[Team Number]], OfficialTeamList[Team Number],0)))</f>
        <v/>
      </c>
      <c r="N27"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f>IF(ISNA(INDEX(CoreValuesResults[Core Values Rank],MATCH(CoreValuesDelib[[#This Row],[Team Number]],CoreValuesResults[Team Number],0))),NumberOfTeams+1,INDEX(CoreValuesResults[Core Values Rank],MATCH(CoreValuesDelib[[#This Row],[Team Number]],CoreValuesResults[Team Number],0)))</f>
        <v>12</v>
      </c>
      <c r="H28" s="6" t="str">
        <f>IF(ISNA(INDEX(OfficialTeamList[Team Name],MATCH(RobotDesignDelib[[#This Row],[Team Number]], OfficialTeamList[Team Number],0))),"",INDEX(OfficialTeamList[Team Name],MATCH(RobotDesignDelib[[#This Row],[Team Number]], OfficialTeamList[Team Number],0)))</f>
        <v/>
      </c>
      <c r="I28" s="6">
        <f>IF(ISNA(INDEX(RobotDesignResults[Robot Design Rank],MATCH(RobotDesignDelib[[#This Row],[Team Number]],RobotDesignResults[Team Number],0))),NumberOfTeams+1,INDEX(RobotDesignResults[Robot Design Rank],MATCH(RobotDesignDelib[[#This Row],[Team Number]],RobotDesignResults[Team Number],0)))</f>
        <v>12</v>
      </c>
      <c r="M28" s="6" t="str">
        <f>IF(ISNA(INDEX(OfficialTeamList[Team Name],MATCH(InnovationProjectDelib[[#This Row],[Team Number]], OfficialTeamList[Team Number],0))),"",INDEX(OfficialTeamList[Team Name],MATCH(InnovationProjectDelib[[#This Row],[Team Number]], OfficialTeamList[Team Number],0)))</f>
        <v/>
      </c>
      <c r="N28"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f>IF(ISNA(INDEX(CoreValuesResults[Core Values Rank],MATCH(CoreValuesDelib[[#This Row],[Team Number]],CoreValuesResults[Team Number],0))),NumberOfTeams+1,INDEX(CoreValuesResults[Core Values Rank],MATCH(CoreValuesDelib[[#This Row],[Team Number]],CoreValuesResults[Team Number],0)))</f>
        <v>12</v>
      </c>
      <c r="H29" s="6" t="str">
        <f>IF(ISNA(INDEX(OfficialTeamList[Team Name],MATCH(RobotDesignDelib[[#This Row],[Team Number]], OfficialTeamList[Team Number],0))),"",INDEX(OfficialTeamList[Team Name],MATCH(RobotDesignDelib[[#This Row],[Team Number]], OfficialTeamList[Team Number],0)))</f>
        <v/>
      </c>
      <c r="I29" s="6">
        <f>IF(ISNA(INDEX(RobotDesignResults[Robot Design Rank],MATCH(RobotDesignDelib[[#This Row],[Team Number]],RobotDesignResults[Team Number],0))),NumberOfTeams+1,INDEX(RobotDesignResults[Robot Design Rank],MATCH(RobotDesignDelib[[#This Row],[Team Number]],RobotDesignResults[Team Number],0)))</f>
        <v>12</v>
      </c>
      <c r="M29" s="6" t="str">
        <f>IF(ISNA(INDEX(OfficialTeamList[Team Name],MATCH(InnovationProjectDelib[[#This Row],[Team Number]], OfficialTeamList[Team Number],0))),"",INDEX(OfficialTeamList[Team Name],MATCH(InnovationProjectDelib[[#This Row],[Team Number]], OfficialTeamList[Team Number],0)))</f>
        <v/>
      </c>
      <c r="N29"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f>IF(ISNA(INDEX(CoreValuesResults[Core Values Rank],MATCH(CoreValuesDelib[[#This Row],[Team Number]],CoreValuesResults[Team Number],0))),NumberOfTeams+1,INDEX(CoreValuesResults[Core Values Rank],MATCH(CoreValuesDelib[[#This Row],[Team Number]],CoreValuesResults[Team Number],0)))</f>
        <v>12</v>
      </c>
      <c r="H30" s="6" t="str">
        <f>IF(ISNA(INDEX(OfficialTeamList[Team Name],MATCH(RobotDesignDelib[[#This Row],[Team Number]], OfficialTeamList[Team Number],0))),"",INDEX(OfficialTeamList[Team Name],MATCH(RobotDesignDelib[[#This Row],[Team Number]], OfficialTeamList[Team Number],0)))</f>
        <v/>
      </c>
      <c r="I30" s="6">
        <f>IF(ISNA(INDEX(RobotDesignResults[Robot Design Rank],MATCH(RobotDesignDelib[[#This Row],[Team Number]],RobotDesignResults[Team Number],0))),NumberOfTeams+1,INDEX(RobotDesignResults[Robot Design Rank],MATCH(RobotDesignDelib[[#This Row],[Team Number]],RobotDesignResults[Team Number],0)))</f>
        <v>12</v>
      </c>
      <c r="M30" s="6" t="str">
        <f>IF(ISNA(INDEX(OfficialTeamList[Team Name],MATCH(InnovationProjectDelib[[#This Row],[Team Number]], OfficialTeamList[Team Number],0))),"",INDEX(OfficialTeamList[Team Name],MATCH(InnovationProjectDelib[[#This Row],[Team Number]], OfficialTeamList[Team Number],0)))</f>
        <v/>
      </c>
      <c r="N30"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f>IF(ISNA(INDEX(CoreValuesResults[Core Values Rank],MATCH(CoreValuesDelib[[#This Row],[Team Number]],CoreValuesResults[Team Number],0))),NumberOfTeams+1,INDEX(CoreValuesResults[Core Values Rank],MATCH(CoreValuesDelib[[#This Row],[Team Number]],CoreValuesResults[Team Number],0)))</f>
        <v>12</v>
      </c>
      <c r="H31" s="6" t="str">
        <f>IF(ISNA(INDEX(OfficialTeamList[Team Name],MATCH(RobotDesignDelib[[#This Row],[Team Number]], OfficialTeamList[Team Number],0))),"",INDEX(OfficialTeamList[Team Name],MATCH(RobotDesignDelib[[#This Row],[Team Number]], OfficialTeamList[Team Number],0)))</f>
        <v/>
      </c>
      <c r="I31" s="6">
        <f>IF(ISNA(INDEX(RobotDesignResults[Robot Design Rank],MATCH(RobotDesignDelib[[#This Row],[Team Number]],RobotDesignResults[Team Number],0))),NumberOfTeams+1,INDEX(RobotDesignResults[Robot Design Rank],MATCH(RobotDesignDelib[[#This Row],[Team Number]],RobotDesignResults[Team Number],0)))</f>
        <v>12</v>
      </c>
      <c r="M31" s="6" t="str">
        <f>IF(ISNA(INDEX(OfficialTeamList[Team Name],MATCH(InnovationProjectDelib[[#This Row],[Team Number]], OfficialTeamList[Team Number],0))),"",INDEX(OfficialTeamList[Team Name],MATCH(InnovationProjectDelib[[#This Row],[Team Number]], OfficialTeamList[Team Number],0)))</f>
        <v/>
      </c>
      <c r="N31"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f>IF(ISNA(INDEX(CoreValuesResults[Core Values Rank],MATCH(CoreValuesDelib[[#This Row],[Team Number]],CoreValuesResults[Team Number],0))),NumberOfTeams+1,INDEX(CoreValuesResults[Core Values Rank],MATCH(CoreValuesDelib[[#This Row],[Team Number]],CoreValuesResults[Team Number],0)))</f>
        <v>12</v>
      </c>
      <c r="H32" s="6" t="str">
        <f>IF(ISNA(INDEX(OfficialTeamList[Team Name],MATCH(RobotDesignDelib[[#This Row],[Team Number]], OfficialTeamList[Team Number],0))),"",INDEX(OfficialTeamList[Team Name],MATCH(RobotDesignDelib[[#This Row],[Team Number]], OfficialTeamList[Team Number],0)))</f>
        <v/>
      </c>
      <c r="I32" s="6">
        <f>IF(ISNA(INDEX(RobotDesignResults[Robot Design Rank],MATCH(RobotDesignDelib[[#This Row],[Team Number]],RobotDesignResults[Team Number],0))),NumberOfTeams+1,INDEX(RobotDesignResults[Robot Design Rank],MATCH(RobotDesignDelib[[#This Row],[Team Number]],RobotDesignResults[Team Number],0)))</f>
        <v>12</v>
      </c>
      <c r="M32" s="6" t="str">
        <f>IF(ISNA(INDEX(OfficialTeamList[Team Name],MATCH(InnovationProjectDelib[[#This Row],[Team Number]], OfficialTeamList[Team Number],0))),"",INDEX(OfficialTeamList[Team Name],MATCH(InnovationProjectDelib[[#This Row],[Team Number]], OfficialTeamList[Team Number],0)))</f>
        <v/>
      </c>
      <c r="N3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f>IF(ISNA(INDEX(CoreValuesResults[Core Values Rank],MATCH(CoreValuesDelib[[#This Row],[Team Number]],CoreValuesResults[Team Number],0))),NumberOfTeams+1,INDEX(CoreValuesResults[Core Values Rank],MATCH(CoreValuesDelib[[#This Row],[Team Number]],CoreValuesResults[Team Number],0)))</f>
        <v>12</v>
      </c>
      <c r="H33" s="6" t="str">
        <f>IF(ISNA(INDEX(OfficialTeamList[Team Name],MATCH(RobotDesignDelib[[#This Row],[Team Number]], OfficialTeamList[Team Number],0))),"",INDEX(OfficialTeamList[Team Name],MATCH(RobotDesignDelib[[#This Row],[Team Number]], OfficialTeamList[Team Number],0)))</f>
        <v/>
      </c>
      <c r="I33" s="6">
        <f>IF(ISNA(INDEX(RobotDesignResults[Robot Design Rank],MATCH(RobotDesignDelib[[#This Row],[Team Number]],RobotDesignResults[Team Number],0))),NumberOfTeams+1,INDEX(RobotDesignResults[Robot Design Rank],MATCH(RobotDesignDelib[[#This Row],[Team Number]],RobotDesignResults[Team Number],0)))</f>
        <v>12</v>
      </c>
      <c r="M33" s="6" t="str">
        <f>IF(ISNA(INDEX(OfficialTeamList[Team Name],MATCH(InnovationProjectDelib[[#This Row],[Team Number]], OfficialTeamList[Team Number],0))),"",INDEX(OfficialTeamList[Team Name],MATCH(InnovationProjectDelib[[#This Row],[Team Number]], OfficialTeamList[Team Number],0)))</f>
        <v/>
      </c>
      <c r="N3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f>IF(ISNA(INDEX(CoreValuesResults[Core Values Rank],MATCH(CoreValuesDelib[[#This Row],[Team Number]],CoreValuesResults[Team Number],0))),NumberOfTeams+1,INDEX(CoreValuesResults[Core Values Rank],MATCH(CoreValuesDelib[[#This Row],[Team Number]],CoreValuesResults[Team Number],0)))</f>
        <v>12</v>
      </c>
      <c r="H34" s="6" t="str">
        <f>IF(ISNA(INDEX(OfficialTeamList[Team Name],MATCH(RobotDesignDelib[[#This Row],[Team Number]], OfficialTeamList[Team Number],0))),"",INDEX(OfficialTeamList[Team Name],MATCH(RobotDesignDelib[[#This Row],[Team Number]], OfficialTeamList[Team Number],0)))</f>
        <v/>
      </c>
      <c r="I34" s="6">
        <f>IF(ISNA(INDEX(RobotDesignResults[Robot Design Rank],MATCH(RobotDesignDelib[[#This Row],[Team Number]],RobotDesignResults[Team Number],0))),NumberOfTeams+1,INDEX(RobotDesignResults[Robot Design Rank],MATCH(RobotDesignDelib[[#This Row],[Team Number]],RobotDesignResults[Team Number],0)))</f>
        <v>12</v>
      </c>
      <c r="M34" s="6" t="str">
        <f>IF(ISNA(INDEX(OfficialTeamList[Team Name],MATCH(InnovationProjectDelib[[#This Row],[Team Number]], OfficialTeamList[Team Number],0))),"",INDEX(OfficialTeamList[Team Name],MATCH(InnovationProjectDelib[[#This Row],[Team Number]], OfficialTeamList[Team Number],0)))</f>
        <v/>
      </c>
      <c r="N3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f>IF(ISNA(INDEX(CoreValuesResults[Core Values Rank],MATCH(CoreValuesDelib[[#This Row],[Team Number]],CoreValuesResults[Team Number],0))),NumberOfTeams+1,INDEX(CoreValuesResults[Core Values Rank],MATCH(CoreValuesDelib[[#This Row],[Team Number]],CoreValuesResults[Team Number],0)))</f>
        <v>12</v>
      </c>
      <c r="H35" s="6" t="str">
        <f>IF(ISNA(INDEX(OfficialTeamList[Team Name],MATCH(RobotDesignDelib[[#This Row],[Team Number]], OfficialTeamList[Team Number],0))),"",INDEX(OfficialTeamList[Team Name],MATCH(RobotDesignDelib[[#This Row],[Team Number]], OfficialTeamList[Team Number],0)))</f>
        <v/>
      </c>
      <c r="I35" s="6">
        <f>IF(ISNA(INDEX(RobotDesignResults[Robot Design Rank],MATCH(RobotDesignDelib[[#This Row],[Team Number]],RobotDesignResults[Team Number],0))),NumberOfTeams+1,INDEX(RobotDesignResults[Robot Design Rank],MATCH(RobotDesignDelib[[#This Row],[Team Number]],RobotDesignResults[Team Number],0)))</f>
        <v>12</v>
      </c>
      <c r="M35" s="6" t="str">
        <f>IF(ISNA(INDEX(OfficialTeamList[Team Name],MATCH(InnovationProjectDelib[[#This Row],[Team Number]], OfficialTeamList[Team Number],0))),"",INDEX(OfficialTeamList[Team Name],MATCH(InnovationProjectDelib[[#This Row],[Team Number]], OfficialTeamList[Team Number],0)))</f>
        <v/>
      </c>
      <c r="N3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f>IF(ISNA(INDEX(CoreValuesResults[Core Values Rank],MATCH(CoreValuesDelib[[#This Row],[Team Number]],CoreValuesResults[Team Number],0))),NumberOfTeams+1,INDEX(CoreValuesResults[Core Values Rank],MATCH(CoreValuesDelib[[#This Row],[Team Number]],CoreValuesResults[Team Number],0)))</f>
        <v>12</v>
      </c>
      <c r="H36" s="6" t="str">
        <f>IF(ISNA(INDEX(OfficialTeamList[Team Name],MATCH(RobotDesignDelib[[#This Row],[Team Number]], OfficialTeamList[Team Number],0))),"",INDEX(OfficialTeamList[Team Name],MATCH(RobotDesignDelib[[#This Row],[Team Number]], OfficialTeamList[Team Number],0)))</f>
        <v/>
      </c>
      <c r="I36" s="6">
        <f>IF(ISNA(INDEX(RobotDesignResults[Robot Design Rank],MATCH(RobotDesignDelib[[#This Row],[Team Number]],RobotDesignResults[Team Number],0))),NumberOfTeams+1,INDEX(RobotDesignResults[Robot Design Rank],MATCH(RobotDesignDelib[[#This Row],[Team Number]],RobotDesignResults[Team Number],0)))</f>
        <v>12</v>
      </c>
      <c r="M36" s="6" t="str">
        <f>IF(ISNA(INDEX(OfficialTeamList[Team Name],MATCH(InnovationProjectDelib[[#This Row],[Team Number]], OfficialTeamList[Team Number],0))),"",INDEX(OfficialTeamList[Team Name],MATCH(InnovationProjectDelib[[#This Row],[Team Number]], OfficialTeamList[Team Number],0)))</f>
        <v/>
      </c>
      <c r="N3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8" spans="2:15" ht="20.25" customHeight="1" x14ac:dyDescent="0.25">
      <c r="B38" s="6" t="s">
        <v>35</v>
      </c>
      <c r="G38" s="6" t="s">
        <v>36</v>
      </c>
      <c r="L38" s="6" t="s">
        <v>37</v>
      </c>
    </row>
    <row r="39" spans="2:15" ht="39.950000000000003" customHeight="1" x14ac:dyDescent="0.25">
      <c r="B39" s="15" t="s">
        <v>9</v>
      </c>
      <c r="C39" s="15" t="s">
        <v>10</v>
      </c>
      <c r="D39" s="16" t="s">
        <v>34</v>
      </c>
      <c r="E39" s="16" t="s">
        <v>76</v>
      </c>
      <c r="G39" s="15" t="s">
        <v>9</v>
      </c>
      <c r="H39" s="15" t="s">
        <v>10</v>
      </c>
      <c r="I39" s="16" t="s">
        <v>34</v>
      </c>
      <c r="J39" s="16" t="s">
        <v>76</v>
      </c>
      <c r="L39" s="15" t="s">
        <v>9</v>
      </c>
      <c r="M39" s="15" t="s">
        <v>10</v>
      </c>
      <c r="N39" s="16" t="s">
        <v>34</v>
      </c>
      <c r="O39" s="16" t="s">
        <v>76</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f>IF(ISNA(INDEX(TournamentData[Champion''s Rank],MATCH(BreakthroughDelib[[#This Row],[Team Number]],TournamentData[Team Number],0))),NumberOfTeams+1,INDEX(TournamentData[Champion''s Rank],MATCH(BreakthroughDelib[[#This Row],[Team Number]],TournamentData[Team Number],0)))</f>
        <v>12</v>
      </c>
      <c r="H40" s="6" t="str">
        <f>IF(ISNA(INDEX(OfficialTeamList[Team Name],MATCH(RookiAllStarDelib[[#This Row],[Team Number]], OfficialTeamList[Team Number],0))),"",INDEX(OfficialTeamList[Team Name],MATCH(RookiAllStarDelib[[#This Row],[Team Number]], OfficialTeamList[Team Number],0)))</f>
        <v/>
      </c>
      <c r="I40" s="6">
        <f>IF(ISNA(INDEX(TournamentData[Champion''s Rank],MATCH(RookiAllStarDelib[[#This Row],[Team Number]],TournamentData[Team Number],0))),NumberOfTeams+1,INDEX(TournamentData[Champion''s Rank],MATCH(RookiAllStarDelib[[#This Row],[Team Number]],TournamentData[Team Number],0)))</f>
        <v>12</v>
      </c>
      <c r="M40" s="6" t="str">
        <f>IF(ISNA(INDEX(OfficialTeamList[Team Name],MATCH(MotivateDelib[[#This Row],[Team Number]], OfficialTeamList[Team Number],0))),"",INDEX(OfficialTeamList[Team Name],MATCH(MotivateDelib[[#This Row],[Team Number]], OfficialTeamList[Team Number],0)))</f>
        <v/>
      </c>
      <c r="N40" s="6">
        <f>IF(ISNA(INDEX(TournamentData[Champion''s Rank],MATCH(MotivateDelib[[#This Row],[Team Number]],TournamentData[Team Number],0))),NumberOfTeams+1,INDEX(TournamentData[Champion''s Rank],MATCH(MotivateDelib[[#This Row],[Team Number]],TournamentData[Team Number],0)))</f>
        <v>12</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f>IF(ISNA(INDEX(TournamentData[Champion''s Rank],MATCH(BreakthroughDelib[[#This Row],[Team Number]],TournamentData[Team Number],0))),NumberOfTeams+1,INDEX(TournamentData[Champion''s Rank],MATCH(BreakthroughDelib[[#This Row],[Team Number]],TournamentData[Team Number],0)))</f>
        <v>12</v>
      </c>
      <c r="H41" s="6" t="str">
        <f>IF(ISNA(INDEX(OfficialTeamList[Team Name],MATCH(RookiAllStarDelib[[#This Row],[Team Number]], OfficialTeamList[Team Number],0))),"",INDEX(OfficialTeamList[Team Name],MATCH(RookiAllStarDelib[[#This Row],[Team Number]], OfficialTeamList[Team Number],0)))</f>
        <v/>
      </c>
      <c r="I41" s="6">
        <f>IF(ISNA(INDEX(TournamentData[Champion''s Rank],MATCH(RookiAllStarDelib[[#This Row],[Team Number]],TournamentData[Team Number],0))),NumberOfTeams+1,INDEX(TournamentData[Champion''s Rank],MATCH(RookiAllStarDelib[[#This Row],[Team Number]],TournamentData[Team Number],0)))</f>
        <v>12</v>
      </c>
      <c r="M41" s="6" t="str">
        <f>IF(ISNA(INDEX(OfficialTeamList[Team Name],MATCH(MotivateDelib[[#This Row],[Team Number]], OfficialTeamList[Team Number],0))),"",INDEX(OfficialTeamList[Team Name],MATCH(MotivateDelib[[#This Row],[Team Number]], OfficialTeamList[Team Number],0)))</f>
        <v/>
      </c>
      <c r="N41" s="6">
        <f>IF(ISNA(INDEX(TournamentData[Champion''s Rank],MATCH(MotivateDelib[[#This Row],[Team Number]],TournamentData[Team Number],0))),NumberOfTeams+1,INDEX(TournamentData[Champion''s Rank],MATCH(MotivateDelib[[#This Row],[Team Number]],TournamentData[Team Number],0)))</f>
        <v>12</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f>IF(ISNA(INDEX(TournamentData[Champion''s Rank],MATCH(BreakthroughDelib[[#This Row],[Team Number]],TournamentData[Team Number],0))),NumberOfTeams+1,INDEX(TournamentData[Champion''s Rank],MATCH(BreakthroughDelib[[#This Row],[Team Number]],TournamentData[Team Number],0)))</f>
        <v>12</v>
      </c>
      <c r="H42" s="6" t="str">
        <f>IF(ISNA(INDEX(OfficialTeamList[Team Name],MATCH(RookiAllStarDelib[[#This Row],[Team Number]], OfficialTeamList[Team Number],0))),"",INDEX(OfficialTeamList[Team Name],MATCH(RookiAllStarDelib[[#This Row],[Team Number]], OfficialTeamList[Team Number],0)))</f>
        <v/>
      </c>
      <c r="I42" s="6">
        <f>IF(ISNA(INDEX(TournamentData[Champion''s Rank],MATCH(RookiAllStarDelib[[#This Row],[Team Number]],TournamentData[Team Number],0))),NumberOfTeams+1,INDEX(TournamentData[Champion''s Rank],MATCH(RookiAllStarDelib[[#This Row],[Team Number]],TournamentData[Team Number],0)))</f>
        <v>12</v>
      </c>
      <c r="M42" s="6" t="str">
        <f>IF(ISNA(INDEX(OfficialTeamList[Team Name],MATCH(MotivateDelib[[#This Row],[Team Number]], OfficialTeamList[Team Number],0))),"",INDEX(OfficialTeamList[Team Name],MATCH(MotivateDelib[[#This Row],[Team Number]], OfficialTeamList[Team Number],0)))</f>
        <v/>
      </c>
      <c r="N42" s="6">
        <f>IF(ISNA(INDEX(TournamentData[Champion''s Rank],MATCH(MotivateDelib[[#This Row],[Team Number]],TournamentData[Team Number],0))),NumberOfTeams+1,INDEX(TournamentData[Champion''s Rank],MATCH(MotivateDelib[[#This Row],[Team Number]],TournamentData[Team Number],0)))</f>
        <v>12</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f>IF(ISNA(INDEX(TournamentData[Champion''s Rank],MATCH(BreakthroughDelib[[#This Row],[Team Number]],TournamentData[Team Number],0))),NumberOfTeams+1,INDEX(TournamentData[Champion''s Rank],MATCH(BreakthroughDelib[[#This Row],[Team Number]],TournamentData[Team Number],0)))</f>
        <v>12</v>
      </c>
      <c r="H43" s="6" t="str">
        <f>IF(ISNA(INDEX(OfficialTeamList[Team Name],MATCH(RookiAllStarDelib[[#This Row],[Team Number]], OfficialTeamList[Team Number],0))),"",INDEX(OfficialTeamList[Team Name],MATCH(RookiAllStarDelib[[#This Row],[Team Number]], OfficialTeamList[Team Number],0)))</f>
        <v/>
      </c>
      <c r="I43" s="6">
        <f>IF(ISNA(INDEX(TournamentData[Champion''s Rank],MATCH(RookiAllStarDelib[[#This Row],[Team Number]],TournamentData[Team Number],0))),NumberOfTeams+1,INDEX(TournamentData[Champion''s Rank],MATCH(RookiAllStarDelib[[#This Row],[Team Number]],TournamentData[Team Number],0)))</f>
        <v>12</v>
      </c>
      <c r="M43" s="6" t="str">
        <f>IF(ISNA(INDEX(OfficialTeamList[Team Name],MATCH(MotivateDelib[[#This Row],[Team Number]], OfficialTeamList[Team Number],0))),"",INDEX(OfficialTeamList[Team Name],MATCH(MotivateDelib[[#This Row],[Team Number]], OfficialTeamList[Team Number],0)))</f>
        <v/>
      </c>
      <c r="N43" s="6">
        <f>IF(ISNA(INDEX(TournamentData[Champion''s Rank],MATCH(MotivateDelib[[#This Row],[Team Number]],TournamentData[Team Number],0))),NumberOfTeams+1,INDEX(TournamentData[Champion''s Rank],MATCH(MotivateDelib[[#This Row],[Team Number]],TournamentData[Team Number],0)))</f>
        <v>12</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f>IF(ISNA(INDEX(TournamentData[Champion''s Rank],MATCH(BreakthroughDelib[[#This Row],[Team Number]],TournamentData[Team Number],0))),NumberOfTeams+1,INDEX(TournamentData[Champion''s Rank],MATCH(BreakthroughDelib[[#This Row],[Team Number]],TournamentData[Team Number],0)))</f>
        <v>12</v>
      </c>
      <c r="H44" s="6" t="str">
        <f>IF(ISNA(INDEX(OfficialTeamList[Team Name],MATCH(RookiAllStarDelib[[#This Row],[Team Number]], OfficialTeamList[Team Number],0))),"",INDEX(OfficialTeamList[Team Name],MATCH(RookiAllStarDelib[[#This Row],[Team Number]], OfficialTeamList[Team Number],0)))</f>
        <v/>
      </c>
      <c r="I44" s="6">
        <f>IF(ISNA(INDEX(TournamentData[Champion''s Rank],MATCH(RookiAllStarDelib[[#This Row],[Team Number]],TournamentData[Team Number],0))),NumberOfTeams+1,INDEX(TournamentData[Champion''s Rank],MATCH(RookiAllStarDelib[[#This Row],[Team Number]],TournamentData[Team Number],0)))</f>
        <v>12</v>
      </c>
      <c r="M44" s="6" t="str">
        <f>IF(ISNA(INDEX(OfficialTeamList[Team Name],MATCH(MotivateDelib[[#This Row],[Team Number]], OfficialTeamList[Team Number],0))),"",INDEX(OfficialTeamList[Team Name],MATCH(MotivateDelib[[#This Row],[Team Number]], OfficialTeamList[Team Number],0)))</f>
        <v/>
      </c>
      <c r="N44" s="6">
        <f>IF(ISNA(INDEX(TournamentData[Champion''s Rank],MATCH(MotivateDelib[[#This Row],[Team Number]],TournamentData[Team Number],0))),NumberOfTeams+1,INDEX(TournamentData[Champion''s Rank],MATCH(MotivateDelib[[#This Row],[Team Number]],TournamentData[Team Number],0)))</f>
        <v>12</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f>IF(ISNA(INDEX(TournamentData[Champion''s Rank],MATCH(BreakthroughDelib[[#This Row],[Team Number]],TournamentData[Team Number],0))),NumberOfTeams+1,INDEX(TournamentData[Champion''s Rank],MATCH(BreakthroughDelib[[#This Row],[Team Number]],TournamentData[Team Number],0)))</f>
        <v>12</v>
      </c>
      <c r="H45" s="6" t="str">
        <f>IF(ISNA(INDEX(OfficialTeamList[Team Name],MATCH(RookiAllStarDelib[[#This Row],[Team Number]], OfficialTeamList[Team Number],0))),"",INDEX(OfficialTeamList[Team Name],MATCH(RookiAllStarDelib[[#This Row],[Team Number]], OfficialTeamList[Team Number],0)))</f>
        <v/>
      </c>
      <c r="I45" s="6">
        <f>IF(ISNA(INDEX(TournamentData[Champion''s Rank],MATCH(RookiAllStarDelib[[#This Row],[Team Number]],TournamentData[Team Number],0))),NumberOfTeams+1,INDEX(TournamentData[Champion''s Rank],MATCH(RookiAllStarDelib[[#This Row],[Team Number]],TournamentData[Team Number],0)))</f>
        <v>12</v>
      </c>
      <c r="M45" s="6" t="str">
        <f>IF(ISNA(INDEX(OfficialTeamList[Team Name],MATCH(MotivateDelib[[#This Row],[Team Number]], OfficialTeamList[Team Number],0))),"",INDEX(OfficialTeamList[Team Name],MATCH(MotivateDelib[[#This Row],[Team Number]], OfficialTeamList[Team Number],0)))</f>
        <v/>
      </c>
      <c r="N45" s="6">
        <f>IF(ISNA(INDEX(TournamentData[Champion''s Rank],MATCH(MotivateDelib[[#This Row],[Team Number]],TournamentData[Team Number],0))),NumberOfTeams+1,INDEX(TournamentData[Champion''s Rank],MATCH(MotivateDelib[[#This Row],[Team Number]],TournamentData[Team Number],0)))</f>
        <v>12</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f>IF(ISNA(INDEX(TournamentData[Champion''s Rank],MATCH(BreakthroughDelib[[#This Row],[Team Number]],TournamentData[Team Number],0))),NumberOfTeams+1,INDEX(TournamentData[Champion''s Rank],MATCH(BreakthroughDelib[[#This Row],[Team Number]],TournamentData[Team Number],0)))</f>
        <v>12</v>
      </c>
      <c r="H46" s="6" t="str">
        <f>IF(ISNA(INDEX(OfficialTeamList[Team Name],MATCH(RookiAllStarDelib[[#This Row],[Team Number]], OfficialTeamList[Team Number],0))),"",INDEX(OfficialTeamList[Team Name],MATCH(RookiAllStarDelib[[#This Row],[Team Number]], OfficialTeamList[Team Number],0)))</f>
        <v/>
      </c>
      <c r="I46" s="6">
        <f>IF(ISNA(INDEX(TournamentData[Champion''s Rank],MATCH(RookiAllStarDelib[[#This Row],[Team Number]],TournamentData[Team Number],0))),NumberOfTeams+1,INDEX(TournamentData[Champion''s Rank],MATCH(RookiAllStarDelib[[#This Row],[Team Number]],TournamentData[Team Number],0)))</f>
        <v>12</v>
      </c>
      <c r="M46" s="6" t="str">
        <f>IF(ISNA(INDEX(OfficialTeamList[Team Name],MATCH(MotivateDelib[[#This Row],[Team Number]], OfficialTeamList[Team Number],0))),"",INDEX(OfficialTeamList[Team Name],MATCH(MotivateDelib[[#This Row],[Team Number]], OfficialTeamList[Team Number],0)))</f>
        <v/>
      </c>
      <c r="N46" s="6">
        <f>IF(ISNA(INDEX(TournamentData[Champion''s Rank],MATCH(MotivateDelib[[#This Row],[Team Number]],TournamentData[Team Number],0))),NumberOfTeams+1,INDEX(TournamentData[Champion''s Rank],MATCH(MotivateDelib[[#This Row],[Team Number]],TournamentData[Team Number],0)))</f>
        <v>12</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f>IF(ISNA(INDEX(TournamentData[Champion''s Rank],MATCH(BreakthroughDelib[[#This Row],[Team Number]],TournamentData[Team Number],0))),NumberOfTeams+1,INDEX(TournamentData[Champion''s Rank],MATCH(BreakthroughDelib[[#This Row],[Team Number]],TournamentData[Team Number],0)))</f>
        <v>12</v>
      </c>
      <c r="H47" s="6" t="str">
        <f>IF(ISNA(INDEX(OfficialTeamList[Team Name],MATCH(RookiAllStarDelib[[#This Row],[Team Number]], OfficialTeamList[Team Number],0))),"",INDEX(OfficialTeamList[Team Name],MATCH(RookiAllStarDelib[[#This Row],[Team Number]], OfficialTeamList[Team Number],0)))</f>
        <v/>
      </c>
      <c r="I47" s="6">
        <f>IF(ISNA(INDEX(TournamentData[Champion''s Rank],MATCH(RookiAllStarDelib[[#This Row],[Team Number]],TournamentData[Team Number],0))),NumberOfTeams+1,INDEX(TournamentData[Champion''s Rank],MATCH(RookiAllStarDelib[[#This Row],[Team Number]],TournamentData[Team Number],0)))</f>
        <v>12</v>
      </c>
      <c r="M47" s="6" t="str">
        <f>IF(ISNA(INDEX(OfficialTeamList[Team Name],MATCH(MotivateDelib[[#This Row],[Team Number]], OfficialTeamList[Team Number],0))),"",INDEX(OfficialTeamList[Team Name],MATCH(MotivateDelib[[#This Row],[Team Number]], OfficialTeamList[Team Number],0)))</f>
        <v/>
      </c>
      <c r="N47" s="6">
        <f>IF(ISNA(INDEX(TournamentData[Champion''s Rank],MATCH(MotivateDelib[[#This Row],[Team Number]],TournamentData[Team Number],0))),NumberOfTeams+1,INDEX(TournamentData[Champion''s Rank],MATCH(MotivateDelib[[#This Row],[Team Number]],TournamentData[Team Number],0)))</f>
        <v>12</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f>IF(ISNA(INDEX(TournamentData[Champion''s Rank],MATCH(BreakthroughDelib[[#This Row],[Team Number]],TournamentData[Team Number],0))),NumberOfTeams+1,INDEX(TournamentData[Champion''s Rank],MATCH(BreakthroughDelib[[#This Row],[Team Number]],TournamentData[Team Number],0)))</f>
        <v>12</v>
      </c>
      <c r="H48" s="6" t="str">
        <f>IF(ISNA(INDEX(OfficialTeamList[Team Name],MATCH(RookiAllStarDelib[[#This Row],[Team Number]], OfficialTeamList[Team Number],0))),"",INDEX(OfficialTeamList[Team Name],MATCH(RookiAllStarDelib[[#This Row],[Team Number]], OfficialTeamList[Team Number],0)))</f>
        <v/>
      </c>
      <c r="I48" s="6">
        <f>IF(ISNA(INDEX(TournamentData[Champion''s Rank],MATCH(RookiAllStarDelib[[#This Row],[Team Number]],TournamentData[Team Number],0))),NumberOfTeams+1,INDEX(TournamentData[Champion''s Rank],MATCH(RookiAllStarDelib[[#This Row],[Team Number]],TournamentData[Team Number],0)))</f>
        <v>12</v>
      </c>
      <c r="M48" s="6" t="str">
        <f>IF(ISNA(INDEX(OfficialTeamList[Team Name],MATCH(MotivateDelib[[#This Row],[Team Number]], OfficialTeamList[Team Number],0))),"",INDEX(OfficialTeamList[Team Name],MATCH(MotivateDelib[[#This Row],[Team Number]], OfficialTeamList[Team Number],0)))</f>
        <v/>
      </c>
      <c r="N48" s="6">
        <f>IF(ISNA(INDEX(TournamentData[Champion''s Rank],MATCH(MotivateDelib[[#This Row],[Team Number]],TournamentData[Team Number],0))),NumberOfTeams+1,INDEX(TournamentData[Champion''s Rank],MATCH(MotivateDelib[[#This Row],[Team Number]],TournamentData[Team Number],0)))</f>
        <v>12</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f>IF(ISNA(INDEX(TournamentData[Champion''s Rank],MATCH(BreakthroughDelib[[#This Row],[Team Number]],TournamentData[Team Number],0))),NumberOfTeams+1,INDEX(TournamentData[Champion''s Rank],MATCH(BreakthroughDelib[[#This Row],[Team Number]],TournamentData[Team Number],0)))</f>
        <v>12</v>
      </c>
      <c r="H49" s="6" t="str">
        <f>IF(ISNA(INDEX(OfficialTeamList[Team Name],MATCH(RookiAllStarDelib[[#This Row],[Team Number]], OfficialTeamList[Team Number],0))),"",INDEX(OfficialTeamList[Team Name],MATCH(RookiAllStarDelib[[#This Row],[Team Number]], OfficialTeamList[Team Number],0)))</f>
        <v/>
      </c>
      <c r="I49" s="6">
        <f>IF(ISNA(INDEX(TournamentData[Champion''s Rank],MATCH(RookiAllStarDelib[[#This Row],[Team Number]],TournamentData[Team Number],0))),NumberOfTeams+1,INDEX(TournamentData[Champion''s Rank],MATCH(RookiAllStarDelib[[#This Row],[Team Number]],TournamentData[Team Number],0)))</f>
        <v>12</v>
      </c>
      <c r="M49" s="6" t="str">
        <f>IF(ISNA(INDEX(OfficialTeamList[Team Name],MATCH(MotivateDelib[[#This Row],[Team Number]], OfficialTeamList[Team Number],0))),"",INDEX(OfficialTeamList[Team Name],MATCH(MotivateDelib[[#This Row],[Team Number]], OfficialTeamList[Team Number],0)))</f>
        <v/>
      </c>
      <c r="N49" s="6">
        <f>IF(ISNA(INDEX(TournamentData[Champion''s Rank],MATCH(MotivateDelib[[#This Row],[Team Number]],TournamentData[Team Number],0))),NumberOfTeams+1,INDEX(TournamentData[Champion''s Rank],MATCH(MotivateDelib[[#This Row],[Team Number]],TournamentData[Team Number],0)))</f>
        <v>12</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f>IF(ISNA(INDEX(TournamentData[Champion''s Rank],MATCH(BreakthroughDelib[[#This Row],[Team Number]],TournamentData[Team Number],0))),NumberOfTeams+1,INDEX(TournamentData[Champion''s Rank],MATCH(BreakthroughDelib[[#This Row],[Team Number]],TournamentData[Team Number],0)))</f>
        <v>12</v>
      </c>
      <c r="H50" s="6" t="str">
        <f>IF(ISNA(INDEX(OfficialTeamList[Team Name],MATCH(RookiAllStarDelib[[#This Row],[Team Number]], OfficialTeamList[Team Number],0))),"",INDEX(OfficialTeamList[Team Name],MATCH(RookiAllStarDelib[[#This Row],[Team Number]], OfficialTeamList[Team Number],0)))</f>
        <v/>
      </c>
      <c r="I50" s="6">
        <f>IF(ISNA(INDEX(TournamentData[Champion''s Rank],MATCH(RookiAllStarDelib[[#This Row],[Team Number]],TournamentData[Team Number],0))),NumberOfTeams+1,INDEX(TournamentData[Champion''s Rank],MATCH(RookiAllStarDelib[[#This Row],[Team Number]],TournamentData[Team Number],0)))</f>
        <v>12</v>
      </c>
      <c r="M50" s="6" t="str">
        <f>IF(ISNA(INDEX(OfficialTeamList[Team Name],MATCH(MotivateDelib[[#This Row],[Team Number]], OfficialTeamList[Team Number],0))),"",INDEX(OfficialTeamList[Team Name],MATCH(MotivateDelib[[#This Row],[Team Number]], OfficialTeamList[Team Number],0)))</f>
        <v/>
      </c>
      <c r="N50" s="6">
        <f>IF(ISNA(INDEX(TournamentData[Champion''s Rank],MATCH(MotivateDelib[[#This Row],[Team Number]],TournamentData[Team Number],0))),NumberOfTeams+1,INDEX(TournamentData[Champion''s Rank],MATCH(MotivateDelib[[#This Row],[Team Number]],TournamentData[Team Number],0)))</f>
        <v>12</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f>IF(ISNA(INDEX(TournamentData[Champion''s Rank],MATCH(BreakthroughDelib[[#This Row],[Team Number]],TournamentData[Team Number],0))),NumberOfTeams+1,INDEX(TournamentData[Champion''s Rank],MATCH(BreakthroughDelib[[#This Row],[Team Number]],TournamentData[Team Number],0)))</f>
        <v>12</v>
      </c>
      <c r="H51" s="6" t="str">
        <f>IF(ISNA(INDEX(OfficialTeamList[Team Name],MATCH(RookiAllStarDelib[[#This Row],[Team Number]], OfficialTeamList[Team Number],0))),"",INDEX(OfficialTeamList[Team Name],MATCH(RookiAllStarDelib[[#This Row],[Team Number]], OfficialTeamList[Team Number],0)))</f>
        <v/>
      </c>
      <c r="I51" s="6">
        <f>IF(ISNA(INDEX(TournamentData[Champion''s Rank],MATCH(RookiAllStarDelib[[#This Row],[Team Number]],TournamentData[Team Number],0))),NumberOfTeams+1,INDEX(TournamentData[Champion''s Rank],MATCH(RookiAllStarDelib[[#This Row],[Team Number]],TournamentData[Team Number],0)))</f>
        <v>12</v>
      </c>
      <c r="M51" s="6" t="str">
        <f>IF(ISNA(INDEX(OfficialTeamList[Team Name],MATCH(MotivateDelib[[#This Row],[Team Number]], OfficialTeamList[Team Number],0))),"",INDEX(OfficialTeamList[Team Name],MATCH(MotivateDelib[[#This Row],[Team Number]], OfficialTeamList[Team Number],0)))</f>
        <v/>
      </c>
      <c r="N51" s="6">
        <f>IF(ISNA(INDEX(TournamentData[Champion''s Rank],MATCH(MotivateDelib[[#This Row],[Team Number]],TournamentData[Team Number],0))),NumberOfTeams+1,INDEX(TournamentData[Champion''s Rank],MATCH(MotivateDelib[[#This Row],[Team Number]],TournamentData[Team Number],0)))</f>
        <v>12</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f>IF(ISNA(INDEX(TournamentData[Champion''s Rank],MATCH(BreakthroughDelib[[#This Row],[Team Number]],TournamentData[Team Number],0))),NumberOfTeams+1,INDEX(TournamentData[Champion''s Rank],MATCH(BreakthroughDelib[[#This Row],[Team Number]],TournamentData[Team Number],0)))</f>
        <v>12</v>
      </c>
      <c r="H52" s="6" t="str">
        <f>IF(ISNA(INDEX(OfficialTeamList[Team Name],MATCH(RookiAllStarDelib[[#This Row],[Team Number]], OfficialTeamList[Team Number],0))),"",INDEX(OfficialTeamList[Team Name],MATCH(RookiAllStarDelib[[#This Row],[Team Number]], OfficialTeamList[Team Number],0)))</f>
        <v/>
      </c>
      <c r="I52" s="6">
        <f>IF(ISNA(INDEX(TournamentData[Champion''s Rank],MATCH(RookiAllStarDelib[[#This Row],[Team Number]],TournamentData[Team Number],0))),NumberOfTeams+1,INDEX(TournamentData[Champion''s Rank],MATCH(RookiAllStarDelib[[#This Row],[Team Number]],TournamentData[Team Number],0)))</f>
        <v>12</v>
      </c>
      <c r="M52" s="6" t="str">
        <f>IF(ISNA(INDEX(OfficialTeamList[Team Name],MATCH(MotivateDelib[[#This Row],[Team Number]], OfficialTeamList[Team Number],0))),"",INDEX(OfficialTeamList[Team Name],MATCH(MotivateDelib[[#This Row],[Team Number]], OfficialTeamList[Team Number],0)))</f>
        <v/>
      </c>
      <c r="N52" s="6">
        <f>IF(ISNA(INDEX(TournamentData[Champion''s Rank],MATCH(MotivateDelib[[#This Row],[Team Number]],TournamentData[Team Number],0))),NumberOfTeams+1,INDEX(TournamentData[Champion''s Rank],MATCH(MotivateDelib[[#This Row],[Team Number]],TournamentData[Team Number],0)))</f>
        <v>12</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f>IF(ISNA(INDEX(TournamentData[Champion''s Rank],MATCH(BreakthroughDelib[[#This Row],[Team Number]],TournamentData[Team Number],0))),NumberOfTeams+1,INDEX(TournamentData[Champion''s Rank],MATCH(BreakthroughDelib[[#This Row],[Team Number]],TournamentData[Team Number],0)))</f>
        <v>12</v>
      </c>
      <c r="H53" s="6" t="str">
        <f>IF(ISNA(INDEX(OfficialTeamList[Team Name],MATCH(RookiAllStarDelib[[#This Row],[Team Number]], OfficialTeamList[Team Number],0))),"",INDEX(OfficialTeamList[Team Name],MATCH(RookiAllStarDelib[[#This Row],[Team Number]], OfficialTeamList[Team Number],0)))</f>
        <v/>
      </c>
      <c r="I53" s="6">
        <f>IF(ISNA(INDEX(TournamentData[Champion''s Rank],MATCH(RookiAllStarDelib[[#This Row],[Team Number]],TournamentData[Team Number],0))),NumberOfTeams+1,INDEX(TournamentData[Champion''s Rank],MATCH(RookiAllStarDelib[[#This Row],[Team Number]],TournamentData[Team Number],0)))</f>
        <v>12</v>
      </c>
      <c r="M53" s="6" t="str">
        <f>IF(ISNA(INDEX(OfficialTeamList[Team Name],MATCH(MotivateDelib[[#This Row],[Team Number]], OfficialTeamList[Team Number],0))),"",INDEX(OfficialTeamList[Team Name],MATCH(MotivateDelib[[#This Row],[Team Number]], OfficialTeamList[Team Number],0)))</f>
        <v/>
      </c>
      <c r="N53" s="6">
        <f>IF(ISNA(INDEX(TournamentData[Champion''s Rank],MATCH(MotivateDelib[[#This Row],[Team Number]],TournamentData[Team Number],0))),NumberOfTeams+1,INDEX(TournamentData[Champion''s Rank],MATCH(MotivateDelib[[#This Row],[Team Number]],TournamentData[Team Number],0)))</f>
        <v>12</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f>IF(ISNA(INDEX(TournamentData[Champion''s Rank],MATCH(BreakthroughDelib[[#This Row],[Team Number]],TournamentData[Team Number],0))),NumberOfTeams+1,INDEX(TournamentData[Champion''s Rank],MATCH(BreakthroughDelib[[#This Row],[Team Number]],TournamentData[Team Number],0)))</f>
        <v>12</v>
      </c>
      <c r="H54" s="6" t="str">
        <f>IF(ISNA(INDEX(OfficialTeamList[Team Name],MATCH(RookiAllStarDelib[[#This Row],[Team Number]], OfficialTeamList[Team Number],0))),"",INDEX(OfficialTeamList[Team Name],MATCH(RookiAllStarDelib[[#This Row],[Team Number]], OfficialTeamList[Team Number],0)))</f>
        <v/>
      </c>
      <c r="I54" s="6">
        <f>IF(ISNA(INDEX(TournamentData[Champion''s Rank],MATCH(RookiAllStarDelib[[#This Row],[Team Number]],TournamentData[Team Number],0))),NumberOfTeams+1,INDEX(TournamentData[Champion''s Rank],MATCH(RookiAllStarDelib[[#This Row],[Team Number]],TournamentData[Team Number],0)))</f>
        <v>12</v>
      </c>
      <c r="M54" s="6" t="str">
        <f>IF(ISNA(INDEX(OfficialTeamList[Team Name],MATCH(MotivateDelib[[#This Row],[Team Number]], OfficialTeamList[Team Number],0))),"",INDEX(OfficialTeamList[Team Name],MATCH(MotivateDelib[[#This Row],[Team Number]], OfficialTeamList[Team Number],0)))</f>
        <v/>
      </c>
      <c r="N54" s="6">
        <f>IF(ISNA(INDEX(TournamentData[Champion''s Rank],MATCH(MotivateDelib[[#This Row],[Team Number]],TournamentData[Team Number],0))),NumberOfTeams+1,INDEX(TournamentData[Champion''s Rank],MATCH(MotivateDelib[[#This Row],[Team Number]],TournamentData[Team Number],0)))</f>
        <v>12</v>
      </c>
    </row>
  </sheetData>
  <pageMargins left="0.7" right="0.7" top="0.75" bottom="0.75" header="0.3" footer="0.3"/>
  <pageSetup orientation="portrait" horizontalDpi="1200" verticalDpi="1200" r:id="rId1"/>
  <tableParts count="8">
    <tablePart r:id="rId2"/>
    <tablePart r:id="rId3"/>
    <tablePart r:id="rId4"/>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8A997C5561FD94D82BEA37A4242D399" ma:contentTypeVersion="19" ma:contentTypeDescription="Create a new document." ma:contentTypeScope="" ma:versionID="49c35b1cbebdf7d5ef7c03e4c326f4a0">
  <xsd:schema xmlns:xsd="http://www.w3.org/2001/XMLSchema" xmlns:xs="http://www.w3.org/2001/XMLSchema" xmlns:p="http://schemas.microsoft.com/office/2006/metadata/properties" xmlns:ns2="7c8aad47-528b-43f4-b615-4953615f0d4f" xmlns:ns3="c7bc20cd-f3b5-4cb9-9099-b7d1e4c3c983" xmlns:ns4="0bfdc619-4bd5-4a26-8e37-4be4446dc23a" targetNamespace="http://schemas.microsoft.com/office/2006/metadata/properties" ma:root="true" ma:fieldsID="ac3c79351e7596ea8fb91e25ccac0ce8" ns2:_="" ns3:_="" ns4:_="">
    <xsd:import namespace="7c8aad47-528b-43f4-b615-4953615f0d4f"/>
    <xsd:import namespace="c7bc20cd-f3b5-4cb9-9099-b7d1e4c3c983"/>
    <xsd:import namespace="0bfdc619-4bd5-4a26-8e37-4be4446dc23a"/>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LengthInSeconds"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c8aad47-528b-43f4-b615-4953615f0d4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LengthInSeconds" ma:index="15" nillable="true" ma:displayName="Length (seconds)" ma:internalName="MediaLengthInSeconds" ma:readOnly="true">
      <xsd:simpleType>
        <xsd:restriction base="dms:Unknow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f13cef49-2953-4246-9b7f-e3d70b1cf0e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bc20cd-f3b5-4cb9-9099-b7d1e4c3c983"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bfdc619-4bd5-4a26-8e37-4be4446dc23a"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c948275e-acb8-4f67-9f4b-0f18b628c537}" ma:internalName="TaxCatchAll" ma:showField="CatchAllData" ma:web="c7bc20cd-f3b5-4cb9-9099-b7d1e4c3c98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c7bc20cd-f3b5-4cb9-9099-b7d1e4c3c983">
      <UserInfo>
        <DisplayName>Kim Wierman</DisplayName>
        <AccountId>99</AccountId>
        <AccountType/>
      </UserInfo>
    </SharedWithUsers>
    <TaxCatchAll xmlns="0bfdc619-4bd5-4a26-8e37-4be4446dc23a" xsi:nil="true"/>
    <lcf76f155ced4ddcb4097134ff3c332f xmlns="7c8aad47-528b-43f4-b615-4953615f0d4f">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9606A73-DF4C-41A6-91AC-706447FC8137}">
  <ds:schemaRefs>
    <ds:schemaRef ds:uri="http://schemas.microsoft.com/sharepoint/v3/contenttype/forms"/>
  </ds:schemaRefs>
</ds:datastoreItem>
</file>

<file path=customXml/itemProps2.xml><?xml version="1.0" encoding="utf-8"?>
<ds:datastoreItem xmlns:ds="http://schemas.openxmlformats.org/officeDocument/2006/customXml" ds:itemID="{03C81C61-67DA-4F23-A713-CC71AD39F5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c8aad47-528b-43f4-b615-4953615f0d4f"/>
    <ds:schemaRef ds:uri="c7bc20cd-f3b5-4cb9-9099-b7d1e4c3c983"/>
    <ds:schemaRef ds:uri="0bfdc619-4bd5-4a26-8e37-4be4446dc2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A38BA-DCDE-4A39-86E3-0FA814CBD440}">
  <ds:schemaRefs>
    <ds:schemaRef ds:uri="http://schemas.microsoft.com/office/2006/documentManagement/types"/>
    <ds:schemaRef ds:uri="http://purl.org/dc/elements/1.1/"/>
    <ds:schemaRef ds:uri="0cc4d2d3-4275-4460-a78e-53f77db7467b"/>
    <ds:schemaRef ds:uri="http://www.w3.org/XML/1998/namespace"/>
    <ds:schemaRef ds:uri="http://schemas.microsoft.com/office/infopath/2007/PartnerControls"/>
    <ds:schemaRef ds:uri="http://purl.org/dc/terms/"/>
    <ds:schemaRef ds:uri="df1a7aae-7847-498f-a3ab-792f4c180d10"/>
    <ds:schemaRef ds:uri="http://schemas.openxmlformats.org/package/2006/metadata/core-properties"/>
    <ds:schemaRef ds:uri="http://schemas.microsoft.com/office/2006/metadata/properties"/>
    <ds:schemaRef ds:uri="http://purl.org/dc/dcmitype/"/>
    <ds:schemaRef ds:uri="c7bc20cd-f3b5-4cb9-9099-b7d1e4c3c983"/>
    <ds:schemaRef ds:uri="0bfdc619-4bd5-4a26-8e37-4be4446dc23a"/>
    <ds:schemaRef ds:uri="7c8aad47-528b-43f4-b615-4953615f0d4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Instructions</vt:lpstr>
      <vt:lpstr>Team and Program Information</vt:lpstr>
      <vt:lpstr>Meta</vt:lpstr>
      <vt:lpstr>Results and Rankings</vt:lpstr>
      <vt:lpstr>Robot Game Scores</vt:lpstr>
      <vt:lpstr>Innovation Project Input</vt:lpstr>
      <vt:lpstr>Robot Design Input</vt:lpstr>
      <vt:lpstr>Core Values Input</vt:lpstr>
      <vt:lpstr>GP Scores</vt:lpstr>
      <vt:lpstr>Area Deliberations</vt:lpstr>
      <vt:lpstr>CVRDSplit</vt:lpstr>
      <vt:lpstr>GPScores</vt:lpstr>
      <vt:lpstr>NumberofTeamAdvancing</vt:lpstr>
      <vt:lpstr>NumberOfTeams</vt:lpstr>
      <vt:lpstr>NumberofTeamsAdvancing</vt:lpstr>
      <vt:lpstr>'Results and Rankings'!Print_Titles</vt:lpstr>
    </vt:vector>
  </TitlesOfParts>
  <Manager/>
  <Company>U.S Air Force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Marvin Gridley</dc:creator>
  <cp:keywords/>
  <dc:description/>
  <cp:lastModifiedBy>Skip Morrow</cp:lastModifiedBy>
  <cp:revision/>
  <cp:lastPrinted>2024-05-24T13:15:35Z</cp:lastPrinted>
  <dcterms:created xsi:type="dcterms:W3CDTF">2017-12-04T16:10:19Z</dcterms:created>
  <dcterms:modified xsi:type="dcterms:W3CDTF">2024-11-27T02:51:31Z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