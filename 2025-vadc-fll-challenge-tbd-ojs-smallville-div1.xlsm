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worksheets/sheet10.xml" ContentType="application/vnd.openxmlformats-officedocument.spreadsheetml.worksheet+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38640" windowHeight="21120" tabRatio="879" firstSheet="0" activeTab="6" autoFilterDateGrouping="1"/>
  </bookViews>
  <sheets>
    <sheet name="Instructions" sheetId="1" state="visible" r:id="rId1"/>
    <sheet name="Team and Program Information" sheetId="2" state="visible" r:id="rId2"/>
    <sheet name="Meta" sheetId="3" state="visible" r:id="rId3"/>
    <sheet name="Results and Rankings" sheetId="4" state="visible" r:id="rId4"/>
    <sheet name="Robot Game Scores" sheetId="5" state="visible" r:id="rId5"/>
    <sheet name="Innovation Project Input" sheetId="6" state="visible" r:id="rId6"/>
    <sheet name="Robot Design Input" sheetId="7" state="visible" r:id="rId7"/>
    <sheet name="Core Values Input" sheetId="8" state="visible" r:id="rId8"/>
    <sheet name="GP Scores" sheetId="9" state="hidden" r:id="rId9"/>
    <sheet name="Area Deliberations" sheetId="10" state="hidden" r:id="rId10"/>
  </sheets>
  <definedNames>
    <definedName name="_xleta.CODE" hidden="1" xlm="1">#NAME?</definedName>
    <definedName name="_xleta.NA" hidden="1" xlm="1">#NAME?</definedName>
    <definedName name="AllData">TournamentData[#All]</definedName>
    <definedName name="CVIPSplit">'Team and Program Information'!#REF!</definedName>
    <definedName name="CVRDSplit">'Team and Program Information'!$A$11</definedName>
    <definedName name="DynamicTeams">OFFSET('Results and Rankings'!$A$3,0,0,COUNTA('Results and Rankings'!$A$3:$A$1048576),16)</definedName>
    <definedName name="GPScores">'GP Scores'!$A:$C</definedName>
    <definedName name="NumberOfLanes">'Team and Program Information'!#REF!</definedName>
    <definedName name="NumberofTeamAdvancing">'Team and Program Information'!$A$8</definedName>
    <definedName name="NumberOfTeams">'Team and Program Information'!$A$5</definedName>
    <definedName name="NumberofTeamsAdvancing">'Team and Program Information'!$A$8</definedName>
    <definedName name="CVIPSplit" localSheetId="0">Instructions!#REF!</definedName>
    <definedName name="CVRDSplit" localSheetId="0">Instructions!#REF!</definedName>
    <definedName name="NumberOfLanes" localSheetId="0">Instructions!#REF!</definedName>
    <definedName name="NumberofTeamAdvancing" localSheetId="0">Instructions!#REF!</definedName>
    <definedName name="NumberOfTeams" localSheetId="0">Instructions!#REF!</definedName>
    <definedName name="NumberofTeamsAdvancing" localSheetId="0">Instructions!#REF!</definedName>
    <definedName name="_xlnm.Print_Titles" localSheetId="3">'Results and Rankings'!$1:$1</definedName>
  </definedNames>
  <calcPr calcId="191029" fullCalcOnLoad="1"/>
</workbook>
</file>

<file path=xl/styles.xml><?xml version="1.0" encoding="utf-8"?>
<styleSheet xmlns="http://schemas.openxmlformats.org/spreadsheetml/2006/main">
  <numFmts count="3">
    <numFmt numFmtId="164" formatCode=";;;"/>
    <numFmt numFmtId="165" formatCode="0;\-0;;@"/>
    <numFmt numFmtId="166" formatCode="0.0"/>
  </numFmts>
  <fonts count="34">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4"/>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rgb="FF000000"/>
      <sz val="12"/>
    </font>
    <font>
      <name val="Calibri"/>
      <family val="2"/>
      <b val="1"/>
      <color theme="1"/>
      <sz val="16"/>
      <scheme val="minor"/>
    </font>
    <font>
      <name val="Calibri"/>
      <family val="2"/>
      <color theme="1"/>
      <sz val="16"/>
      <scheme val="minor"/>
    </font>
    <font>
      <name val="Calibri"/>
      <family val="2"/>
      <sz val="12"/>
      <scheme val="minor"/>
    </font>
    <font>
      <name val="Calibri"/>
      <family val="2"/>
      <sz val="11"/>
      <scheme val="minor"/>
    </font>
    <font>
      <name val="Calibri"/>
      <family val="2"/>
      <b val="1"/>
      <sz val="12"/>
      <scheme val="minor"/>
    </font>
    <font>
      <name val="Calibri"/>
      <family val="2"/>
      <color rgb="FF000000"/>
      <sz val="11"/>
      <scheme val="minor"/>
    </font>
    <font>
      <name val="Calibri"/>
      <family val="2"/>
      <color theme="0"/>
      <sz val="11"/>
      <scheme val="minor"/>
    </font>
    <font>
      <name val="Calibri"/>
      <family val="2"/>
      <b val="1"/>
      <color theme="1"/>
      <sz val="11"/>
      <scheme val="minor"/>
    </font>
    <font>
      <name val="Calibri"/>
      <family val="2"/>
      <color theme="1"/>
      <sz val="22"/>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b val="1"/>
      <color rgb="FFFF0000"/>
      <sz val="11"/>
      <scheme val="minor"/>
    </font>
    <font>
      <name val="Calibri"/>
      <family val="2"/>
      <b val="1"/>
      <color rgb="FFFF0000"/>
      <sz val="9"/>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i val="1"/>
      <color theme="0"/>
      <sz val="14"/>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color rgb="FF000000"/>
      <sz val="16"/>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2" tint="-0.8999908444471572"/>
        <bgColor indexed="64"/>
      </patternFill>
    </fill>
    <fill>
      <patternFill patternType="solid">
        <fgColor theme="0" tint="-0.1499984740745262"/>
        <bgColor indexed="64"/>
      </patternFill>
    </fill>
    <fill>
      <patternFill patternType="solid">
        <fgColor rgb="FFFFFF00"/>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ck">
        <color rgb="FF7030A0"/>
      </left>
      <right style="thick">
        <color rgb="FF7030A0"/>
      </right>
      <top style="thick">
        <color rgb="FF7030A0"/>
      </top>
      <bottom style="thick">
        <color rgb="FF7030A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7">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4" fillId="0" borderId="0" applyAlignment="1" pivotButton="0" quotePrefix="0" xfId="0">
      <alignment horizontal="center" vertical="center" wrapText="1"/>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11" fillId="0" borderId="0" applyAlignment="1" pivotButton="0" quotePrefix="0" xfId="0">
      <alignment horizontal="center" vertical="center"/>
    </xf>
    <xf numFmtId="0" fontId="12" fillId="0" borderId="0" applyAlignment="1" pivotButton="0" quotePrefix="0" xfId="0">
      <alignment horizontal="center" vertical="center"/>
    </xf>
    <xf numFmtId="0" fontId="7" fillId="0" borderId="0" applyAlignment="1" pivotButton="0" quotePrefix="0" xfId="0">
      <alignment vertical="top"/>
    </xf>
    <xf numFmtId="0" fontId="11" fillId="0" borderId="3"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11" fillId="0"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0" fontId="3" fillId="9" borderId="1" applyAlignment="1" pivotButton="0" quotePrefix="0" xfId="0">
      <alignment horizontal="center" vertical="center" textRotation="90" wrapText="1"/>
    </xf>
    <xf numFmtId="2" fontId="0" fillId="0" borderId="0" pivotButton="0" quotePrefix="0" xfId="0"/>
    <xf numFmtId="1" fontId="0" fillId="0" borderId="0" pivotButton="0" quotePrefix="0" xfId="0"/>
    <xf numFmtId="1" fontId="13" fillId="0" borderId="0" applyAlignment="1" applyProtection="1" pivotButton="0" quotePrefix="0" xfId="0">
      <alignment horizontal="center" vertical="center"/>
      <protection locked="0" hidden="0"/>
    </xf>
    <xf numFmtId="0" fontId="13" fillId="0" borderId="0" applyAlignment="1" applyProtection="1" pivotButton="0" quotePrefix="0" xfId="0">
      <alignment horizontal="center" vertical="center"/>
      <protection locked="0" hidden="0"/>
    </xf>
    <xf numFmtId="164" fontId="13" fillId="0" borderId="0" applyAlignment="1" applyProtection="1" pivotButton="0" quotePrefix="0" xfId="0">
      <alignment horizontal="center" vertical="center"/>
      <protection locked="0" hidden="0"/>
    </xf>
    <xf numFmtId="2" fontId="13" fillId="0" borderId="0" applyAlignment="1" applyProtection="1" pivotButton="0" quotePrefix="0" xfId="0">
      <alignment horizontal="center" vertical="center"/>
      <protection locked="0" hidden="0"/>
    </xf>
    <xf numFmtId="0" fontId="14" fillId="0" borderId="0" applyAlignment="1" applyProtection="1" pivotButton="0" quotePrefix="0" xfId="0">
      <alignment horizontal="center" vertical="center"/>
      <protection locked="0" hidden="0"/>
    </xf>
    <xf numFmtId="1" fontId="6" fillId="16" borderId="0" applyAlignment="1" pivotButton="0" quotePrefix="0" xfId="0">
      <alignment horizontal="center" vertical="center" textRotation="90"/>
    </xf>
    <xf numFmtId="1" fontId="7" fillId="16" borderId="0" applyAlignment="1" pivotButton="0" quotePrefix="0" xfId="0">
      <alignment horizontal="center" vertical="center"/>
    </xf>
    <xf numFmtId="0" fontId="0" fillId="16" borderId="0" pivotButton="0" quotePrefix="0" xfId="0"/>
    <xf numFmtId="0" fontId="16" fillId="0" borderId="0" pivotButton="0" quotePrefix="0" xfId="0"/>
    <xf numFmtId="1" fontId="15" fillId="14" borderId="1" applyAlignment="1" pivotButton="0" quotePrefix="0" xfId="0">
      <alignment horizontal="center" vertical="center" textRotation="90" wrapText="1"/>
    </xf>
    <xf numFmtId="1" fontId="15" fillId="10" borderId="1" applyAlignment="1" pivotButton="0" quotePrefix="0" xfId="0">
      <alignment horizontal="center" vertical="center" textRotation="90" wrapText="1"/>
    </xf>
    <xf numFmtId="1" fontId="15" fillId="13" borderId="1" applyAlignment="1" pivotButton="0" quotePrefix="0" xfId="0">
      <alignment horizontal="center" vertical="center" textRotation="90" wrapText="1"/>
    </xf>
    <xf numFmtId="2" fontId="15" fillId="15" borderId="1" applyAlignment="1" pivotButton="0" quotePrefix="0" xfId="0">
      <alignment horizontal="center" vertical="center" textRotation="90" wrapText="1"/>
    </xf>
    <xf numFmtId="0" fontId="15"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17" fillId="0" borderId="0" pivotButton="0" quotePrefix="0" xfId="0"/>
    <xf numFmtId="0" fontId="11" fillId="3" borderId="0" applyAlignment="1" pivotButton="0" quotePrefix="0" xfId="0">
      <alignment horizontal="center" vertical="center"/>
    </xf>
    <xf numFmtId="0" fontId="0" fillId="3" borderId="0" applyAlignment="1" pivotButton="0" quotePrefix="0" xfId="0">
      <alignment horizontal="center" vertical="center"/>
    </xf>
    <xf numFmtId="0" fontId="20" fillId="3" borderId="0" applyAlignment="1" pivotButton="0" quotePrefix="0" xfId="0">
      <alignment horizontal="left" vertical="center"/>
    </xf>
    <xf numFmtId="0" fontId="21" fillId="3" borderId="0" applyAlignment="1" pivotButton="0" quotePrefix="0" xfId="0">
      <alignment horizontal="left" vertical="center"/>
    </xf>
    <xf numFmtId="0" fontId="20" fillId="3" borderId="0" applyAlignment="1" pivotButton="0" quotePrefix="0" xfId="0">
      <alignment vertical="top" wrapText="1"/>
    </xf>
    <xf numFmtId="49" fontId="20" fillId="3" borderId="0" applyAlignment="1" pivotButton="0" quotePrefix="0" xfId="0">
      <alignment horizontal="left" vertical="center"/>
    </xf>
    <xf numFmtId="0" fontId="1" fillId="3" borderId="0" applyAlignment="1" pivotButton="0" quotePrefix="0" xfId="0">
      <alignment horizontal="center" vertical="center"/>
    </xf>
    <xf numFmtId="0" fontId="18" fillId="0" borderId="0" applyAlignment="1" pivotButton="0" quotePrefix="0" xfId="0">
      <alignment horizontal="center" vertical="center"/>
    </xf>
    <xf numFmtId="0" fontId="0" fillId="0" borderId="13" pivotButton="0" quotePrefix="0" xfId="0"/>
    <xf numFmtId="0" fontId="22" fillId="0" borderId="0" applyAlignment="1" pivotButton="0" quotePrefix="0" xfId="0">
      <alignment horizontal="center" vertical="center" textRotation="90"/>
    </xf>
    <xf numFmtId="0" fontId="4" fillId="20" borderId="4" applyAlignment="1" pivotButton="0" quotePrefix="0" xfId="0">
      <alignment horizontal="left" vertical="center"/>
    </xf>
    <xf numFmtId="0" fontId="4" fillId="20" borderId="5" applyAlignment="1" pivotButton="0" quotePrefix="0" xfId="0">
      <alignment horizontal="left" vertical="center"/>
    </xf>
    <xf numFmtId="0" fontId="0" fillId="20" borderId="6" applyAlignment="1" pivotButton="0" quotePrefix="0" xfId="0">
      <alignment vertical="center"/>
    </xf>
    <xf numFmtId="0" fontId="0" fillId="20" borderId="7" applyAlignment="1" pivotButton="0" quotePrefix="0" xfId="0">
      <alignment horizontal="center" vertical="center"/>
    </xf>
    <xf numFmtId="0" fontId="0" fillId="20" borderId="0" applyAlignment="1" pivotButton="0" quotePrefix="0" xfId="0">
      <alignment horizontal="center" vertical="center"/>
    </xf>
    <xf numFmtId="0" fontId="0" fillId="20" borderId="8" applyAlignment="1" pivotButton="0" quotePrefix="0" xfId="0">
      <alignment horizontal="center" vertical="center"/>
    </xf>
    <xf numFmtId="0" fontId="0" fillId="20" borderId="9" applyAlignment="1" pivotButton="0" quotePrefix="0" xfId="0">
      <alignment horizontal="center" vertical="center"/>
    </xf>
    <xf numFmtId="0" fontId="0" fillId="20" borderId="10" applyAlignment="1" pivotButton="0" quotePrefix="0" xfId="0">
      <alignment horizontal="center" vertical="center"/>
    </xf>
    <xf numFmtId="0" fontId="0" fillId="20" borderId="11" applyAlignment="1" pivotButton="0" quotePrefix="0" xfId="0">
      <alignment horizontal="center" vertical="center"/>
    </xf>
    <xf numFmtId="0" fontId="11" fillId="3" borderId="0" applyAlignment="1" pivotButton="0" quotePrefix="0" xfId="0">
      <alignment horizontal="center" vertical="top"/>
    </xf>
    <xf numFmtId="0" fontId="0" fillId="3" borderId="0" applyAlignment="1" pivotButton="0" quotePrefix="0" xfId="0">
      <alignment horizontal="center" vertical="top"/>
    </xf>
    <xf numFmtId="0" fontId="20" fillId="3" borderId="0" applyAlignment="1" pivotButton="0" quotePrefix="0" xfId="0">
      <alignment horizontal="left" vertical="top"/>
    </xf>
    <xf numFmtId="0" fontId="19" fillId="3" borderId="0" applyAlignment="1" pivotButton="0" quotePrefix="0" xfId="0">
      <alignment horizontal="left" vertical="top"/>
    </xf>
    <xf numFmtId="0" fontId="24" fillId="0" borderId="0" applyAlignment="1" pivotButton="0" quotePrefix="0" xfId="0">
      <alignment vertical="center" wrapText="1"/>
    </xf>
    <xf numFmtId="0" fontId="23" fillId="3" borderId="0" applyAlignment="1" pivotButton="0" quotePrefix="0" xfId="0">
      <alignment vertical="center" wrapText="1"/>
    </xf>
    <xf numFmtId="0" fontId="1" fillId="0" borderId="0" applyAlignment="1" pivotButton="0" quotePrefix="0" xfId="0">
      <alignment horizontal="center" vertical="center"/>
    </xf>
    <xf numFmtId="0" fontId="7" fillId="0" borderId="0" applyAlignment="1" pivotButton="0" quotePrefix="0" xfId="0">
      <alignment horizontal="left" vertical="center"/>
    </xf>
    <xf numFmtId="0" fontId="1" fillId="3" borderId="0" applyAlignment="1" applyProtection="1" pivotButton="0" quotePrefix="0" xfId="0">
      <alignment horizontal="center" vertical="center"/>
      <protection locked="0" hidden="0"/>
    </xf>
    <xf numFmtId="0" fontId="27" fillId="0" borderId="0" pivotButton="0" quotePrefix="0" xfId="0"/>
    <xf numFmtId="165" fontId="18" fillId="0" borderId="0" applyAlignment="1" pivotButton="0" quotePrefix="0" xfId="0">
      <alignment horizontal="center" vertical="center"/>
    </xf>
    <xf numFmtId="0" fontId="23" fillId="3" borderId="0" applyAlignment="1" pivotButton="0" quotePrefix="0" xfId="0">
      <alignment horizontal="left" vertical="top"/>
    </xf>
    <xf numFmtId="0" fontId="30" fillId="0" borderId="0" applyAlignment="1" pivotButton="0" quotePrefix="0" xfId="0">
      <alignment horizontal="left" vertical="center"/>
    </xf>
    <xf numFmtId="0" fontId="9" fillId="0" borderId="0" applyAlignment="1" pivotButton="0" quotePrefix="0" xfId="0">
      <alignment horizontal="center" vertical="center" wrapText="1"/>
    </xf>
    <xf numFmtId="0" fontId="31" fillId="0" borderId="0" applyAlignment="1" pivotButton="0" quotePrefix="0" xfId="0">
      <alignment horizontal="left" vertical="center" wrapText="1"/>
    </xf>
    <xf numFmtId="0" fontId="32" fillId="0" borderId="0" applyAlignment="1" applyProtection="1" pivotButton="0" quotePrefix="0" xfId="0">
      <alignment horizontal="center" vertical="center" wrapText="1"/>
      <protection locked="0" hidden="0"/>
    </xf>
    <xf numFmtId="0" fontId="0" fillId="0" borderId="14" applyAlignment="1" pivotButton="0" quotePrefix="0" xfId="0">
      <alignment horizontal="center"/>
    </xf>
    <xf numFmtId="0" fontId="0" fillId="0" borderId="15" applyAlignment="1" pivotButton="0" quotePrefix="0" xfId="0">
      <alignment horizontal="center"/>
    </xf>
    <xf numFmtId="0" fontId="0" fillId="0" borderId="16" applyAlignment="1" pivotButton="0" quotePrefix="0" xfId="0">
      <alignment horizontal="center"/>
    </xf>
    <xf numFmtId="0" fontId="0" fillId="0" borderId="17" applyAlignment="1" pivotButton="0" quotePrefix="0" xfId="0">
      <alignment horizontal="center"/>
    </xf>
    <xf numFmtId="0" fontId="0" fillId="0" borderId="18" applyAlignment="1" pivotButton="0" quotePrefix="0" xfId="0">
      <alignment horizontal="center"/>
    </xf>
    <xf numFmtId="0" fontId="0" fillId="0" borderId="19" applyAlignment="1" pivotButton="0" quotePrefix="0" xfId="0">
      <alignment horizontal="center"/>
    </xf>
    <xf numFmtId="0" fontId="3" fillId="9" borderId="1" applyAlignment="1" pivotButton="0" quotePrefix="0" xfId="0">
      <alignment horizontal="center" vertical="center" wrapText="1"/>
    </xf>
    <xf numFmtId="0" fontId="8" fillId="17" borderId="1" applyAlignment="1" pivotButton="0" quotePrefix="0" xfId="0">
      <alignment horizontal="center" vertical="center" wrapText="1"/>
    </xf>
    <xf numFmtId="0" fontId="9" fillId="17" borderId="1" applyAlignment="1" pivotButton="0" quotePrefix="0" xfId="0">
      <alignment horizontal="center" vertical="center" wrapText="1"/>
    </xf>
    <xf numFmtId="0" fontId="8" fillId="6" borderId="1" applyAlignment="1" pivotButton="0" quotePrefix="0" xfId="0">
      <alignment horizontal="center" vertical="center" wrapText="1"/>
    </xf>
    <xf numFmtId="0" fontId="8" fillId="5" borderId="1" applyAlignment="1" pivotButton="0" quotePrefix="0" xfId="0">
      <alignment horizontal="center" vertical="center" wrapText="1"/>
    </xf>
    <xf numFmtId="0" fontId="8" fillId="19" borderId="1" applyAlignment="1" pivotButton="0" quotePrefix="0" xfId="0">
      <alignment horizontal="center" vertical="center" wrapText="1"/>
    </xf>
    <xf numFmtId="1" fontId="9" fillId="8" borderId="1" applyAlignment="1" pivotButton="0" quotePrefix="0" xfId="0">
      <alignment horizontal="center" vertical="center" wrapText="1"/>
    </xf>
    <xf numFmtId="0" fontId="9"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1" fillId="3" borderId="0" applyAlignment="1" pivotButton="0" quotePrefix="0" xfId="0">
      <alignment horizontal="left" vertical="center"/>
    </xf>
    <xf numFmtId="1" fontId="7" fillId="3" borderId="0" applyAlignment="1" pivotButton="0" quotePrefix="0" xfId="0">
      <alignment horizontal="center" vertical="center"/>
    </xf>
    <xf numFmtId="0" fontId="7" fillId="3" borderId="0" applyAlignment="1" pivotButton="0" quotePrefix="0" xfId="0">
      <alignment horizontal="center" vertical="center"/>
    </xf>
    <xf numFmtId="0" fontId="3" fillId="18" borderId="0" applyAlignment="1" pivotButton="0" quotePrefix="0" xfId="0">
      <alignment horizontal="center" vertical="center" textRotation="90" wrapText="1"/>
    </xf>
    <xf numFmtId="1" fontId="9" fillId="19" borderId="0" applyAlignment="1" pivotButton="0" quotePrefix="0" xfId="0">
      <alignment horizontal="center" vertical="center" textRotation="90"/>
    </xf>
    <xf numFmtId="0" fontId="9" fillId="19" borderId="0" applyAlignment="1" pivotButton="0" quotePrefix="0" xfId="0">
      <alignment horizontal="center" vertical="center" textRotation="90"/>
    </xf>
    <xf numFmtId="0" fontId="29" fillId="16" borderId="0" applyAlignment="1" pivotButton="0" quotePrefix="0" xfId="0">
      <alignment horizontal="center" vertical="center" textRotation="90"/>
    </xf>
    <xf numFmtId="0" fontId="3" fillId="11" borderId="0" applyAlignment="1" pivotButton="0" quotePrefix="0" xfId="0">
      <alignment horizontal="center" vertical="center" textRotation="90"/>
    </xf>
    <xf numFmtId="0" fontId="3" fillId="11" borderId="0" applyAlignment="1" pivotButton="0" quotePrefix="0" xfId="0">
      <alignment horizontal="center" vertical="center" textRotation="90" wrapText="1"/>
    </xf>
    <xf numFmtId="0" fontId="9" fillId="6" borderId="0" applyAlignment="1" pivotButton="0" quotePrefix="0" xfId="0">
      <alignment horizontal="center" vertical="center" textRotation="90" wrapText="1"/>
    </xf>
    <xf numFmtId="0" fontId="9" fillId="6" borderId="0" applyAlignment="1" pivotButton="0" quotePrefix="0" xfId="0">
      <alignment horizontal="center" vertical="center" textRotation="90"/>
    </xf>
    <xf numFmtId="0" fontId="3" fillId="4" borderId="0" applyAlignment="1" pivotButton="0" quotePrefix="0" xfId="0">
      <alignment horizontal="center" vertical="center" textRotation="90"/>
    </xf>
    <xf numFmtId="166" fontId="7" fillId="3" borderId="0" applyAlignment="1" pivotButton="0" quotePrefix="0" xfId="0">
      <alignment horizontal="center" vertical="center"/>
    </xf>
    <xf numFmtId="164" fontId="10" fillId="3" borderId="0" applyAlignment="1" pivotButton="0" quotePrefix="0" xfId="0">
      <alignment horizontal="center" vertical="center"/>
    </xf>
    <xf numFmtId="0" fontId="0" fillId="22" borderId="0" applyProtection="1" pivotButton="0" quotePrefix="0" xfId="0">
      <protection locked="0" hidden="0"/>
    </xf>
    <xf numFmtId="0" fontId="0" fillId="0" borderId="0" applyProtection="1" pivotButton="0" quotePrefix="0" xfId="0">
      <protection locked="0" hidden="0"/>
    </xf>
    <xf numFmtId="0" fontId="26" fillId="3" borderId="0" applyAlignment="1" pivotButton="0" quotePrefix="0" xfId="0">
      <alignment horizontal="center" vertical="center"/>
    </xf>
    <xf numFmtId="1" fontId="13" fillId="0" borderId="0" applyAlignment="1" pivotButton="0" quotePrefix="0" xfId="0">
      <alignment horizontal="center" vertical="center"/>
    </xf>
    <xf numFmtId="0" fontId="13" fillId="0" borderId="0" applyAlignment="1" pivotButton="0" quotePrefix="0" xfId="0">
      <alignment horizontal="left" vertical="center"/>
    </xf>
    <xf numFmtId="1" fontId="0" fillId="0" borderId="0" applyAlignment="1" pivotButton="0" quotePrefix="0" xfId="0">
      <alignment horizontal="center" vertical="center"/>
    </xf>
    <xf numFmtId="0" fontId="9" fillId="17" borderId="12" applyAlignment="1" pivotButton="0" quotePrefix="0" xfId="0">
      <alignment horizontal="center" vertical="center" textRotation="90"/>
    </xf>
    <xf numFmtId="0" fontId="3" fillId="9" borderId="12" applyAlignment="1" pivotButton="0" quotePrefix="0" xfId="0">
      <alignment horizontal="center" vertical="center" wrapText="1"/>
    </xf>
    <xf numFmtId="0" fontId="6" fillId="18" borderId="12" applyAlignment="1" pivotButton="0" quotePrefix="0" xfId="0">
      <alignment horizontal="center" vertical="center" textRotation="90"/>
    </xf>
    <xf numFmtId="165" fontId="9" fillId="17" borderId="12" applyAlignment="1" pivotButton="0" quotePrefix="0" xfId="0">
      <alignment horizontal="center" vertical="center" textRotation="90" wrapText="1"/>
    </xf>
    <xf numFmtId="165" fontId="7" fillId="3" borderId="0" applyAlignment="1" pivotButton="0" quotePrefix="0" xfId="0">
      <alignment horizontal="center" vertical="center"/>
    </xf>
    <xf numFmtId="0" fontId="3" fillId="10" borderId="0" applyAlignment="1" pivotButton="0" quotePrefix="0" xfId="0">
      <alignment horizontal="center" vertical="center" textRotation="90"/>
    </xf>
    <xf numFmtId="1" fontId="6" fillId="5" borderId="0" applyAlignment="1" pivotButton="0" quotePrefix="0" xfId="0">
      <alignment horizontal="center" vertical="center" textRotation="90"/>
    </xf>
    <xf numFmtId="0" fontId="6" fillId="5" borderId="0" applyAlignment="1" pivotButton="0" quotePrefix="0" xfId="0">
      <alignment horizontal="center" vertical="center" textRotation="90"/>
    </xf>
    <xf numFmtId="0" fontId="19" fillId="3" borderId="0" applyAlignment="1" pivotButton="0" quotePrefix="0" xfId="0">
      <alignment horizontal="left" vertical="top" wrapText="1"/>
    </xf>
    <xf numFmtId="0" fontId="0" fillId="3" borderId="0" applyAlignment="1" pivotButton="0" quotePrefix="0" xfId="0">
      <alignment horizontal="center" vertical="top"/>
    </xf>
    <xf numFmtId="0" fontId="0" fillId="3" borderId="0" applyAlignment="1" pivotButton="0" quotePrefix="0" xfId="0">
      <alignment horizontal="center" vertical="center"/>
    </xf>
    <xf numFmtId="0" fontId="20" fillId="3" borderId="0" applyAlignment="1" pivotButton="0" quotePrefix="0" xfId="0">
      <alignment horizontal="left" vertical="center"/>
    </xf>
    <xf numFmtId="0" fontId="23" fillId="21" borderId="22" applyAlignment="1" pivotButton="0" quotePrefix="0" xfId="0">
      <alignment horizontal="center" vertical="center" wrapText="1"/>
    </xf>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0" borderId="10" pivotButton="0" quotePrefix="0" xfId="0"/>
    <xf numFmtId="0" fontId="0" fillId="0" borderId="11" pivotButton="0" quotePrefix="0" xfId="0"/>
    <xf numFmtId="0" fontId="28" fillId="3" borderId="0" applyAlignment="1" pivotButton="0" quotePrefix="0" xfId="0">
      <alignment horizontal="center" vertical="center" wrapText="1"/>
    </xf>
    <xf numFmtId="0" fontId="20" fillId="3" borderId="0" applyAlignment="1" pivotButton="0" quotePrefix="0" xfId="0">
      <alignment horizontal="left" vertical="top" wrapText="1"/>
    </xf>
    <xf numFmtId="0" fontId="11" fillId="3" borderId="0" applyAlignment="1" pivotButton="0" quotePrefix="0" xfId="0">
      <alignment horizontal="center" vertical="center"/>
    </xf>
    <xf numFmtId="0" fontId="23" fillId="21" borderId="21" applyAlignment="1" pivotButton="0" quotePrefix="0" xfId="0">
      <alignment horizontal="center" vertical="center" wrapText="1"/>
    </xf>
    <xf numFmtId="0" fontId="23" fillId="21" borderId="20" applyAlignment="1" pivotButton="0" quotePrefix="0" xfId="0">
      <alignment horizontal="center" vertical="center" wrapText="1"/>
    </xf>
    <xf numFmtId="0" fontId="25" fillId="0" borderId="5" applyAlignment="1" pivotButton="0" quotePrefix="0" xfId="0">
      <alignment horizontal="center" vertical="center" wrapText="1"/>
    </xf>
    <xf numFmtId="0" fontId="0" fillId="0" borderId="0" applyAlignment="1" pivotButton="0" quotePrefix="0" xfId="0">
      <alignment horizontal="center" vertical="center"/>
    </xf>
    <xf numFmtId="0" fontId="5" fillId="2" borderId="0" applyAlignment="1" pivotButton="0" quotePrefix="0" xfId="0">
      <alignment horizontal="center" vertical="center"/>
    </xf>
    <xf numFmtId="0" fontId="2" fillId="0" borderId="0" applyAlignment="1" pivotButton="0" quotePrefix="0" xfId="0">
      <alignment horizontal="center" vertical="center"/>
    </xf>
    <xf numFmtId="0" fontId="4" fillId="0" borderId="0" applyAlignment="1" pivotButton="0" quotePrefix="0" xfId="0">
      <alignment horizontal="center" vertical="center"/>
    </xf>
    <xf numFmtId="0" fontId="30" fillId="0" borderId="0" applyAlignment="1" pivotButton="0" quotePrefix="0" xfId="0">
      <alignment horizontal="left" vertical="center"/>
    </xf>
  </cellXfs>
  <cellStyles count="1">
    <cellStyle name="Normal" xfId="0" builtinId="0"/>
  </cellStyles>
  <dxfs count="189">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b val="1"/>
        <strike val="0"/>
        <outline val="0"/>
        <shadow val="0"/>
        <color rgb="FF000000"/>
        <sz val="12"/>
        <vertAlign val="baseline"/>
      </font>
      <numFmt numFmtId="164" formatCode=";;;"/>
      <fill>
        <patternFill>
          <fgColor indexed="64"/>
          <bgColor theme="0"/>
        </patternFill>
      </fill>
      <alignment horizontal="center" vertical="center"/>
      <protection locked="1" hidden="0"/>
    </dxf>
    <dxf>
      <font>
        <name val="Calibri"/>
        <b val="1"/>
        <strike val="0"/>
        <outline val="0"/>
        <shadow val="0"/>
        <color rgb="FF000000"/>
        <sz val="12"/>
        <vertAlign val="baseline"/>
      </font>
      <numFmt numFmtId="164" formatCode=";;;"/>
      <fill>
        <patternFill>
          <fgColor indexed="64"/>
          <bgColor theme="0"/>
        </patternFill>
      </fill>
      <alignment horizontal="center" vertical="center"/>
      <protection locked="1" hidden="0"/>
    </dxf>
    <dxf>
      <font>
        <name val="Calibri"/>
        <b val="1"/>
        <strike val="0"/>
        <outline val="0"/>
        <shadow val="0"/>
        <color rgb="FF000000"/>
        <sz val="12"/>
        <vertAlign val="baseline"/>
      </font>
      <numFmt numFmtId="164" formatCode=";;;"/>
      <fill>
        <patternFill>
          <fgColor indexed="64"/>
          <bgColor theme="0"/>
        </patternFill>
      </fill>
      <alignment horizontal="center" vertical="center"/>
      <protection locked="1" hidden="0"/>
    </dxf>
    <dxf>
      <font>
        <name val="Calibri"/>
        <b val="1"/>
        <strike val="0"/>
        <outline val="0"/>
        <shadow val="0"/>
        <color theme="1"/>
        <sz val="12"/>
        <vertAlign val="baseline"/>
        <scheme val="minor"/>
      </font>
      <numFmt numFmtId="0" formatCode="General"/>
      <fill>
        <patternFill>
          <fgColor indexed="64"/>
          <bgColor theme="0"/>
        </patternFill>
      </fill>
      <alignment horizontal="center" vertical="center"/>
      <protection locked="1" hidden="0"/>
    </dxf>
    <dxf>
      <font>
        <name val="Calibri"/>
        <b val="1"/>
        <strike val="0"/>
        <outline val="0"/>
        <shadow val="0"/>
        <color theme="1"/>
        <sz val="12"/>
        <vertAlign val="baseline"/>
        <scheme val="minor"/>
      </font>
      <numFmt numFmtId="1" formatCode="0"/>
      <fill>
        <patternFill patternType="solid">
          <fgColor indexed="64"/>
          <bgColor theme="0"/>
        </patternFill>
      </fill>
      <alignment horizontal="center" vertical="center"/>
      <protection locked="1"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0" hidden="0"/>
    </dxf>
    <dxf>
      <font>
        <name val="Calibri"/>
        <family val="2"/>
        <i val="1"/>
        <strike val="0"/>
        <outline val="0"/>
        <shadow val="0"/>
        <color rgb="FFFF0000"/>
        <sz val="12"/>
        <vertAlign val="baseline"/>
        <scheme val="minor"/>
      </font>
      <numFmt numFmtId="0" formatCode="General"/>
      <fill>
        <patternFill>
          <fgColor indexed="64"/>
          <bgColor theme="0"/>
        </patternFill>
      </fill>
      <alignment horizontal="center" vertical="center"/>
      <protection locked="1" hidden="0"/>
    </dxf>
    <dxf>
      <font>
        <name val="Calibri"/>
        <family val="2"/>
        <i val="1"/>
        <strike val="0"/>
        <outline val="0"/>
        <shadow val="0"/>
        <condense val="0"/>
        <color rgb="FFFF0000"/>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family val="2"/>
        <i val="1"/>
        <strike val="0"/>
        <outline val="0"/>
        <shadow val="0"/>
        <condense val="0"/>
        <color rgb="FFFF0000"/>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family val="2"/>
        <i val="1"/>
        <strike val="0"/>
        <outline val="0"/>
        <shadow val="0"/>
        <condense val="0"/>
        <color rgb="FFFF0000"/>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family val="2"/>
        <i val="1"/>
        <strike val="0"/>
        <outline val="0"/>
        <shadow val="0"/>
        <condense val="0"/>
        <color rgb="FFFF0000"/>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family val="2"/>
        <i val="1"/>
        <strike val="0"/>
        <outline val="0"/>
        <shadow val="0"/>
        <color rgb="FFFF0000"/>
        <sz val="12"/>
        <vertAlign val="baseline"/>
        <scheme val="minor"/>
      </font>
      <numFmt numFmtId="0" formatCode="General"/>
      <fill>
        <patternFill>
          <fgColor indexed="64"/>
          <bgColor theme="0"/>
        </patternFill>
      </fill>
      <alignment horizontal="center" vertical="center"/>
      <protection locked="1" hidden="0"/>
    </dxf>
    <dxf>
      <font>
        <name val="Calibri"/>
        <family val="2"/>
        <i val="1"/>
        <strike val="0"/>
        <outline val="0"/>
        <shadow val="0"/>
        <color rgb="FFFF0000"/>
        <sz val="12"/>
        <vertAlign val="baseline"/>
        <scheme val="minor"/>
      </font>
      <numFmt numFmtId="0" formatCode="General"/>
      <fill>
        <patternFill>
          <fgColor indexed="64"/>
          <bgColor theme="0"/>
        </patternFill>
      </fill>
      <alignment horizontal="center" vertical="center"/>
      <protection locked="1" hidden="0"/>
    </dxf>
    <dxf>
      <font>
        <name val="Calibri"/>
        <family val="2"/>
        <i val="1"/>
        <strike val="0"/>
        <outline val="0"/>
        <shadow val="0"/>
        <color rgb="FFFF0000"/>
        <sz val="12"/>
        <vertAlign val="baseline"/>
        <scheme val="minor"/>
      </font>
      <numFmt numFmtId="0" formatCode="General"/>
      <fill>
        <patternFill>
          <fgColor indexed="64"/>
          <bgColor theme="0"/>
        </patternFill>
      </fill>
      <alignment horizontal="center" vertical="center"/>
      <protection locked="1" hidden="0"/>
    </dxf>
    <dxf>
      <font>
        <name val="Calibri"/>
        <family val="2"/>
        <i val="1"/>
        <strike val="0"/>
        <outline val="0"/>
        <shadow val="0"/>
        <color rgb="FFFF0000"/>
        <sz val="12"/>
        <vertAlign val="baseline"/>
        <scheme val="minor"/>
      </font>
      <numFmt numFmtId="0" formatCode="General"/>
      <fill>
        <patternFill>
          <fgColor indexed="64"/>
          <bgColor theme="0"/>
        </patternFill>
      </fill>
      <alignment horizontal="center" vertical="center"/>
      <protection locked="1" hidden="0"/>
    </dxf>
    <dxf>
      <font>
        <name val="Calibri"/>
        <family val="2"/>
        <i val="1"/>
        <strike val="0"/>
        <outline val="0"/>
        <shadow val="0"/>
        <color rgb="FFFF0000"/>
        <sz val="12"/>
        <vertAlign val="baseline"/>
        <scheme val="minor"/>
      </font>
      <numFmt numFmtId="0" formatCode="General"/>
      <fill>
        <patternFill>
          <fgColor indexed="64"/>
          <bgColor theme="0"/>
        </patternFill>
      </fill>
      <alignment horizontal="center" vertical="center"/>
      <protection locked="1" hidden="0"/>
    </dxf>
    <dxf>
      <font>
        <name val="Calibri"/>
        <strike val="0"/>
        <outline val="0"/>
        <shadow val="0"/>
        <color theme="1"/>
        <sz val="12"/>
        <vertAlign val="baseline"/>
        <scheme val="minor"/>
      </font>
      <numFmt numFmtId="0" formatCode="General"/>
      <fill>
        <patternFill>
          <fgColor indexed="64"/>
          <bgColor theme="0"/>
        </patternFill>
      </fill>
      <alignment horizontal="left" vertical="center"/>
      <protection locked="1" hidden="0"/>
    </dxf>
    <dxf>
      <font>
        <name val="Calibri"/>
        <strike val="0"/>
        <outline val="0"/>
        <shadow val="0"/>
        <color theme="1"/>
        <sz val="12"/>
        <vertAlign val="baseline"/>
        <scheme val="minor"/>
      </font>
      <fill>
        <patternFill>
          <fgColor indexed="64"/>
          <bgColor theme="0"/>
        </patternFill>
      </fill>
      <alignment horizontal="center" vertical="center"/>
      <protection locked="1" hidden="0"/>
    </dxf>
    <dxf>
      <font>
        <name val="Calibri"/>
        <strike val="0"/>
        <outline val="0"/>
        <shadow val="0"/>
        <color rgb="FF000000"/>
        <sz val="12"/>
        <vertAlign val="baseline"/>
      </font>
      <fill>
        <patternFill>
          <fgColor indexed="64"/>
          <bgColor theme="0"/>
        </patternFill>
      </fill>
      <alignment horizontal="center" vertical="center"/>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fill>
        <patternFill>
          <bgColor theme="5"/>
        </patternFill>
      </fill>
    </dxf>
    <dxf>
      <border>
        <bottom style="thin">
          <color auto="1"/>
        </bottom>
        <vertical/>
        <horizontal/>
      </border>
    </dxf>
    <dxf>
      <fill>
        <patternFill>
          <bgColor theme="2" tint="-0.09994811853389081"/>
        </patternFill>
      </fill>
    </dxf>
    <dxf>
      <font>
        <name val="Calibri"/>
        <b val="1"/>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1" hidden="0"/>
    </dxf>
    <dxf>
      <font>
        <name val="Calibri"/>
        <b val="1"/>
        <strike val="0"/>
        <outline val="0"/>
        <shadow val="0"/>
        <color theme="1"/>
        <sz val="12"/>
        <vertAlign val="baseline"/>
        <scheme val="minor"/>
      </font>
      <numFmt numFmtId="1" formatCode="0"/>
      <fill>
        <patternFill patternType="solid">
          <fgColor indexed="64"/>
          <bgColor theme="0"/>
        </patternFill>
      </fill>
      <alignment horizontal="center" vertical="center"/>
      <protection locked="1"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left" vertical="center"/>
      <protection locked="1" hidden="0"/>
    </dxf>
    <dxf>
      <font>
        <name val="Calibri"/>
        <strike val="0"/>
        <outline val="0"/>
        <shadow val="0"/>
        <color theme="1"/>
        <sz val="12"/>
        <vertAlign val="baseline"/>
        <scheme val="minor"/>
      </font>
      <fill>
        <patternFill patternType="solid">
          <fgColor indexed="64"/>
          <bgColor theme="0"/>
        </patternFill>
      </fill>
      <alignment horizontal="center" vertical="center"/>
      <protection locked="1" hidden="0"/>
    </dxf>
    <dxf>
      <font>
        <name val="Calibri"/>
        <strike val="0"/>
        <outline val="0"/>
        <shadow val="0"/>
        <color theme="1"/>
        <sz val="12"/>
        <vertAlign val="baseline"/>
        <scheme val="minor"/>
      </font>
      <fill>
        <patternFill patternType="solid">
          <fgColor indexed="64"/>
          <bgColor theme="0"/>
        </patternFill>
      </fill>
      <alignment horizontal="center" vertical="center"/>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font>
        <name val="Calibri"/>
        <b val="1"/>
        <strike val="0"/>
        <outline val="0"/>
        <shadow val="0"/>
        <condense val="0"/>
        <color theme="1"/>
        <extend val="0"/>
        <sz val="12"/>
        <vertAlign val="baseline"/>
        <scheme val="minor"/>
      </font>
      <numFmt numFmtId="1" formatCode="0"/>
      <fill>
        <patternFill patternType="solid">
          <fgColor indexed="64"/>
          <bgColor rgb="FFFF0000"/>
        </patternFill>
      </fill>
      <alignment horizontal="center" vertical="center"/>
      <protection locked="1" hidden="0"/>
    </dxf>
    <dxf>
      <font>
        <name val="Calibri"/>
        <b val="1"/>
        <strike val="0"/>
        <outline val="0"/>
        <shadow val="0"/>
        <color theme="1"/>
        <sz val="12"/>
        <vertAlign val="baseline"/>
        <scheme val="minor"/>
      </font>
      <numFmt numFmtId="0" formatCode="General"/>
      <fill>
        <patternFill>
          <fgColor indexed="64"/>
          <bgColor theme="0"/>
        </patternFill>
      </fill>
      <alignment horizontal="center" vertical="center"/>
      <protection locked="1" hidden="0"/>
    </dxf>
    <dxf>
      <font>
        <name val="Calibri"/>
        <b val="1"/>
        <strike val="0"/>
        <outline val="0"/>
        <shadow val="0"/>
        <color theme="1"/>
        <sz val="12"/>
        <vertAlign val="baseline"/>
        <scheme val="minor"/>
      </font>
      <numFmt numFmtId="1" formatCode="0"/>
      <fill>
        <patternFill>
          <fgColor indexed="64"/>
          <bgColor theme="0"/>
        </patternFill>
      </fill>
      <alignment horizontal="center" vertical="center"/>
      <protection locked="1"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patternType="solid">
          <fgColor indexed="64"/>
          <bgColor theme="0"/>
        </patternFill>
      </fill>
      <alignment horizontal="center" vertical="center"/>
      <protection locked="0" hidden="0"/>
    </dxf>
    <dxf>
      <font>
        <name val="Calibri"/>
        <strike val="0"/>
        <outline val="0"/>
        <shadow val="0"/>
        <color theme="1"/>
        <sz val="12"/>
        <vertAlign val="baseline"/>
        <scheme val="minor"/>
      </font>
      <numFmt numFmtId="0" formatCode="General"/>
      <fill>
        <patternFill>
          <fgColor indexed="64"/>
          <bgColor theme="0"/>
        </patternFill>
      </fill>
      <alignment horizontal="left" vertical="center"/>
      <protection locked="1" hidden="0"/>
    </dxf>
    <dxf>
      <font>
        <name val="Calibri"/>
        <strike val="0"/>
        <outline val="0"/>
        <shadow val="0"/>
        <color theme="1"/>
        <sz val="12"/>
        <vertAlign val="baseline"/>
        <scheme val="minor"/>
      </font>
      <fill>
        <patternFill>
          <fgColor indexed="64"/>
          <bgColor theme="0"/>
        </patternFill>
      </fill>
      <alignment horizontal="center" vertical="center"/>
      <protection locked="1" hidden="0"/>
    </dxf>
    <dxf>
      <font>
        <name val="Calibri"/>
        <strike val="0"/>
        <outline val="0"/>
        <shadow val="0"/>
        <color rgb="FF000000"/>
        <sz val="12"/>
        <vertAlign val="baseline"/>
      </font>
      <fill>
        <patternFill>
          <fgColor indexed="64"/>
          <bgColor theme="0"/>
        </patternFill>
      </fill>
      <alignment horizontal="center" vertical="center"/>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font>
        <name val="Calibri"/>
        <family val="2"/>
        <b val="1"/>
        <strike val="0"/>
        <outline val="0"/>
        <shadow val="0"/>
        <condense val="0"/>
        <color theme="1"/>
        <extend val="0"/>
        <sz val="12"/>
        <vertAlign val="baseline"/>
        <scheme val="minor"/>
      </font>
      <numFmt numFmtId="165" formatCode="0;\-0;;@"/>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numFmt numFmtId="0" formatCode="General"/>
      <fill>
        <patternFill patternType="solid">
          <fgColor indexed="64"/>
          <bgColor theme="0"/>
        </patternFill>
      </fill>
      <alignment horizontal="center" vertical="center"/>
      <protection locked="1" hidden="0"/>
    </dxf>
    <dxf>
      <font>
        <name val="Calibri"/>
        <family val="2"/>
        <strike val="0"/>
        <outline val="0"/>
        <shadow val="0"/>
        <condense val="0"/>
        <color theme="1"/>
        <extend val="0"/>
        <sz val="12"/>
        <vertAlign val="baseline"/>
        <scheme val="minor"/>
      </font>
      <fill>
        <patternFill patternType="solid">
          <fgColor indexed="64"/>
          <bgColor theme="0"/>
        </patternFill>
      </fill>
      <alignment horizontal="center" vertical="center"/>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border>
        <bottom style="thin">
          <color auto="1"/>
        </bottom>
        <vertical/>
        <horizontal/>
      </border>
    </dxf>
    <dxf>
      <fill>
        <patternFill>
          <bgColor theme="2" tint="-0.09994811853389081"/>
        </patternFill>
      </fill>
    </dxf>
    <dxf>
      <font>
        <name val="Calibri"/>
        <strike val="0"/>
        <outline val="0"/>
        <shadow val="0"/>
        <condense val="0"/>
        <color auto="1"/>
        <extend val="0"/>
        <sz val="12"/>
        <vertAlign val="baseline"/>
        <scheme val="minor"/>
      </font>
      <numFmt numFmtId="0" formatCode="General"/>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numFmt numFmtId="0" formatCode="General"/>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numFmt numFmtId="2" formatCode="0.00"/>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numFmt numFmtId="164" formatCode=";;;"/>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fill>
        <patternFill>
          <fgColor indexed="64"/>
          <bgColor auto="1"/>
        </patternFill>
      </fill>
      <alignment horizontal="center" vertical="center"/>
      <protection locked="0"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numFmt numFmtId="0" formatCode="General"/>
      <fill>
        <patternFill>
          <fgColor indexed="64"/>
          <bgColor auto="1"/>
        </patternFill>
      </fill>
      <alignment horizontal="left" vertical="center"/>
      <protection locked="1" hidden="0"/>
    </dxf>
    <dxf>
      <font>
        <name val="Calibri"/>
        <strike val="0"/>
        <outline val="0"/>
        <shadow val="0"/>
        <condense val="0"/>
        <color auto="1"/>
        <extend val="0"/>
        <sz val="12"/>
        <vertAlign val="baseline"/>
        <scheme val="minor"/>
      </font>
      <numFmt numFmtId="1" formatCode="0"/>
      <fill>
        <patternFill>
          <fgColor indexed="64"/>
          <bgColor auto="1"/>
        </patternFill>
      </fill>
      <alignment horizontal="center" vertical="center"/>
      <protection locked="1" hidden="0"/>
    </dxf>
    <dxf>
      <font>
        <name val="Calibri"/>
        <strike val="0"/>
        <outline val="0"/>
        <shadow val="0"/>
        <condense val="0"/>
        <color auto="1"/>
        <extend val="0"/>
        <sz val="12"/>
        <vertAlign val="baseline"/>
        <scheme val="minor"/>
      </font>
      <fill>
        <patternFill>
          <fgColor indexed="64"/>
          <bgColor auto="1"/>
        </patternFill>
      </fill>
      <alignment horizontal="center" vertical="center"/>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rgb="FF9C0006"/>
      </font>
      <fill>
        <patternFill>
          <bgColor rgb="FFFFC7CE"/>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FFFF99"/>
        </patternFill>
      </fill>
    </dxf>
    <dxf>
      <fill>
        <patternFill patternType="darkHorizontal">
          <fgColor theme="0"/>
          <bgColor rgb="FFFFC000"/>
        </patternFill>
      </fill>
    </dxf>
    <dxf>
      <fill>
        <patternFill>
          <bgColor rgb="FF00B0F0"/>
        </patternFill>
      </fill>
    </dxf>
    <dxf>
      <fill>
        <patternFill>
          <bgColor theme="9" tint="0.5999633777886288"/>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0" hidden="0"/>
    </dxf>
    <dxf>
      <font>
        <name val="Calibri"/>
        <strike val="0"/>
        <outline val="0"/>
        <shadow val="0"/>
        <color theme="1"/>
        <sz val="12"/>
        <vertAlign val="baseline"/>
        <scheme val="minor"/>
      </font>
    </dxf>
    <dxf>
      <font>
        <name val="Calibri"/>
        <strike val="0"/>
        <outline val="0"/>
        <shadow val="0"/>
        <color theme="1"/>
        <sz val="12"/>
        <vertAlign val="baseline"/>
        <scheme val="minor"/>
      </font>
    </dxf>
    <dxf>
      <font>
        <name val="Calibri"/>
        <strike val="0"/>
        <outline val="0"/>
        <shadow val="0"/>
        <color theme="1"/>
        <sz val="12"/>
        <vertAlign val="baseline"/>
        <scheme val="minor"/>
      </font>
      <numFmt numFmtId="0" formatCode="General"/>
      <alignment horizontal="left" vertical="center"/>
    </dxf>
    <dxf>
      <font>
        <name val="Calibri"/>
        <strike val="0"/>
        <outline val="0"/>
        <shadow val="0"/>
        <color theme="1"/>
        <sz val="12"/>
        <vertAlign val="baseline"/>
        <scheme val="minor"/>
      </font>
      <alignment horizontal="center" vertical="center"/>
    </dxf>
    <dxf>
      <font>
        <name val="Calibri"/>
        <strike val="0"/>
        <outline val="0"/>
        <shadow val="0"/>
        <color theme="1"/>
        <sz val="12"/>
        <vertAlign val="baseline"/>
        <scheme val="minor"/>
      </font>
    </dxf>
    <dxf>
      <font>
        <name val="Calibri"/>
        <strike val="0"/>
        <outline val="0"/>
        <shadow val="0"/>
        <color theme="1"/>
        <sz val="16"/>
        <vertAlign val="baseline"/>
        <scheme val="minor"/>
      </font>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OfficialTeamList" displayName="OfficialTeamList" ref="C2:F13" headerRowCount="1" totalsRowShown="0" headerRowDxfId="188" dataDxfId="187">
  <autoFilter ref="C2:F13"/>
  <sortState ref="C3:F13">
    <sortCondition ref="C2:C13"/>
  </sortState>
  <tableColumns count="4">
    <tableColumn id="1" name="Team Number" dataDxfId="186"/>
    <tableColumn id="2" name="Team Name" dataDxfId="185"/>
    <tableColumn id="3" name="Coach" dataDxfId="184"/>
    <tableColumn id="4" name="Pod Number" dataDxfId="183"/>
  </tableColumns>
  <tableStyleInfo name="TableStyleMedium2" showFirstColumn="0" showLastColumn="0" showRowStripes="1" showColumnStripes="0"/>
</table>
</file>

<file path=xl/tables/table2.xml><?xml version="1.0" encoding="utf-8"?>
<table xmlns="http://schemas.openxmlformats.org/spreadsheetml/2006/main" id="2" name="Meta" displayName="Meta" ref="A1:C13" headerRowCount="1" totalsRowShown="0">
  <autoFilter ref="A1:C13"/>
  <tableColumns count="3">
    <tableColumn id="1" name="Key"/>
    <tableColumn id="2" name="Value"/>
    <tableColumn id="3" name="Comment" dataDxfId="182"/>
  </tableColumns>
  <tableStyleInfo name="TableStyleMedium2" showFirstColumn="0" showLastColumn="0" showRowStripes="1" showColumnStripes="0"/>
</table>
</file>

<file path=xl/tables/table3.xml><?xml version="1.0" encoding="utf-8"?>
<table xmlns="http://schemas.openxmlformats.org/spreadsheetml/2006/main" id="3" name="TournamentData" displayName="TournamentData" ref="A2:V13" headerRowCount="1" totalsRowShown="0" headerRowDxfId="171" dataDxfId="169" headerRowBorderDxfId="170">
  <autoFilter ref="A2:V13"/>
  <sortState ref="A3:V13">
    <sortCondition ref="N2:N13"/>
  </sortState>
  <tableColumns count="22">
    <tableColumn id="1" name="Team Number" dataDxfId="168"/>
    <tableColumn id="2" name="Team Name" dataDxfId="167">
      <calculatedColumnFormula>IF(ISNA(INDEX(OfficialTeamList[Team Name],MATCH(TournamentData[[#This Row],[Team Number]], OfficialTeamList[Team Number],0))),"",INDEX(OfficialTeamList[Team Name],MATCH(TournamentData[[#This Row],[Team Number]], OfficialTeamList[Team Number],0)))</calculatedColumnFormula>
    </tableColumn>
    <tableColumn id="6" name="Robot Game Score 1" dataDxfId="166">
      <calculatedColumnFormula>IF(TournamentData[[#This Row],[Team Number]]="","",IF(ISNA(INDEX('Robot Game Scores'!D:D,MATCH(TournamentData[[#This Row],[Team Number]], 'Robot Game Scores'!$B:$B,0))),0,INDEX('Robot Game Scores'!D:D,MATCH(TournamentData[[#This Row],[Team Number]], 'Robot Game Scores'!$B:$B,0))))</calculatedColumnFormula>
    </tableColumn>
    <tableColumn id="7" name="Robot Game Score 2" dataDxfId="165">
      <calculatedColumnFormula>IF(TournamentData[[#This Row],[Team Number]]="","",IF(ISNA(INDEX('Robot Game Scores'!E:E,MATCH(TournamentData[[#This Row],[Team Number]], 'Robot Game Scores'!$B:$B,0))),0,INDEX('Robot Game Scores'!E:E,MATCH(TournamentData[[#This Row],[Team Number]], 'Robot Game Scores'!$B:$B,0))))</calculatedColumnFormula>
    </tableColumn>
    <tableColumn id="8" name="Robot Game Score 3" dataDxfId="164">
      <calculatedColumnFormula>IF(TournamentData[[#This Row],[Team Number]]="","",IF(ISNA(INDEX('Robot Game Scores'!F:F,MATCH(TournamentData[[#This Row],[Team Number]], 'Robot Game Scores'!$B:$B,0))),0,INDEX('Robot Game Scores'!F:F,MATCH(TournamentData[[#This Row],[Team Number]], 'Robot Game Scores'!$B:$B,0))))</calculatedColumnFormula>
    </tableColumn>
    <tableColumn id="16" name="Robot Game Score 4" dataDxfId="163">
      <calculatedColumnFormula>IF(TournamentData[[#This Row],[Team Number]]="","",IF(ISNA(INDEX('Robot Game Scores'!G:G,MATCH(TournamentData[[#This Row],[Team Number]], 'Robot Game Scores'!$B:$B,0))),0,INDEX('Robot Game Scores'!G:G,MATCH(TournamentData[[#This Row],[Team Number]], 'Robot Game Scores'!$B:$B,0))))</calculatedColumnFormula>
    </tableColumn>
    <tableColumn id="9" name="Robot Game Score 5" dataDxfId="162">
      <calculatedColumnFormula>IF(TournamentData[[#This Row],[Team Number]]="","",IF(ISNA(INDEX('Robot Game Scores'!H:H,MATCH(TournamentData[[#This Row],[Team Number]], 'Robot Game Scores'!$B:$B,0))),0,INDEX('Robot Game Scores'!H:H,MATCH(TournamentData[[#This Row],[Team Number]], 'Robot Game Scores'!$B:$B,0))))</calculatedColumnFormula>
    </tableColumn>
    <tableColumn id="10" name="Max Robot Game Score" dataDxfId="161">
      <calculatedColumnFormula>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calculatedColumnFormula>
    </tableColumn>
    <tableColumn id="15" name="Robot Game Rank" dataDxfId="160">
      <calculatedColumnFormula>IF(TournamentData[[#This Row],[Team Number]]="","",_xlfn.RANK.EQ(TournamentData[[#This Row],[Max Robot Game Score]],TournamentData[Max Robot Game Score]))</calculatedColumnFormula>
    </tableColumn>
    <tableColumn id="3" name="Core Values Rank" dataDxfId="159">
      <calculatedColumnFormula>IF(TournamentData[[#This Row],[Team Number]]="","",IF(ISNA(INDEX(CoreValuesResults[Core Values Rank],MATCH(TournamentData[[#This Row],[Team Number]],CoreValuesResults[Team Number],0))),NumberOfTeams+1,INDEX(CoreValuesResults[Core Values Rank],MATCH(TournamentData[[#This Row],[Team Number]],CoreValuesResults[Team Number],0))))</calculatedColumnFormula>
    </tableColumn>
    <tableColumn id="4" name="Innovation Project Rank" dataDxfId="158">
      <calculatedColumnFormula>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calculatedColumnFormula>
    </tableColumn>
    <tableColumn id="5" name="Robot Design Rank" dataDxfId="157">
      <calculatedColumnFormula>IF(TournamentData[[#This Row],[Team Number]]="","",IF(ISNA(INDEX(RobotDesignResults[Robot Design Rank],MATCH(TournamentData[[#This Row],[Team Number]],RobotDesignResults[Team Number],0))),NumberOfTeams+1,INDEX(RobotDesignResults[Robot Design Rank],MATCH(TournamentData[[#This Row],[Team Number]],RobotDesignResults[Team Number],0))))</calculatedColumnFormula>
    </tableColumn>
    <tableColumn id="14" name="Champion's Score" dataDxfId="156">
      <calculatedColumnFormula>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calculatedColumnFormula>
    </tableColumn>
    <tableColumn id="11" name="Champion's Rank" dataDxfId="155">
      <calculatedColumnFormula>IF(TournamentData[[#This Row],[Team Number]]="","",IF(M3,RANK(M3,M$3:M$13,1)-COUNTIF(M$3:M$13,0),NumberOfTeams+1))</calculatedColumnFormula>
    </tableColumn>
    <tableColumn id="12" name="Award" dataDxfId="154"/>
    <tableColumn id="21" name="Advance?" dataDxfId="153"/>
    <tableColumn id="28" name="Core Values Score" dataDxfId="152">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51">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50">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49">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48">
      <calculatedColumnFormula>IF(T3,_xlfn.RANK.EQ(T3,T$3:T$13,0),NumberOfTeams)</calculatedColumnFormula>
    </tableColumn>
    <tableColumn id="20" name="Comments" dataDxfId="147"/>
  </tableColumns>
  <tableStyleInfo name="TableStyleMedium2" showFirstColumn="0" showLastColumn="0" showRowStripes="1" showColumnStripes="0"/>
</table>
</file>

<file path=xl/tables/table4.xml><?xml version="1.0" encoding="utf-8"?>
<table xmlns="http://schemas.openxmlformats.org/spreadsheetml/2006/main" id="4" name="RobotGameScores" displayName="RobotGameScores" ref="A1:I12" headerRowCount="1" totalsRowShown="0" headerRowDxfId="136" dataDxfId="134" headerRowBorderDxfId="135">
  <autoFilter ref="A1:I12"/>
  <sortState ref="A2:I12">
    <sortCondition descending="1" ref="I1:I12"/>
  </sortState>
  <tableColumns count="9">
    <tableColumn id="1" name="Robot Game Rank" dataDxfId="133"/>
    <tableColumn id="2" name="Team Number" dataDxfId="132"/>
    <tableColumn id="9" name="Team Name" dataDxfId="131">
      <calculatedColumnFormula>INDEX(OfficialTeamList[Team Name],MATCH(RobotGameScores[[#This Row],[Team Number]], OfficialTeamList[Team Number],0))</calculatedColumnFormula>
    </tableColumn>
    <tableColumn id="3" name="Robot Game 1 Score" dataDxfId="130"/>
    <tableColumn id="4" name="Robot Game 2 Score" dataDxfId="129"/>
    <tableColumn id="5" name="Robot Game 3 Score" dataDxfId="128"/>
    <tableColumn id="6" name="Robot Game 4 Score" dataDxfId="127"/>
    <tableColumn id="7" name="Robot Game 5 Score" dataDxfId="126"/>
    <tableColumn id="8" name="Highest Robot Game Score" dataDxfId="125">
      <calculatedColumnFormula>MAX(D2:H2)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InnovationProjectResults" displayName="InnovationProjectResults" ref="A1:O12" headerRowCount="1" totalsRowShown="0" headerRowDxfId="118" dataDxfId="117">
  <autoFilter ref="A1:O12"/>
  <sortState ref="A2:O12">
    <sortCondition ref="A1:A12"/>
  </sortState>
  <tableColumns count="15">
    <tableColumn id="1" name="Team Number" dataDxfId="116"/>
    <tableColumn id="2" name="Team Name" dataDxfId="115">
      <calculatedColumnFormula>IF(ISNA(INDEX(OfficialTeamList[Team Name],MATCH(InnovationProjectResults[[#This Row],[Team Number]], OfficialTeamList[Team Number],0))),"",INDEX(OfficialTeamList[Team Name],MATCH(InnovationProjectResults[[#This Row],[Team Number]], OfficialTeamList[Team Number],0)))</calculatedColumnFormula>
    </tableColumn>
    <tableColumn id="3" name="Identify - Define" dataDxfId="114"/>
    <tableColumn id="4" name="Identify - Research (CV)" dataDxfId="113"/>
    <tableColumn id="5" name="Design - Plan" dataDxfId="112"/>
    <tableColumn id="7" name="Design - Teamwork (CV)" dataDxfId="111"/>
    <tableColumn id="10" name="Create - Innovation (CV)" dataDxfId="110"/>
    <tableColumn id="8" name="Create - Model" dataDxfId="109"/>
    <tableColumn id="9" name="Iterate - Sharing" dataDxfId="108"/>
    <tableColumn id="11" name="Iterate - Improvement" dataDxfId="107"/>
    <tableColumn id="12" name="Communicate - Impact (CV)" dataDxfId="106"/>
    <tableColumn id="13" name="Communicate - Fun (CV)" dataDxfId="105"/>
    <tableColumn id="19" name="Innovation Project Score" dataDxfId="104">
      <calculatedColumnFormula>SUM(InnovationProjectResults[[#This Row],[Identify - Define]:[Communicate - Fun (CV)]])</calculatedColumnFormula>
    </tableColumn>
    <tableColumn id="20" name="Innovation Project Rank" dataDxfId="103">
      <calculatedColumnFormula>IF(InnovationProjectResults[[#This Row],[Team Number]]&gt;0,MIN(_xlfn.RANK.EQ(InnovationProjectResults[[#This Row],[Innovation Project Score]],InnovationProjectResults[Innovation Project Score],0),NumberOfTeams),NumberOfTeams+1)</calculatedColumnFormula>
    </tableColumn>
    <tableColumn id="6" name="GIA Score" dataDxfId="102">
      <calculatedColumnFormula>SUM(InnovationProjectResults[[#This Row],[Design - Teamwork (CV)]:[Iterate - Sharing]])</calculatedColumnFormula>
    </tableColumn>
  </tableColumns>
  <tableStyleInfo name="TableStyleMedium7" showFirstColumn="0" showLastColumn="0" showRowStripes="1" showColumnStripes="0"/>
</table>
</file>

<file path=xl/tables/table6.xml><?xml version="1.0" encoding="utf-8"?>
<table xmlns="http://schemas.openxmlformats.org/spreadsheetml/2006/main" id="6" name="RobotDesignResults" displayName="RobotDesignResults" ref="A1:N12" headerRowCount="1" totalsRowShown="0" headerRowDxfId="97" dataDxfId="96">
  <autoFilter ref="A1:N12"/>
  <sortState ref="A2:N12">
    <sortCondition ref="N1:N12"/>
  </sortState>
  <tableColumns count="14">
    <tableColumn id="1" name="Team Number" dataDxfId="95"/>
    <tableColumn id="2" name="Team Name" dataDxfId="94">
      <calculatedColumnFormula>IF(ISNA(INDEX(OfficialTeamList[Team Name],MATCH(RobotDesignResults[[#This Row],[Team Number]], OfficialTeamList[Team Number],0))),"",INDEX(OfficialTeamList[Team Name],MATCH(RobotDesignResults[[#This Row],[Team Number]], OfficialTeamList[Team Number],0)))</calculatedColumnFormula>
    </tableColumn>
    <tableColumn id="3" name="Identify - Strategy" dataDxfId="93"/>
    <tableColumn id="4" name="Identify - Research (CV)" dataDxfId="92"/>
    <tableColumn id="5" name="Design - Ideas (CV)" dataDxfId="91"/>
    <tableColumn id="7" name="Design - Building/Coding" dataDxfId="90"/>
    <tableColumn id="6" name="Create - Attachments" dataDxfId="89"/>
    <tableColumn id="8" name="Create - Code/ Sensors" dataDxfId="88"/>
    <tableColumn id="9" name="Iterate - Testing" dataDxfId="87"/>
    <tableColumn id="11" name="Iterate - Improvements (CV)" dataDxfId="86"/>
    <tableColumn id="12" name="Communicate - Impact (CV)" dataDxfId="85"/>
    <tableColumn id="13" name="Communicate - Fun (CV)" dataDxfId="84"/>
    <tableColumn id="19" name="Robot Design Score" dataDxfId="83">
      <calculatedColumnFormula>SUM(RobotDesignResults[[#This Row],[Identify - Strategy]:[Communicate - Fun (CV)]])</calculatedColumnFormula>
    </tableColumn>
    <tableColumn id="20" name="Robot Design Rank" dataDxfId="82">
      <calculatedColumnFormula>IF(RobotDesignResults[[#This Row],[Team Number]]&gt;0,MIN(_xlfn.RANK.EQ(RobotDesignResults[[#This Row],[Robot Design Score]],RobotDesignResults[Robot Design Score],0),NumberOfTeams),NumberOfTeams+1)</calculatedColumnFormula>
    </tableColumn>
  </tableColumns>
  <tableStyleInfo name="TableStyleMedium7" showFirstColumn="0" showLastColumn="0" showRowStripes="1" showColumnStripes="0"/>
</table>
</file>

<file path=xl/tables/table7.xml><?xml version="1.0" encoding="utf-8"?>
<table xmlns="http://schemas.openxmlformats.org/spreadsheetml/2006/main" id="7" name="CoreValuesResults" displayName="CoreValuesResults" ref="A1:Y12" headerRowCount="1" totalsRowShown="0" headerRowDxfId="74" dataDxfId="73">
  <autoFilter ref="A1:Y12"/>
  <sortState ref="A2:Y12">
    <sortCondition ref="V1:V12"/>
  </sortState>
  <tableColumns count="25">
    <tableColumn id="1" name="Team Number" dataDxfId="72"/>
    <tableColumn id="2" name="Team Name" dataDxfId="71">
      <calculatedColumnFormula>IF(ISNA(INDEX(OfficialTeamList[Team Name],MATCH(CoreValuesResults[[#This Row],[Team Number]], OfficialTeamList[Team Number],0))),"",INDEX(OfficialTeamList[Team Name],MATCH(CoreValuesResults[[#This Row],[Team Number]], OfficialTeamList[Team Number],0)))</calculatedColumnFormula>
    </tableColumn>
    <tableColumn id="3" name="Identify - Research (CV-IP)" dataDxfId="70">
      <calculatedColumnFormula>INDEX(InnovationProjectResults[Identify - Research (CV)],MATCH(CoreValuesResults[[#This Row],[Team Number]],InnovationProjectResults[Team Number],0))</calculatedColumnFormula>
    </tableColumn>
    <tableColumn id="4" name="Design - Teamwork (CV-IP)" dataDxfId="69">
      <calculatedColumnFormula>INDEX(InnovationProjectResults[Design - Teamwork (CV)],MATCH(CoreValuesResults[[#This Row],[Team Number]],InnovationProjectResults[Team Number],0))</calculatedColumnFormula>
    </tableColumn>
    <tableColumn id="5" name="Create - Innovation (CV-IP)" dataDxfId="68">
      <calculatedColumnFormula>INDEX(InnovationProjectResults[Create - Innovation (CV)],MATCH(CoreValuesResults[[#This Row],[Team Number]],InnovationProjectResults[Team Number],0))</calculatedColumnFormula>
    </tableColumn>
    <tableColumn id="11" name="Communicate - Impact (CV-IP)" dataDxfId="67">
      <calculatedColumnFormula>INDEX(InnovationProjectResults[Communicate - Impact (CV)],MATCH(CoreValuesResults[[#This Row],[Team Number]],InnovationProjectResults[Team Number],0))</calculatedColumnFormula>
    </tableColumn>
    <tableColumn id="12" name="Communicate - Fun (CV-IP)" dataDxfId="66">
      <calculatedColumnFormula>INDEX(InnovationProjectResults[Communicate - Fun (CV)],MATCH(CoreValuesResults[[#This Row],[Team Number]],InnovationProjectResults[Team Number],0))</calculatedColumnFormula>
    </tableColumn>
    <tableColumn id="22" name="Identify - Research (CV-RD)" dataDxfId="65">
      <calculatedColumnFormula>INDEX(RobotDesignResults[Identify - Research (CV)],MATCH(CoreValuesResults[[#This Row],[Team Number]],RobotDesignResults[Team Number],0))</calculatedColumnFormula>
    </tableColumn>
    <tableColumn id="25" name="Design - Ideas (CV-RD)" dataDxfId="64">
      <calculatedColumnFormula>INDEX(RobotDesignResults[Design - Ideas (CV)],MATCH(CoreValuesResults[[#This Row],[Team Number]],RobotDesignResults[Team Number],0))</calculatedColumnFormula>
    </tableColumn>
    <tableColumn id="24" name="Iterate - Improvements (CV-RD)" dataDxfId="63">
      <calculatedColumnFormula>INDEX(RobotDesignResults[Iterate - Improvements (CV)],MATCH(CoreValuesResults[[#This Row],[Team Number]],RobotDesignResults[Team Number],0))</calculatedColumnFormula>
    </tableColumn>
    <tableColumn id="23" name="Communicate - Impact (CV-RD)" dataDxfId="62">
      <calculatedColumnFormula>INDEX(RobotDesignResults[Communicate - Impact (CV)],MATCH(CoreValuesResults[[#This Row],[Team Number]],RobotDesignResults[Team Number],0))</calculatedColumnFormula>
    </tableColumn>
    <tableColumn id="13" name="Communicate - Fun (CV-RD)" dataDxfId="61">
      <calculatedColumnFormula>INDEX(RobotDesignResults[Communicate - Fun (CV)],MATCH(CoreValuesResults[[#This Row],[Team Number]],RobotDesignResults[Team Number],0))</calculatedColumnFormula>
    </tableColumn>
    <tableColumn id="7" name="Gracious Professionalism 1" dataDxfId="60"/>
    <tableColumn id="8" name="Gracious Professionalism 2" dataDxfId="59"/>
    <tableColumn id="6" name="Gracious Professionalism 3" dataDxfId="58"/>
    <tableColumn id="9" name="Gracious Professionalism 4" dataDxfId="57">
      <calculatedColumnFormula>IF('Robot Game Scores'!#REF!="","",IF(ISNA(INDEX('Robot Game Scores'!#REF!,MATCH(CoreValuesResults[[#This Row],[Team Number]], 'Robot Game Scores'!$B:$B,0))),0,INDEX('Robot Game Scores'!#REF!,MATCH(CoreValuesResults[[#This Row],[Team Number]], 'Robot Game Scores'!$B:$B,0))))</calculatedColumnFormula>
    </tableColumn>
    <tableColumn id="10" name="Gracious Professionalism 5" dataDxfId="56">
      <calculatedColumnFormula>IF('Robot Game Scores'!#REF!="","",IF(ISNA(INDEX('Robot Game Scores'!#REF!,MATCH(CoreValuesResults[[#This Row],[Team Number]], 'Robot Game Scores'!$B:$B,0))),0,INDEX('Robot Game Scores'!#REF!,MATCH(CoreValuesResults[[#This Row],[Team Number]], 'Robot Game Scores'!$B:$B,0))))</calculatedColumnFormula>
    </tableColumn>
    <tableColumn id="21" name="Gracious Professionalism Empty Count" dataDxfId="55">
      <calculatedColumnFormula>IF(CoreValuesResults[[#This Row],[Gracious Professionalism 1]]="","",COUNTIF(CoreValuesResults[[#This Row],[Gracious Professionalism 1]:[Gracious Professionalism 5]],""))</calculatedColumnFormula>
    </tableColumn>
    <tableColumn id="14" name="Gracious Professionalism Total" dataDxfId="54">
      <calculatedColumnFormula>IF(CoreValuesResults[[#This Row],[Gracious Professionalism 1]]="","",SUM(CoreValuesResults[[#This Row],[Gracious Professionalism 1]:[Gracious Professionalism 5]]))</calculatedColumnFormula>
    </tableColumn>
    <tableColumn id="18" name="Gracious Professionalism Score" dataDxfId="53">
      <calculatedColumnFormula>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calculatedColumnFormula>
    </tableColumn>
    <tableColumn id="19" name="Core Values Score" dataDxfId="52">
      <calculatedColumnFormula>SUM(CoreValuesResults[[#This Row],[Identify - Research (CV-IP)]:[Communicate - Fun (CV-RD)]],CoreValuesResults[[#This Row],[Gracious Professionalism Score]])</calculatedColumnFormula>
    </tableColumn>
    <tableColumn id="20" name="Core Values Rank" dataDxfId="51">
      <calculatedColumnFormula>IF(CoreValuesResults[[#This Row],[Team Number]]&gt;0,MIN(_xlfn.RANK.EQ(CoreValuesResults[[#This Row],[Core Values Score]],CoreValuesResults[Core Values Score],0),NumberOfTeams),NumberOfTeams+1)</calculatedColumnFormula>
    </tableColumn>
    <tableColumn id="15" name="Breakthrough Selection" dataDxfId="50"/>
    <tableColumn id="16" name="Rising All-Star Selection" dataDxfId="49"/>
    <tableColumn id="17" name="Motivate Selection" dataDxfId="48"/>
  </tableColumns>
  <tableStyleInfo name="TableStyleMedium7" showFirstColumn="0" showLastColumn="0" showRowStripes="1" showColumnStripes="0"/>
</table>
</file>

<file path=xl/tables/table8.xml><?xml version="1.0" encoding="utf-8"?>
<table xmlns="http://schemas.openxmlformats.org/spreadsheetml/2006/main" id="8"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9.xml><?xml version="1.0" encoding="utf-8"?>
<table xmlns="http://schemas.openxmlformats.org/spreadsheetml/2006/main" id="9"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0.xml><?xml version="1.0" encoding="utf-8"?>
<table xmlns="http://schemas.openxmlformats.org/spreadsheetml/2006/main" id="10"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1.xml><?xml version="1.0" encoding="utf-8"?>
<table xmlns="http://schemas.openxmlformats.org/spreadsheetml/2006/main" id="11"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2.xml><?xml version="1.0" encoding="utf-8"?>
<table xmlns="http://schemas.openxmlformats.org/spreadsheetml/2006/main" id="12"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3.xml><?xml version="1.0" encoding="utf-8"?>
<table xmlns="http://schemas.openxmlformats.org/spreadsheetml/2006/main" id="13"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4.xml><?xml version="1.0" encoding="utf-8"?>
<table xmlns="http://schemas.openxmlformats.org/spreadsheetml/2006/main" id="14"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5.xml><?xml version="1.0" encoding="utf-8"?>
<table xmlns="http://schemas.openxmlformats.org/spreadsheetml/2006/main" id="15"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6.xml.rels><Relationships xmlns="http://schemas.openxmlformats.org/package/2006/relationships"><Relationship Type="http://schemas.openxmlformats.org/officeDocument/2006/relationships/table" Target="/xl/tables/table5.xml" Id="rId1" /></Relationships>
</file>

<file path=xl/worksheets/_rels/sheet7.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10.xml.rels><Relationships xmlns="http://schemas.openxmlformats.org/package/2006/relationships"><Relationship Type="http://schemas.openxmlformats.org/officeDocument/2006/relationships/table" Target="/xl/tables/table8.xml" Id="rId1" /><Relationship Type="http://schemas.openxmlformats.org/officeDocument/2006/relationships/table" Target="/xl/tables/table9.xml" Id="rId2" /><Relationship Type="http://schemas.openxmlformats.org/officeDocument/2006/relationships/table" Target="/xl/tables/table10.xml" Id="rId3" /><Relationship Type="http://schemas.openxmlformats.org/officeDocument/2006/relationships/table" Target="/xl/tables/table11.xml" Id="rId4" /><Relationship Type="http://schemas.openxmlformats.org/officeDocument/2006/relationships/table" Target="/xl/tables/table12.xml" Id="rId5" /><Relationship Type="http://schemas.openxmlformats.org/officeDocument/2006/relationships/table" Target="/xl/tables/table13.xml" Id="rId6" /><Relationship Type="http://schemas.openxmlformats.org/officeDocument/2006/relationships/table" Target="/xl/tables/table14.xml" Id="rId7" /><Relationship Type="http://schemas.openxmlformats.org/officeDocument/2006/relationships/table" Target="/xl/tables/table15.xml" Id="rId8" /></Relationships>
</file>

<file path=xl/worksheets/sheet1.xml><?xml version="1.0" encoding="utf-8"?>
<worksheet xmlns="http://schemas.openxmlformats.org/spreadsheetml/2006/main">
  <sheetPr codeName="Sheet1">
    <tabColor theme="0"/>
    <outlinePr summaryBelow="1" summaryRight="1"/>
    <pageSetUpPr/>
  </sheetPr>
  <dimension ref="A1:AS24"/>
  <sheetViews>
    <sheetView zoomScale="40" zoomScaleNormal="40" workbookViewId="0">
      <selection activeCell="BL6" sqref="BL6"/>
    </sheetView>
  </sheetViews>
  <sheetFormatPr baseColWidth="8" defaultColWidth="9.140625" defaultRowHeight="39.95" customHeight="1"/>
  <cols>
    <col width="9.140625" customWidth="1" style="138" min="1" max="1"/>
    <col width="9.140625" customWidth="1" style="126" min="2" max="32"/>
    <col width="9.140625" customWidth="1" style="126" min="33" max="16384"/>
  </cols>
  <sheetData>
    <row r="1" ht="45.6" customHeight="1">
      <c r="A1" s="138" t="n"/>
      <c r="W1" s="136" t="inlineStr">
        <is>
          <t>DESIGNED FOR USE IN MICROSOFT EXCEL (DESKTOP APP).
SOME FUNCTIONALITY WILL BE LOST IN WEB OR OTHER APPLICATIONS.</t>
        </is>
      </c>
    </row>
    <row r="2" ht="45.6" customHeight="1"/>
    <row r="3" ht="45.6" customHeight="1"/>
    <row r="4" ht="47.1" customHeight="1">
      <c r="D4" s="50" t="inlineStr">
        <is>
          <t>1.</t>
        </is>
      </c>
      <c r="E4" s="137" t="inlineStr">
        <is>
          <t>Open the 'Team and Program Information' page. Enter the team numbers and the team names. Also, the number of teams advancing from this event in the box on the left.</t>
        </is>
      </c>
    </row>
    <row r="5" ht="48" customHeight="1">
      <c r="D5" s="49" t="n"/>
    </row>
    <row r="6" ht="30" customHeight="1">
      <c r="D6" s="49" t="n"/>
      <c r="E6" s="49" t="n"/>
      <c r="F6" s="49" t="n"/>
      <c r="G6" s="49" t="n"/>
      <c r="H6" s="49" t="n"/>
      <c r="I6" s="49" t="n"/>
      <c r="J6" s="49" t="n"/>
      <c r="K6" s="49" t="n"/>
      <c r="L6" s="49" t="n"/>
      <c r="M6" s="49" t="n"/>
      <c r="N6" s="49" t="n"/>
      <c r="O6" s="49" t="n"/>
      <c r="P6" s="49" t="n"/>
      <c r="Q6" s="49" t="n"/>
      <c r="R6" s="49" t="n"/>
      <c r="S6" s="49" t="n"/>
      <c r="T6" s="49" t="n"/>
      <c r="U6" s="49" t="n"/>
      <c r="V6" s="49" t="n"/>
      <c r="W6" s="49" t="n"/>
      <c r="X6" s="49" t="n"/>
      <c r="Y6" s="49" t="n"/>
      <c r="Z6" s="49" t="n"/>
      <c r="AA6" s="49" t="n"/>
      <c r="AB6" s="49" t="n"/>
      <c r="AC6" s="49" t="n"/>
      <c r="AD6" s="49" t="n"/>
      <c r="AE6" s="49" t="n"/>
      <c r="AF6" s="49" t="n"/>
      <c r="AG6" s="49" t="n"/>
      <c r="AH6" s="49" t="n"/>
      <c r="AI6" s="49" t="n"/>
      <c r="AJ6" s="49" t="n"/>
      <c r="AK6" s="49" t="n"/>
      <c r="AL6" s="49" t="n"/>
      <c r="AM6" s="49" t="n"/>
      <c r="AN6" s="49" t="n"/>
      <c r="AO6" s="49" t="n"/>
      <c r="AP6" s="49" t="n"/>
      <c r="AQ6" s="49" t="n"/>
    </row>
    <row r="7" ht="39.95" customHeight="1">
      <c r="D7" s="50" t="inlineStr">
        <is>
          <t>2.</t>
        </is>
      </c>
      <c r="E7" s="137" t="inlineStr">
        <is>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is>
      </c>
    </row>
    <row r="8" ht="39.95" customHeight="1">
      <c r="D8" s="127" t="n"/>
    </row>
    <row r="9" ht="61.15" customHeight="1">
      <c r="D9" s="127" t="n"/>
    </row>
    <row r="10" ht="61.9" customFormat="1" customHeight="1" s="125">
      <c r="A10" s="64" t="n"/>
      <c r="D10" s="66" t="n"/>
      <c r="F10" s="124" t="inlineStr">
        <is>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is>
      </c>
    </row>
    <row r="11" ht="20.45" customFormat="1" customHeight="1" s="125">
      <c r="A11" s="64" t="n"/>
      <c r="D11" s="66" t="n"/>
      <c r="F11" s="67" t="n"/>
    </row>
    <row r="12" ht="46.35" customHeight="1">
      <c r="D12" s="50" t="inlineStr">
        <is>
          <t>3.</t>
        </is>
      </c>
      <c r="E12" s="137" t="inlineStr">
        <is>
          <t>Collect the rubric scores from the judges and the robot game scores (including Gracious Professionalism® scores) from the referees throughout the event and enter the data into the corresponding pages of this spreadsheet.</t>
        </is>
      </c>
    </row>
    <row r="13" ht="52.9" customHeight="1">
      <c r="D13" s="127" t="n"/>
    </row>
    <row r="14" ht="60" customHeight="1">
      <c r="D14" s="127" t="n"/>
      <c r="F14" s="124" t="inlineStr">
        <is>
          <t>Core Values scores, except Gracious Professionalism scores from the robot game, are populated automatically from the other rubric scores - no score information should be added to columns C-L on the 'Core Values Input' page.</t>
        </is>
      </c>
    </row>
    <row r="15" ht="1.9" customHeight="1">
      <c r="D15" s="127" t="n"/>
    </row>
    <row r="16" ht="20.45" customHeight="1">
      <c r="D16" s="127" t="n"/>
      <c r="F16" s="75" t="n"/>
    </row>
    <row r="17" ht="47.45" customHeight="1">
      <c r="D17" s="50" t="inlineStr">
        <is>
          <t>4.</t>
        </is>
      </c>
      <c r="E17" s="127" t="inlineStr">
        <is>
          <t>When all the data has been inputted, go the 'Results and Rankings' page to view all of the information in one place.</t>
        </is>
      </c>
    </row>
    <row r="18" ht="30" customHeight="1">
      <c r="D18" s="127" t="n"/>
    </row>
    <row r="19" ht="39.95" customHeight="1">
      <c r="D19" s="50" t="inlineStr">
        <is>
          <t>5.</t>
        </is>
      </c>
      <c r="E19" s="127" t="inlineStr">
        <is>
          <t>You are now ready to allocate your awards based on your rankings using the 'Awards and Allocations' document in the judging toolkit.</t>
        </is>
      </c>
    </row>
    <row r="20" ht="30" customHeight="1" thickBot="1">
      <c r="D20" s="50" t="n"/>
      <c r="E20" s="127" t="n"/>
    </row>
    <row r="21" ht="39.95" customHeight="1">
      <c r="B21" s="48" t="inlineStr">
        <is>
          <t>Useful Tips:</t>
        </is>
      </c>
      <c r="F21" s="140" t="inlineStr">
        <is>
          <t>If you are copying data into the Input pages please remember to use the 'Paste Values' or 'Use Destination Formatting' option.</t>
        </is>
      </c>
      <c r="G21" s="129" t="n"/>
      <c r="H21" s="129" t="n"/>
      <c r="I21" s="129" t="n"/>
      <c r="J21" s="129" t="n"/>
      <c r="K21" s="129" t="n"/>
      <c r="L21" s="129" t="n"/>
      <c r="M21" s="130" t="n"/>
      <c r="N21" s="69" t="n"/>
      <c r="O21" s="128" t="inlineStr">
        <is>
          <t>You can sort your data by a specific column by clicking on the small arrow in the column header box and selecting 'sort smallest to largest' or 'A to Z'.</t>
        </is>
      </c>
      <c r="P21" s="129" t="n"/>
      <c r="Q21" s="129" t="n"/>
      <c r="R21" s="129" t="n"/>
      <c r="S21" s="129" t="n"/>
      <c r="T21" s="129" t="n"/>
      <c r="U21" s="129" t="n"/>
      <c r="V21" s="130" t="n"/>
      <c r="W21" s="69" t="n"/>
      <c r="X21" s="128" t="inlineStr">
        <is>
          <t>As you work with the OJS you should save your spreadsheet regularly in case of IT issues.</t>
        </is>
      </c>
      <c r="Y21" s="129" t="n"/>
      <c r="Z21" s="129" t="n"/>
      <c r="AA21" s="129" t="n"/>
      <c r="AB21" s="129" t="n"/>
      <c r="AC21" s="130" t="n"/>
      <c r="AD21" s="69" t="n"/>
      <c r="AE21" s="128" t="inlineStr">
        <is>
          <t>If your event uses more than 3 official robot game matches, you can unhide columns F-G in 'Robot Game Scores' and columns P-Q in 'Core Values Input' for Gracious Professionalism scores.</t>
        </is>
      </c>
      <c r="AF21" s="129" t="n"/>
      <c r="AG21" s="129" t="n"/>
      <c r="AH21" s="129" t="n"/>
      <c r="AI21" s="129" t="n"/>
      <c r="AJ21" s="129" t="n"/>
      <c r="AK21" s="129" t="n"/>
      <c r="AL21" s="129" t="n"/>
      <c r="AM21" s="129" t="n"/>
      <c r="AN21" s="129" t="n"/>
      <c r="AO21" s="129" t="n"/>
      <c r="AP21" s="129" t="n"/>
      <c r="AQ21" s="129" t="n"/>
      <c r="AR21" s="130" t="n"/>
    </row>
    <row r="22" ht="49.35" customHeight="1" thickBot="1">
      <c r="D22" s="127" t="n"/>
      <c r="F22" s="131" t="n"/>
      <c r="M22" s="132" t="n"/>
      <c r="N22" s="69" t="n"/>
      <c r="O22" s="131" t="n"/>
      <c r="V22" s="132" t="n"/>
      <c r="W22" s="69" t="n"/>
      <c r="X22" s="131" t="n"/>
      <c r="AC22" s="132" t="n"/>
      <c r="AD22" s="69" t="n"/>
      <c r="AE22" s="133" t="n"/>
      <c r="AF22" s="134" t="n"/>
      <c r="AG22" s="134" t="n"/>
      <c r="AH22" s="134" t="n"/>
      <c r="AI22" s="134" t="n"/>
      <c r="AJ22" s="134" t="n"/>
      <c r="AK22" s="134" t="n"/>
      <c r="AL22" s="134" t="n"/>
      <c r="AM22" s="134" t="n"/>
      <c r="AN22" s="134" t="n"/>
      <c r="AO22" s="134" t="n"/>
      <c r="AP22" s="134" t="n"/>
      <c r="AQ22" s="134" t="n"/>
      <c r="AR22" s="135" t="n"/>
    </row>
    <row r="23" ht="43.35" customHeight="1">
      <c r="F23" s="139" t="inlineStr">
        <is>
          <t>(This stops the formatting and formulae being overwritten)</t>
        </is>
      </c>
      <c r="M23" s="132" t="n"/>
      <c r="N23" s="69" t="n"/>
      <c r="O23" s="131" t="n"/>
      <c r="V23" s="132" t="n"/>
      <c r="W23" s="69" t="n"/>
      <c r="X23" s="131" t="n"/>
      <c r="AC23" s="132" t="n"/>
      <c r="AD23" s="69" t="n"/>
      <c r="AE23" s="139" t="inlineStr">
        <is>
          <t>If referees hand in printed scoresheets, robot game scores will need to be calclulated using the 'Official Scoring Calculator' tool (online).</t>
        </is>
      </c>
      <c r="AR23" s="132" t="n"/>
    </row>
    <row r="24" ht="39.6" customHeight="1" thickBot="1">
      <c r="F24" s="133" t="n"/>
      <c r="G24" s="134" t="n"/>
      <c r="H24" s="134" t="n"/>
      <c r="I24" s="134" t="n"/>
      <c r="J24" s="134" t="n"/>
      <c r="K24" s="134" t="n"/>
      <c r="L24" s="134" t="n"/>
      <c r="M24" s="135" t="n"/>
      <c r="N24" s="69" t="n"/>
      <c r="O24" s="133" t="n"/>
      <c r="P24" s="134" t="n"/>
      <c r="Q24" s="134" t="n"/>
      <c r="R24" s="134" t="n"/>
      <c r="S24" s="134" t="n"/>
      <c r="T24" s="134" t="n"/>
      <c r="U24" s="134" t="n"/>
      <c r="V24" s="135" t="n"/>
      <c r="W24" s="69" t="n"/>
      <c r="X24" s="133" t="n"/>
      <c r="Y24" s="134" t="n"/>
      <c r="Z24" s="134" t="n"/>
      <c r="AA24" s="134" t="n"/>
      <c r="AB24" s="134" t="n"/>
      <c r="AC24" s="135" t="n"/>
      <c r="AD24" s="69" t="n"/>
      <c r="AE24" s="133" t="n"/>
      <c r="AF24" s="134" t="n"/>
      <c r="AG24" s="134" t="n"/>
      <c r="AH24" s="134" t="n"/>
      <c r="AI24" s="134" t="n"/>
      <c r="AJ24" s="134" t="n"/>
      <c r="AK24" s="134" t="n"/>
      <c r="AL24" s="134" t="n"/>
      <c r="AM24" s="134" t="n"/>
      <c r="AN24" s="134" t="n"/>
      <c r="AO24" s="134" t="n"/>
      <c r="AP24" s="134" t="n"/>
      <c r="AQ24" s="134" t="n"/>
      <c r="AR24" s="135" t="n"/>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K13"/>
  <sheetViews>
    <sheetView zoomScaleNormal="100" workbookViewId="0">
      <selection activeCell="D7" sqref="D7"/>
    </sheetView>
  </sheetViews>
  <sheetFormatPr baseColWidth="8" defaultColWidth="9.140625" defaultRowHeight="39.95" customHeight="1"/>
  <cols>
    <col width="23.85546875" bestFit="1" customWidth="1" style="7" min="1" max="1"/>
    <col width="5.42578125" customWidth="1" style="142" min="2" max="2"/>
    <col width="23.85546875" bestFit="1" customWidth="1" style="142" min="3" max="3"/>
    <col width="69" customWidth="1" style="142" min="4" max="4"/>
    <col width="21.85546875" customWidth="1" style="142" min="5" max="5"/>
    <col width="21.5703125" bestFit="1" customWidth="1" style="142" min="6" max="6"/>
    <col width="9.140625" customWidth="1" style="142" min="7" max="8"/>
    <col width="9.140625" customWidth="1" style="142" min="9" max="16384"/>
  </cols>
  <sheetData>
    <row r="1" ht="39.95" customFormat="1" customHeight="1" s="144">
      <c r="A1" s="7" t="inlineStr">
        <is>
          <t>Version</t>
        </is>
      </c>
      <c r="B1" s="70" t="n"/>
      <c r="C1" s="143" t="inlineStr">
        <is>
          <t>FIRST® LEGO® League Challenge Official Judging Spreadsheet</t>
        </is>
      </c>
      <c r="G1" s="70" t="n"/>
      <c r="H1" s="70" t="n"/>
      <c r="I1" s="70" t="n"/>
      <c r="J1" s="4" t="n"/>
      <c r="K1" s="4" t="n"/>
    </row>
    <row r="2" ht="39.95" customFormat="1" customHeight="1" s="2" thickBot="1">
      <c r="A2" s="7" t="inlineStr">
        <is>
          <t>SUBMERGED</t>
        </is>
      </c>
      <c r="B2" s="145" t="n"/>
      <c r="C2" s="8" t="inlineStr">
        <is>
          <t>Team Number</t>
        </is>
      </c>
      <c r="D2" s="8" t="inlineStr">
        <is>
          <t>Team Name</t>
        </is>
      </c>
      <c r="E2" s="7" t="inlineStr">
        <is>
          <t>Coach</t>
        </is>
      </c>
      <c r="F2" s="7" t="inlineStr">
        <is>
          <t>Pod Number</t>
        </is>
      </c>
      <c r="J2" s="4" t="n"/>
      <c r="K2" s="4" t="n"/>
    </row>
    <row r="3" ht="39.95" customFormat="1" customHeight="1" s="2">
      <c r="A3" s="70" t="n"/>
      <c r="B3" s="3" t="n"/>
      <c r="C3" s="80" t="n">
        <v>12863</v>
      </c>
      <c r="D3" s="81" t="inlineStr">
        <is>
          <t>Mech Mavericks</t>
        </is>
      </c>
      <c r="E3" s="70" t="n"/>
      <c r="F3" s="70" t="n"/>
      <c r="H3" s="55" t="n"/>
      <c r="I3" s="56" t="n"/>
      <c r="J3" s="57" t="n"/>
      <c r="K3" s="4" t="n"/>
    </row>
    <row r="4" ht="39.95" customHeight="1">
      <c r="A4" s="7" t="inlineStr">
        <is>
          <t>Number of Teams</t>
        </is>
      </c>
      <c r="C4" s="82" t="n">
        <v>35256</v>
      </c>
      <c r="D4" s="83" t="inlineStr">
        <is>
          <t>Circuit Savants</t>
        </is>
      </c>
      <c r="E4" s="70" t="n"/>
      <c r="F4" s="70" t="n"/>
      <c r="H4" s="58" t="n"/>
      <c r="I4" s="59" t="n"/>
      <c r="J4" s="60" t="n"/>
    </row>
    <row r="5" ht="39.95" customHeight="1" thickBot="1">
      <c r="A5" s="7">
        <f>COUNTIF(OfficialTeamList[Team Number],"&gt;0")</f>
        <v/>
      </c>
      <c r="C5" s="82" t="n">
        <v>41235</v>
      </c>
      <c r="D5" s="83" t="inlineStr">
        <is>
          <t>RoboRiders</t>
        </is>
      </c>
      <c r="E5" s="9" t="n"/>
      <c r="F5" s="71" t="n"/>
      <c r="H5" s="61" t="n"/>
      <c r="I5" s="62" t="n"/>
      <c r="J5" s="63" t="n"/>
    </row>
    <row r="6" ht="39.95" customHeight="1">
      <c r="C6" s="82" t="n">
        <v>46172</v>
      </c>
      <c r="D6" s="83" t="inlineStr">
        <is>
          <t>Bot Builders</t>
        </is>
      </c>
      <c r="E6" s="70" t="n"/>
      <c r="F6" s="70" t="n"/>
      <c r="H6" s="141" t="inlineStr">
        <is>
          <t>DO NOT CLICK THIS BUTTON AFTER SCORE ENTRY HAS BEGUN. IF TEAM INFORMATION NEEDS UPDATING IT MUST BE CHANGED MANUALLY ON EACH PAGE.</t>
        </is>
      </c>
      <c r="I6" s="129" t="n"/>
      <c r="J6" s="129" t="n"/>
    </row>
    <row r="7" ht="39.95" customHeight="1" thickBot="1">
      <c r="A7" s="23" t="inlineStr">
        <is>
          <t>Number of Teams Advancing</t>
        </is>
      </c>
      <c r="C7" s="82" t="n">
        <v>68211</v>
      </c>
      <c r="D7" s="83" t="inlineStr">
        <is>
          <t>RoboRookies</t>
        </is>
      </c>
      <c r="E7" s="70" t="n"/>
      <c r="F7" s="70" t="n"/>
    </row>
    <row r="8" ht="39.95" customHeight="1" thickBot="1" thickTop="1">
      <c r="A8" s="10" t="n">
        <v>3</v>
      </c>
      <c r="C8" s="82" t="n">
        <v>71908</v>
      </c>
      <c r="D8" s="83" t="inlineStr">
        <is>
          <t>Data Dreamers</t>
        </is>
      </c>
      <c r="E8" s="70" t="n"/>
      <c r="F8" s="70" t="n"/>
      <c r="H8" s="68" t="n"/>
      <c r="I8" s="68" t="n"/>
      <c r="J8" s="68" t="n"/>
    </row>
    <row r="9" ht="39.95" customHeight="1" thickTop="1">
      <c r="C9" s="82" t="n">
        <v>75865</v>
      </c>
      <c r="D9" s="83" t="inlineStr">
        <is>
          <t>NanoNavigators</t>
        </is>
      </c>
      <c r="E9" s="70" t="n"/>
      <c r="F9" s="70" t="n"/>
    </row>
    <row r="10" ht="39.95" customHeight="1">
      <c r="C10" s="82" t="n">
        <v>87296</v>
      </c>
      <c r="D10" s="83" t="inlineStr">
        <is>
          <t>Tech Tornadoes</t>
        </is>
      </c>
      <c r="E10" s="70" t="n"/>
      <c r="F10" s="70" t="n"/>
    </row>
    <row r="11" ht="39.95" customHeight="1">
      <c r="C11" s="82" t="n">
        <v>90556</v>
      </c>
      <c r="D11" s="83" t="inlineStr">
        <is>
          <t>CyberSamurais</t>
        </is>
      </c>
      <c r="E11" s="70" t="n"/>
      <c r="F11" s="70" t="n"/>
    </row>
    <row r="12" ht="39.95" customHeight="1">
      <c r="C12" s="82" t="n">
        <v>92134</v>
      </c>
      <c r="D12" s="83" t="inlineStr">
        <is>
          <t>Gear Grinders</t>
        </is>
      </c>
      <c r="E12" s="70" t="n"/>
      <c r="F12" s="70" t="n"/>
    </row>
    <row r="13" ht="39.95" customHeight="1">
      <c r="C13" s="84" t="n">
        <v>93244</v>
      </c>
      <c r="D13" s="85" t="inlineStr">
        <is>
          <t>Code Crushers</t>
        </is>
      </c>
      <c r="E13" s="70" t="n"/>
      <c r="F13" s="70" t="n"/>
    </row>
  </sheetData>
  <mergeCells count="2">
    <mergeCell ref="H6:J7"/>
    <mergeCell ref="C1:F1"/>
  </mergeCells>
  <pageMargins left="0.7" right="0.7" top="0.75" bottom="0.75" header="0.3" footer="0.3"/>
  <pageSetup orientation="portrait" horizontalDpi="1200" verticalDpi="1200"/>
  <legacyDrawing xmlns:r="http://schemas.openxmlformats.org/officeDocument/2006/relationships" r:id="anysvml"/>
  <tableParts count="1">
    <tablePart xmlns:r="http://schemas.openxmlformats.org/officeDocument/2006/relationships" r:id="rId1"/>
  </tableParts>
</worksheet>
</file>

<file path=xl/worksheets/sheet3.xml><?xml version="1.0" encoding="utf-8"?>
<worksheet xmlns="http://schemas.openxmlformats.org/spreadsheetml/2006/main">
  <sheetPr>
    <outlinePr summaryBelow="1" summaryRight="1"/>
    <pageSetUpPr/>
  </sheetPr>
  <dimension ref="A1:C13"/>
  <sheetViews>
    <sheetView workbookViewId="0">
      <selection activeCell="A2" sqref="A2"/>
    </sheetView>
  </sheetViews>
  <sheetFormatPr baseColWidth="8" defaultRowHeight="15"/>
  <cols>
    <col width="29.42578125" customWidth="1" min="1" max="1"/>
    <col width="55.85546875" customWidth="1" min="2" max="2"/>
    <col width="49.7109375" customWidth="1" min="3" max="3"/>
  </cols>
  <sheetData>
    <row r="1">
      <c r="A1" t="inlineStr">
        <is>
          <t>Key</t>
        </is>
      </c>
      <c r="B1" t="inlineStr">
        <is>
          <t>Value</t>
        </is>
      </c>
      <c r="C1" t="inlineStr">
        <is>
          <t>Comment</t>
        </is>
      </c>
    </row>
    <row r="2">
      <c r="A2" t="inlineStr">
        <is>
          <t>tournament_name</t>
        </is>
      </c>
      <c r="B2" t="inlineStr">
        <is>
          <t>Smallville Regional Qualifying Tournament</t>
        </is>
      </c>
      <c r="C2" s="111" t="n"/>
    </row>
    <row r="3">
      <c r="A3" t="inlineStr">
        <is>
          <t>complete_script_file</t>
        </is>
      </c>
      <c r="B3" t="inlineStr">
        <is>
          <t>vadc-fll-challenge-submerged-ojs-Smallville-script.html</t>
        </is>
      </c>
      <c r="C3" s="111" t="n"/>
    </row>
    <row r="4">
      <c r="A4" t="inlineStr">
        <is>
          <t>Division 1 Robot Game</t>
        </is>
      </c>
      <c r="B4" t="n">
        <v>2</v>
      </c>
      <c r="C4" s="111" t="n"/>
    </row>
    <row r="5">
      <c r="A5" t="inlineStr">
        <is>
          <t>Division 1 Innovation Project</t>
        </is>
      </c>
      <c r="B5" t="n">
        <v>1</v>
      </c>
      <c r="C5" s="111" t="n"/>
    </row>
    <row r="6">
      <c r="A6" t="inlineStr">
        <is>
          <t>Division 1 Core Values</t>
        </is>
      </c>
      <c r="B6" t="n">
        <v>1</v>
      </c>
      <c r="C6" s="111" t="n"/>
    </row>
    <row r="7">
      <c r="A7" t="inlineStr">
        <is>
          <t>Division 1 Robot Design</t>
        </is>
      </c>
      <c r="B7" t="n">
        <v>1</v>
      </c>
      <c r="C7" s="111" t="n"/>
    </row>
    <row r="8">
      <c r="A8" t="inlineStr">
        <is>
          <t>Division 1 Champions</t>
        </is>
      </c>
      <c r="B8" t="n">
        <v>2</v>
      </c>
      <c r="C8" s="111" t="n"/>
    </row>
    <row r="9">
      <c r="A9" t="inlineStr">
        <is>
          <t>Division 1 Advancing</t>
        </is>
      </c>
      <c r="B9" t="n">
        <v>3</v>
      </c>
      <c r="C9" s="111" t="n"/>
    </row>
    <row r="10">
      <c r="A10" t="inlineStr">
        <is>
          <t>Judges Awards</t>
        </is>
      </c>
      <c r="B10" t="n">
        <v>1</v>
      </c>
      <c r="C10" s="111" t="n"/>
    </row>
    <row r="11">
      <c r="A11" t="inlineStr">
        <is>
          <t>Special Guests</t>
        </is>
      </c>
      <c r="B11" s="110" t="inlineStr">
        <is>
          <t>All the way from Gotham City, Batman and Robin!</t>
        </is>
      </c>
      <c r="C11" s="111" t="inlineStr">
        <is>
          <t>Fill in after deliberation</t>
        </is>
      </c>
    </row>
    <row r="12">
      <c r="A12" t="inlineStr">
        <is>
          <t>Volunteer Awardee</t>
        </is>
      </c>
      <c r="B12" s="110" t="inlineStr">
        <is>
          <t>Flash</t>
        </is>
      </c>
      <c r="C12" s="111" t="inlineStr">
        <is>
          <t>Fill in after deliberation</t>
        </is>
      </c>
    </row>
    <row r="13">
      <c r="A13" t="inlineStr">
        <is>
          <t>Volunteer Justification</t>
        </is>
      </c>
      <c r="B13" s="110" t="inlineStr">
        <is>
          <t>Quickly helped with setup, and takedown</t>
        </is>
      </c>
      <c r="C13" s="111" t="inlineStr">
        <is>
          <t>Fill in after deliberation</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3">
    <tabColor rgb="FFFFFF00"/>
    <outlinePr summaryBelow="1" summaryRight="1"/>
    <pageSetUpPr fitToPage="1"/>
  </sheetPr>
  <dimension ref="A1:AC40"/>
  <sheetViews>
    <sheetView zoomScaleNormal="100" workbookViewId="0">
      <pane xSplit="2" ySplit="2" topLeftCell="C3" activePane="bottomRight" state="frozen"/>
      <selection pane="topRight" activeCell="C1" sqref="C1"/>
      <selection pane="bottomLeft" activeCell="A3" sqref="A3"/>
      <selection pane="bottomRight" activeCell="A2" sqref="A2"/>
    </sheetView>
  </sheetViews>
  <sheetFormatPr baseColWidth="8" defaultColWidth="9.140625" defaultRowHeight="20.25" customHeight="1"/>
  <cols>
    <col width="15.42578125" customWidth="1" style="11" min="1" max="1"/>
    <col width="32.42578125" customWidth="1" style="144" min="2" max="2"/>
    <col width="6.42578125" customWidth="1" min="3" max="5"/>
    <col hidden="1" width="6.42578125" customWidth="1" style="144" min="6" max="7"/>
    <col width="6.42578125" customWidth="1" style="144" min="8" max="8"/>
    <col width="10.42578125" customWidth="1" style="144" min="9" max="12"/>
    <col width="15.42578125" customWidth="1" style="144" min="13" max="14"/>
    <col width="26.140625" customWidth="1" style="144" min="15" max="15"/>
    <col width="8.42578125" customWidth="1" min="16" max="16"/>
    <col hidden="1" width="8.42578125" customWidth="1" style="28" min="17" max="19"/>
    <col hidden="1" width="8.42578125" customWidth="1" style="27" min="20" max="20"/>
    <col hidden="1" width="8.42578125" customWidth="1" min="21" max="21"/>
    <col width="80.42578125" customWidth="1" style="11" min="22" max="22"/>
    <col width="9.140625" customWidth="1" style="11" min="23" max="23"/>
    <col width="13" bestFit="1" customWidth="1" style="30" min="24" max="24"/>
    <col width="13" bestFit="1" customWidth="1" style="79" min="25" max="26"/>
    <col width="9.140625" customWidth="1" style="31" min="27" max="29"/>
    <col width="9.140625" customWidth="1" style="30" min="30" max="31"/>
    <col width="9.140625" customWidth="1" style="30" min="32" max="16384"/>
  </cols>
  <sheetData>
    <row r="1" ht="39.95" customFormat="1" customHeight="1" s="146">
      <c r="A1" s="145" t="inlineStr">
        <is>
          <t>Team Information</t>
        </is>
      </c>
      <c r="C1" s="145" t="inlineStr">
        <is>
          <t>Robot Game</t>
        </is>
      </c>
      <c r="J1" s="145" t="inlineStr">
        <is>
          <t>Judging</t>
        </is>
      </c>
      <c r="M1" s="145" t="inlineStr">
        <is>
          <t>Overall</t>
        </is>
      </c>
      <c r="O1" s="145" t="inlineStr">
        <is>
          <t>Awards &amp; Advancement</t>
        </is>
      </c>
      <c r="Q1" s="145" t="inlineStr">
        <is>
          <t>Testing Items (Info Only)</t>
        </is>
      </c>
      <c r="V1" s="145" t="inlineStr">
        <is>
          <t>Comments</t>
        </is>
      </c>
      <c r="W1" s="145" t="n"/>
      <c r="Y1" s="78" t="n"/>
      <c r="Z1" s="78" t="n"/>
    </row>
    <row r="2" ht="118.5" customFormat="1" customHeight="1" s="12">
      <c r="A2" s="86" t="inlineStr">
        <is>
          <t>Team Number</t>
        </is>
      </c>
      <c r="B2" s="86" t="inlineStr">
        <is>
          <t>Team Name</t>
        </is>
      </c>
      <c r="C2" s="87" t="inlineStr">
        <is>
          <t>Robot Game Score 1</t>
        </is>
      </c>
      <c r="D2" s="87" t="inlineStr">
        <is>
          <t>Robot Game Score 2</t>
        </is>
      </c>
      <c r="E2" s="87" t="inlineStr">
        <is>
          <t>Robot Game Score 3</t>
        </is>
      </c>
      <c r="F2" s="87" t="inlineStr">
        <is>
          <t>Robot Game Score 4</t>
        </is>
      </c>
      <c r="G2" s="87" t="inlineStr">
        <is>
          <t>Robot Game Score 5</t>
        </is>
      </c>
      <c r="H2" s="87" t="inlineStr">
        <is>
          <t>Max Robot Game Score</t>
        </is>
      </c>
      <c r="I2" s="88" t="inlineStr">
        <is>
          <t>Robot Game Rank</t>
        </is>
      </c>
      <c r="J2" s="89" t="inlineStr">
        <is>
          <t>Core Values Rank</t>
        </is>
      </c>
      <c r="K2" s="90" t="inlineStr">
        <is>
          <t>Innovation Project Rank</t>
        </is>
      </c>
      <c r="L2" s="91" t="inlineStr">
        <is>
          <t>Robot Design Rank</t>
        </is>
      </c>
      <c r="M2" s="92" t="inlineStr">
        <is>
          <t>Champion's Score</t>
        </is>
      </c>
      <c r="N2" s="93" t="inlineStr">
        <is>
          <t>Champion's Rank</t>
        </is>
      </c>
      <c r="O2" s="26" t="inlineStr">
        <is>
          <t>Award</t>
        </is>
      </c>
      <c r="P2" s="26" t="inlineStr">
        <is>
          <t>Advance?</t>
        </is>
      </c>
      <c r="Q2" s="38" t="inlineStr">
        <is>
          <t>Core Values Score</t>
        </is>
      </c>
      <c r="R2" s="39" t="inlineStr">
        <is>
          <t>Innovattion Project Score</t>
        </is>
      </c>
      <c r="S2" s="40" t="inlineStr">
        <is>
          <t>Robot Design Score</t>
        </is>
      </c>
      <c r="T2" s="41" t="inlineStr">
        <is>
          <t>Overall Score - Geometric Mean</t>
        </is>
      </c>
      <c r="U2" s="42" t="inlineStr">
        <is>
          <t>Overall Ranking - Geometric Mean</t>
        </is>
      </c>
      <c r="V2" s="43" t="inlineStr">
        <is>
          <t>Comments</t>
        </is>
      </c>
      <c r="Y2" s="77" t="inlineStr">
        <is>
          <t>Champion's 1st Place</t>
        </is>
      </c>
      <c r="Z2" s="77" t="inlineStr">
        <is>
          <t>Yes</t>
        </is>
      </c>
    </row>
    <row r="3" ht="20.25" customHeight="1">
      <c r="A3" s="113" t="n">
        <v>46172</v>
      </c>
      <c r="B3" s="114" t="inlineStr">
        <is>
          <t>Bot Builders</t>
        </is>
      </c>
      <c r="C3" s="113">
        <f>IF(TournamentData[[#This Row],[Team Number]]="","",IF(ISNA(INDEX('Robot Game Scores'!D:D,MATCH(TournamentData[[#This Row],[Team Number]], 'Robot Game Scores'!$B:$B,0))),0,INDEX('Robot Game Scores'!D:D,MATCH(TournamentData[[#This Row],[Team Number]], 'Robot Game Scores'!$B:$B,0))))</f>
        <v/>
      </c>
      <c r="D3" s="113">
        <f>IF(TournamentData[[#This Row],[Team Number]]="","",IF(ISNA(INDEX('Robot Game Scores'!E:E,MATCH(TournamentData[[#This Row],[Team Number]], 'Robot Game Scores'!$B:$B,0))),0,INDEX('Robot Game Scores'!E:E,MATCH(TournamentData[[#This Row],[Team Number]], 'Robot Game Scores'!$B:$B,0))))</f>
        <v/>
      </c>
      <c r="E3" s="113">
        <f>IF(TournamentData[[#This Row],[Team Number]]="","",IF(ISNA(INDEX('Robot Game Scores'!F:F,MATCH(TournamentData[[#This Row],[Team Number]], 'Robot Game Scores'!$B:$B,0))),0,INDEX('Robot Game Scores'!F:F,MATCH(TournamentData[[#This Row],[Team Number]], 'Robot Game Scores'!$B:$B,0))))</f>
        <v/>
      </c>
      <c r="F3" s="113">
        <f>IF(TournamentData[[#This Row],[Team Number]]="","",IF(ISNA(INDEX('Robot Game Scores'!G:G,MATCH(TournamentData[[#This Row],[Team Number]], 'Robot Game Scores'!$B:$B,0))),0,INDEX('Robot Game Scores'!G:G,MATCH(TournamentData[[#This Row],[Team Number]], 'Robot Game Scores'!$B:$B,0))))</f>
        <v/>
      </c>
      <c r="G3" s="113">
        <f>IF(TournamentData[[#This Row],[Team Number]]="","",IF(ISNA(INDEX('Robot Game Scores'!H:H,MATCH(TournamentData[[#This Row],[Team Number]], 'Robot Game Scores'!$B:$B,0))),0,INDEX('Robot Game Scores'!H:H,MATCH(TournamentData[[#This Row],[Team Number]], 'Robot Game Scores'!$B:$B,0))))</f>
        <v/>
      </c>
      <c r="H3"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3" s="113">
        <f>IF(TournamentData[[#This Row],[Team Number]]="","",_xlfn.RANK.EQ(TournamentData[[#This Row],[Max Robot Game Score]],TournamentData[Max Robot Game Score]))</f>
        <v/>
      </c>
      <c r="J3"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3"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3"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3"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3" s="115">
        <f>IF(TournamentData[[#This Row],[Team Number]]="","",IF(M3,RANK(M3,M$3:M$13,1)-COUNTIF(M$3:M$13,0),NumberOfTeams+1))</f>
        <v/>
      </c>
      <c r="O3" s="30" t="inlineStr">
        <is>
          <t>Champion's 1st Place</t>
        </is>
      </c>
      <c r="P3" s="31" t="n"/>
      <c r="Q3" s="29">
        <f>IF(ISNA(INDEX(CoreValuesResults[Core Values Score],MATCH(TournamentData[[#This Row],[Team Number]],CoreValuesResults[Team Number],0))),0,INDEX(CoreValuesResults[Core Values Score],MATCH(TournamentData[[#This Row],[Team Number]],CoreValuesResults[Team Number],0)))</f>
        <v/>
      </c>
      <c r="R3" s="29">
        <f>IF(ISNA(INDEX(InnovationProjectResults[Innovation Project Score],MATCH(TournamentData[[#This Row],[Team Number]],InnovationProjectResults[Team Number],0))),0,INDEX(InnovationProjectResults[Innovation Project Score],MATCH(TournamentData[[#This Row],[Team Number]],InnovationProjectResults[Team Number],0)))</f>
        <v/>
      </c>
      <c r="S3" s="29">
        <f>IF(ISNA(INDEX(RobotDesignResults[Robot Design Score],MATCH(TournamentData[[#This Row],[Team Number]],RobotDesignResults[Team Number],0))),0,INDEX(RobotDesignResults[Robot Design Score],MATCH(TournamentData[[#This Row],[Team Number]],RobotDesignResults[Team Number],0)))</f>
        <v/>
      </c>
      <c r="T3"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3" s="33">
        <f>IF(T3,_xlfn.RANK.EQ(T3,T$3:T$13,0),NumberOfTeams)</f>
        <v/>
      </c>
      <c r="V3" s="30" t="n"/>
      <c r="W3" s="30" t="n"/>
      <c r="Y3" s="79" t="inlineStr">
        <is>
          <t>Champion's 2nd Place</t>
        </is>
      </c>
      <c r="Z3" s="79" t="inlineStr">
        <is>
          <t>No</t>
        </is>
      </c>
      <c r="AA3" s="30" t="n"/>
      <c r="AB3" s="30" t="n"/>
      <c r="AC3" s="30" t="n"/>
    </row>
    <row r="4" ht="20.25" customHeight="1">
      <c r="A4" s="113" t="n">
        <v>41235</v>
      </c>
      <c r="B4" s="114" t="inlineStr">
        <is>
          <t>RoboRiders</t>
        </is>
      </c>
      <c r="C4" s="113">
        <f>IF(TournamentData[[#This Row],[Team Number]]="","",IF(ISNA(INDEX('Robot Game Scores'!D:D,MATCH(TournamentData[[#This Row],[Team Number]], 'Robot Game Scores'!$B:$B,0))),0,INDEX('Robot Game Scores'!D:D,MATCH(TournamentData[[#This Row],[Team Number]], 'Robot Game Scores'!$B:$B,0))))</f>
        <v/>
      </c>
      <c r="D4" s="113">
        <f>IF(TournamentData[[#This Row],[Team Number]]="","",IF(ISNA(INDEX('Robot Game Scores'!E:E,MATCH(TournamentData[[#This Row],[Team Number]], 'Robot Game Scores'!$B:$B,0))),0,INDEX('Robot Game Scores'!E:E,MATCH(TournamentData[[#This Row],[Team Number]], 'Robot Game Scores'!$B:$B,0))))</f>
        <v/>
      </c>
      <c r="E4" s="113">
        <f>IF(TournamentData[[#This Row],[Team Number]]="","",IF(ISNA(INDEX('Robot Game Scores'!F:F,MATCH(TournamentData[[#This Row],[Team Number]], 'Robot Game Scores'!$B:$B,0))),0,INDEX('Robot Game Scores'!F:F,MATCH(TournamentData[[#This Row],[Team Number]], 'Robot Game Scores'!$B:$B,0))))</f>
        <v/>
      </c>
      <c r="F4" s="113">
        <f>IF(TournamentData[[#This Row],[Team Number]]="","",IF(ISNA(INDEX('Robot Game Scores'!G:G,MATCH(TournamentData[[#This Row],[Team Number]], 'Robot Game Scores'!$B:$B,0))),0,INDEX('Robot Game Scores'!G:G,MATCH(TournamentData[[#This Row],[Team Number]], 'Robot Game Scores'!$B:$B,0))))</f>
        <v/>
      </c>
      <c r="G4" s="113">
        <f>IF(TournamentData[[#This Row],[Team Number]]="","",IF(ISNA(INDEX('Robot Game Scores'!H:H,MATCH(TournamentData[[#This Row],[Team Number]], 'Robot Game Scores'!$B:$B,0))),0,INDEX('Robot Game Scores'!H:H,MATCH(TournamentData[[#This Row],[Team Number]], 'Robot Game Scores'!$B:$B,0))))</f>
        <v/>
      </c>
      <c r="H4"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4" s="113">
        <f>IF(TournamentData[[#This Row],[Team Number]]="","",_xlfn.RANK.EQ(TournamentData[[#This Row],[Max Robot Game Score]],TournamentData[Max Robot Game Score]))</f>
        <v/>
      </c>
      <c r="J4"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4"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4"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4"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4" s="115">
        <f>IF(TournamentData[[#This Row],[Team Number]]="","",IF(M4,RANK(M4,M$3:M$13,1)-COUNTIF(M$3:M$13,0),NumberOfTeams+1))</f>
        <v/>
      </c>
      <c r="O4" s="30" t="inlineStr">
        <is>
          <t>Champion's 2nd Place</t>
        </is>
      </c>
      <c r="P4" s="31" t="n"/>
      <c r="Q4" s="29">
        <f>IF(ISNA(INDEX(CoreValuesResults[Core Values Score],MATCH(TournamentData[[#This Row],[Team Number]],CoreValuesResults[Team Number],0))),0,INDEX(CoreValuesResults[Core Values Score],MATCH(TournamentData[[#This Row],[Team Number]],CoreValuesResults[Team Number],0)))</f>
        <v/>
      </c>
      <c r="R4" s="29">
        <f>IF(ISNA(INDEX(InnovationProjectResults[Innovation Project Score],MATCH(TournamentData[[#This Row],[Team Number]],InnovationProjectResults[Team Number],0))),0,INDEX(InnovationProjectResults[Innovation Project Score],MATCH(TournamentData[[#This Row],[Team Number]],InnovationProjectResults[Team Number],0)))</f>
        <v/>
      </c>
      <c r="S4" s="29">
        <f>IF(ISNA(INDEX(RobotDesignResults[Robot Design Score],MATCH(TournamentData[[#This Row],[Team Number]],RobotDesignResults[Team Number],0))),0,INDEX(RobotDesignResults[Robot Design Score],MATCH(TournamentData[[#This Row],[Team Number]],RobotDesignResults[Team Number],0)))</f>
        <v/>
      </c>
      <c r="T4"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4" s="33">
        <f>IF(T4,_xlfn.RANK.EQ(T4,T$3:T$13,0),NumberOfTeams)</f>
        <v/>
      </c>
      <c r="V4" s="30" t="n"/>
      <c r="W4" s="30" t="n"/>
      <c r="Y4" s="79" t="inlineStr">
        <is>
          <t>Robot Design 1st Place</t>
        </is>
      </c>
      <c r="Z4" s="79" t="inlineStr">
        <is>
          <t>Alternate</t>
        </is>
      </c>
      <c r="AA4" s="30" t="n"/>
      <c r="AB4" s="30" t="n"/>
      <c r="AC4" s="30" t="n"/>
    </row>
    <row r="5" ht="20.25" customHeight="1">
      <c r="A5" s="113" t="n">
        <v>71908</v>
      </c>
      <c r="B5" s="114" t="inlineStr">
        <is>
          <t>Data Dreamers</t>
        </is>
      </c>
      <c r="C5" s="113">
        <f>IF(TournamentData[[#This Row],[Team Number]]="","",IF(ISNA(INDEX('Robot Game Scores'!D:D,MATCH(TournamentData[[#This Row],[Team Number]], 'Robot Game Scores'!$B:$B,0))),0,INDEX('Robot Game Scores'!D:D,MATCH(TournamentData[[#This Row],[Team Number]], 'Robot Game Scores'!$B:$B,0))))</f>
        <v/>
      </c>
      <c r="D5" s="113">
        <f>IF(TournamentData[[#This Row],[Team Number]]="","",IF(ISNA(INDEX('Robot Game Scores'!E:E,MATCH(TournamentData[[#This Row],[Team Number]], 'Robot Game Scores'!$B:$B,0))),0,INDEX('Robot Game Scores'!E:E,MATCH(TournamentData[[#This Row],[Team Number]], 'Robot Game Scores'!$B:$B,0))))</f>
        <v/>
      </c>
      <c r="E5" s="113">
        <f>IF(TournamentData[[#This Row],[Team Number]]="","",IF(ISNA(INDEX('Robot Game Scores'!F:F,MATCH(TournamentData[[#This Row],[Team Number]], 'Robot Game Scores'!$B:$B,0))),0,INDEX('Robot Game Scores'!F:F,MATCH(TournamentData[[#This Row],[Team Number]], 'Robot Game Scores'!$B:$B,0))))</f>
        <v/>
      </c>
      <c r="F5" s="113">
        <f>IF(TournamentData[[#This Row],[Team Number]]="","",IF(ISNA(INDEX('Robot Game Scores'!G:G,MATCH(TournamentData[[#This Row],[Team Number]], 'Robot Game Scores'!$B:$B,0))),0,INDEX('Robot Game Scores'!G:G,MATCH(TournamentData[[#This Row],[Team Number]], 'Robot Game Scores'!$B:$B,0))))</f>
        <v/>
      </c>
      <c r="G5" s="113">
        <f>IF(TournamentData[[#This Row],[Team Number]]="","",IF(ISNA(INDEX('Robot Game Scores'!H:H,MATCH(TournamentData[[#This Row],[Team Number]], 'Robot Game Scores'!$B:$B,0))),0,INDEX('Robot Game Scores'!H:H,MATCH(TournamentData[[#This Row],[Team Number]], 'Robot Game Scores'!$B:$B,0))))</f>
        <v/>
      </c>
      <c r="H5"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5" s="113">
        <f>IF(TournamentData[[#This Row],[Team Number]]="","",_xlfn.RANK.EQ(TournamentData[[#This Row],[Max Robot Game Score]],TournamentData[Max Robot Game Score]))</f>
        <v/>
      </c>
      <c r="J5"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5"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5"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5"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5" s="115">
        <f>IF(TournamentData[[#This Row],[Team Number]]="","",IF(M5,RANK(M5,M$3:M$13,1)-COUNTIF(M$3:M$13,0),NumberOfTeams+1))</f>
        <v/>
      </c>
      <c r="O5" s="30" t="inlineStr">
        <is>
          <t>Innovation Project 1st Place</t>
        </is>
      </c>
      <c r="P5" s="31" t="n"/>
      <c r="Q5" s="29">
        <f>IF(ISNA(INDEX(CoreValuesResults[Core Values Score],MATCH(TournamentData[[#This Row],[Team Number]],CoreValuesResults[Team Number],0))),0,INDEX(CoreValuesResults[Core Values Score],MATCH(TournamentData[[#This Row],[Team Number]],CoreValuesResults[Team Number],0)))</f>
        <v/>
      </c>
      <c r="R5" s="29">
        <f>IF(ISNA(INDEX(InnovationProjectResults[Innovation Project Score],MATCH(TournamentData[[#This Row],[Team Number]],InnovationProjectResults[Team Number],0))),0,INDEX(InnovationProjectResults[Innovation Project Score],MATCH(TournamentData[[#This Row],[Team Number]],InnovationProjectResults[Team Number],0)))</f>
        <v/>
      </c>
      <c r="S5" s="29">
        <f>IF(ISNA(INDEX(RobotDesignResults[Robot Design Score],MATCH(TournamentData[[#This Row],[Team Number]],RobotDesignResults[Team Number],0))),0,INDEX(RobotDesignResults[Robot Design Score],MATCH(TournamentData[[#This Row],[Team Number]],RobotDesignResults[Team Number],0)))</f>
        <v/>
      </c>
      <c r="T5"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5" s="33">
        <f>IF(T5,_xlfn.RANK.EQ(T5,T$3:T$13,0),NumberOfTeams)</f>
        <v/>
      </c>
      <c r="V5" s="30" t="n"/>
      <c r="W5" s="30" t="n"/>
      <c r="Y5" s="79" t="inlineStr">
        <is>
          <t>Core Values 1st Place</t>
        </is>
      </c>
      <c r="AA5" s="30" t="n"/>
      <c r="AB5" s="30" t="n"/>
      <c r="AC5" s="30" t="n"/>
    </row>
    <row r="6" ht="20.25" customHeight="1">
      <c r="A6" s="113" t="n">
        <v>68211</v>
      </c>
      <c r="B6" s="114" t="inlineStr">
        <is>
          <t>RoboRookies</t>
        </is>
      </c>
      <c r="C6" s="113">
        <f>IF(TournamentData[[#This Row],[Team Number]]="","",IF(ISNA(INDEX('Robot Game Scores'!D:D,MATCH(TournamentData[[#This Row],[Team Number]], 'Robot Game Scores'!$B:$B,0))),0,INDEX('Robot Game Scores'!D:D,MATCH(TournamentData[[#This Row],[Team Number]], 'Robot Game Scores'!$B:$B,0))))</f>
        <v/>
      </c>
      <c r="D6" s="113">
        <f>IF(TournamentData[[#This Row],[Team Number]]="","",IF(ISNA(INDEX('Robot Game Scores'!E:E,MATCH(TournamentData[[#This Row],[Team Number]], 'Robot Game Scores'!$B:$B,0))),0,INDEX('Robot Game Scores'!E:E,MATCH(TournamentData[[#This Row],[Team Number]], 'Robot Game Scores'!$B:$B,0))))</f>
        <v/>
      </c>
      <c r="E6" s="113">
        <f>IF(TournamentData[[#This Row],[Team Number]]="","",IF(ISNA(INDEX('Robot Game Scores'!F:F,MATCH(TournamentData[[#This Row],[Team Number]], 'Robot Game Scores'!$B:$B,0))),0,INDEX('Robot Game Scores'!F:F,MATCH(TournamentData[[#This Row],[Team Number]], 'Robot Game Scores'!$B:$B,0))))</f>
        <v/>
      </c>
      <c r="F6" s="113">
        <f>IF(TournamentData[[#This Row],[Team Number]]="","",IF(ISNA(INDEX('Robot Game Scores'!G:G,MATCH(TournamentData[[#This Row],[Team Number]], 'Robot Game Scores'!$B:$B,0))),0,INDEX('Robot Game Scores'!G:G,MATCH(TournamentData[[#This Row],[Team Number]], 'Robot Game Scores'!$B:$B,0))))</f>
        <v/>
      </c>
      <c r="G6" s="113">
        <f>IF(TournamentData[[#This Row],[Team Number]]="","",IF(ISNA(INDEX('Robot Game Scores'!H:H,MATCH(TournamentData[[#This Row],[Team Number]], 'Robot Game Scores'!$B:$B,0))),0,INDEX('Robot Game Scores'!H:H,MATCH(TournamentData[[#This Row],[Team Number]], 'Robot Game Scores'!$B:$B,0))))</f>
        <v/>
      </c>
      <c r="H6"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6" s="113">
        <f>IF(TournamentData[[#This Row],[Team Number]]="","",_xlfn.RANK.EQ(TournamentData[[#This Row],[Max Robot Game Score]],TournamentData[Max Robot Game Score]))</f>
        <v/>
      </c>
      <c r="J6"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6"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6"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6"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6" s="115">
        <f>IF(TournamentData[[#This Row],[Team Number]]="","",IF(M6,RANK(M6,M$3:M$13,1)-COUNTIF(M$3:M$13,0),NumberOfTeams+1))</f>
        <v/>
      </c>
      <c r="O6" s="30" t="inlineStr">
        <is>
          <t>Core Values 1st Place</t>
        </is>
      </c>
      <c r="P6" s="31" t="n"/>
      <c r="Q6" s="29">
        <f>IF(ISNA(INDEX(CoreValuesResults[Core Values Score],MATCH(TournamentData[[#This Row],[Team Number]],CoreValuesResults[Team Number],0))),0,INDEX(CoreValuesResults[Core Values Score],MATCH(TournamentData[[#This Row],[Team Number]],CoreValuesResults[Team Number],0)))</f>
        <v/>
      </c>
      <c r="R6" s="29">
        <f>IF(ISNA(INDEX(InnovationProjectResults[Innovation Project Score],MATCH(TournamentData[[#This Row],[Team Number]],InnovationProjectResults[Team Number],0))),0,INDEX(InnovationProjectResults[Innovation Project Score],MATCH(TournamentData[[#This Row],[Team Number]],InnovationProjectResults[Team Number],0)))</f>
        <v/>
      </c>
      <c r="S6" s="29">
        <f>IF(ISNA(INDEX(RobotDesignResults[Robot Design Score],MATCH(TournamentData[[#This Row],[Team Number]],RobotDesignResults[Team Number],0))),0,INDEX(RobotDesignResults[Robot Design Score],MATCH(TournamentData[[#This Row],[Team Number]],RobotDesignResults[Team Number],0)))</f>
        <v/>
      </c>
      <c r="T6"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6" s="33">
        <f>IF(T6,_xlfn.RANK.EQ(T6,T$3:T$13,0),NumberOfTeams)</f>
        <v/>
      </c>
      <c r="V6" s="30" t="n"/>
      <c r="W6" s="30" t="n"/>
      <c r="Y6" s="79" t="inlineStr">
        <is>
          <t>Innovation Project 1st Place</t>
        </is>
      </c>
      <c r="AA6" s="30" t="n"/>
      <c r="AB6" s="30" t="n"/>
      <c r="AC6" s="30" t="n"/>
    </row>
    <row r="7" ht="20.25" customHeight="1">
      <c r="A7" s="113" t="n">
        <v>93244</v>
      </c>
      <c r="B7" s="114" t="inlineStr">
        <is>
          <t>Code Crushers</t>
        </is>
      </c>
      <c r="C7" s="113">
        <f>IF(TournamentData[[#This Row],[Team Number]]="","",IF(ISNA(INDEX('Robot Game Scores'!D:D,MATCH(TournamentData[[#This Row],[Team Number]], 'Robot Game Scores'!$B:$B,0))),0,INDEX('Robot Game Scores'!D:D,MATCH(TournamentData[[#This Row],[Team Number]], 'Robot Game Scores'!$B:$B,0))))</f>
        <v/>
      </c>
      <c r="D7" s="113">
        <f>IF(TournamentData[[#This Row],[Team Number]]="","",IF(ISNA(INDEX('Robot Game Scores'!E:E,MATCH(TournamentData[[#This Row],[Team Number]], 'Robot Game Scores'!$B:$B,0))),0,INDEX('Robot Game Scores'!E:E,MATCH(TournamentData[[#This Row],[Team Number]], 'Robot Game Scores'!$B:$B,0))))</f>
        <v/>
      </c>
      <c r="E7" s="113">
        <f>IF(TournamentData[[#This Row],[Team Number]]="","",IF(ISNA(INDEX('Robot Game Scores'!F:F,MATCH(TournamentData[[#This Row],[Team Number]], 'Robot Game Scores'!$B:$B,0))),0,INDEX('Robot Game Scores'!F:F,MATCH(TournamentData[[#This Row],[Team Number]], 'Robot Game Scores'!$B:$B,0))))</f>
        <v/>
      </c>
      <c r="F7" s="113">
        <f>IF(TournamentData[[#This Row],[Team Number]]="","",IF(ISNA(INDEX('Robot Game Scores'!G:G,MATCH(TournamentData[[#This Row],[Team Number]], 'Robot Game Scores'!$B:$B,0))),0,INDEX('Robot Game Scores'!G:G,MATCH(TournamentData[[#This Row],[Team Number]], 'Robot Game Scores'!$B:$B,0))))</f>
        <v/>
      </c>
      <c r="G7" s="113">
        <f>IF(TournamentData[[#This Row],[Team Number]]="","",IF(ISNA(INDEX('Robot Game Scores'!H:H,MATCH(TournamentData[[#This Row],[Team Number]], 'Robot Game Scores'!$B:$B,0))),0,INDEX('Robot Game Scores'!H:H,MATCH(TournamentData[[#This Row],[Team Number]], 'Robot Game Scores'!$B:$B,0))))</f>
        <v/>
      </c>
      <c r="H7"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7" s="113">
        <f>IF(TournamentData[[#This Row],[Team Number]]="","",_xlfn.RANK.EQ(TournamentData[[#This Row],[Max Robot Game Score]],TournamentData[Max Robot Game Score]))</f>
        <v/>
      </c>
      <c r="J7"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7"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7"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7"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7" s="115">
        <f>IF(TournamentData[[#This Row],[Team Number]]="","",IF(M7,RANK(M7,M$3:M$13,1)-COUNTIF(M$3:M$13,0),NumberOfTeams+1))</f>
        <v/>
      </c>
      <c r="O7" s="30" t="inlineStr">
        <is>
          <t>Robot Design 1st Place</t>
        </is>
      </c>
      <c r="P7" s="31" t="n"/>
      <c r="Q7" s="29">
        <f>IF(ISNA(INDEX(CoreValuesResults[Core Values Score],MATCH(TournamentData[[#This Row],[Team Number]],CoreValuesResults[Team Number],0))),0,INDEX(CoreValuesResults[Core Values Score],MATCH(TournamentData[[#This Row],[Team Number]],CoreValuesResults[Team Number],0)))</f>
        <v/>
      </c>
      <c r="R7" s="29">
        <f>IF(ISNA(INDEX(InnovationProjectResults[Innovation Project Score],MATCH(TournamentData[[#This Row],[Team Number]],InnovationProjectResults[Team Number],0))),0,INDEX(InnovationProjectResults[Innovation Project Score],MATCH(TournamentData[[#This Row],[Team Number]],InnovationProjectResults[Team Number],0)))</f>
        <v/>
      </c>
      <c r="S7" s="29">
        <f>IF(ISNA(INDEX(RobotDesignResults[Robot Design Score],MATCH(TournamentData[[#This Row],[Team Number]],RobotDesignResults[Team Number],0))),0,INDEX(RobotDesignResults[Robot Design Score],MATCH(TournamentData[[#This Row],[Team Number]],RobotDesignResults[Team Number],0)))</f>
        <v/>
      </c>
      <c r="T7"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7" s="33">
        <f>IF(T7,_xlfn.RANK.EQ(T7,T$3:T$13,0),NumberOfTeams)</f>
        <v/>
      </c>
      <c r="V7" s="30" t="n"/>
      <c r="W7" s="30" t="n"/>
      <c r="Y7" s="79" t="inlineStr">
        <is>
          <t>Robot Performance 1st Place</t>
        </is>
      </c>
      <c r="AA7" s="30" t="n"/>
      <c r="AB7" s="30" t="n"/>
      <c r="AC7" s="30" t="n"/>
    </row>
    <row r="8" ht="20.25" customHeight="1">
      <c r="A8" s="113" t="n">
        <v>92134</v>
      </c>
      <c r="B8" s="114" t="inlineStr">
        <is>
          <t>Gear Grinders</t>
        </is>
      </c>
      <c r="C8" s="113">
        <f>IF(TournamentData[[#This Row],[Team Number]]="","",IF(ISNA(INDEX('Robot Game Scores'!D:D,MATCH(TournamentData[[#This Row],[Team Number]], 'Robot Game Scores'!$B:$B,0))),0,INDEX('Robot Game Scores'!D:D,MATCH(TournamentData[[#This Row],[Team Number]], 'Robot Game Scores'!$B:$B,0))))</f>
        <v/>
      </c>
      <c r="D8" s="113">
        <f>IF(TournamentData[[#This Row],[Team Number]]="","",IF(ISNA(INDEX('Robot Game Scores'!E:E,MATCH(TournamentData[[#This Row],[Team Number]], 'Robot Game Scores'!$B:$B,0))),0,INDEX('Robot Game Scores'!E:E,MATCH(TournamentData[[#This Row],[Team Number]], 'Robot Game Scores'!$B:$B,0))))</f>
        <v/>
      </c>
      <c r="E8" s="113">
        <f>IF(TournamentData[[#This Row],[Team Number]]="","",IF(ISNA(INDEX('Robot Game Scores'!F:F,MATCH(TournamentData[[#This Row],[Team Number]], 'Robot Game Scores'!$B:$B,0))),0,INDEX('Robot Game Scores'!F:F,MATCH(TournamentData[[#This Row],[Team Number]], 'Robot Game Scores'!$B:$B,0))))</f>
        <v/>
      </c>
      <c r="F8" s="113">
        <f>IF(TournamentData[[#This Row],[Team Number]]="","",IF(ISNA(INDEX('Robot Game Scores'!G:G,MATCH(TournamentData[[#This Row],[Team Number]], 'Robot Game Scores'!$B:$B,0))),0,INDEX('Robot Game Scores'!G:G,MATCH(TournamentData[[#This Row],[Team Number]], 'Robot Game Scores'!$B:$B,0))))</f>
        <v/>
      </c>
      <c r="G8" s="113">
        <f>IF(TournamentData[[#This Row],[Team Number]]="","",IF(ISNA(INDEX('Robot Game Scores'!H:H,MATCH(TournamentData[[#This Row],[Team Number]], 'Robot Game Scores'!$B:$B,0))),0,INDEX('Robot Game Scores'!H:H,MATCH(TournamentData[[#This Row],[Team Number]], 'Robot Game Scores'!$B:$B,0))))</f>
        <v/>
      </c>
      <c r="H8"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8" s="113">
        <f>IF(TournamentData[[#This Row],[Team Number]]="","",_xlfn.RANK.EQ(TournamentData[[#This Row],[Max Robot Game Score]],TournamentData[Max Robot Game Score]))</f>
        <v/>
      </c>
      <c r="J8"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8"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8"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8"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8" s="115">
        <f>IF(TournamentData[[#This Row],[Team Number]]="","",IF(M8,RANK(M8,M$3:M$13,1)-COUNTIF(M$3:M$13,0),NumberOfTeams+1))</f>
        <v/>
      </c>
      <c r="O8" s="30" t="n"/>
      <c r="P8" s="31" t="n"/>
      <c r="Q8" s="29">
        <f>IF(ISNA(INDEX(CoreValuesResults[Core Values Score],MATCH(TournamentData[[#This Row],[Team Number]],CoreValuesResults[Team Number],0))),0,INDEX(CoreValuesResults[Core Values Score],MATCH(TournamentData[[#This Row],[Team Number]],CoreValuesResults[Team Number],0)))</f>
        <v/>
      </c>
      <c r="R8" s="29">
        <f>IF(ISNA(INDEX(InnovationProjectResults[Innovation Project Score],MATCH(TournamentData[[#This Row],[Team Number]],InnovationProjectResults[Team Number],0))),0,INDEX(InnovationProjectResults[Innovation Project Score],MATCH(TournamentData[[#This Row],[Team Number]],InnovationProjectResults[Team Number],0)))</f>
        <v/>
      </c>
      <c r="S8" s="29">
        <f>IF(ISNA(INDEX(RobotDesignResults[Robot Design Score],MATCH(TournamentData[[#This Row],[Team Number]],RobotDesignResults[Team Number],0))),0,INDEX(RobotDesignResults[Robot Design Score],MATCH(TournamentData[[#This Row],[Team Number]],RobotDesignResults[Team Number],0)))</f>
        <v/>
      </c>
      <c r="T8"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8" s="33">
        <f>IF(T8,_xlfn.RANK.EQ(T8,T$3:T$13,0),NumberOfTeams)</f>
        <v/>
      </c>
      <c r="V8" s="30" t="n"/>
      <c r="W8" s="30" t="n"/>
      <c r="Y8" s="79" t="inlineStr">
        <is>
          <t>Robot Performance 2nd Place</t>
        </is>
      </c>
      <c r="AB8" s="30" t="n"/>
      <c r="AC8" s="30" t="n"/>
    </row>
    <row r="9" ht="20.25" customHeight="1">
      <c r="A9" s="113" t="n">
        <v>90556</v>
      </c>
      <c r="B9" s="114" t="inlineStr">
        <is>
          <t>CyberSamurais</t>
        </is>
      </c>
      <c r="C9" s="113">
        <f>IF(TournamentData[[#This Row],[Team Number]]="","",IF(ISNA(INDEX('Robot Game Scores'!D:D,MATCH(TournamentData[[#This Row],[Team Number]], 'Robot Game Scores'!$B:$B,0))),0,INDEX('Robot Game Scores'!D:D,MATCH(TournamentData[[#This Row],[Team Number]], 'Robot Game Scores'!$B:$B,0))))</f>
        <v/>
      </c>
      <c r="D9" s="113">
        <f>IF(TournamentData[[#This Row],[Team Number]]="","",IF(ISNA(INDEX('Robot Game Scores'!E:E,MATCH(TournamentData[[#This Row],[Team Number]], 'Robot Game Scores'!$B:$B,0))),0,INDEX('Robot Game Scores'!E:E,MATCH(TournamentData[[#This Row],[Team Number]], 'Robot Game Scores'!$B:$B,0))))</f>
        <v/>
      </c>
      <c r="E9" s="113">
        <f>IF(TournamentData[[#This Row],[Team Number]]="","",IF(ISNA(INDEX('Robot Game Scores'!F:F,MATCH(TournamentData[[#This Row],[Team Number]], 'Robot Game Scores'!$B:$B,0))),0,INDEX('Robot Game Scores'!F:F,MATCH(TournamentData[[#This Row],[Team Number]], 'Robot Game Scores'!$B:$B,0))))</f>
        <v/>
      </c>
      <c r="F9" s="113">
        <f>IF(TournamentData[[#This Row],[Team Number]]="","",IF(ISNA(INDEX('Robot Game Scores'!G:G,MATCH(TournamentData[[#This Row],[Team Number]], 'Robot Game Scores'!$B:$B,0))),0,INDEX('Robot Game Scores'!G:G,MATCH(TournamentData[[#This Row],[Team Number]], 'Robot Game Scores'!$B:$B,0))))</f>
        <v/>
      </c>
      <c r="G9" s="113">
        <f>IF(TournamentData[[#This Row],[Team Number]]="","",IF(ISNA(INDEX('Robot Game Scores'!H:H,MATCH(TournamentData[[#This Row],[Team Number]], 'Robot Game Scores'!$B:$B,0))),0,INDEX('Robot Game Scores'!H:H,MATCH(TournamentData[[#This Row],[Team Number]], 'Robot Game Scores'!$B:$B,0))))</f>
        <v/>
      </c>
      <c r="H9"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9" s="113">
        <f>IF(TournamentData[[#This Row],[Team Number]]="","",_xlfn.RANK.EQ(TournamentData[[#This Row],[Max Robot Game Score]],TournamentData[Max Robot Game Score]))</f>
        <v/>
      </c>
      <c r="J9"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9"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9"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9"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9" s="115">
        <f>IF(TournamentData[[#This Row],[Team Number]]="","",IF(M9,RANK(M9,M$3:M$13,1)-COUNTIF(M$3:M$13,0),NumberOfTeams+1))</f>
        <v/>
      </c>
      <c r="O9" s="30" t="inlineStr">
        <is>
          <t>Judges Award 1</t>
        </is>
      </c>
      <c r="P9" s="31" t="n"/>
      <c r="Q9" s="29">
        <f>IF(ISNA(INDEX(CoreValuesResults[Core Values Score],MATCH(TournamentData[[#This Row],[Team Number]],CoreValuesResults[Team Number],0))),0,INDEX(CoreValuesResults[Core Values Score],MATCH(TournamentData[[#This Row],[Team Number]],CoreValuesResults[Team Number],0)))</f>
        <v/>
      </c>
      <c r="R9" s="29">
        <f>IF(ISNA(INDEX(InnovationProjectResults[Innovation Project Score],MATCH(TournamentData[[#This Row],[Team Number]],InnovationProjectResults[Team Number],0))),0,INDEX(InnovationProjectResults[Innovation Project Score],MATCH(TournamentData[[#This Row],[Team Number]],InnovationProjectResults[Team Number],0)))</f>
        <v/>
      </c>
      <c r="S9" s="29">
        <f>IF(ISNA(INDEX(RobotDesignResults[Robot Design Score],MATCH(TournamentData[[#This Row],[Team Number]],RobotDesignResults[Team Number],0))),0,INDEX(RobotDesignResults[Robot Design Score],MATCH(TournamentData[[#This Row],[Team Number]],RobotDesignResults[Team Number],0)))</f>
        <v/>
      </c>
      <c r="T9"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9" s="33">
        <f>IF(T9,_xlfn.RANK.EQ(T9,T$3:T$13,0),NumberOfTeams)</f>
        <v/>
      </c>
      <c r="V9" s="30" t="n"/>
      <c r="W9" s="30" t="n"/>
      <c r="Y9" s="79" t="inlineStr">
        <is>
          <t>Judges Award 1</t>
        </is>
      </c>
      <c r="AB9" s="30" t="n"/>
      <c r="AC9" s="30" t="n"/>
    </row>
    <row r="10" ht="20.25" customHeight="1">
      <c r="A10" s="113" t="n">
        <v>12863</v>
      </c>
      <c r="B10" s="114" t="inlineStr">
        <is>
          <t>Mech Mavericks</t>
        </is>
      </c>
      <c r="C10" s="113">
        <f>IF(TournamentData[[#This Row],[Team Number]]="","",IF(ISNA(INDEX('Robot Game Scores'!D:D,MATCH(TournamentData[[#This Row],[Team Number]], 'Robot Game Scores'!$B:$B,0))),0,INDEX('Robot Game Scores'!D:D,MATCH(TournamentData[[#This Row],[Team Number]], 'Robot Game Scores'!$B:$B,0))))</f>
        <v/>
      </c>
      <c r="D10" s="113">
        <f>IF(TournamentData[[#This Row],[Team Number]]="","",IF(ISNA(INDEX('Robot Game Scores'!E:E,MATCH(TournamentData[[#This Row],[Team Number]], 'Robot Game Scores'!$B:$B,0))),0,INDEX('Robot Game Scores'!E:E,MATCH(TournamentData[[#This Row],[Team Number]], 'Robot Game Scores'!$B:$B,0))))</f>
        <v/>
      </c>
      <c r="E10" s="113">
        <f>IF(TournamentData[[#This Row],[Team Number]]="","",IF(ISNA(INDEX('Robot Game Scores'!F:F,MATCH(TournamentData[[#This Row],[Team Number]], 'Robot Game Scores'!$B:$B,0))),0,INDEX('Robot Game Scores'!F:F,MATCH(TournamentData[[#This Row],[Team Number]], 'Robot Game Scores'!$B:$B,0))))</f>
        <v/>
      </c>
      <c r="F10" s="113">
        <f>IF(TournamentData[[#This Row],[Team Number]]="","",IF(ISNA(INDEX('Robot Game Scores'!G:G,MATCH(TournamentData[[#This Row],[Team Number]], 'Robot Game Scores'!$B:$B,0))),0,INDEX('Robot Game Scores'!G:G,MATCH(TournamentData[[#This Row],[Team Number]], 'Robot Game Scores'!$B:$B,0))))</f>
        <v/>
      </c>
      <c r="G10" s="113">
        <f>IF(TournamentData[[#This Row],[Team Number]]="","",IF(ISNA(INDEX('Robot Game Scores'!H:H,MATCH(TournamentData[[#This Row],[Team Number]], 'Robot Game Scores'!$B:$B,0))),0,INDEX('Robot Game Scores'!H:H,MATCH(TournamentData[[#This Row],[Team Number]], 'Robot Game Scores'!$B:$B,0))))</f>
        <v/>
      </c>
      <c r="H10"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0" s="113">
        <f>IF(TournamentData[[#This Row],[Team Number]]="","",_xlfn.RANK.EQ(TournamentData[[#This Row],[Max Robot Game Score]],TournamentData[Max Robot Game Score]))</f>
        <v/>
      </c>
      <c r="J10"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10"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0"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0"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0" s="115">
        <f>IF(TournamentData[[#This Row],[Team Number]]="","",IF(M10,RANK(M10,M$3:M$13,1)-COUNTIF(M$3:M$13,0),NumberOfTeams+1))</f>
        <v/>
      </c>
      <c r="O10" s="30" t="n"/>
      <c r="P10" s="31" t="n"/>
      <c r="Q10" s="29">
        <f>IF(ISNA(INDEX(CoreValuesResults[Core Values Score],MATCH(TournamentData[[#This Row],[Team Number]],CoreValuesResults[Team Number],0))),0,INDEX(CoreValuesResults[Core Values Score],MATCH(TournamentData[[#This Row],[Team Number]],CoreValuesResults[Team Number],0)))</f>
        <v/>
      </c>
      <c r="R10" s="29">
        <f>IF(ISNA(INDEX(InnovationProjectResults[Innovation Project Score],MATCH(TournamentData[[#This Row],[Team Number]],InnovationProjectResults[Team Number],0))),0,INDEX(InnovationProjectResults[Innovation Project Score],MATCH(TournamentData[[#This Row],[Team Number]],InnovationProjectResults[Team Number],0)))</f>
        <v/>
      </c>
      <c r="S10" s="29">
        <f>IF(ISNA(INDEX(RobotDesignResults[Robot Design Score],MATCH(TournamentData[[#This Row],[Team Number]],RobotDesignResults[Team Number],0))),0,INDEX(RobotDesignResults[Robot Design Score],MATCH(TournamentData[[#This Row],[Team Number]],RobotDesignResults[Team Number],0)))</f>
        <v/>
      </c>
      <c r="T10"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10" s="33">
        <f>IF(T10,_xlfn.RANK.EQ(T10,T$3:T$13,0),NumberOfTeams)</f>
        <v/>
      </c>
      <c r="V10" s="30" t="n"/>
      <c r="W10" s="30" t="n"/>
      <c r="AB10" s="30" t="n"/>
      <c r="AC10" s="30" t="n"/>
    </row>
    <row r="11" ht="20.25" customHeight="1">
      <c r="A11" s="113" t="n">
        <v>35256</v>
      </c>
      <c r="B11" s="114" t="inlineStr">
        <is>
          <t>Circuit Savants</t>
        </is>
      </c>
      <c r="C11" s="113">
        <f>IF(TournamentData[[#This Row],[Team Number]]="","",IF(ISNA(INDEX('Robot Game Scores'!D:D,MATCH(TournamentData[[#This Row],[Team Number]], 'Robot Game Scores'!$B:$B,0))),0,INDEX('Robot Game Scores'!D:D,MATCH(TournamentData[[#This Row],[Team Number]], 'Robot Game Scores'!$B:$B,0))))</f>
        <v/>
      </c>
      <c r="D11" s="113">
        <f>IF(TournamentData[[#This Row],[Team Number]]="","",IF(ISNA(INDEX('Robot Game Scores'!E:E,MATCH(TournamentData[[#This Row],[Team Number]], 'Robot Game Scores'!$B:$B,0))),0,INDEX('Robot Game Scores'!E:E,MATCH(TournamentData[[#This Row],[Team Number]], 'Robot Game Scores'!$B:$B,0))))</f>
        <v/>
      </c>
      <c r="E11" s="113">
        <f>IF(TournamentData[[#This Row],[Team Number]]="","",IF(ISNA(INDEX('Robot Game Scores'!F:F,MATCH(TournamentData[[#This Row],[Team Number]], 'Robot Game Scores'!$B:$B,0))),0,INDEX('Robot Game Scores'!F:F,MATCH(TournamentData[[#This Row],[Team Number]], 'Robot Game Scores'!$B:$B,0))))</f>
        <v/>
      </c>
      <c r="F11" s="113">
        <f>IF(TournamentData[[#This Row],[Team Number]]="","",IF(ISNA(INDEX('Robot Game Scores'!G:G,MATCH(TournamentData[[#This Row],[Team Number]], 'Robot Game Scores'!$B:$B,0))),0,INDEX('Robot Game Scores'!G:G,MATCH(TournamentData[[#This Row],[Team Number]], 'Robot Game Scores'!$B:$B,0))))</f>
        <v/>
      </c>
      <c r="G11" s="113">
        <f>IF(TournamentData[[#This Row],[Team Number]]="","",IF(ISNA(INDEX('Robot Game Scores'!H:H,MATCH(TournamentData[[#This Row],[Team Number]], 'Robot Game Scores'!$B:$B,0))),0,INDEX('Robot Game Scores'!H:H,MATCH(TournamentData[[#This Row],[Team Number]], 'Robot Game Scores'!$B:$B,0))))</f>
        <v/>
      </c>
      <c r="H11"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1" s="113">
        <f>IF(TournamentData[[#This Row],[Team Number]]="","",_xlfn.RANK.EQ(TournamentData[[#This Row],[Max Robot Game Score]],TournamentData[Max Robot Game Score]))</f>
        <v/>
      </c>
      <c r="J11"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11"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1"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1"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1" s="115">
        <f>IF(TournamentData[[#This Row],[Team Number]]="","",IF(M11,RANK(M11,M$3:M$13,1)-COUNTIF(M$3:M$13,0),NumberOfTeams+1))</f>
        <v/>
      </c>
      <c r="O11" s="30" t="n"/>
      <c r="P11" s="31" t="n"/>
      <c r="Q11" s="29">
        <f>IF(ISNA(INDEX(CoreValuesResults[Core Values Score],MATCH(TournamentData[[#This Row],[Team Number]],CoreValuesResults[Team Number],0))),0,INDEX(CoreValuesResults[Core Values Score],MATCH(TournamentData[[#This Row],[Team Number]],CoreValuesResults[Team Number],0)))</f>
        <v/>
      </c>
      <c r="R11" s="29">
        <f>IF(ISNA(INDEX(InnovationProjectResults[Innovation Project Score],MATCH(TournamentData[[#This Row],[Team Number]],InnovationProjectResults[Team Number],0))),0,INDEX(InnovationProjectResults[Innovation Project Score],MATCH(TournamentData[[#This Row],[Team Number]],InnovationProjectResults[Team Number],0)))</f>
        <v/>
      </c>
      <c r="S11" s="29">
        <f>IF(ISNA(INDEX(RobotDesignResults[Robot Design Score],MATCH(TournamentData[[#This Row],[Team Number]],RobotDesignResults[Team Number],0))),0,INDEX(RobotDesignResults[Robot Design Score],MATCH(TournamentData[[#This Row],[Team Number]],RobotDesignResults[Team Number],0)))</f>
        <v/>
      </c>
      <c r="T11"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11" s="33">
        <f>IF(T11,_xlfn.RANK.EQ(T11,T$3:T$13,0),NumberOfTeams)</f>
        <v/>
      </c>
      <c r="V11" s="30" t="n"/>
      <c r="W11" s="30" t="n"/>
      <c r="AA11" s="30" t="n"/>
      <c r="AB11" s="30" t="n"/>
      <c r="AC11" s="30" t="n"/>
    </row>
    <row r="12" ht="20.25" customHeight="1">
      <c r="A12" s="113" t="n">
        <v>87296</v>
      </c>
      <c r="B12" s="114" t="inlineStr">
        <is>
          <t>Tech Tornadoes</t>
        </is>
      </c>
      <c r="C12" s="113">
        <f>IF(TournamentData[[#This Row],[Team Number]]="","",IF(ISNA(INDEX('Robot Game Scores'!D:D,MATCH(TournamentData[[#This Row],[Team Number]], 'Robot Game Scores'!$B:$B,0))),0,INDEX('Robot Game Scores'!D:D,MATCH(TournamentData[[#This Row],[Team Number]], 'Robot Game Scores'!$B:$B,0))))</f>
        <v/>
      </c>
      <c r="D12" s="113">
        <f>IF(TournamentData[[#This Row],[Team Number]]="","",IF(ISNA(INDEX('Robot Game Scores'!E:E,MATCH(TournamentData[[#This Row],[Team Number]], 'Robot Game Scores'!$B:$B,0))),0,INDEX('Robot Game Scores'!E:E,MATCH(TournamentData[[#This Row],[Team Number]], 'Robot Game Scores'!$B:$B,0))))</f>
        <v/>
      </c>
      <c r="E12" s="113">
        <f>IF(TournamentData[[#This Row],[Team Number]]="","",IF(ISNA(INDEX('Robot Game Scores'!F:F,MATCH(TournamentData[[#This Row],[Team Number]], 'Robot Game Scores'!$B:$B,0))),0,INDEX('Robot Game Scores'!F:F,MATCH(TournamentData[[#This Row],[Team Number]], 'Robot Game Scores'!$B:$B,0))))</f>
        <v/>
      </c>
      <c r="F12" s="113">
        <f>IF(TournamentData[[#This Row],[Team Number]]="","",IF(ISNA(INDEX('Robot Game Scores'!G:G,MATCH(TournamentData[[#This Row],[Team Number]], 'Robot Game Scores'!$B:$B,0))),0,INDEX('Robot Game Scores'!G:G,MATCH(TournamentData[[#This Row],[Team Number]], 'Robot Game Scores'!$B:$B,0))))</f>
        <v/>
      </c>
      <c r="G12" s="113">
        <f>IF(TournamentData[[#This Row],[Team Number]]="","",IF(ISNA(INDEX('Robot Game Scores'!H:H,MATCH(TournamentData[[#This Row],[Team Number]], 'Robot Game Scores'!$B:$B,0))),0,INDEX('Robot Game Scores'!H:H,MATCH(TournamentData[[#This Row],[Team Number]], 'Robot Game Scores'!$B:$B,0))))</f>
        <v/>
      </c>
      <c r="H12"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2" s="113">
        <f>IF(TournamentData[[#This Row],[Team Number]]="","",_xlfn.RANK.EQ(TournamentData[[#This Row],[Max Robot Game Score]],TournamentData[Max Robot Game Score]))</f>
        <v/>
      </c>
      <c r="J12"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12"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2"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2"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2" s="115">
        <f>IF(TournamentData[[#This Row],[Team Number]]="","",IF(M12,RANK(M12,M$3:M$13,1)-COUNTIF(M$3:M$13,0),NumberOfTeams+1))</f>
        <v/>
      </c>
      <c r="O12" s="30" t="n"/>
      <c r="P12" s="31" t="n"/>
      <c r="Q12" s="29">
        <f>IF(ISNA(INDEX(CoreValuesResults[Core Values Score],MATCH(TournamentData[[#This Row],[Team Number]],CoreValuesResults[Team Number],0))),0,INDEX(CoreValuesResults[Core Values Score],MATCH(TournamentData[[#This Row],[Team Number]],CoreValuesResults[Team Number],0)))</f>
        <v/>
      </c>
      <c r="R12" s="29">
        <f>IF(ISNA(INDEX(InnovationProjectResults[Innovation Project Score],MATCH(TournamentData[[#This Row],[Team Number]],InnovationProjectResults[Team Number],0))),0,INDEX(InnovationProjectResults[Innovation Project Score],MATCH(TournamentData[[#This Row],[Team Number]],InnovationProjectResults[Team Number],0)))</f>
        <v/>
      </c>
      <c r="S12" s="29">
        <f>IF(ISNA(INDEX(RobotDesignResults[Robot Design Score],MATCH(TournamentData[[#This Row],[Team Number]],RobotDesignResults[Team Number],0))),0,INDEX(RobotDesignResults[Robot Design Score],MATCH(TournamentData[[#This Row],[Team Number]],RobotDesignResults[Team Number],0)))</f>
        <v/>
      </c>
      <c r="T12"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12" s="33">
        <f>IF(T12,_xlfn.RANK.EQ(T12,T$3:T$13,0),NumberOfTeams)</f>
        <v/>
      </c>
      <c r="V12" s="30" t="n"/>
      <c r="W12" s="30" t="n"/>
      <c r="AA12" s="30" t="n"/>
      <c r="AB12" s="30" t="n"/>
      <c r="AC12" s="30" t="n"/>
    </row>
    <row r="13" ht="20.25" customHeight="1">
      <c r="A13" s="113" t="n">
        <v>75865</v>
      </c>
      <c r="B13" s="114" t="inlineStr">
        <is>
          <t>NanoNavigators</t>
        </is>
      </c>
      <c r="C13" s="113">
        <f>IF(TournamentData[[#This Row],[Team Number]]="","",IF(ISNA(INDEX('Robot Game Scores'!D:D,MATCH(TournamentData[[#This Row],[Team Number]], 'Robot Game Scores'!$B:$B,0))),0,INDEX('Robot Game Scores'!D:D,MATCH(TournamentData[[#This Row],[Team Number]], 'Robot Game Scores'!$B:$B,0))))</f>
        <v/>
      </c>
      <c r="D13" s="113">
        <f>IF(TournamentData[[#This Row],[Team Number]]="","",IF(ISNA(INDEX('Robot Game Scores'!E:E,MATCH(TournamentData[[#This Row],[Team Number]], 'Robot Game Scores'!$B:$B,0))),0,INDEX('Robot Game Scores'!E:E,MATCH(TournamentData[[#This Row],[Team Number]], 'Robot Game Scores'!$B:$B,0))))</f>
        <v/>
      </c>
      <c r="E13" s="113">
        <f>IF(TournamentData[[#This Row],[Team Number]]="","",IF(ISNA(INDEX('Robot Game Scores'!F:F,MATCH(TournamentData[[#This Row],[Team Number]], 'Robot Game Scores'!$B:$B,0))),0,INDEX('Robot Game Scores'!F:F,MATCH(TournamentData[[#This Row],[Team Number]], 'Robot Game Scores'!$B:$B,0))))</f>
        <v/>
      </c>
      <c r="F13" s="113">
        <f>IF(TournamentData[[#This Row],[Team Number]]="","",IF(ISNA(INDEX('Robot Game Scores'!G:G,MATCH(TournamentData[[#This Row],[Team Number]], 'Robot Game Scores'!$B:$B,0))),0,INDEX('Robot Game Scores'!G:G,MATCH(TournamentData[[#This Row],[Team Number]], 'Robot Game Scores'!$B:$B,0))))</f>
        <v/>
      </c>
      <c r="G13" s="113">
        <f>IF(TournamentData[[#This Row],[Team Number]]="","",IF(ISNA(INDEX('Robot Game Scores'!H:H,MATCH(TournamentData[[#This Row],[Team Number]], 'Robot Game Scores'!$B:$B,0))),0,INDEX('Robot Game Scores'!H:H,MATCH(TournamentData[[#This Row],[Team Number]], 'Robot Game Scores'!$B:$B,0))))</f>
        <v/>
      </c>
      <c r="H13" s="113">
        <f>IF(TournamentData[[#This Row],[Team Number]]="","",IF(ISNA(LARGE(TournamentData[[#This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5]],5)),0,LARGE(TournamentData[[#This Row],[Robot Game Score 1]:[Robot Game Score 5]],1)+0.0001*LARGE(TournamentData[[#This Row],[Robot Game Score 1]:[Robot Game Score 5]],2)+0.0000001*LARGE(TournamentData[[#This Row],[Robot Game Score 1]:[Robot Game Score 5]],3)+0.00000000001*LARGE(TournamentData[[#This Row],[Robot Game Score 1]:[Robot Game Score 5]],4)+0.00000000000001*LARGE(TournamentData[[#This Row],[Robot Game Score 1]:[Robot Game Score 5]],5)))</f>
        <v/>
      </c>
      <c r="I13" s="113">
        <f>IF(TournamentData[[#This Row],[Team Number]]="","",_xlfn.RANK.EQ(TournamentData[[#This Row],[Max Robot Game Score]],TournamentData[Max Robot Game Score]))</f>
        <v/>
      </c>
      <c r="J13" s="113">
        <f>IF(TournamentData[[#This Row],[Team Number]]="","",IF(ISNA(INDEX(CoreValuesResults[Core Values Rank],MATCH(TournamentData[[#This Row],[Team Number]],CoreValuesResults[Team Number],0))),NumberOfTeams+1,INDEX(CoreValuesResults[Core Values Rank],MATCH(TournamentData[[#This Row],[Team Number]],CoreValuesResults[Team Number],0))))</f>
        <v/>
      </c>
      <c r="K13" s="113">
        <f>IF(TournamentData[[#This Row],[Team Number]]="","",IF(ISNA(INDEX(InnovationProjectResults[Innovation Project Rank],MATCH(TournamentData[[#This Row],[Team Number]],InnovationProjectResults[Team Number],0))),NumberOfTeams+1,INDEX(InnovationProjectResults[Innovation Project Rank],MATCH(TournamentData[[#This Row],[Team Number]],InnovationProjectResults[Team Number],0))))</f>
        <v/>
      </c>
      <c r="L13" s="113">
        <f>IF(TournamentData[[#This Row],[Team Number]]="","",IF(ISNA(INDEX(RobotDesignResults[Robot Design Rank],MATCH(TournamentData[[#This Row],[Team Number]],RobotDesignResults[Team Number],0))),NumberOfTeams+1,INDEX(RobotDesignResults[Robot Design Rank],MATCH(TournamentData[[#This Row],[Team Number]],RobotDesignResults[Team Number],0))))</f>
        <v/>
      </c>
      <c r="M13" s="113">
        <f>IF(TournamentData[[#This Row],[Team Number]]="","",IF(TournamentData[[#This Row],[Core Values Rank]]="",NumberOfTeams+1,TournamentData[[#This Row],[Core Values Rank]]) + IF(TournamentData[[#This Row],[Innovation Project Rank]]="",NumberOfTeams+1,TournamentData[[#This Row],[Innovation Project Rank]]) + IF(TournamentData[[#This Row],[Robot Design Rank]]="",NumberOfTeams+1,TournamentData[[#This Row],[Robot Design Rank]]) + TournamentData[[#This Row],[Robot Game Rank]])</f>
        <v/>
      </c>
      <c r="N13" s="115">
        <f>IF(TournamentData[[#This Row],[Team Number]]="","",IF(M13,RANK(M13,M$3:M$13,1)-COUNTIF(M$3:M$13,0),NumberOfTeams+1))</f>
        <v/>
      </c>
      <c r="O13" s="30" t="n"/>
      <c r="P13" s="31" t="n"/>
      <c r="Q13" s="29">
        <f>IF(ISNA(INDEX(CoreValuesResults[Core Values Score],MATCH(TournamentData[[#This Row],[Team Number]],CoreValuesResults[Team Number],0))),0,INDEX(CoreValuesResults[Core Values Score],MATCH(TournamentData[[#This Row],[Team Number]],CoreValuesResults[Team Number],0)))</f>
        <v/>
      </c>
      <c r="R13" s="29">
        <f>IF(ISNA(INDEX(InnovationProjectResults[Innovation Project Score],MATCH(TournamentData[[#This Row],[Team Number]],InnovationProjectResults[Team Number],0))),0,INDEX(InnovationProjectResults[Innovation Project Score],MATCH(TournamentData[[#This Row],[Team Number]],InnovationProjectResults[Team Number],0)))</f>
        <v/>
      </c>
      <c r="S13" s="29">
        <f>IF(ISNA(INDEX(RobotDesignResults[Robot Design Score],MATCH(TournamentData[[#This Row],[Team Number]],RobotDesignResults[Team Number],0))),0,INDEX(RobotDesignResults[Robot Design Score],MATCH(TournamentData[[#This Row],[Team Number]],RobotDesignResults[Team Number],0)))</f>
        <v/>
      </c>
      <c r="T13" s="3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U13" s="33">
        <f>IF(T13,_xlfn.RANK.EQ(T13,T$3:T$13,0),NumberOfTeams)</f>
        <v/>
      </c>
      <c r="V13" s="30" t="n"/>
      <c r="W13" s="30" t="n"/>
      <c r="AA13" s="30" t="n"/>
      <c r="AB13" s="30" t="n"/>
      <c r="AC13" s="30" t="n"/>
    </row>
    <row r="30" ht="20.25" customHeight="1">
      <c r="B30" s="11" t="n"/>
      <c r="C30" s="11" t="n"/>
      <c r="D30" s="11" t="n"/>
      <c r="E30" s="11" t="n"/>
      <c r="F30" s="11" t="n"/>
      <c r="G30" s="11" t="n"/>
      <c r="H30" s="11" t="n"/>
      <c r="I30" s="11" t="n"/>
      <c r="J30" s="11" t="n"/>
      <c r="K30" s="11" t="n"/>
      <c r="L30" s="11" t="n"/>
      <c r="M30" s="11" t="n"/>
      <c r="N30" s="11" t="n"/>
    </row>
    <row r="31" ht="20.25" customHeight="1">
      <c r="B31" s="11" t="n"/>
      <c r="C31" s="11" t="n"/>
      <c r="D31" s="11" t="n"/>
      <c r="E31" s="11" t="n"/>
      <c r="F31" s="11" t="n"/>
      <c r="G31" s="11" t="n"/>
      <c r="H31" s="11" t="n"/>
      <c r="I31" s="11" t="n"/>
      <c r="J31" s="11" t="n"/>
      <c r="K31" s="11" t="n"/>
      <c r="L31" s="11" t="n"/>
      <c r="M31" s="11" t="n"/>
      <c r="N31" s="11" t="n"/>
    </row>
    <row r="32" ht="20.25" customHeight="1">
      <c r="B32" s="11" t="n"/>
      <c r="C32" s="11" t="n"/>
      <c r="D32" s="11" t="n"/>
      <c r="E32" s="11" t="n"/>
      <c r="F32" s="11" t="n"/>
      <c r="G32" s="11" t="n"/>
      <c r="H32" s="11" t="n"/>
      <c r="I32" s="11" t="n"/>
      <c r="J32" s="11" t="n"/>
      <c r="K32" s="11" t="n"/>
      <c r="L32" s="11" t="n"/>
      <c r="M32" s="11" t="n"/>
      <c r="N32" s="11" t="n"/>
    </row>
    <row r="33" ht="20.25" customHeight="1">
      <c r="B33" s="11" t="n"/>
      <c r="C33" s="11" t="n"/>
      <c r="D33" s="11" t="n"/>
      <c r="E33" s="11" t="n"/>
      <c r="F33" s="11" t="n"/>
      <c r="G33" s="11" t="n"/>
      <c r="H33" s="11" t="n"/>
      <c r="I33" s="11" t="n"/>
      <c r="J33" s="11" t="n"/>
      <c r="K33" s="11" t="n"/>
      <c r="L33" s="11" t="n"/>
      <c r="M33" s="11" t="n"/>
      <c r="N33" s="11" t="n"/>
    </row>
    <row r="34" ht="20.25" customHeight="1">
      <c r="B34" s="11" t="n"/>
      <c r="C34" s="11" t="n"/>
      <c r="D34" s="11" t="n"/>
      <c r="E34" s="11" t="n"/>
      <c r="F34" s="11" t="n"/>
      <c r="G34" s="11" t="n"/>
      <c r="H34" s="11" t="n"/>
      <c r="I34" s="11" t="n"/>
      <c r="J34" s="11" t="n"/>
      <c r="K34" s="11" t="n"/>
      <c r="L34" s="11" t="n"/>
      <c r="M34" s="11" t="n"/>
      <c r="N34" s="11" t="n"/>
    </row>
    <row r="35" ht="20.25" customHeight="1">
      <c r="B35" s="11" t="n"/>
      <c r="C35" s="11" t="n"/>
      <c r="D35" s="11" t="n"/>
      <c r="E35" s="11" t="n"/>
      <c r="F35" s="11" t="n"/>
      <c r="G35" s="11" t="n"/>
      <c r="H35" s="11" t="n"/>
      <c r="I35" s="11" t="n"/>
      <c r="J35" s="11" t="n"/>
      <c r="K35" s="11" t="n"/>
      <c r="L35" s="11" t="n"/>
      <c r="M35" s="11" t="n"/>
      <c r="N35" s="11" t="n"/>
    </row>
    <row r="36" ht="20.25" customHeight="1">
      <c r="B36" s="11" t="n"/>
      <c r="C36" s="11" t="n"/>
      <c r="D36" s="11" t="n"/>
      <c r="E36" s="11" t="n"/>
      <c r="F36" s="11" t="n"/>
      <c r="G36" s="11" t="n"/>
      <c r="H36" s="11" t="n"/>
      <c r="I36" s="11" t="n"/>
      <c r="J36" s="11" t="n"/>
      <c r="K36" s="11" t="n"/>
      <c r="L36" s="11" t="n"/>
      <c r="M36" s="11" t="n"/>
      <c r="N36" s="11" t="n"/>
    </row>
    <row r="37" ht="20.25" customHeight="1">
      <c r="B37" s="11" t="n"/>
      <c r="C37" s="11" t="n"/>
      <c r="D37" s="11" t="n"/>
      <c r="E37" s="11" t="n"/>
      <c r="F37" s="11" t="n"/>
      <c r="G37" s="11" t="n"/>
      <c r="H37" s="11" t="n"/>
      <c r="I37" s="11" t="n"/>
      <c r="J37" s="11" t="n"/>
      <c r="K37" s="11" t="n"/>
      <c r="L37" s="11" t="n"/>
      <c r="M37" s="11" t="n"/>
      <c r="N37" s="11" t="n"/>
    </row>
    <row r="38" ht="20.25" customHeight="1">
      <c r="B38" s="11" t="n"/>
      <c r="C38" s="11" t="n"/>
      <c r="D38" s="11" t="n"/>
      <c r="E38" s="11" t="n"/>
      <c r="F38" s="11" t="n"/>
      <c r="G38" s="11" t="n"/>
      <c r="H38" s="11" t="n"/>
      <c r="I38" s="11" t="n"/>
      <c r="J38" s="11" t="n"/>
      <c r="K38" s="11" t="n"/>
      <c r="L38" s="11" t="n"/>
      <c r="M38" s="11" t="n"/>
      <c r="N38" s="11" t="n"/>
    </row>
    <row r="39" ht="20.25" customHeight="1">
      <c r="B39" s="11" t="n"/>
      <c r="C39" s="11" t="n"/>
      <c r="D39" s="11" t="n"/>
      <c r="E39" s="11" t="n"/>
      <c r="F39" s="11" t="n"/>
      <c r="G39" s="11" t="n"/>
      <c r="H39" s="11" t="n"/>
      <c r="I39" s="11" t="n"/>
      <c r="J39" s="11" t="n"/>
      <c r="K39" s="11" t="n"/>
      <c r="L39" s="11" t="n"/>
      <c r="M39" s="11" t="n"/>
      <c r="N39" s="11" t="n"/>
    </row>
    <row r="40" ht="20.25" customHeight="1">
      <c r="B40" s="11" t="n"/>
      <c r="C40" s="11" t="n"/>
      <c r="D40" s="11" t="n"/>
      <c r="E40" s="11" t="n"/>
      <c r="F40" s="11" t="n"/>
      <c r="G40" s="11" t="n"/>
      <c r="H40" s="11" t="n"/>
      <c r="I40" s="11" t="n"/>
      <c r="J40" s="11" t="n"/>
      <c r="K40" s="11" t="n"/>
      <c r="L40" s="11" t="n"/>
      <c r="M40" s="11" t="n"/>
      <c r="N40" s="11" t="n"/>
    </row>
  </sheetData>
  <mergeCells count="6">
    <mergeCell ref="J1:L1"/>
    <mergeCell ref="Q1:U1"/>
    <mergeCell ref="O1:P1"/>
    <mergeCell ref="A1:B1"/>
    <mergeCell ref="C1:I1"/>
    <mergeCell ref="M1:N1"/>
  </mergeCells>
  <conditionalFormatting sqref="A3:W13">
    <cfRule type="expression" priority="16" dxfId="181">
      <formula>ROW()-NumberOfTeams=2</formula>
    </cfRule>
  </conditionalFormatting>
  <conditionalFormatting sqref="A3:A13">
    <cfRule type="expression" priority="10" dxfId="180">
      <formula>IF($N3 &lt;= NumberofTeamsAdvancing,TRUE,FALSE)</formula>
    </cfRule>
  </conditionalFormatting>
  <conditionalFormatting sqref="P3:P13">
    <cfRule type="cellIs" priority="2" operator="equal" dxfId="179">
      <formula>$Z$4</formula>
    </cfRule>
    <cfRule type="cellIs" priority="6" operator="equal" dxfId="178">
      <formula>"Yes"</formula>
    </cfRule>
  </conditionalFormatting>
  <conditionalFormatting sqref="P2">
    <cfRule type="expression" priority="5" dxfId="177">
      <formula>IF(COUNTIF($P:$P,"=Yes")&lt;&gt;NumberofTeamsAdvancing,1,0)</formula>
    </cfRule>
  </conditionalFormatting>
  <conditionalFormatting sqref="B3:W13">
    <cfRule type="expression" priority="20" dxfId="176">
      <formula>IF($O3&lt;&gt;"",TRUE,FALSE)</formula>
    </cfRule>
  </conditionalFormatting>
  <conditionalFormatting sqref="I1:I1048576">
    <cfRule type="expression" priority="26" dxfId="175">
      <formula>AND(I1=3,IF(VLOOKUP("Robot Performance 3rd Place",$Y$1:$Y$13,1,FALSE)="Robot Performance 3rd Place", TRUE, FALSE))</formula>
    </cfRule>
    <cfRule type="expression" priority="27" dxfId="174">
      <formula>AND(I1=2,IF(VLOOKUP("Robot Performance 2nd Place",$Y$1:$Y$13,1,FALSE)="Robot Performance 2nd Place", TRUE, FALSE))</formula>
    </cfRule>
    <cfRule type="expression" priority="28" dxfId="173">
      <formula>AND(I1=1,IF(VLOOKUP("Robot Performance 1st Place",$Y$1:$Y$13,1,FALSE)="Robot Performance 1st Place", TRUE, FALSE))</formula>
    </cfRule>
  </conditionalFormatting>
  <conditionalFormatting sqref="O3:O13">
    <cfRule type="duplicateValues" priority="1" dxfId="172"/>
  </conditionalFormatting>
  <dataValidations count="2">
    <dataValidation sqref="P3:P13" showDropDown="0" showInputMessage="1" showErrorMessage="1" allowBlank="1" type="list">
      <formula1>$Z$2:$Z$4</formula1>
    </dataValidation>
    <dataValidation sqref="O3:O13" showDropDown="0" showInputMessage="1" showErrorMessage="1" allowBlank="1" type="list">
      <formula1>$Y$1:$Y$13</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5.xml><?xml version="1.0" encoding="utf-8"?>
<worksheet xmlns="http://schemas.openxmlformats.org/spreadsheetml/2006/main">
  <sheetPr codeName="Sheet4">
    <tabColor rgb="FF00B050"/>
    <outlinePr summaryBelow="1" summaryRight="1"/>
    <pageSetUpPr/>
  </sheetPr>
  <dimension ref="A1:I12"/>
  <sheetViews>
    <sheetView zoomScaleNormal="100" workbookViewId="0">
      <selection activeCell="I12" sqref="A1:I12"/>
    </sheetView>
  </sheetViews>
  <sheetFormatPr baseColWidth="8" defaultColWidth="8.85546875" defaultRowHeight="30" customHeight="1"/>
  <cols>
    <col width="7.42578125" customWidth="1" style="52" min="1" max="1"/>
    <col width="19" customWidth="1" style="52" min="2" max="3"/>
    <col width="7.42578125" customWidth="1" style="52" min="4" max="6"/>
    <col hidden="1" width="7.42578125" customWidth="1" style="52" min="7" max="8"/>
    <col width="10.42578125" customWidth="1" style="74" min="9" max="9"/>
    <col width="8.85546875" customWidth="1" style="142" min="10" max="11"/>
    <col width="8.85546875" customWidth="1" style="142" min="12" max="16384"/>
  </cols>
  <sheetData>
    <row r="1" ht="169.7" customFormat="1" customHeight="1" s="54">
      <c r="A1" s="116" t="inlineStr">
        <is>
          <t>Robot Game Rank</t>
        </is>
      </c>
      <c r="B1" s="117" t="inlineStr">
        <is>
          <t>Team Number</t>
        </is>
      </c>
      <c r="C1" s="117" t="inlineStr">
        <is>
          <t>Team Name</t>
        </is>
      </c>
      <c r="D1" s="118" t="inlineStr">
        <is>
          <t>Robot Game 1 Score</t>
        </is>
      </c>
      <c r="E1" s="118" t="inlineStr">
        <is>
          <t>Robot Game 2 Score</t>
        </is>
      </c>
      <c r="F1" s="118" t="inlineStr">
        <is>
          <t>Robot Game 3 Score</t>
        </is>
      </c>
      <c r="G1" s="118" t="inlineStr">
        <is>
          <t>Robot Game 4 Score</t>
        </is>
      </c>
      <c r="H1" s="118" t="inlineStr">
        <is>
          <t>Robot Game 5 Score</t>
        </is>
      </c>
      <c r="I1" s="119" t="inlineStr">
        <is>
          <t>Highest Robot Game Score</t>
        </is>
      </c>
    </row>
    <row r="2" ht="30" customHeight="1">
      <c r="A2" s="51" t="n"/>
      <c r="B2" s="51" t="n">
        <v>46172</v>
      </c>
      <c r="C2" s="51">
        <f>INDEX(OfficialTeamList[Team Name],MATCH(RobotGameScores[[#This Row],[Team Number]], OfficialTeamList[Team Number],0))</f>
        <v/>
      </c>
      <c r="D2" s="51" t="n">
        <v>180</v>
      </c>
      <c r="E2" s="51" t="n">
        <v>300</v>
      </c>
      <c r="F2" s="51" t="n">
        <v>115</v>
      </c>
      <c r="G2" s="51" t="n"/>
      <c r="H2" s="51" t="n"/>
      <c r="I2" s="120">
        <f>MAX(D2:H2)</f>
        <v/>
      </c>
    </row>
    <row r="3" ht="30" customHeight="1">
      <c r="A3" s="51" t="n"/>
      <c r="B3" s="51" t="n">
        <v>93244</v>
      </c>
      <c r="C3" s="51">
        <f>INDEX(OfficialTeamList[Team Name],MATCH(RobotGameScores[[#This Row],[Team Number]], OfficialTeamList[Team Number],0))</f>
        <v/>
      </c>
      <c r="D3" s="51" t="n">
        <v>185</v>
      </c>
      <c r="E3" s="51" t="n">
        <v>300</v>
      </c>
      <c r="F3" s="51" t="n">
        <v>115</v>
      </c>
      <c r="G3" s="51" t="n"/>
      <c r="H3" s="51" t="n"/>
      <c r="I3" s="120">
        <f>MAX(D3:H3)</f>
        <v/>
      </c>
    </row>
    <row r="4" ht="30" customHeight="1">
      <c r="A4" s="51" t="n"/>
      <c r="B4" s="51" t="n">
        <v>71908</v>
      </c>
      <c r="C4" s="51">
        <f>INDEX(OfficialTeamList[Team Name],MATCH(RobotGameScores[[#This Row],[Team Number]], OfficialTeamList[Team Number],0))</f>
        <v/>
      </c>
      <c r="D4" s="51" t="n">
        <v>203</v>
      </c>
      <c r="E4" s="51" t="n">
        <v>76</v>
      </c>
      <c r="F4" s="51" t="n">
        <v>238</v>
      </c>
      <c r="G4" s="51" t="n"/>
      <c r="H4" s="51" t="n"/>
      <c r="I4" s="120">
        <f>MAX(D4:H4)</f>
        <v/>
      </c>
    </row>
    <row r="5" ht="30" customHeight="1">
      <c r="A5" s="51" t="n"/>
      <c r="B5" s="51" t="n">
        <v>35256</v>
      </c>
      <c r="C5" s="51">
        <f>INDEX(OfficialTeamList[Team Name],MATCH(RobotGameScores[[#This Row],[Team Number]], OfficialTeamList[Team Number],0))</f>
        <v/>
      </c>
      <c r="D5" s="51" t="n">
        <v>220</v>
      </c>
      <c r="E5" s="51" t="n">
        <v>172</v>
      </c>
      <c r="F5" s="51" t="n">
        <v>172</v>
      </c>
      <c r="G5" s="51" t="n"/>
      <c r="H5" s="51" t="n"/>
      <c r="I5" s="120">
        <f>MAX(D5:H5)</f>
        <v/>
      </c>
    </row>
    <row r="6" ht="30" customHeight="1">
      <c r="A6" s="51" t="n"/>
      <c r="B6" s="51" t="n">
        <v>87296</v>
      </c>
      <c r="C6" s="51">
        <f>INDEX(OfficialTeamList[Team Name],MATCH(RobotGameScores[[#This Row],[Team Number]], OfficialTeamList[Team Number],0))</f>
        <v/>
      </c>
      <c r="D6" s="51" t="n">
        <v>220</v>
      </c>
      <c r="E6" s="51" t="n">
        <v>89</v>
      </c>
      <c r="F6" s="51" t="n">
        <v>172</v>
      </c>
      <c r="G6" s="51" t="n"/>
      <c r="H6" s="51" t="n"/>
      <c r="I6" s="120">
        <f>MAX(D6:H6)</f>
        <v/>
      </c>
    </row>
    <row r="7" ht="30" customHeight="1">
      <c r="A7" s="51" t="n"/>
      <c r="B7" s="51" t="n">
        <v>92134</v>
      </c>
      <c r="C7" s="51">
        <f>INDEX(OfficialTeamList[Team Name],MATCH(RobotGameScores[[#This Row],[Team Number]], OfficialTeamList[Team Number],0))</f>
        <v/>
      </c>
      <c r="D7" s="51" t="n">
        <v>217</v>
      </c>
      <c r="E7" s="51" t="n">
        <v>71</v>
      </c>
      <c r="F7" s="51" t="n">
        <v>212</v>
      </c>
      <c r="G7" s="51" t="n"/>
      <c r="H7" s="51" t="n"/>
      <c r="I7" s="120">
        <f>MAX(D7:H7)</f>
        <v/>
      </c>
    </row>
    <row r="8" ht="30" customHeight="1">
      <c r="A8" s="51" t="n"/>
      <c r="B8" s="51" t="n">
        <v>68211</v>
      </c>
      <c r="C8" s="51">
        <f>INDEX(OfficialTeamList[Team Name],MATCH(RobotGameScores[[#This Row],[Team Number]], OfficialTeamList[Team Number],0))</f>
        <v/>
      </c>
      <c r="D8" s="51" t="n">
        <v>212</v>
      </c>
      <c r="E8" s="51" t="n">
        <v>78</v>
      </c>
      <c r="F8" s="51" t="n">
        <v>215</v>
      </c>
      <c r="G8" s="51" t="n"/>
      <c r="H8" s="51" t="n"/>
      <c r="I8" s="120">
        <f>MAX(D8:H8)</f>
        <v/>
      </c>
    </row>
    <row r="9" ht="30" customHeight="1">
      <c r="A9" s="51" t="n"/>
      <c r="B9" s="51" t="n">
        <v>90556</v>
      </c>
      <c r="C9" s="51">
        <f>INDEX(OfficialTeamList[Team Name],MATCH(RobotGameScores[[#This Row],[Team Number]], OfficialTeamList[Team Number],0))</f>
        <v/>
      </c>
      <c r="D9" s="51" t="n">
        <v>66</v>
      </c>
      <c r="E9" s="51" t="n">
        <v>142</v>
      </c>
      <c r="F9" s="51" t="n">
        <v>163</v>
      </c>
      <c r="G9" s="51" t="n"/>
      <c r="H9" s="51" t="n"/>
      <c r="I9" s="120">
        <f>MAX(D9:H9)</f>
        <v/>
      </c>
    </row>
    <row r="10" ht="30" customHeight="1">
      <c r="A10" s="51" t="n"/>
      <c r="B10" s="51" t="n">
        <v>75865</v>
      </c>
      <c r="C10" s="51">
        <f>INDEX(OfficialTeamList[Team Name],MATCH(RobotGameScores[[#This Row],[Team Number]], OfficialTeamList[Team Number],0))</f>
        <v/>
      </c>
      <c r="D10" s="51" t="n">
        <v>94</v>
      </c>
      <c r="E10" s="51" t="n">
        <v>159</v>
      </c>
      <c r="F10" s="51" t="n">
        <v>158</v>
      </c>
      <c r="G10" s="51" t="n"/>
      <c r="H10" s="51" t="n"/>
      <c r="I10" s="120">
        <f>MAX(D10:H10)</f>
        <v/>
      </c>
    </row>
    <row r="11" ht="30" customHeight="1">
      <c r="A11" s="51" t="n"/>
      <c r="B11" s="51" t="n">
        <v>41235</v>
      </c>
      <c r="C11" s="51">
        <f>INDEX(OfficialTeamList[Team Name],MATCH(RobotGameScores[[#This Row],[Team Number]], OfficialTeamList[Team Number],0))</f>
        <v/>
      </c>
      <c r="D11" s="51" t="n">
        <v>157</v>
      </c>
      <c r="E11" s="51" t="n">
        <v>66</v>
      </c>
      <c r="F11" s="51" t="n">
        <v>140</v>
      </c>
      <c r="G11" s="51" t="n"/>
      <c r="H11" s="51" t="n"/>
      <c r="I11" s="120">
        <f>MAX(D11:H11)</f>
        <v/>
      </c>
    </row>
    <row r="12" ht="30" customHeight="1">
      <c r="A12" s="51" t="n"/>
      <c r="B12" s="51" t="n">
        <v>12863</v>
      </c>
      <c r="C12" s="51">
        <f>INDEX(OfficialTeamList[Team Name],MATCH(RobotGameScores[[#This Row],[Team Number]], OfficialTeamList[Team Number],0))</f>
        <v/>
      </c>
      <c r="D12" s="51" t="n">
        <v>143</v>
      </c>
      <c r="E12" s="51" t="n">
        <v>136</v>
      </c>
      <c r="F12" s="51" t="n">
        <v>115</v>
      </c>
      <c r="G12" s="51" t="n"/>
      <c r="H12" s="51" t="n"/>
      <c r="I12" s="120">
        <f>MAX(D12:H12)</f>
        <v/>
      </c>
    </row>
  </sheetData>
  <conditionalFormatting sqref="A2:A12 D4:D12 F4:F12 H2:I12">
    <cfRule type="expression" priority="10" dxfId="76">
      <formula>MOD(ROW(),2)</formula>
    </cfRule>
    <cfRule type="expression" priority="9" dxfId="75">
      <formula>ROW()-NumberOfTeams=1</formula>
    </cfRule>
  </conditionalFormatting>
  <conditionalFormatting sqref="B2:C12 G2:G12">
    <cfRule type="expression" priority="8" dxfId="76">
      <formula>MOD(ROW(),2)</formula>
    </cfRule>
    <cfRule type="expression" priority="7" dxfId="75">
      <formula>ROW()-NumberOfTeams=1</formula>
    </cfRule>
  </conditionalFormatting>
  <conditionalFormatting sqref="D2:F2">
    <cfRule type="expression" priority="6" dxfId="76">
      <formula>MOD(ROW(),2)</formula>
    </cfRule>
    <cfRule type="expression" priority="5" dxfId="75">
      <formula>ROW()-NumberOfTeams=1</formula>
    </cfRule>
  </conditionalFormatting>
  <conditionalFormatting sqref="E4:E12">
    <cfRule type="expression" priority="4" dxfId="76">
      <formula>MOD(ROW(),2)</formula>
    </cfRule>
    <cfRule type="expression" priority="3" dxfId="75">
      <formula>ROW()-NumberOfTeams=1</formula>
    </cfRule>
  </conditionalFormatting>
  <conditionalFormatting sqref="D3:F3">
    <cfRule type="expression" priority="2" dxfId="76">
      <formula>MOD(ROW(),2)</formula>
    </cfRule>
    <cfRule type="expression" priority="1" dxfId="75">
      <formula>ROW()-NumberOfTeams=1</formula>
    </cfRule>
  </conditionalFormatting>
  <pageMargins left="0.7" right="0.7" top="0.75" bottom="0.75" header="0.3" footer="0.3"/>
  <pageSetup orientation="portrait" paperSize="9"/>
  <tableParts count="1">
    <tablePart xmlns:r="http://schemas.openxmlformats.org/officeDocument/2006/relationships" r:id="rId1"/>
  </tableParts>
</worksheet>
</file>

<file path=xl/worksheets/sheet6.xml><?xml version="1.0" encoding="utf-8"?>
<worksheet xmlns="http://schemas.openxmlformats.org/spreadsheetml/2006/main">
  <sheetPr codeName="Sheet7">
    <tabColor rgb="FF016DB6"/>
    <outlinePr summaryBelow="1" summaryRight="1"/>
    <pageSetUpPr fitToPage="1"/>
  </sheetPr>
  <dimension ref="A1:O12"/>
  <sheetViews>
    <sheetView showZeros="0" zoomScaleNormal="100" zoomScalePageLayoutView="130" workbookViewId="0">
      <selection activeCell="H6" sqref="H6"/>
    </sheetView>
  </sheetViews>
  <sheetFormatPr baseColWidth="8" defaultColWidth="8.42578125" defaultRowHeight="30" customHeight="1"/>
  <cols>
    <col width="15.42578125" customWidth="1" min="1" max="1"/>
    <col width="32.42578125" customWidth="1" min="2" max="2"/>
    <col width="7.42578125" customWidth="1" min="3" max="12"/>
    <col width="10.42578125" customWidth="1" min="13" max="13"/>
    <col width="15.42578125" customWidth="1" min="14" max="14"/>
    <col hidden="1" width="10.42578125" customWidth="1" style="36" min="15" max="15"/>
    <col width="8.42578125" customWidth="1" style="53" min="16" max="16"/>
  </cols>
  <sheetData>
    <row r="1" ht="170.25" customHeight="1">
      <c r="A1" s="94" t="inlineStr">
        <is>
          <t>Team Number</t>
        </is>
      </c>
      <c r="B1" s="95" t="inlineStr">
        <is>
          <t>Team Name</t>
        </is>
      </c>
      <c r="C1" s="121" t="inlineStr">
        <is>
          <t>Identify - Define</t>
        </is>
      </c>
      <c r="D1" s="121" t="inlineStr">
        <is>
          <t>Identify - Research (CV)</t>
        </is>
      </c>
      <c r="E1" s="121" t="inlineStr">
        <is>
          <t>Design - Plan</t>
        </is>
      </c>
      <c r="F1" s="121" t="inlineStr">
        <is>
          <t>Design - Teamwork (CV)</t>
        </is>
      </c>
      <c r="G1" s="121" t="inlineStr">
        <is>
          <t>Create - Innovation (CV)</t>
        </is>
      </c>
      <c r="H1" s="121" t="inlineStr">
        <is>
          <t>Create - Model</t>
        </is>
      </c>
      <c r="I1" s="121" t="inlineStr">
        <is>
          <t>Iterate - Sharing</t>
        </is>
      </c>
      <c r="J1" s="121" t="inlineStr">
        <is>
          <t>Iterate - Improvement</t>
        </is>
      </c>
      <c r="K1" s="121" t="inlineStr">
        <is>
          <t>Communicate - Impact (CV)</t>
        </is>
      </c>
      <c r="L1" s="121" t="inlineStr">
        <is>
          <t>Communicate - Fun (CV)</t>
        </is>
      </c>
      <c r="M1" s="122" t="inlineStr">
        <is>
          <t>Innovation Project Score</t>
        </is>
      </c>
      <c r="N1" s="123" t="inlineStr">
        <is>
          <t>Innovation Project Rank</t>
        </is>
      </c>
      <c r="O1" s="34" t="inlineStr">
        <is>
          <t>GIA Score</t>
        </is>
      </c>
    </row>
    <row r="2" ht="30" customHeight="1">
      <c r="A2" s="51" t="n">
        <v>12863</v>
      </c>
      <c r="B2" s="96">
        <f>IF(ISNA(INDEX(OfficialTeamList[Team Name],MATCH(InnovationProjectResults[[#This Row],[Team Number]], OfficialTeamList[Team Number],0))),"",INDEX(OfficialTeamList[Team Name],MATCH(InnovationProjectResults[[#This Row],[Team Number]], OfficialTeamList[Team Number],0)))</f>
        <v/>
      </c>
      <c r="C2" s="72" t="n">
        <v>4</v>
      </c>
      <c r="D2" s="72" t="n">
        <v>2</v>
      </c>
      <c r="E2" s="72" t="n">
        <v>3</v>
      </c>
      <c r="F2" s="72" t="n">
        <v>3</v>
      </c>
      <c r="G2" s="72" t="n">
        <v>2</v>
      </c>
      <c r="H2" s="72" t="n">
        <v>1</v>
      </c>
      <c r="I2" s="72" t="n">
        <v>3</v>
      </c>
      <c r="J2" s="72" t="n">
        <v>2</v>
      </c>
      <c r="K2" s="72" t="n">
        <v>3</v>
      </c>
      <c r="L2" s="72" t="n">
        <v>3</v>
      </c>
      <c r="M2" s="97">
        <f>SUM(InnovationProjectResults[[#This Row],[Identify - Define]:[Communicate - Fun (CV)]])</f>
        <v/>
      </c>
      <c r="N2" s="98">
        <f>IF(InnovationProjectResults[[#This Row],[Team Number]]&gt;0,MIN(_xlfn.RANK.EQ(InnovationProjectResults[[#This Row],[Innovation Project Score]],InnovationProjectResults[Innovation Project Score],0),NumberOfTeams),NumberOfTeams+1)</f>
        <v/>
      </c>
      <c r="O2" s="35">
        <f>SUM(InnovationProjectResults[[#This Row],[Design - Teamwork (CV)]:[Iterate - Sharing]])</f>
        <v/>
      </c>
    </row>
    <row r="3" ht="30" customHeight="1">
      <c r="A3" s="51" t="n">
        <v>35256</v>
      </c>
      <c r="B3" s="96">
        <f>IF(ISNA(INDEX(OfficialTeamList[Team Name],MATCH(InnovationProjectResults[[#This Row],[Team Number]], OfficialTeamList[Team Number],0))),"",INDEX(OfficialTeamList[Team Name],MATCH(InnovationProjectResults[[#This Row],[Team Number]], OfficialTeamList[Team Number],0)))</f>
        <v/>
      </c>
      <c r="C3" s="72" t="n">
        <v>1</v>
      </c>
      <c r="D3" s="72" t="n">
        <v>2</v>
      </c>
      <c r="E3" s="72" t="n">
        <v>2</v>
      </c>
      <c r="F3" s="72" t="n">
        <v>3</v>
      </c>
      <c r="G3" s="72" t="n">
        <v>1</v>
      </c>
      <c r="H3" s="72" t="n">
        <v>3</v>
      </c>
      <c r="I3" s="72" t="n">
        <v>2</v>
      </c>
      <c r="J3" s="72" t="n">
        <v>2</v>
      </c>
      <c r="K3" s="72" t="n">
        <v>2</v>
      </c>
      <c r="L3" s="72" t="n">
        <v>1</v>
      </c>
      <c r="M3" s="97">
        <f>SUM(InnovationProjectResults[[#This Row],[Identify - Define]:[Communicate - Fun (CV)]])</f>
        <v/>
      </c>
      <c r="N3" s="98">
        <f>IF(InnovationProjectResults[[#This Row],[Team Number]]&gt;0,MIN(_xlfn.RANK.EQ(InnovationProjectResults[[#This Row],[Innovation Project Score]],InnovationProjectResults[Innovation Project Score],0),NumberOfTeams),NumberOfTeams+1)</f>
        <v/>
      </c>
      <c r="O3" s="35">
        <f>SUM(InnovationProjectResults[[#This Row],[Design - Teamwork (CV)]:[Iterate - Sharing]])</f>
        <v/>
      </c>
    </row>
    <row r="4" ht="30" customHeight="1">
      <c r="A4" s="51" t="n">
        <v>41235</v>
      </c>
      <c r="B4" s="96">
        <f>IF(ISNA(INDEX(OfficialTeamList[Team Name],MATCH(InnovationProjectResults[[#This Row],[Team Number]], OfficialTeamList[Team Number],0))),"",INDEX(OfficialTeamList[Team Name],MATCH(InnovationProjectResults[[#This Row],[Team Number]], OfficialTeamList[Team Number],0)))</f>
        <v/>
      </c>
      <c r="C4" s="72" t="n">
        <v>3</v>
      </c>
      <c r="D4" s="72" t="n">
        <v>4</v>
      </c>
      <c r="E4" s="72" t="n">
        <v>3</v>
      </c>
      <c r="F4" s="72" t="n">
        <v>3</v>
      </c>
      <c r="G4" s="72" t="n">
        <v>3</v>
      </c>
      <c r="H4" s="72" t="n">
        <v>3</v>
      </c>
      <c r="I4" s="72" t="n">
        <v>3</v>
      </c>
      <c r="J4" s="72" t="n">
        <v>2</v>
      </c>
      <c r="K4" s="72" t="n">
        <v>1</v>
      </c>
      <c r="L4" s="72" t="n">
        <v>4</v>
      </c>
      <c r="M4" s="97">
        <f>SUM(InnovationProjectResults[[#This Row],[Identify - Define]:[Communicate - Fun (CV)]])</f>
        <v/>
      </c>
      <c r="N4" s="98">
        <f>IF(InnovationProjectResults[[#This Row],[Team Number]]&gt;0,MIN(_xlfn.RANK.EQ(InnovationProjectResults[[#This Row],[Innovation Project Score]],InnovationProjectResults[Innovation Project Score],0),NumberOfTeams),NumberOfTeams+1)</f>
        <v/>
      </c>
      <c r="O4" s="35">
        <f>SUM(InnovationProjectResults[[#This Row],[Design - Teamwork (CV)]:[Iterate - Sharing]])</f>
        <v/>
      </c>
    </row>
    <row r="5" ht="30" customHeight="1">
      <c r="A5" s="51" t="n">
        <v>46172</v>
      </c>
      <c r="B5" s="96">
        <f>IF(ISNA(INDEX(OfficialTeamList[Team Name],MATCH(InnovationProjectResults[[#This Row],[Team Number]], OfficialTeamList[Team Number],0))),"",INDEX(OfficialTeamList[Team Name],MATCH(InnovationProjectResults[[#This Row],[Team Number]], OfficialTeamList[Team Number],0)))</f>
        <v/>
      </c>
      <c r="C5" s="72" t="n">
        <v>2</v>
      </c>
      <c r="D5" s="72" t="n">
        <v>3</v>
      </c>
      <c r="E5" s="72" t="n">
        <v>4</v>
      </c>
      <c r="F5" s="72" t="n">
        <v>3</v>
      </c>
      <c r="G5" s="72" t="n">
        <v>4</v>
      </c>
      <c r="H5" s="72" t="n">
        <v>2</v>
      </c>
      <c r="I5" s="72" t="n">
        <v>4</v>
      </c>
      <c r="J5" s="72" t="n">
        <v>2</v>
      </c>
      <c r="K5" s="72" t="n">
        <v>4</v>
      </c>
      <c r="L5" s="72" t="n">
        <v>3</v>
      </c>
      <c r="M5" s="97">
        <f>SUM(InnovationProjectResults[[#This Row],[Identify - Define]:[Communicate - Fun (CV)]])</f>
        <v/>
      </c>
      <c r="N5" s="98">
        <f>IF(InnovationProjectResults[[#This Row],[Team Number]]&gt;0,MIN(_xlfn.RANK.EQ(InnovationProjectResults[[#This Row],[Innovation Project Score]],InnovationProjectResults[Innovation Project Score],0),NumberOfTeams),NumberOfTeams+1)</f>
        <v/>
      </c>
      <c r="O5" s="35">
        <f>SUM(InnovationProjectResults[[#This Row],[Design - Teamwork (CV)]:[Iterate - Sharing]])</f>
        <v/>
      </c>
    </row>
    <row r="6" ht="30" customHeight="1">
      <c r="A6" s="51" t="n">
        <v>68211</v>
      </c>
      <c r="B6" s="96">
        <f>IF(ISNA(INDEX(OfficialTeamList[Team Name],MATCH(InnovationProjectResults[[#This Row],[Team Number]], OfficialTeamList[Team Number],0))),"",INDEX(OfficialTeamList[Team Name],MATCH(InnovationProjectResults[[#This Row],[Team Number]], OfficialTeamList[Team Number],0)))</f>
        <v/>
      </c>
      <c r="C6" s="72" t="n">
        <v>2</v>
      </c>
      <c r="D6" s="72" t="n">
        <v>4</v>
      </c>
      <c r="E6" s="72" t="n">
        <v>1</v>
      </c>
      <c r="F6" s="72" t="n">
        <v>4</v>
      </c>
      <c r="G6" s="72" t="n">
        <v>1</v>
      </c>
      <c r="H6" s="72" t="n">
        <v>2</v>
      </c>
      <c r="I6" s="72" t="n">
        <v>4</v>
      </c>
      <c r="J6" s="72" t="n">
        <v>1</v>
      </c>
      <c r="K6" s="72" t="n">
        <v>3</v>
      </c>
      <c r="L6" s="72" t="n">
        <v>4</v>
      </c>
      <c r="M6" s="97">
        <f>SUM(InnovationProjectResults[[#This Row],[Identify - Define]:[Communicate - Fun (CV)]])</f>
        <v/>
      </c>
      <c r="N6" s="98">
        <f>IF(InnovationProjectResults[[#This Row],[Team Number]]&gt;0,MIN(_xlfn.RANK.EQ(InnovationProjectResults[[#This Row],[Innovation Project Score]],InnovationProjectResults[Innovation Project Score],0),NumberOfTeams),NumberOfTeams+1)</f>
        <v/>
      </c>
      <c r="O6" s="35">
        <f>SUM(InnovationProjectResults[[#This Row],[Design - Teamwork (CV)]:[Iterate - Sharing]])</f>
        <v/>
      </c>
    </row>
    <row r="7" ht="30" customHeight="1">
      <c r="A7" s="51" t="n">
        <v>71908</v>
      </c>
      <c r="B7" s="96">
        <f>IF(ISNA(INDEX(OfficialTeamList[Team Name],MATCH(InnovationProjectResults[[#This Row],[Team Number]], OfficialTeamList[Team Number],0))),"",INDEX(OfficialTeamList[Team Name],MATCH(InnovationProjectResults[[#This Row],[Team Number]], OfficialTeamList[Team Number],0)))</f>
        <v/>
      </c>
      <c r="C7" s="72" t="n">
        <v>3</v>
      </c>
      <c r="D7" s="72" t="n">
        <v>4</v>
      </c>
      <c r="E7" s="72" t="n">
        <v>3</v>
      </c>
      <c r="F7" s="72" t="n">
        <v>4</v>
      </c>
      <c r="G7" s="72" t="n">
        <v>1</v>
      </c>
      <c r="H7" s="72" t="n">
        <v>3</v>
      </c>
      <c r="I7" s="72" t="n">
        <v>3</v>
      </c>
      <c r="J7" s="72" t="n">
        <v>3</v>
      </c>
      <c r="K7" s="72" t="n">
        <v>2</v>
      </c>
      <c r="L7" s="72" t="n">
        <v>3</v>
      </c>
      <c r="M7" s="97">
        <f>SUM(InnovationProjectResults[[#This Row],[Identify - Define]:[Communicate - Fun (CV)]])</f>
        <v/>
      </c>
      <c r="N7" s="98">
        <f>IF(InnovationProjectResults[[#This Row],[Team Number]]&gt;0,MIN(_xlfn.RANK.EQ(InnovationProjectResults[[#This Row],[Innovation Project Score]],InnovationProjectResults[Innovation Project Score],0),NumberOfTeams),NumberOfTeams+1)</f>
        <v/>
      </c>
      <c r="O7" s="35">
        <f>SUM(InnovationProjectResults[[#This Row],[Design - Teamwork (CV)]:[Iterate - Sharing]])</f>
        <v/>
      </c>
    </row>
    <row r="8" ht="30" customHeight="1">
      <c r="A8" s="51" t="n">
        <v>75865</v>
      </c>
      <c r="B8" s="96">
        <f>IF(ISNA(INDEX(OfficialTeamList[Team Name],MATCH(InnovationProjectResults[[#This Row],[Team Number]], OfficialTeamList[Team Number],0))),"",INDEX(OfficialTeamList[Team Name],MATCH(InnovationProjectResults[[#This Row],[Team Number]], OfficialTeamList[Team Number],0)))</f>
        <v/>
      </c>
      <c r="C8" s="72" t="n">
        <v>3</v>
      </c>
      <c r="D8" s="72" t="n">
        <v>1</v>
      </c>
      <c r="E8" s="72" t="n">
        <v>3</v>
      </c>
      <c r="F8" s="72" t="n">
        <v>2</v>
      </c>
      <c r="G8" s="72" t="n">
        <v>1</v>
      </c>
      <c r="H8" s="72" t="n">
        <v>4</v>
      </c>
      <c r="I8" s="72" t="n">
        <v>2</v>
      </c>
      <c r="J8" s="72" t="n">
        <v>1</v>
      </c>
      <c r="K8" s="72" t="n">
        <v>2</v>
      </c>
      <c r="L8" s="72" t="n">
        <v>2</v>
      </c>
      <c r="M8" s="97">
        <f>SUM(InnovationProjectResults[[#This Row],[Identify - Define]:[Communicate - Fun (CV)]])</f>
        <v/>
      </c>
      <c r="N8" s="98">
        <f>IF(InnovationProjectResults[[#This Row],[Team Number]]&gt;0,MIN(_xlfn.RANK.EQ(InnovationProjectResults[[#This Row],[Innovation Project Score]],InnovationProjectResults[Innovation Project Score],0),NumberOfTeams),NumberOfTeams+1)</f>
        <v/>
      </c>
      <c r="O8" s="35">
        <f>SUM(InnovationProjectResults[[#This Row],[Design - Teamwork (CV)]:[Iterate - Sharing]])</f>
        <v/>
      </c>
    </row>
    <row r="9" ht="30" customHeight="1">
      <c r="A9" s="51" t="n">
        <v>87296</v>
      </c>
      <c r="B9" s="96">
        <f>IF(ISNA(INDEX(OfficialTeamList[Team Name],MATCH(InnovationProjectResults[[#This Row],[Team Number]], OfficialTeamList[Team Number],0))),"",INDEX(OfficialTeamList[Team Name],MATCH(InnovationProjectResults[[#This Row],[Team Number]], OfficialTeamList[Team Number],0)))</f>
        <v/>
      </c>
      <c r="C9" s="72" t="n">
        <v>3</v>
      </c>
      <c r="D9" s="72" t="n">
        <v>1</v>
      </c>
      <c r="E9" s="72" t="n">
        <v>3</v>
      </c>
      <c r="F9" s="72" t="n">
        <v>4</v>
      </c>
      <c r="G9" s="72" t="n">
        <v>3</v>
      </c>
      <c r="H9" s="72" t="n">
        <v>1</v>
      </c>
      <c r="I9" s="72" t="n">
        <v>3</v>
      </c>
      <c r="J9" s="72" t="n">
        <v>2</v>
      </c>
      <c r="K9" s="72" t="n">
        <v>1</v>
      </c>
      <c r="L9" s="72" t="n">
        <v>4</v>
      </c>
      <c r="M9" s="97">
        <f>SUM(InnovationProjectResults[[#This Row],[Identify - Define]:[Communicate - Fun (CV)]])</f>
        <v/>
      </c>
      <c r="N9" s="98">
        <f>IF(InnovationProjectResults[[#This Row],[Team Number]]&gt;0,MIN(_xlfn.RANK.EQ(InnovationProjectResults[[#This Row],[Innovation Project Score]],InnovationProjectResults[Innovation Project Score],0),NumberOfTeams),NumberOfTeams+1)</f>
        <v/>
      </c>
      <c r="O9" s="35">
        <f>SUM(InnovationProjectResults[[#This Row],[Design - Teamwork (CV)]:[Iterate - Sharing]])</f>
        <v/>
      </c>
    </row>
    <row r="10" ht="30" customHeight="1">
      <c r="A10" s="51" t="n">
        <v>90556</v>
      </c>
      <c r="B10" s="96">
        <f>IF(ISNA(INDEX(OfficialTeamList[Team Name],MATCH(InnovationProjectResults[[#This Row],[Team Number]], OfficialTeamList[Team Number],0))),"",INDEX(OfficialTeamList[Team Name],MATCH(InnovationProjectResults[[#This Row],[Team Number]], OfficialTeamList[Team Number],0)))</f>
        <v/>
      </c>
      <c r="C10" s="72" t="n">
        <v>2</v>
      </c>
      <c r="D10" s="72" t="n">
        <v>3</v>
      </c>
      <c r="E10" s="72" t="n">
        <v>2</v>
      </c>
      <c r="F10" s="72" t="n">
        <v>3</v>
      </c>
      <c r="G10" s="72" t="n">
        <v>3</v>
      </c>
      <c r="H10" s="72" t="n">
        <v>3</v>
      </c>
      <c r="I10" s="72" t="n">
        <v>3</v>
      </c>
      <c r="J10" s="72" t="n">
        <v>2</v>
      </c>
      <c r="K10" s="72" t="n">
        <v>2</v>
      </c>
      <c r="L10" s="72" t="n">
        <v>3</v>
      </c>
      <c r="M10" s="97">
        <f>SUM(InnovationProjectResults[[#This Row],[Identify - Define]:[Communicate - Fun (CV)]])</f>
        <v/>
      </c>
      <c r="N10" s="98">
        <f>IF(InnovationProjectResults[[#This Row],[Team Number]]&gt;0,MIN(_xlfn.RANK.EQ(InnovationProjectResults[[#This Row],[Innovation Project Score]],InnovationProjectResults[Innovation Project Score],0),NumberOfTeams),NumberOfTeams+1)</f>
        <v/>
      </c>
      <c r="O10" s="35">
        <f>SUM(InnovationProjectResults[[#This Row],[Design - Teamwork (CV)]:[Iterate - Sharing]])</f>
        <v/>
      </c>
    </row>
    <row r="11" ht="30" customHeight="1">
      <c r="A11" s="51" t="n">
        <v>92134</v>
      </c>
      <c r="B11" s="96">
        <f>IF(ISNA(INDEX(OfficialTeamList[Team Name],MATCH(InnovationProjectResults[[#This Row],[Team Number]], OfficialTeamList[Team Number],0))),"",INDEX(OfficialTeamList[Team Name],MATCH(InnovationProjectResults[[#This Row],[Team Number]], OfficialTeamList[Team Number],0)))</f>
        <v/>
      </c>
      <c r="C11" s="72" t="n">
        <v>1</v>
      </c>
      <c r="D11" s="72" t="n">
        <v>4</v>
      </c>
      <c r="E11" s="72" t="n">
        <v>3</v>
      </c>
      <c r="F11" s="72" t="n">
        <v>2</v>
      </c>
      <c r="G11" s="72" t="n">
        <v>4</v>
      </c>
      <c r="H11" s="72" t="n">
        <v>3</v>
      </c>
      <c r="I11" s="72" t="n">
        <v>2</v>
      </c>
      <c r="J11" s="72" t="n">
        <v>2</v>
      </c>
      <c r="K11" s="72" t="n">
        <v>2</v>
      </c>
      <c r="L11" s="72" t="n">
        <v>3</v>
      </c>
      <c r="M11" s="97">
        <f>SUM(InnovationProjectResults[[#This Row],[Identify - Define]:[Communicate - Fun (CV)]])</f>
        <v/>
      </c>
      <c r="N11" s="98">
        <f>IF(InnovationProjectResults[[#This Row],[Team Number]]&gt;0,MIN(_xlfn.RANK.EQ(InnovationProjectResults[[#This Row],[Innovation Project Score]],InnovationProjectResults[Innovation Project Score],0),NumberOfTeams),NumberOfTeams+1)</f>
        <v/>
      </c>
      <c r="O11" s="35">
        <f>SUM(InnovationProjectResults[[#This Row],[Design - Teamwork (CV)]:[Iterate - Sharing]])</f>
        <v/>
      </c>
    </row>
    <row r="12" ht="30" customHeight="1">
      <c r="A12" s="51" t="n">
        <v>93244</v>
      </c>
      <c r="B12" s="96">
        <f>IF(ISNA(INDEX(OfficialTeamList[Team Name],MATCH(InnovationProjectResults[[#This Row],[Team Number]], OfficialTeamList[Team Number],0))),"",INDEX(OfficialTeamList[Team Name],MATCH(InnovationProjectResults[[#This Row],[Team Number]], OfficialTeamList[Team Number],0)))</f>
        <v/>
      </c>
      <c r="C12" s="72" t="n">
        <v>2</v>
      </c>
      <c r="D12" s="72" t="n">
        <v>1</v>
      </c>
      <c r="E12" s="72" t="n">
        <v>2</v>
      </c>
      <c r="F12" s="72" t="n">
        <v>3</v>
      </c>
      <c r="G12" s="72" t="n">
        <v>4</v>
      </c>
      <c r="H12" s="72" t="n">
        <v>3</v>
      </c>
      <c r="I12" s="72" t="n">
        <v>4</v>
      </c>
      <c r="J12" s="72" t="n">
        <v>1</v>
      </c>
      <c r="K12" s="72" t="n">
        <v>1</v>
      </c>
      <c r="L12" s="72" t="n">
        <v>1</v>
      </c>
      <c r="M12" s="97">
        <f>SUM(InnovationProjectResults[[#This Row],[Identify - Define]:[Communicate - Fun (CV)]])</f>
        <v/>
      </c>
      <c r="N12" s="98">
        <f>IF(InnovationProjectResults[[#This Row],[Team Number]]&gt;0,MIN(_xlfn.RANK.EQ(InnovationProjectResults[[#This Row],[Innovation Project Score]],InnovationProjectResults[Innovation Project Score],0),NumberOfTeams),NumberOfTeams+1)</f>
        <v/>
      </c>
      <c r="O12" s="35">
        <f>SUM(InnovationProjectResults[[#This Row],[Design - Teamwork (CV)]:[Iterate - Sharing]])</f>
        <v/>
      </c>
    </row>
  </sheetData>
  <conditionalFormatting sqref="A2:B3 A4:N12 C3:N3 M2:N2">
    <cfRule type="expression" priority="9" dxfId="76">
      <formula>MOD(ROW(),2)</formula>
    </cfRule>
    <cfRule type="expression" priority="7" dxfId="75">
      <formula>ROW()-NumberOfTeams=1</formula>
    </cfRule>
  </conditionalFormatting>
  <conditionalFormatting sqref="O2:O12">
    <cfRule type="expression" priority="4" dxfId="76">
      <formula>MOD(ROW(),2)</formula>
    </cfRule>
    <cfRule type="expression" priority="3" dxfId="75">
      <formula>ROW()-NumberOfTeams=1</formula>
    </cfRule>
  </conditionalFormatting>
  <conditionalFormatting sqref="C2:L2">
    <cfRule type="expression" priority="2" dxfId="76">
      <formula>MOD(ROW(),2)</formula>
    </cfRule>
    <cfRule type="expression" priority="1" dxfId="75">
      <formula>ROW()-NumberOfTeams=1</formula>
    </cfRule>
  </conditionalFormatting>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7.xml><?xml version="1.0" encoding="utf-8"?>
<worksheet xmlns="http://schemas.openxmlformats.org/spreadsheetml/2006/main">
  <sheetPr codeName="Sheet8">
    <tabColor rgb="FF92D050"/>
    <outlinePr summaryBelow="1" summaryRight="1"/>
    <pageSetUpPr fitToPage="1"/>
  </sheetPr>
  <dimension ref="A1:N12"/>
  <sheetViews>
    <sheetView showZeros="0" tabSelected="1" zoomScaleNormal="100" zoomScalePageLayoutView="130" workbookViewId="0">
      <selection activeCell="H8" sqref="H8"/>
    </sheetView>
  </sheetViews>
  <sheetFormatPr baseColWidth="8" defaultColWidth="8.42578125" defaultRowHeight="30" customHeight="1"/>
  <cols>
    <col width="15.42578125" customWidth="1" min="1" max="1"/>
    <col width="32.42578125" customWidth="1" min="2" max="2"/>
    <col width="7.42578125" customWidth="1" min="3" max="12"/>
    <col width="10.42578125" customWidth="1" min="13" max="13"/>
    <col width="15.42578125" customWidth="1" min="14" max="14"/>
    <col width="8.42578125" customWidth="1" style="53" min="15" max="15"/>
  </cols>
  <sheetData>
    <row r="1" ht="170.25" customHeight="1">
      <c r="A1" s="94" t="inlineStr">
        <is>
          <t>Team Number</t>
        </is>
      </c>
      <c r="B1" s="95" t="inlineStr">
        <is>
          <t>Team Name</t>
        </is>
      </c>
      <c r="C1" s="99" t="inlineStr">
        <is>
          <t>Identify - Strategy</t>
        </is>
      </c>
      <c r="D1" s="99" t="inlineStr">
        <is>
          <t>Identify - Research (CV)</t>
        </is>
      </c>
      <c r="E1" s="99" t="inlineStr">
        <is>
          <t>Design - Ideas (CV)</t>
        </is>
      </c>
      <c r="F1" s="99" t="inlineStr">
        <is>
          <t>Design - Building/Coding</t>
        </is>
      </c>
      <c r="G1" s="99" t="inlineStr">
        <is>
          <t>Create - Attachments</t>
        </is>
      </c>
      <c r="H1" s="99" t="inlineStr">
        <is>
          <t>Create - Code/ Sensors</t>
        </is>
      </c>
      <c r="I1" s="99" t="inlineStr">
        <is>
          <t>Iterate - Testing</t>
        </is>
      </c>
      <c r="J1" s="99" t="inlineStr">
        <is>
          <t>Iterate - Improvements (CV)</t>
        </is>
      </c>
      <c r="K1" s="99" t="inlineStr">
        <is>
          <t>Communicate - Impact (CV)</t>
        </is>
      </c>
      <c r="L1" s="99" t="inlineStr">
        <is>
          <t>Communicate - Fun (CV)</t>
        </is>
      </c>
      <c r="M1" s="100" t="inlineStr">
        <is>
          <t>Robot Design Score</t>
        </is>
      </c>
      <c r="N1" s="101" t="inlineStr">
        <is>
          <t>Robot Design Rank</t>
        </is>
      </c>
    </row>
    <row r="2" ht="30" customHeight="1">
      <c r="A2" s="51" t="n">
        <v>93244</v>
      </c>
      <c r="B2" s="96">
        <f>IF(ISNA(INDEX(OfficialTeamList[Team Name],MATCH(RobotDesignResults[[#This Row],[Team Number]], OfficialTeamList[Team Number],0))),"",INDEX(OfficialTeamList[Team Name],MATCH(RobotDesignResults[[#This Row],[Team Number]], OfficialTeamList[Team Number],0)))</f>
        <v/>
      </c>
      <c r="C2" s="72" t="n">
        <v>3</v>
      </c>
      <c r="D2" s="72" t="n">
        <v>3</v>
      </c>
      <c r="E2" s="72" t="n">
        <v>3</v>
      </c>
      <c r="F2" s="72" t="n">
        <v>3</v>
      </c>
      <c r="G2" s="72" t="n">
        <v>2</v>
      </c>
      <c r="H2" s="72" t="n">
        <v>3</v>
      </c>
      <c r="I2" s="72" t="n">
        <v>4</v>
      </c>
      <c r="J2" s="72" t="n">
        <v>3</v>
      </c>
      <c r="K2" s="72" t="n">
        <v>3</v>
      </c>
      <c r="L2" s="72" t="n">
        <v>2</v>
      </c>
      <c r="M2" s="97">
        <f>SUM(RobotDesignResults[[#This Row],[Identify - Strategy]:[Communicate - Fun (CV)]])</f>
        <v/>
      </c>
      <c r="N2" s="98">
        <f>IF(RobotDesignResults[[#This Row],[Team Number]]&gt;0,MIN(_xlfn.RANK.EQ(RobotDesignResults[[#This Row],[Robot Design Score]],RobotDesignResults[Robot Design Score],0),NumberOfTeams),NumberOfTeams+1)</f>
        <v/>
      </c>
    </row>
    <row r="3" ht="30" customHeight="1">
      <c r="A3" s="51" t="n">
        <v>35256</v>
      </c>
      <c r="B3" s="96">
        <f>IF(ISNA(INDEX(OfficialTeamList[Team Name],MATCH(RobotDesignResults[[#This Row],[Team Number]], OfficialTeamList[Team Number],0))),"",INDEX(OfficialTeamList[Team Name],MATCH(RobotDesignResults[[#This Row],[Team Number]], OfficialTeamList[Team Number],0)))</f>
        <v/>
      </c>
      <c r="C3" s="72" t="n">
        <v>2</v>
      </c>
      <c r="D3" s="72" t="n">
        <v>3</v>
      </c>
      <c r="E3" s="72" t="n">
        <v>1</v>
      </c>
      <c r="F3" s="72" t="n">
        <v>4</v>
      </c>
      <c r="G3" s="72" t="n">
        <v>3</v>
      </c>
      <c r="H3" s="72" t="n">
        <v>3</v>
      </c>
      <c r="I3" s="72" t="n">
        <v>3</v>
      </c>
      <c r="J3" s="72" t="n">
        <v>2</v>
      </c>
      <c r="K3" s="72" t="n">
        <v>4</v>
      </c>
      <c r="L3" s="72" t="n">
        <v>2</v>
      </c>
      <c r="M3" s="97">
        <f>SUM(RobotDesignResults[[#This Row],[Identify - Strategy]:[Communicate - Fun (CV)]])</f>
        <v/>
      </c>
      <c r="N3" s="98">
        <f>IF(RobotDesignResults[[#This Row],[Team Number]]&gt;0,MIN(_xlfn.RANK.EQ(RobotDesignResults[[#This Row],[Robot Design Score]],RobotDesignResults[Robot Design Score],0),NumberOfTeams),NumberOfTeams+1)</f>
        <v/>
      </c>
    </row>
    <row r="4" ht="30" customHeight="1">
      <c r="A4" s="51" t="n">
        <v>41235</v>
      </c>
      <c r="B4" s="96">
        <f>IF(ISNA(INDEX(OfficialTeamList[Team Name],MATCH(RobotDesignResults[[#This Row],[Team Number]], OfficialTeamList[Team Number],0))),"",INDEX(OfficialTeamList[Team Name],MATCH(RobotDesignResults[[#This Row],[Team Number]], OfficialTeamList[Team Number],0)))</f>
        <v/>
      </c>
      <c r="C4" s="72" t="n">
        <v>2</v>
      </c>
      <c r="D4" s="72" t="n">
        <v>3</v>
      </c>
      <c r="E4" s="72" t="n">
        <v>3</v>
      </c>
      <c r="F4" s="72" t="n">
        <v>3</v>
      </c>
      <c r="G4" s="72" t="n">
        <v>2</v>
      </c>
      <c r="H4" s="72" t="n">
        <v>3</v>
      </c>
      <c r="I4" s="72" t="n">
        <v>2</v>
      </c>
      <c r="J4" s="72" t="n">
        <v>4</v>
      </c>
      <c r="K4" s="72" t="n">
        <v>2</v>
      </c>
      <c r="L4" s="72" t="n">
        <v>2</v>
      </c>
      <c r="M4" s="97">
        <f>SUM(RobotDesignResults[[#This Row],[Identify - Strategy]:[Communicate - Fun (CV)]])</f>
        <v/>
      </c>
      <c r="N4" s="98">
        <f>IF(RobotDesignResults[[#This Row],[Team Number]]&gt;0,MIN(_xlfn.RANK.EQ(RobotDesignResults[[#This Row],[Robot Design Score]],RobotDesignResults[Robot Design Score],0),NumberOfTeams),NumberOfTeams+1)</f>
        <v/>
      </c>
    </row>
    <row r="5" ht="30" customHeight="1">
      <c r="A5" s="51" t="n">
        <v>46172</v>
      </c>
      <c r="B5" s="96">
        <f>IF(ISNA(INDEX(OfficialTeamList[Team Name],MATCH(RobotDesignResults[[#This Row],[Team Number]], OfficialTeamList[Team Number],0))),"",INDEX(OfficialTeamList[Team Name],MATCH(RobotDesignResults[[#This Row],[Team Number]], OfficialTeamList[Team Number],0)))</f>
        <v/>
      </c>
      <c r="C5" s="72" t="n">
        <v>3</v>
      </c>
      <c r="D5" s="72" t="n">
        <v>3</v>
      </c>
      <c r="E5" s="72" t="n">
        <v>2</v>
      </c>
      <c r="F5" s="72" t="n">
        <v>2</v>
      </c>
      <c r="G5" s="72" t="n">
        <v>4</v>
      </c>
      <c r="H5" s="72" t="n">
        <v>3</v>
      </c>
      <c r="I5" s="72" t="n">
        <v>4</v>
      </c>
      <c r="J5" s="72" t="n">
        <v>1</v>
      </c>
      <c r="K5" s="72" t="n">
        <v>1</v>
      </c>
      <c r="L5" s="72" t="n">
        <v>3</v>
      </c>
      <c r="M5" s="97">
        <f>SUM(RobotDesignResults[[#This Row],[Identify - Strategy]:[Communicate - Fun (CV)]])</f>
        <v/>
      </c>
      <c r="N5" s="98">
        <f>IF(RobotDesignResults[[#This Row],[Team Number]]&gt;0,MIN(_xlfn.RANK.EQ(RobotDesignResults[[#This Row],[Robot Design Score]],RobotDesignResults[Robot Design Score],0),NumberOfTeams),NumberOfTeams+1)</f>
        <v/>
      </c>
    </row>
    <row r="6" ht="30" customHeight="1">
      <c r="A6" s="51" t="n">
        <v>12863</v>
      </c>
      <c r="B6" s="96">
        <f>IF(ISNA(INDEX(OfficialTeamList[Team Name],MATCH(RobotDesignResults[[#This Row],[Team Number]], OfficialTeamList[Team Number],0))),"",INDEX(OfficialTeamList[Team Name],MATCH(RobotDesignResults[[#This Row],[Team Number]], OfficialTeamList[Team Number],0)))</f>
        <v/>
      </c>
      <c r="C6" s="72" t="n">
        <v>1</v>
      </c>
      <c r="D6" s="72" t="n">
        <v>2</v>
      </c>
      <c r="E6" s="72" t="n">
        <v>3</v>
      </c>
      <c r="F6" s="72" t="n">
        <v>2</v>
      </c>
      <c r="G6" s="72" t="n">
        <v>3</v>
      </c>
      <c r="H6" s="72" t="n">
        <v>2</v>
      </c>
      <c r="I6" s="72" t="n">
        <v>4</v>
      </c>
      <c r="J6" s="72" t="n">
        <v>2</v>
      </c>
      <c r="K6" s="72" t="n">
        <v>2</v>
      </c>
      <c r="L6" s="72" t="n">
        <v>4</v>
      </c>
      <c r="M6" s="97">
        <f>SUM(RobotDesignResults[[#This Row],[Identify - Strategy]:[Communicate - Fun (CV)]])</f>
        <v/>
      </c>
      <c r="N6" s="98">
        <f>IF(RobotDesignResults[[#This Row],[Team Number]]&gt;0,MIN(_xlfn.RANK.EQ(RobotDesignResults[[#This Row],[Robot Design Score]],RobotDesignResults[Robot Design Score],0),NumberOfTeams),NumberOfTeams+1)</f>
        <v/>
      </c>
    </row>
    <row r="7" ht="30" customHeight="1">
      <c r="A7" s="51" t="n">
        <v>68211</v>
      </c>
      <c r="B7" s="96">
        <f>IF(ISNA(INDEX(OfficialTeamList[Team Name],MATCH(RobotDesignResults[[#This Row],[Team Number]], OfficialTeamList[Team Number],0))),"",INDEX(OfficialTeamList[Team Name],MATCH(RobotDesignResults[[#This Row],[Team Number]], OfficialTeamList[Team Number],0)))</f>
        <v/>
      </c>
      <c r="C7" s="72" t="n">
        <v>3</v>
      </c>
      <c r="D7" s="72" t="n">
        <v>1</v>
      </c>
      <c r="E7" s="72" t="n">
        <v>4</v>
      </c>
      <c r="F7" s="72" t="n">
        <v>3</v>
      </c>
      <c r="G7" s="72" t="n">
        <v>2</v>
      </c>
      <c r="H7" s="72" t="n">
        <v>2</v>
      </c>
      <c r="I7" s="72" t="n">
        <v>2</v>
      </c>
      <c r="J7" s="72" t="n">
        <v>4</v>
      </c>
      <c r="K7" s="72" t="n">
        <v>3</v>
      </c>
      <c r="L7" s="72" t="n">
        <v>1</v>
      </c>
      <c r="M7" s="97">
        <f>SUM(RobotDesignResults[[#This Row],[Identify - Strategy]:[Communicate - Fun (CV)]])</f>
        <v/>
      </c>
      <c r="N7" s="98">
        <f>IF(RobotDesignResults[[#This Row],[Team Number]]&gt;0,MIN(_xlfn.RANK.EQ(RobotDesignResults[[#This Row],[Robot Design Score]],RobotDesignResults[Robot Design Score],0),NumberOfTeams),NumberOfTeams+1)</f>
        <v/>
      </c>
    </row>
    <row r="8" ht="30" customHeight="1">
      <c r="A8" s="51" t="n">
        <v>92134</v>
      </c>
      <c r="B8" s="96">
        <f>IF(ISNA(INDEX(OfficialTeamList[Team Name],MATCH(RobotDesignResults[[#This Row],[Team Number]], OfficialTeamList[Team Number],0))),"",INDEX(OfficialTeamList[Team Name],MATCH(RobotDesignResults[[#This Row],[Team Number]], OfficialTeamList[Team Number],0)))</f>
        <v/>
      </c>
      <c r="C8" s="72" t="n">
        <v>3</v>
      </c>
      <c r="D8" s="72" t="n">
        <v>2</v>
      </c>
      <c r="E8" s="72" t="n">
        <v>2</v>
      </c>
      <c r="F8" s="72" t="n">
        <v>3</v>
      </c>
      <c r="G8" s="72" t="n">
        <v>2</v>
      </c>
      <c r="H8" s="72" t="n">
        <v>3</v>
      </c>
      <c r="I8" s="72" t="n">
        <v>3</v>
      </c>
      <c r="J8" s="72" t="n">
        <v>4</v>
      </c>
      <c r="K8" s="72" t="n">
        <v>1</v>
      </c>
      <c r="L8" s="72" t="n">
        <v>2</v>
      </c>
      <c r="M8" s="97">
        <f>SUM(RobotDesignResults[[#This Row],[Identify - Strategy]:[Communicate - Fun (CV)]])</f>
        <v/>
      </c>
      <c r="N8" s="98">
        <f>IF(RobotDesignResults[[#This Row],[Team Number]]&gt;0,MIN(_xlfn.RANK.EQ(RobotDesignResults[[#This Row],[Robot Design Score]],RobotDesignResults[Robot Design Score],0),NumberOfTeams),NumberOfTeams+1)</f>
        <v/>
      </c>
    </row>
    <row r="9" ht="30" customHeight="1">
      <c r="A9" s="51" t="n">
        <v>87296</v>
      </c>
      <c r="B9" s="96">
        <f>IF(ISNA(INDEX(OfficialTeamList[Team Name],MATCH(RobotDesignResults[[#This Row],[Team Number]], OfficialTeamList[Team Number],0))),"",INDEX(OfficialTeamList[Team Name],MATCH(RobotDesignResults[[#This Row],[Team Number]], OfficialTeamList[Team Number],0)))</f>
        <v/>
      </c>
      <c r="C9" s="72" t="n">
        <v>4</v>
      </c>
      <c r="D9" s="72" t="n">
        <v>1</v>
      </c>
      <c r="E9" s="72" t="n">
        <v>2</v>
      </c>
      <c r="F9" s="72" t="n">
        <v>3</v>
      </c>
      <c r="G9" s="72" t="n">
        <v>2</v>
      </c>
      <c r="H9" s="72" t="n">
        <v>3</v>
      </c>
      <c r="I9" s="72" t="n">
        <v>2</v>
      </c>
      <c r="J9" s="72" t="n">
        <v>3</v>
      </c>
      <c r="K9" s="72" t="n">
        <v>2</v>
      </c>
      <c r="L9" s="72" t="n">
        <v>2</v>
      </c>
      <c r="M9" s="97">
        <f>SUM(RobotDesignResults[[#This Row],[Identify - Strategy]:[Communicate - Fun (CV)]])</f>
        <v/>
      </c>
      <c r="N9" s="98">
        <f>IF(RobotDesignResults[[#This Row],[Team Number]]&gt;0,MIN(_xlfn.RANK.EQ(RobotDesignResults[[#This Row],[Robot Design Score]],RobotDesignResults[Robot Design Score],0),NumberOfTeams),NumberOfTeams+1)</f>
        <v/>
      </c>
    </row>
    <row r="10" ht="30" customHeight="1">
      <c r="A10" s="51" t="n">
        <v>71908</v>
      </c>
      <c r="B10" s="96">
        <f>IF(ISNA(INDEX(OfficialTeamList[Team Name],MATCH(RobotDesignResults[[#This Row],[Team Number]], OfficialTeamList[Team Number],0))),"",INDEX(OfficialTeamList[Team Name],MATCH(RobotDesignResults[[#This Row],[Team Number]], OfficialTeamList[Team Number],0)))</f>
        <v/>
      </c>
      <c r="C10" s="72" t="n">
        <v>3</v>
      </c>
      <c r="D10" s="72" t="n">
        <v>3</v>
      </c>
      <c r="E10" s="72" t="n">
        <v>2</v>
      </c>
      <c r="F10" s="72" t="n">
        <v>1</v>
      </c>
      <c r="G10" s="72" t="n">
        <v>1</v>
      </c>
      <c r="H10" s="72" t="n">
        <v>2</v>
      </c>
      <c r="I10" s="72" t="n">
        <v>1</v>
      </c>
      <c r="J10" s="72" t="n">
        <v>3</v>
      </c>
      <c r="K10" s="72" t="n">
        <v>3</v>
      </c>
      <c r="L10" s="72" t="n">
        <v>3</v>
      </c>
      <c r="M10" s="97">
        <f>SUM(RobotDesignResults[[#This Row],[Identify - Strategy]:[Communicate - Fun (CV)]])</f>
        <v/>
      </c>
      <c r="N10" s="98">
        <f>IF(RobotDesignResults[[#This Row],[Team Number]]&gt;0,MIN(_xlfn.RANK.EQ(RobotDesignResults[[#This Row],[Robot Design Score]],RobotDesignResults[Robot Design Score],0),NumberOfTeams),NumberOfTeams+1)</f>
        <v/>
      </c>
    </row>
    <row r="11" ht="30" customHeight="1">
      <c r="A11" s="51" t="n">
        <v>90556</v>
      </c>
      <c r="B11" s="96">
        <f>IF(ISNA(INDEX(OfficialTeamList[Team Name],MATCH(RobotDesignResults[[#This Row],[Team Number]], OfficialTeamList[Team Number],0))),"",INDEX(OfficialTeamList[Team Name],MATCH(RobotDesignResults[[#This Row],[Team Number]], OfficialTeamList[Team Number],0)))</f>
        <v/>
      </c>
      <c r="C11" s="72" t="n">
        <v>2</v>
      </c>
      <c r="D11" s="72" t="n">
        <v>2</v>
      </c>
      <c r="E11" s="72" t="n">
        <v>3</v>
      </c>
      <c r="F11" s="72" t="n">
        <v>1</v>
      </c>
      <c r="G11" s="72" t="n">
        <v>3</v>
      </c>
      <c r="H11" s="72" t="n">
        <v>2</v>
      </c>
      <c r="I11" s="72" t="n">
        <v>1</v>
      </c>
      <c r="J11" s="72" t="n">
        <v>3</v>
      </c>
      <c r="K11" s="72" t="n">
        <v>1</v>
      </c>
      <c r="L11" s="72" t="n">
        <v>3</v>
      </c>
      <c r="M11" s="97">
        <f>SUM(RobotDesignResults[[#This Row],[Identify - Strategy]:[Communicate - Fun (CV)]])</f>
        <v/>
      </c>
      <c r="N11" s="98">
        <f>IF(RobotDesignResults[[#This Row],[Team Number]]&gt;0,MIN(_xlfn.RANK.EQ(RobotDesignResults[[#This Row],[Robot Design Score]],RobotDesignResults[Robot Design Score],0),NumberOfTeams),NumberOfTeams+1)</f>
        <v/>
      </c>
    </row>
    <row r="12" ht="30" customHeight="1">
      <c r="A12" s="51" t="n">
        <v>75865</v>
      </c>
      <c r="B12" s="96">
        <f>IF(ISNA(INDEX(OfficialTeamList[Team Name],MATCH(RobotDesignResults[[#This Row],[Team Number]], OfficialTeamList[Team Number],0))),"",INDEX(OfficialTeamList[Team Name],MATCH(RobotDesignResults[[#This Row],[Team Number]], OfficialTeamList[Team Number],0)))</f>
        <v/>
      </c>
      <c r="C12" s="72" t="n">
        <v>2</v>
      </c>
      <c r="D12" s="72" t="n">
        <v>2</v>
      </c>
      <c r="E12" s="72" t="n">
        <v>1</v>
      </c>
      <c r="F12" s="72" t="n">
        <v>2</v>
      </c>
      <c r="G12" s="72" t="n">
        <v>2</v>
      </c>
      <c r="H12" s="72" t="n">
        <v>2</v>
      </c>
      <c r="I12" s="72" t="n">
        <v>1</v>
      </c>
      <c r="J12" s="72" t="n">
        <v>2</v>
      </c>
      <c r="K12" s="72" t="n">
        <v>3</v>
      </c>
      <c r="L12" s="72" t="n">
        <v>1</v>
      </c>
      <c r="M12" s="97">
        <f>SUM(RobotDesignResults[[#This Row],[Identify - Strategy]:[Communicate - Fun (CV)]])</f>
        <v/>
      </c>
      <c r="N12" s="98">
        <f>IF(RobotDesignResults[[#This Row],[Team Number]]&gt;0,MIN(_xlfn.RANK.EQ(RobotDesignResults[[#This Row],[Robot Design Score]],RobotDesignResults[Robot Design Score],0),NumberOfTeams),NumberOfTeams+1)</f>
        <v/>
      </c>
    </row>
  </sheetData>
  <conditionalFormatting sqref="A2:B12 M2:N12">
    <cfRule type="expression" priority="7" dxfId="76">
      <formula>MOD(ROW(),2)</formula>
    </cfRule>
    <cfRule type="expression" priority="5" dxfId="75">
      <formula>ROW()-NumberOfTeams=1</formula>
    </cfRule>
  </conditionalFormatting>
  <conditionalFormatting sqref="C2:L12">
    <cfRule type="expression" priority="2" dxfId="76">
      <formula>MOD(ROW(),2)</formula>
    </cfRule>
    <cfRule type="expression" priority="1" dxfId="75">
      <formula>ROW()-NumberOfTeams=1</formula>
    </cfRule>
  </conditionalFormatting>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8.xml><?xml version="1.0" encoding="utf-8"?>
<worksheet xmlns="http://schemas.openxmlformats.org/spreadsheetml/2006/main">
  <sheetPr codeName="Sheet6">
    <tabColor rgb="FFFF0000"/>
    <outlinePr summaryBelow="1" summaryRight="1"/>
    <pageSetUpPr fitToPage="1"/>
  </sheetPr>
  <dimension ref="A1:AD12"/>
  <sheetViews>
    <sheetView showZeros="0" zoomScaleNormal="100" zoomScalePageLayoutView="140" workbookViewId="0">
      <selection activeCell="M3" sqref="M3"/>
    </sheetView>
  </sheetViews>
  <sheetFormatPr baseColWidth="8" defaultColWidth="8.42578125" defaultRowHeight="30" customHeight="1"/>
  <cols>
    <col width="15.42578125" customWidth="1" min="1" max="1"/>
    <col width="32.42578125" customWidth="1" min="2" max="2"/>
    <col width="7" customWidth="1" style="73" min="3" max="3"/>
    <col width="5.85546875" customWidth="1" style="73" min="4" max="5"/>
    <col width="6.28515625" customWidth="1" style="73" min="6" max="6"/>
    <col width="5.85546875" customWidth="1" style="73" min="7" max="12"/>
    <col width="7.42578125" customWidth="1" min="13" max="15"/>
    <col hidden="1" width="7.42578125" customWidth="1" min="16" max="19"/>
    <col width="7.42578125" customWidth="1" min="20" max="20"/>
    <col width="10.42578125" customWidth="1" min="21" max="21"/>
    <col width="15.42578125" customWidth="1" min="22" max="22"/>
    <col width="10.42578125" customWidth="1" min="23" max="25"/>
    <col width="8.42578125" customWidth="1" style="53" min="26" max="26"/>
    <col hidden="1" width="13" customWidth="1" min="29" max="31"/>
  </cols>
  <sheetData>
    <row r="1" ht="189.75" customHeight="1">
      <c r="A1" s="94" t="inlineStr">
        <is>
          <t>Team Number</t>
        </is>
      </c>
      <c r="B1" s="95" t="inlineStr">
        <is>
          <t>Team Name</t>
        </is>
      </c>
      <c r="C1" s="102" t="inlineStr">
        <is>
          <t>Identify - Research (CV-IP)</t>
        </is>
      </c>
      <c r="D1" s="102" t="inlineStr">
        <is>
          <t>Design - Teamwork (CV-IP)</t>
        </is>
      </c>
      <c r="E1" s="102" t="inlineStr">
        <is>
          <t>Create - Innovation (CV-IP)</t>
        </is>
      </c>
      <c r="F1" s="102" t="inlineStr">
        <is>
          <t>Communicate - Impact (CV-IP)</t>
        </is>
      </c>
      <c r="G1" s="102" t="inlineStr">
        <is>
          <t>Communicate - Fun (CV-IP)</t>
        </is>
      </c>
      <c r="H1" s="102" t="inlineStr">
        <is>
          <t>Identify - Research (CV-RD)</t>
        </is>
      </c>
      <c r="I1" s="102" t="inlineStr">
        <is>
          <t>Design - Ideas (CV-RD)</t>
        </is>
      </c>
      <c r="J1" s="102" t="inlineStr">
        <is>
          <t>Iterate - Improvements (CV-RD)</t>
        </is>
      </c>
      <c r="K1" s="102" t="inlineStr">
        <is>
          <t>Communicate - Impact (CV-RD)</t>
        </is>
      </c>
      <c r="L1" s="102" t="inlineStr">
        <is>
          <t>Communicate - Fun (CV-RD)</t>
        </is>
      </c>
      <c r="M1" s="103" t="inlineStr">
        <is>
          <t>Gracious Professionalism 1</t>
        </is>
      </c>
      <c r="N1" s="103" t="inlineStr">
        <is>
          <t>Gracious Professionalism 2</t>
        </is>
      </c>
      <c r="O1" s="103" t="inlineStr">
        <is>
          <t>Gracious Professionalism 3</t>
        </is>
      </c>
      <c r="P1" s="103" t="inlineStr">
        <is>
          <t>Gracious Professionalism 4</t>
        </is>
      </c>
      <c r="Q1" s="103" t="inlineStr">
        <is>
          <t>Gracious Professionalism 5</t>
        </is>
      </c>
      <c r="R1" s="104" t="inlineStr">
        <is>
          <t>Gracious Professionalism Empty Count</t>
        </is>
      </c>
      <c r="S1" s="104" t="inlineStr">
        <is>
          <t>Gracious Professionalism Total</t>
        </is>
      </c>
      <c r="T1" s="105" t="inlineStr">
        <is>
          <t>Gracious Professionalism Score</t>
        </is>
      </c>
      <c r="U1" s="106" t="inlineStr">
        <is>
          <t>Core Values Score</t>
        </is>
      </c>
      <c r="V1" s="106" t="inlineStr">
        <is>
          <t>Core Values Rank</t>
        </is>
      </c>
      <c r="W1" s="107" t="inlineStr">
        <is>
          <t>Breakthrough Selection</t>
        </is>
      </c>
      <c r="X1" s="107" t="inlineStr">
        <is>
          <t>Rising All-Star Selection</t>
        </is>
      </c>
      <c r="Y1" s="107" t="inlineStr">
        <is>
          <t>Motivate Selection</t>
        </is>
      </c>
      <c r="AD1" s="44" t="n"/>
    </row>
    <row r="2" ht="30" customHeight="1">
      <c r="A2" s="51" t="n">
        <v>41235</v>
      </c>
      <c r="B2" s="96">
        <f>IF(ISNA(INDEX(OfficialTeamList[Team Name],MATCH(CoreValuesResults[[#This Row],[Team Number]], OfficialTeamList[Team Number],0))),"",INDEX(OfficialTeamList[Team Name],MATCH(CoreValuesResults[[#This Row],[Team Number]], OfficialTeamList[Team Number],0)))</f>
        <v/>
      </c>
      <c r="C2" s="112">
        <f>INDEX(InnovationProjectResults[Identify - Research (CV)],MATCH(CoreValuesResults[[#This Row],[Team Number]],InnovationProjectResults[Team Number],0))</f>
        <v/>
      </c>
      <c r="D2" s="112">
        <f>INDEX(InnovationProjectResults[Design - Teamwork (CV)],MATCH(CoreValuesResults[[#This Row],[Team Number]],InnovationProjectResults[Team Number],0))</f>
        <v/>
      </c>
      <c r="E2" s="112">
        <f>INDEX(InnovationProjectResults[Create - Innovation (CV)],MATCH(CoreValuesResults[[#This Row],[Team Number]],InnovationProjectResults[Team Number],0))</f>
        <v/>
      </c>
      <c r="F2" s="112">
        <f>INDEX(InnovationProjectResults[Communicate - Impact (CV)],MATCH(CoreValuesResults[[#This Row],[Team Number]],InnovationProjectResults[Team Number],0))</f>
        <v/>
      </c>
      <c r="G2" s="112">
        <f>INDEX(InnovationProjectResults[Communicate - Fun (CV)],MATCH(CoreValuesResults[[#This Row],[Team Number]],InnovationProjectResults[Team Number],0))</f>
        <v/>
      </c>
      <c r="H2" s="112">
        <f>INDEX(RobotDesignResults[Identify - Research (CV)],MATCH(CoreValuesResults[[#This Row],[Team Number]],RobotDesignResults[Team Number],0))</f>
        <v/>
      </c>
      <c r="I2" s="112">
        <f>INDEX(RobotDesignResults[Design - Ideas (CV)],MATCH(CoreValuesResults[[#This Row],[Team Number]],RobotDesignResults[Team Number],0))</f>
        <v/>
      </c>
      <c r="J2" s="112">
        <f>INDEX(RobotDesignResults[Iterate - Improvements (CV)],MATCH(CoreValuesResults[[#This Row],[Team Number]],RobotDesignResults[Team Number],0))</f>
        <v/>
      </c>
      <c r="K2" s="112">
        <f>INDEX(RobotDesignResults[Communicate - Impact (CV)],MATCH(CoreValuesResults[[#This Row],[Team Number]],RobotDesignResults[Team Number],0))</f>
        <v/>
      </c>
      <c r="L2" s="112">
        <f>INDEX(RobotDesignResults[Communicate - Fun (CV)],MATCH(CoreValuesResults[[#This Row],[Team Number]],RobotDesignResults[Team Number],0))</f>
        <v/>
      </c>
      <c r="M2" s="72" t="n">
        <v>3</v>
      </c>
      <c r="N2" s="72" t="n">
        <v>3</v>
      </c>
      <c r="O2" s="72" t="n">
        <v>3</v>
      </c>
      <c r="P2" s="51" t="n"/>
      <c r="Q2" s="51" t="n"/>
      <c r="R2" s="51">
        <f>IF(CoreValuesResults[[#This Row],[Gracious Professionalism 1]]="","",COUNTIF(CoreValuesResults[[#This Row],[Gracious Professionalism 1]:[Gracious Professionalism 5]],""))</f>
        <v/>
      </c>
      <c r="S2" s="51">
        <f>IF(CoreValuesResults[[#This Row],[Gracious Professionalism 1]]="","",SUM(CoreValuesResults[[#This Row],[Gracious Professionalism 1]:[Gracious Professionalism 5]]))</f>
        <v/>
      </c>
      <c r="T2"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2" s="108">
        <f>SUM(CoreValuesResults[[#This Row],[Identify - Research (CV-IP)]:[Communicate - Fun (CV-RD)]],CoreValuesResults[[#This Row],[Gracious Professionalism Score]])</f>
        <v/>
      </c>
      <c r="V2" s="98">
        <f>IF(CoreValuesResults[[#This Row],[Team Number]]&gt;0,MIN(_xlfn.RANK.EQ(CoreValuesResults[[#This Row],[Core Values Score]],CoreValuesResults[Core Values Score],0),NumberOfTeams),NumberOfTeams+1)</f>
        <v/>
      </c>
      <c r="W2" s="109" t="n"/>
      <c r="X2" s="109" t="n"/>
      <c r="Y2" s="109" t="n"/>
      <c r="AD2" s="44" t="n"/>
    </row>
    <row r="3" ht="30" customHeight="1">
      <c r="A3" s="51" t="n">
        <v>68211</v>
      </c>
      <c r="B3" s="96">
        <f>IF(ISNA(INDEX(OfficialTeamList[Team Name],MATCH(CoreValuesResults[[#This Row],[Team Number]], OfficialTeamList[Team Number],0))),"",INDEX(OfficialTeamList[Team Name],MATCH(CoreValuesResults[[#This Row],[Team Number]], OfficialTeamList[Team Number],0)))</f>
        <v/>
      </c>
      <c r="C3" s="112">
        <f>INDEX(InnovationProjectResults[Identify - Research (CV)],MATCH(CoreValuesResults[[#This Row],[Team Number]],InnovationProjectResults[Team Number],0))</f>
        <v/>
      </c>
      <c r="D3" s="112">
        <f>INDEX(InnovationProjectResults[Design - Teamwork (CV)],MATCH(CoreValuesResults[[#This Row],[Team Number]],InnovationProjectResults[Team Number],0))</f>
        <v/>
      </c>
      <c r="E3" s="112">
        <f>INDEX(InnovationProjectResults[Create - Innovation (CV)],MATCH(CoreValuesResults[[#This Row],[Team Number]],InnovationProjectResults[Team Number],0))</f>
        <v/>
      </c>
      <c r="F3" s="112">
        <f>INDEX(InnovationProjectResults[Communicate - Impact (CV)],MATCH(CoreValuesResults[[#This Row],[Team Number]],InnovationProjectResults[Team Number],0))</f>
        <v/>
      </c>
      <c r="G3" s="112">
        <f>INDEX(InnovationProjectResults[Communicate - Fun (CV)],MATCH(CoreValuesResults[[#This Row],[Team Number]],InnovationProjectResults[Team Number],0))</f>
        <v/>
      </c>
      <c r="H3" s="112">
        <f>INDEX(RobotDesignResults[Identify - Research (CV)],MATCH(CoreValuesResults[[#This Row],[Team Number]],RobotDesignResults[Team Number],0))</f>
        <v/>
      </c>
      <c r="I3" s="112">
        <f>INDEX(RobotDesignResults[Design - Ideas (CV)],MATCH(CoreValuesResults[[#This Row],[Team Number]],RobotDesignResults[Team Number],0))</f>
        <v/>
      </c>
      <c r="J3" s="112">
        <f>INDEX(RobotDesignResults[Iterate - Improvements (CV)],MATCH(CoreValuesResults[[#This Row],[Team Number]],RobotDesignResults[Team Number],0))</f>
        <v/>
      </c>
      <c r="K3" s="112">
        <f>INDEX(RobotDesignResults[Communicate - Impact (CV)],MATCH(CoreValuesResults[[#This Row],[Team Number]],RobotDesignResults[Team Number],0))</f>
        <v/>
      </c>
      <c r="L3" s="112">
        <f>INDEX(RobotDesignResults[Communicate - Fun (CV)],MATCH(CoreValuesResults[[#This Row],[Team Number]],RobotDesignResults[Team Number],0))</f>
        <v/>
      </c>
      <c r="M3" s="72" t="n">
        <v>2</v>
      </c>
      <c r="N3" s="72" t="n">
        <v>3</v>
      </c>
      <c r="O3" s="72" t="n">
        <v>1</v>
      </c>
      <c r="P3" s="51" t="n"/>
      <c r="Q3" s="51" t="n"/>
      <c r="R3" s="51">
        <f>IF(CoreValuesResults[[#This Row],[Gracious Professionalism 1]]="","",COUNTIF(CoreValuesResults[[#This Row],[Gracious Professionalism 1]:[Gracious Professionalism 5]],""))</f>
        <v/>
      </c>
      <c r="S3" s="51">
        <f>IF(CoreValuesResults[[#This Row],[Gracious Professionalism 1]]="","",SUM(CoreValuesResults[[#This Row],[Gracious Professionalism 1]:[Gracious Professionalism 5]]))</f>
        <v/>
      </c>
      <c r="T3"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3" s="108">
        <f>SUM(CoreValuesResults[[#This Row],[Identify - Research (CV-IP)]:[Communicate - Fun (CV-RD)]],CoreValuesResults[[#This Row],[Gracious Professionalism Score]])</f>
        <v/>
      </c>
      <c r="V3" s="98">
        <f>IF(CoreValuesResults[[#This Row],[Team Number]]&gt;0,MIN(_xlfn.RANK.EQ(CoreValuesResults[[#This Row],[Core Values Score]],CoreValuesResults[Core Values Score],0),NumberOfTeams),NumberOfTeams+1)</f>
        <v/>
      </c>
      <c r="W3" s="109" t="n"/>
      <c r="X3" s="109" t="n"/>
      <c r="Y3" s="109" t="n"/>
      <c r="AD3" s="44" t="n"/>
    </row>
    <row r="4" ht="30" customHeight="1">
      <c r="A4" s="51" t="n">
        <v>71908</v>
      </c>
      <c r="B4" s="96">
        <f>IF(ISNA(INDEX(OfficialTeamList[Team Name],MATCH(CoreValuesResults[[#This Row],[Team Number]], OfficialTeamList[Team Number],0))),"",INDEX(OfficialTeamList[Team Name],MATCH(CoreValuesResults[[#This Row],[Team Number]], OfficialTeamList[Team Number],0)))</f>
        <v/>
      </c>
      <c r="C4" s="112">
        <f>INDEX(InnovationProjectResults[Identify - Research (CV)],MATCH(CoreValuesResults[[#This Row],[Team Number]],InnovationProjectResults[Team Number],0))</f>
        <v/>
      </c>
      <c r="D4" s="112">
        <f>INDEX(InnovationProjectResults[Design - Teamwork (CV)],MATCH(CoreValuesResults[[#This Row],[Team Number]],InnovationProjectResults[Team Number],0))</f>
        <v/>
      </c>
      <c r="E4" s="112">
        <f>INDEX(InnovationProjectResults[Create - Innovation (CV)],MATCH(CoreValuesResults[[#This Row],[Team Number]],InnovationProjectResults[Team Number],0))</f>
        <v/>
      </c>
      <c r="F4" s="112">
        <f>INDEX(InnovationProjectResults[Communicate - Impact (CV)],MATCH(CoreValuesResults[[#This Row],[Team Number]],InnovationProjectResults[Team Number],0))</f>
        <v/>
      </c>
      <c r="G4" s="112">
        <f>INDEX(InnovationProjectResults[Communicate - Fun (CV)],MATCH(CoreValuesResults[[#This Row],[Team Number]],InnovationProjectResults[Team Number],0))</f>
        <v/>
      </c>
      <c r="H4" s="112">
        <f>INDEX(RobotDesignResults[Identify - Research (CV)],MATCH(CoreValuesResults[[#This Row],[Team Number]],RobotDesignResults[Team Number],0))</f>
        <v/>
      </c>
      <c r="I4" s="112">
        <f>INDEX(RobotDesignResults[Design - Ideas (CV)],MATCH(CoreValuesResults[[#This Row],[Team Number]],RobotDesignResults[Team Number],0))</f>
        <v/>
      </c>
      <c r="J4" s="112">
        <f>INDEX(RobotDesignResults[Iterate - Improvements (CV)],MATCH(CoreValuesResults[[#This Row],[Team Number]],RobotDesignResults[Team Number],0))</f>
        <v/>
      </c>
      <c r="K4" s="112">
        <f>INDEX(RobotDesignResults[Communicate - Impact (CV)],MATCH(CoreValuesResults[[#This Row],[Team Number]],RobotDesignResults[Team Number],0))</f>
        <v/>
      </c>
      <c r="L4" s="112">
        <f>INDEX(RobotDesignResults[Communicate - Fun (CV)],MATCH(CoreValuesResults[[#This Row],[Team Number]],RobotDesignResults[Team Number],0))</f>
        <v/>
      </c>
      <c r="M4" s="72" t="n">
        <v>2</v>
      </c>
      <c r="N4" s="72" t="n">
        <v>2</v>
      </c>
      <c r="O4" s="72" t="n">
        <v>2</v>
      </c>
      <c r="P4" s="51" t="n"/>
      <c r="Q4" s="51" t="n"/>
      <c r="R4" s="51">
        <f>IF(CoreValuesResults[[#This Row],[Gracious Professionalism 1]]="","",COUNTIF(CoreValuesResults[[#This Row],[Gracious Professionalism 1]:[Gracious Professionalism 5]],""))</f>
        <v/>
      </c>
      <c r="S4" s="51">
        <f>IF(CoreValuesResults[[#This Row],[Gracious Professionalism 1]]="","",SUM(CoreValuesResults[[#This Row],[Gracious Professionalism 1]:[Gracious Professionalism 5]]))</f>
        <v/>
      </c>
      <c r="T4"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4" s="108">
        <f>SUM(CoreValuesResults[[#This Row],[Identify - Research (CV-IP)]:[Communicate - Fun (CV-RD)]],CoreValuesResults[[#This Row],[Gracious Professionalism Score]])</f>
        <v/>
      </c>
      <c r="V4" s="98">
        <f>IF(CoreValuesResults[[#This Row],[Team Number]]&gt;0,MIN(_xlfn.RANK.EQ(CoreValuesResults[[#This Row],[Core Values Score]],CoreValuesResults[Core Values Score],0),NumberOfTeams),NumberOfTeams+1)</f>
        <v/>
      </c>
      <c r="W4" s="109" t="n"/>
      <c r="X4" s="109" t="n"/>
      <c r="Y4" s="109" t="n"/>
      <c r="AD4" s="44" t="n"/>
    </row>
    <row r="5" ht="30" customHeight="1">
      <c r="A5" s="51" t="n">
        <v>90556</v>
      </c>
      <c r="B5" s="96">
        <f>IF(ISNA(INDEX(OfficialTeamList[Team Name],MATCH(CoreValuesResults[[#This Row],[Team Number]], OfficialTeamList[Team Number],0))),"",INDEX(OfficialTeamList[Team Name],MATCH(CoreValuesResults[[#This Row],[Team Number]], OfficialTeamList[Team Number],0)))</f>
        <v/>
      </c>
      <c r="C5" s="112">
        <f>INDEX(InnovationProjectResults[Identify - Research (CV)],MATCH(CoreValuesResults[[#This Row],[Team Number]],InnovationProjectResults[Team Number],0))</f>
        <v/>
      </c>
      <c r="D5" s="112">
        <f>INDEX(InnovationProjectResults[Design - Teamwork (CV)],MATCH(CoreValuesResults[[#This Row],[Team Number]],InnovationProjectResults[Team Number],0))</f>
        <v/>
      </c>
      <c r="E5" s="112">
        <f>INDEX(InnovationProjectResults[Create - Innovation (CV)],MATCH(CoreValuesResults[[#This Row],[Team Number]],InnovationProjectResults[Team Number],0))</f>
        <v/>
      </c>
      <c r="F5" s="112">
        <f>INDEX(InnovationProjectResults[Communicate - Impact (CV)],MATCH(CoreValuesResults[[#This Row],[Team Number]],InnovationProjectResults[Team Number],0))</f>
        <v/>
      </c>
      <c r="G5" s="112">
        <f>INDEX(InnovationProjectResults[Communicate - Fun (CV)],MATCH(CoreValuesResults[[#This Row],[Team Number]],InnovationProjectResults[Team Number],0))</f>
        <v/>
      </c>
      <c r="H5" s="112">
        <f>INDEX(RobotDesignResults[Identify - Research (CV)],MATCH(CoreValuesResults[[#This Row],[Team Number]],RobotDesignResults[Team Number],0))</f>
        <v/>
      </c>
      <c r="I5" s="112">
        <f>INDEX(RobotDesignResults[Design - Ideas (CV)],MATCH(CoreValuesResults[[#This Row],[Team Number]],RobotDesignResults[Team Number],0))</f>
        <v/>
      </c>
      <c r="J5" s="112">
        <f>INDEX(RobotDesignResults[Iterate - Improvements (CV)],MATCH(CoreValuesResults[[#This Row],[Team Number]],RobotDesignResults[Team Number],0))</f>
        <v/>
      </c>
      <c r="K5" s="112">
        <f>INDEX(RobotDesignResults[Communicate - Impact (CV)],MATCH(CoreValuesResults[[#This Row],[Team Number]],RobotDesignResults[Team Number],0))</f>
        <v/>
      </c>
      <c r="L5" s="112">
        <f>INDEX(RobotDesignResults[Communicate - Fun (CV)],MATCH(CoreValuesResults[[#This Row],[Team Number]],RobotDesignResults[Team Number],0))</f>
        <v/>
      </c>
      <c r="M5" s="72" t="n">
        <v>2</v>
      </c>
      <c r="N5" s="72" t="n">
        <v>3</v>
      </c>
      <c r="O5" s="72" t="n">
        <v>3</v>
      </c>
      <c r="P5" s="51" t="n"/>
      <c r="Q5" s="51" t="n"/>
      <c r="R5" s="51">
        <f>IF(CoreValuesResults[[#This Row],[Gracious Professionalism 1]]="","",COUNTIF(CoreValuesResults[[#This Row],[Gracious Professionalism 1]:[Gracious Professionalism 5]],""))</f>
        <v/>
      </c>
      <c r="S5" s="51">
        <f>IF(CoreValuesResults[[#This Row],[Gracious Professionalism 1]]="","",SUM(CoreValuesResults[[#This Row],[Gracious Professionalism 1]:[Gracious Professionalism 5]]))</f>
        <v/>
      </c>
      <c r="T5"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5" s="108">
        <f>SUM(CoreValuesResults[[#This Row],[Identify - Research (CV-IP)]:[Communicate - Fun (CV-RD)]],CoreValuesResults[[#This Row],[Gracious Professionalism Score]])</f>
        <v/>
      </c>
      <c r="V5" s="98">
        <f>IF(CoreValuesResults[[#This Row],[Team Number]]&gt;0,MIN(_xlfn.RANK.EQ(CoreValuesResults[[#This Row],[Core Values Score]],CoreValuesResults[Core Values Score],0),NumberOfTeams),NumberOfTeams+1)</f>
        <v/>
      </c>
      <c r="W5" s="109" t="n"/>
      <c r="X5" s="109" t="n"/>
      <c r="Y5" s="109" t="n"/>
    </row>
    <row r="6" ht="30" customHeight="1">
      <c r="A6" s="51" t="n">
        <v>46172</v>
      </c>
      <c r="B6" s="96">
        <f>IF(ISNA(INDEX(OfficialTeamList[Team Name],MATCH(CoreValuesResults[[#This Row],[Team Number]], OfficialTeamList[Team Number],0))),"",INDEX(OfficialTeamList[Team Name],MATCH(CoreValuesResults[[#This Row],[Team Number]], OfficialTeamList[Team Number],0)))</f>
        <v/>
      </c>
      <c r="C6" s="112">
        <f>INDEX(InnovationProjectResults[Identify - Research (CV)],MATCH(CoreValuesResults[[#This Row],[Team Number]],InnovationProjectResults[Team Number],0))</f>
        <v/>
      </c>
      <c r="D6" s="112">
        <f>INDEX(InnovationProjectResults[Design - Teamwork (CV)],MATCH(CoreValuesResults[[#This Row],[Team Number]],InnovationProjectResults[Team Number],0))</f>
        <v/>
      </c>
      <c r="E6" s="112">
        <f>INDEX(InnovationProjectResults[Create - Innovation (CV)],MATCH(CoreValuesResults[[#This Row],[Team Number]],InnovationProjectResults[Team Number],0))</f>
        <v/>
      </c>
      <c r="F6" s="112">
        <f>INDEX(InnovationProjectResults[Communicate - Impact (CV)],MATCH(CoreValuesResults[[#This Row],[Team Number]],InnovationProjectResults[Team Number],0))</f>
        <v/>
      </c>
      <c r="G6" s="112">
        <f>INDEX(InnovationProjectResults[Communicate - Fun (CV)],MATCH(CoreValuesResults[[#This Row],[Team Number]],InnovationProjectResults[Team Number],0))</f>
        <v/>
      </c>
      <c r="H6" s="112">
        <f>INDEX(RobotDesignResults[Identify - Research (CV)],MATCH(CoreValuesResults[[#This Row],[Team Number]],RobotDesignResults[Team Number],0))</f>
        <v/>
      </c>
      <c r="I6" s="112">
        <f>INDEX(RobotDesignResults[Design - Ideas (CV)],MATCH(CoreValuesResults[[#This Row],[Team Number]],RobotDesignResults[Team Number],0))</f>
        <v/>
      </c>
      <c r="J6" s="112">
        <f>INDEX(RobotDesignResults[Iterate - Improvements (CV)],MATCH(CoreValuesResults[[#This Row],[Team Number]],RobotDesignResults[Team Number],0))</f>
        <v/>
      </c>
      <c r="K6" s="112">
        <f>INDEX(RobotDesignResults[Communicate - Impact (CV)],MATCH(CoreValuesResults[[#This Row],[Team Number]],RobotDesignResults[Team Number],0))</f>
        <v/>
      </c>
      <c r="L6" s="112">
        <f>INDEX(RobotDesignResults[Communicate - Fun (CV)],MATCH(CoreValuesResults[[#This Row],[Team Number]],RobotDesignResults[Team Number],0))</f>
        <v/>
      </c>
      <c r="M6" s="72" t="n">
        <v>3</v>
      </c>
      <c r="N6" s="72" t="n">
        <v>2</v>
      </c>
      <c r="O6" s="72" t="n">
        <v>1</v>
      </c>
      <c r="P6" s="51" t="n"/>
      <c r="Q6" s="51" t="n"/>
      <c r="R6" s="51">
        <f>IF(CoreValuesResults[[#This Row],[Gracious Professionalism 1]]="","",COUNTIF(CoreValuesResults[[#This Row],[Gracious Professionalism 1]:[Gracious Professionalism 5]],""))</f>
        <v/>
      </c>
      <c r="S6" s="51">
        <f>IF(CoreValuesResults[[#This Row],[Gracious Professionalism 1]]="","",SUM(CoreValuesResults[[#This Row],[Gracious Professionalism 1]:[Gracious Professionalism 5]]))</f>
        <v/>
      </c>
      <c r="T6"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6" s="108">
        <f>SUM(CoreValuesResults[[#This Row],[Identify - Research (CV-IP)]:[Communicate - Fun (CV-RD)]],CoreValuesResults[[#This Row],[Gracious Professionalism Score]])</f>
        <v/>
      </c>
      <c r="V6" s="98">
        <f>IF(CoreValuesResults[[#This Row],[Team Number]]&gt;0,MIN(_xlfn.RANK.EQ(CoreValuesResults[[#This Row],[Core Values Score]],CoreValuesResults[Core Values Score],0),NumberOfTeams),NumberOfTeams+1)</f>
        <v/>
      </c>
      <c r="W6" s="109" t="n"/>
      <c r="X6" s="109" t="n"/>
      <c r="Y6" s="109" t="n"/>
    </row>
    <row r="7" ht="30" customHeight="1">
      <c r="A7" s="51" t="n">
        <v>12863</v>
      </c>
      <c r="B7" s="96">
        <f>IF(ISNA(INDEX(OfficialTeamList[Team Name],MATCH(CoreValuesResults[[#This Row],[Team Number]], OfficialTeamList[Team Number],0))),"",INDEX(OfficialTeamList[Team Name],MATCH(CoreValuesResults[[#This Row],[Team Number]], OfficialTeamList[Team Number],0)))</f>
        <v/>
      </c>
      <c r="C7" s="112">
        <f>INDEX(InnovationProjectResults[Identify - Research (CV)],MATCH(CoreValuesResults[[#This Row],[Team Number]],InnovationProjectResults[Team Number],0))</f>
        <v/>
      </c>
      <c r="D7" s="112">
        <f>INDEX(InnovationProjectResults[Design - Teamwork (CV)],MATCH(CoreValuesResults[[#This Row],[Team Number]],InnovationProjectResults[Team Number],0))</f>
        <v/>
      </c>
      <c r="E7" s="112">
        <f>INDEX(InnovationProjectResults[Create - Innovation (CV)],MATCH(CoreValuesResults[[#This Row],[Team Number]],InnovationProjectResults[Team Number],0))</f>
        <v/>
      </c>
      <c r="F7" s="112">
        <f>INDEX(InnovationProjectResults[Communicate - Impact (CV)],MATCH(CoreValuesResults[[#This Row],[Team Number]],InnovationProjectResults[Team Number],0))</f>
        <v/>
      </c>
      <c r="G7" s="112">
        <f>INDEX(InnovationProjectResults[Communicate - Fun (CV)],MATCH(CoreValuesResults[[#This Row],[Team Number]],InnovationProjectResults[Team Number],0))</f>
        <v/>
      </c>
      <c r="H7" s="112">
        <f>INDEX(RobotDesignResults[Identify - Research (CV)],MATCH(CoreValuesResults[[#This Row],[Team Number]],RobotDesignResults[Team Number],0))</f>
        <v/>
      </c>
      <c r="I7" s="112">
        <f>INDEX(RobotDesignResults[Design - Ideas (CV)],MATCH(CoreValuesResults[[#This Row],[Team Number]],RobotDesignResults[Team Number],0))</f>
        <v/>
      </c>
      <c r="J7" s="112">
        <f>INDEX(RobotDesignResults[Iterate - Improvements (CV)],MATCH(CoreValuesResults[[#This Row],[Team Number]],RobotDesignResults[Team Number],0))</f>
        <v/>
      </c>
      <c r="K7" s="112">
        <f>INDEX(RobotDesignResults[Communicate - Impact (CV)],MATCH(CoreValuesResults[[#This Row],[Team Number]],RobotDesignResults[Team Number],0))</f>
        <v/>
      </c>
      <c r="L7" s="112">
        <f>INDEX(RobotDesignResults[Communicate - Fun (CV)],MATCH(CoreValuesResults[[#This Row],[Team Number]],RobotDesignResults[Team Number],0))</f>
        <v/>
      </c>
      <c r="M7" s="72" t="n">
        <v>2</v>
      </c>
      <c r="N7" s="72" t="n">
        <v>1</v>
      </c>
      <c r="O7" s="72" t="n">
        <v>2</v>
      </c>
      <c r="P7" s="51" t="n"/>
      <c r="Q7" s="51" t="n"/>
      <c r="R7" s="51">
        <f>IF(CoreValuesResults[[#This Row],[Gracious Professionalism 1]]="","",COUNTIF(CoreValuesResults[[#This Row],[Gracious Professionalism 1]:[Gracious Professionalism 5]],""))</f>
        <v/>
      </c>
      <c r="S7" s="51">
        <f>IF(CoreValuesResults[[#This Row],[Gracious Professionalism 1]]="","",SUM(CoreValuesResults[[#This Row],[Gracious Professionalism 1]:[Gracious Professionalism 5]]))</f>
        <v/>
      </c>
      <c r="T7"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7" s="108">
        <f>SUM(CoreValuesResults[[#This Row],[Identify - Research (CV-IP)]:[Communicate - Fun (CV-RD)]],CoreValuesResults[[#This Row],[Gracious Professionalism Score]])</f>
        <v/>
      </c>
      <c r="V7" s="98">
        <f>IF(CoreValuesResults[[#This Row],[Team Number]]&gt;0,MIN(_xlfn.RANK.EQ(CoreValuesResults[[#This Row],[Core Values Score]],CoreValuesResults[Core Values Score],0),NumberOfTeams),NumberOfTeams+1)</f>
        <v/>
      </c>
      <c r="W7" s="109" t="n"/>
      <c r="X7" s="109" t="n"/>
      <c r="Y7" s="109" t="n"/>
    </row>
    <row r="8" ht="30" customHeight="1">
      <c r="A8" s="51" t="n">
        <v>92134</v>
      </c>
      <c r="B8" s="96">
        <f>IF(ISNA(INDEX(OfficialTeamList[Team Name],MATCH(CoreValuesResults[[#This Row],[Team Number]], OfficialTeamList[Team Number],0))),"",INDEX(OfficialTeamList[Team Name],MATCH(CoreValuesResults[[#This Row],[Team Number]], OfficialTeamList[Team Number],0)))</f>
        <v/>
      </c>
      <c r="C8" s="112">
        <f>INDEX(InnovationProjectResults[Identify - Research (CV)],MATCH(CoreValuesResults[[#This Row],[Team Number]],InnovationProjectResults[Team Number],0))</f>
        <v/>
      </c>
      <c r="D8" s="112">
        <f>INDEX(InnovationProjectResults[Design - Teamwork (CV)],MATCH(CoreValuesResults[[#This Row],[Team Number]],InnovationProjectResults[Team Number],0))</f>
        <v/>
      </c>
      <c r="E8" s="112">
        <f>INDEX(InnovationProjectResults[Create - Innovation (CV)],MATCH(CoreValuesResults[[#This Row],[Team Number]],InnovationProjectResults[Team Number],0))</f>
        <v/>
      </c>
      <c r="F8" s="112">
        <f>INDEX(InnovationProjectResults[Communicate - Impact (CV)],MATCH(CoreValuesResults[[#This Row],[Team Number]],InnovationProjectResults[Team Number],0))</f>
        <v/>
      </c>
      <c r="G8" s="112">
        <f>INDEX(InnovationProjectResults[Communicate - Fun (CV)],MATCH(CoreValuesResults[[#This Row],[Team Number]],InnovationProjectResults[Team Number],0))</f>
        <v/>
      </c>
      <c r="H8" s="112">
        <f>INDEX(RobotDesignResults[Identify - Research (CV)],MATCH(CoreValuesResults[[#This Row],[Team Number]],RobotDesignResults[Team Number],0))</f>
        <v/>
      </c>
      <c r="I8" s="112">
        <f>INDEX(RobotDesignResults[Design - Ideas (CV)],MATCH(CoreValuesResults[[#This Row],[Team Number]],RobotDesignResults[Team Number],0))</f>
        <v/>
      </c>
      <c r="J8" s="112">
        <f>INDEX(RobotDesignResults[Iterate - Improvements (CV)],MATCH(CoreValuesResults[[#This Row],[Team Number]],RobotDesignResults[Team Number],0))</f>
        <v/>
      </c>
      <c r="K8" s="112">
        <f>INDEX(RobotDesignResults[Communicate - Impact (CV)],MATCH(CoreValuesResults[[#This Row],[Team Number]],RobotDesignResults[Team Number],0))</f>
        <v/>
      </c>
      <c r="L8" s="112">
        <f>INDEX(RobotDesignResults[Communicate - Fun (CV)],MATCH(CoreValuesResults[[#This Row],[Team Number]],RobotDesignResults[Team Number],0))</f>
        <v/>
      </c>
      <c r="M8" s="72" t="n">
        <v>2</v>
      </c>
      <c r="N8" s="72" t="n">
        <v>2</v>
      </c>
      <c r="O8" s="72" t="n">
        <v>1</v>
      </c>
      <c r="P8" s="51" t="n"/>
      <c r="Q8" s="51" t="n"/>
      <c r="R8" s="51">
        <f>IF(CoreValuesResults[[#This Row],[Gracious Professionalism 1]]="","",COUNTIF(CoreValuesResults[[#This Row],[Gracious Professionalism 1]:[Gracious Professionalism 5]],""))</f>
        <v/>
      </c>
      <c r="S8" s="51">
        <f>IF(CoreValuesResults[[#This Row],[Gracious Professionalism 1]]="","",SUM(CoreValuesResults[[#This Row],[Gracious Professionalism 1]:[Gracious Professionalism 5]]))</f>
        <v/>
      </c>
      <c r="T8"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8" s="108">
        <f>SUM(CoreValuesResults[[#This Row],[Identify - Research (CV-IP)]:[Communicate - Fun (CV-RD)]],CoreValuesResults[[#This Row],[Gracious Professionalism Score]])</f>
        <v/>
      </c>
      <c r="V8" s="98">
        <f>IF(CoreValuesResults[[#This Row],[Team Number]]&gt;0,MIN(_xlfn.RANK.EQ(CoreValuesResults[[#This Row],[Core Values Score]],CoreValuesResults[Core Values Score],0),NumberOfTeams),NumberOfTeams+1)</f>
        <v/>
      </c>
      <c r="W8" s="109" t="n"/>
      <c r="X8" s="109" t="n"/>
      <c r="Y8" s="109" t="n"/>
    </row>
    <row r="9" ht="30" customHeight="1">
      <c r="A9" s="51" t="n">
        <v>93244</v>
      </c>
      <c r="B9" s="96">
        <f>IF(ISNA(INDEX(OfficialTeamList[Team Name],MATCH(CoreValuesResults[[#This Row],[Team Number]], OfficialTeamList[Team Number],0))),"",INDEX(OfficialTeamList[Team Name],MATCH(CoreValuesResults[[#This Row],[Team Number]], OfficialTeamList[Team Number],0)))</f>
        <v/>
      </c>
      <c r="C9" s="112">
        <f>INDEX(InnovationProjectResults[Identify - Research (CV)],MATCH(CoreValuesResults[[#This Row],[Team Number]],InnovationProjectResults[Team Number],0))</f>
        <v/>
      </c>
      <c r="D9" s="112">
        <f>INDEX(InnovationProjectResults[Design - Teamwork (CV)],MATCH(CoreValuesResults[[#This Row],[Team Number]],InnovationProjectResults[Team Number],0))</f>
        <v/>
      </c>
      <c r="E9" s="112">
        <f>INDEX(InnovationProjectResults[Create - Innovation (CV)],MATCH(CoreValuesResults[[#This Row],[Team Number]],InnovationProjectResults[Team Number],0))</f>
        <v/>
      </c>
      <c r="F9" s="112">
        <f>INDEX(InnovationProjectResults[Communicate - Impact (CV)],MATCH(CoreValuesResults[[#This Row],[Team Number]],InnovationProjectResults[Team Number],0))</f>
        <v/>
      </c>
      <c r="G9" s="112">
        <f>INDEX(InnovationProjectResults[Communicate - Fun (CV)],MATCH(CoreValuesResults[[#This Row],[Team Number]],InnovationProjectResults[Team Number],0))</f>
        <v/>
      </c>
      <c r="H9" s="112">
        <f>INDEX(RobotDesignResults[Identify - Research (CV)],MATCH(CoreValuesResults[[#This Row],[Team Number]],RobotDesignResults[Team Number],0))</f>
        <v/>
      </c>
      <c r="I9" s="112">
        <f>INDEX(RobotDesignResults[Design - Ideas (CV)],MATCH(CoreValuesResults[[#This Row],[Team Number]],RobotDesignResults[Team Number],0))</f>
        <v/>
      </c>
      <c r="J9" s="112">
        <f>INDEX(RobotDesignResults[Iterate - Improvements (CV)],MATCH(CoreValuesResults[[#This Row],[Team Number]],RobotDesignResults[Team Number],0))</f>
        <v/>
      </c>
      <c r="K9" s="112">
        <f>INDEX(RobotDesignResults[Communicate - Impact (CV)],MATCH(CoreValuesResults[[#This Row],[Team Number]],RobotDesignResults[Team Number],0))</f>
        <v/>
      </c>
      <c r="L9" s="112">
        <f>INDEX(RobotDesignResults[Communicate - Fun (CV)],MATCH(CoreValuesResults[[#This Row],[Team Number]],RobotDesignResults[Team Number],0))</f>
        <v/>
      </c>
      <c r="M9" s="72" t="n">
        <v>2</v>
      </c>
      <c r="N9" s="72" t="n">
        <v>1</v>
      </c>
      <c r="O9" s="72" t="n">
        <v>3</v>
      </c>
      <c r="P9" s="51" t="n"/>
      <c r="Q9" s="51" t="n"/>
      <c r="R9" s="51">
        <f>IF(CoreValuesResults[[#This Row],[Gracious Professionalism 1]]="","",COUNTIF(CoreValuesResults[[#This Row],[Gracious Professionalism 1]:[Gracious Professionalism 5]],""))</f>
        <v/>
      </c>
      <c r="S9" s="51">
        <f>IF(CoreValuesResults[[#This Row],[Gracious Professionalism 1]]="","",SUM(CoreValuesResults[[#This Row],[Gracious Professionalism 1]:[Gracious Professionalism 5]]))</f>
        <v/>
      </c>
      <c r="T9"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9" s="108">
        <f>SUM(CoreValuesResults[[#This Row],[Identify - Research (CV-IP)]:[Communicate - Fun (CV-RD)]],CoreValuesResults[[#This Row],[Gracious Professionalism Score]])</f>
        <v/>
      </c>
      <c r="V9" s="98">
        <f>IF(CoreValuesResults[[#This Row],[Team Number]]&gt;0,MIN(_xlfn.RANK.EQ(CoreValuesResults[[#This Row],[Core Values Score]],CoreValuesResults[Core Values Score],0),NumberOfTeams),NumberOfTeams+1)</f>
        <v/>
      </c>
      <c r="W9" s="109" t="n"/>
      <c r="X9" s="109" t="n"/>
      <c r="Y9" s="109" t="n"/>
    </row>
    <row r="10" ht="30" customHeight="1">
      <c r="A10" s="51" t="n">
        <v>87296</v>
      </c>
      <c r="B10" s="96">
        <f>IF(ISNA(INDEX(OfficialTeamList[Team Name],MATCH(CoreValuesResults[[#This Row],[Team Number]], OfficialTeamList[Team Number],0))),"",INDEX(OfficialTeamList[Team Name],MATCH(CoreValuesResults[[#This Row],[Team Number]], OfficialTeamList[Team Number],0)))</f>
        <v/>
      </c>
      <c r="C10" s="112">
        <f>INDEX(InnovationProjectResults[Identify - Research (CV)],MATCH(CoreValuesResults[[#This Row],[Team Number]],InnovationProjectResults[Team Number],0))</f>
        <v/>
      </c>
      <c r="D10" s="112">
        <f>INDEX(InnovationProjectResults[Design - Teamwork (CV)],MATCH(CoreValuesResults[[#This Row],[Team Number]],InnovationProjectResults[Team Number],0))</f>
        <v/>
      </c>
      <c r="E10" s="112">
        <f>INDEX(InnovationProjectResults[Create - Innovation (CV)],MATCH(CoreValuesResults[[#This Row],[Team Number]],InnovationProjectResults[Team Number],0))</f>
        <v/>
      </c>
      <c r="F10" s="112">
        <f>INDEX(InnovationProjectResults[Communicate - Impact (CV)],MATCH(CoreValuesResults[[#This Row],[Team Number]],InnovationProjectResults[Team Number],0))</f>
        <v/>
      </c>
      <c r="G10" s="112">
        <f>INDEX(InnovationProjectResults[Communicate - Fun (CV)],MATCH(CoreValuesResults[[#This Row],[Team Number]],InnovationProjectResults[Team Number],0))</f>
        <v/>
      </c>
      <c r="H10" s="112">
        <f>INDEX(RobotDesignResults[Identify - Research (CV)],MATCH(CoreValuesResults[[#This Row],[Team Number]],RobotDesignResults[Team Number],0))</f>
        <v/>
      </c>
      <c r="I10" s="112">
        <f>INDEX(RobotDesignResults[Design - Ideas (CV)],MATCH(CoreValuesResults[[#This Row],[Team Number]],RobotDesignResults[Team Number],0))</f>
        <v/>
      </c>
      <c r="J10" s="112">
        <f>INDEX(RobotDesignResults[Iterate - Improvements (CV)],MATCH(CoreValuesResults[[#This Row],[Team Number]],RobotDesignResults[Team Number],0))</f>
        <v/>
      </c>
      <c r="K10" s="112">
        <f>INDEX(RobotDesignResults[Communicate - Impact (CV)],MATCH(CoreValuesResults[[#This Row],[Team Number]],RobotDesignResults[Team Number],0))</f>
        <v/>
      </c>
      <c r="L10" s="112">
        <f>INDEX(RobotDesignResults[Communicate - Fun (CV)],MATCH(CoreValuesResults[[#This Row],[Team Number]],RobotDesignResults[Team Number],0))</f>
        <v/>
      </c>
      <c r="M10" s="72" t="n">
        <v>1</v>
      </c>
      <c r="N10" s="72" t="n">
        <v>2</v>
      </c>
      <c r="O10" s="72" t="n">
        <v>3</v>
      </c>
      <c r="P10" s="51" t="n"/>
      <c r="Q10" s="51" t="n"/>
      <c r="R10" s="51">
        <f>IF(CoreValuesResults[[#This Row],[Gracious Professionalism 1]]="","",COUNTIF(CoreValuesResults[[#This Row],[Gracious Professionalism 1]:[Gracious Professionalism 5]],""))</f>
        <v/>
      </c>
      <c r="S10" s="51">
        <f>IF(CoreValuesResults[[#This Row],[Gracious Professionalism 1]]="","",SUM(CoreValuesResults[[#This Row],[Gracious Professionalism 1]:[Gracious Professionalism 5]]))</f>
        <v/>
      </c>
      <c r="T10"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0" s="108">
        <f>SUM(CoreValuesResults[[#This Row],[Identify - Research (CV-IP)]:[Communicate - Fun (CV-RD)]],CoreValuesResults[[#This Row],[Gracious Professionalism Score]])</f>
        <v/>
      </c>
      <c r="V10" s="98">
        <f>IF(CoreValuesResults[[#This Row],[Team Number]]&gt;0,MIN(_xlfn.RANK.EQ(CoreValuesResults[[#This Row],[Core Values Score]],CoreValuesResults[Core Values Score],0),NumberOfTeams),NumberOfTeams+1)</f>
        <v/>
      </c>
      <c r="W10" s="109" t="n"/>
      <c r="X10" s="109" t="n"/>
      <c r="Y10" s="109" t="n"/>
    </row>
    <row r="11" ht="30" customHeight="1">
      <c r="A11" s="51" t="n">
        <v>35256</v>
      </c>
      <c r="B11" s="96">
        <f>IF(ISNA(INDEX(OfficialTeamList[Team Name],MATCH(CoreValuesResults[[#This Row],[Team Number]], OfficialTeamList[Team Number],0))),"",INDEX(OfficialTeamList[Team Name],MATCH(CoreValuesResults[[#This Row],[Team Number]], OfficialTeamList[Team Number],0)))</f>
        <v/>
      </c>
      <c r="C11" s="112">
        <f>INDEX(InnovationProjectResults[Identify - Research (CV)],MATCH(CoreValuesResults[[#This Row],[Team Number]],InnovationProjectResults[Team Number],0))</f>
        <v/>
      </c>
      <c r="D11" s="112">
        <f>INDEX(InnovationProjectResults[Design - Teamwork (CV)],MATCH(CoreValuesResults[[#This Row],[Team Number]],InnovationProjectResults[Team Number],0))</f>
        <v/>
      </c>
      <c r="E11" s="112">
        <f>INDEX(InnovationProjectResults[Create - Innovation (CV)],MATCH(CoreValuesResults[[#This Row],[Team Number]],InnovationProjectResults[Team Number],0))</f>
        <v/>
      </c>
      <c r="F11" s="112">
        <f>INDEX(InnovationProjectResults[Communicate - Impact (CV)],MATCH(CoreValuesResults[[#This Row],[Team Number]],InnovationProjectResults[Team Number],0))</f>
        <v/>
      </c>
      <c r="G11" s="112">
        <f>INDEX(InnovationProjectResults[Communicate - Fun (CV)],MATCH(CoreValuesResults[[#This Row],[Team Number]],InnovationProjectResults[Team Number],0))</f>
        <v/>
      </c>
      <c r="H11" s="112">
        <f>INDEX(RobotDesignResults[Identify - Research (CV)],MATCH(CoreValuesResults[[#This Row],[Team Number]],RobotDesignResults[Team Number],0))</f>
        <v/>
      </c>
      <c r="I11" s="112">
        <f>INDEX(RobotDesignResults[Design - Ideas (CV)],MATCH(CoreValuesResults[[#This Row],[Team Number]],RobotDesignResults[Team Number],0))</f>
        <v/>
      </c>
      <c r="J11" s="112">
        <f>INDEX(RobotDesignResults[Iterate - Improvements (CV)],MATCH(CoreValuesResults[[#This Row],[Team Number]],RobotDesignResults[Team Number],0))</f>
        <v/>
      </c>
      <c r="K11" s="112">
        <f>INDEX(RobotDesignResults[Communicate - Impact (CV)],MATCH(CoreValuesResults[[#This Row],[Team Number]],RobotDesignResults[Team Number],0))</f>
        <v/>
      </c>
      <c r="L11" s="112">
        <f>INDEX(RobotDesignResults[Communicate - Fun (CV)],MATCH(CoreValuesResults[[#This Row],[Team Number]],RobotDesignResults[Team Number],0))</f>
        <v/>
      </c>
      <c r="M11" s="72" t="n">
        <v>3</v>
      </c>
      <c r="N11" s="72" t="n">
        <v>1</v>
      </c>
      <c r="O11" s="72" t="n">
        <v>2</v>
      </c>
      <c r="P11" s="51" t="n"/>
      <c r="Q11" s="51" t="n"/>
      <c r="R11" s="51">
        <f>IF(CoreValuesResults[[#This Row],[Gracious Professionalism 1]]="","",COUNTIF(CoreValuesResults[[#This Row],[Gracious Professionalism 1]:[Gracious Professionalism 5]],""))</f>
        <v/>
      </c>
      <c r="S11" s="51">
        <f>IF(CoreValuesResults[[#This Row],[Gracious Professionalism 1]]="","",SUM(CoreValuesResults[[#This Row],[Gracious Professionalism 1]:[Gracious Professionalism 5]]))</f>
        <v/>
      </c>
      <c r="T11"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1" s="108">
        <f>SUM(CoreValuesResults[[#This Row],[Identify - Research (CV-IP)]:[Communicate - Fun (CV-RD)]],CoreValuesResults[[#This Row],[Gracious Professionalism Score]])</f>
        <v/>
      </c>
      <c r="V11" s="98">
        <f>IF(CoreValuesResults[[#This Row],[Team Number]]&gt;0,MIN(_xlfn.RANK.EQ(CoreValuesResults[[#This Row],[Core Values Score]],CoreValuesResults[Core Values Score],0),NumberOfTeams),NumberOfTeams+1)</f>
        <v/>
      </c>
      <c r="W11" s="109" t="n"/>
      <c r="X11" s="109" t="n"/>
      <c r="Y11" s="109" t="n"/>
    </row>
    <row r="12" ht="30" customHeight="1">
      <c r="A12" s="51" t="n">
        <v>75865</v>
      </c>
      <c r="B12" s="96">
        <f>IF(ISNA(INDEX(OfficialTeamList[Team Name],MATCH(CoreValuesResults[[#This Row],[Team Number]], OfficialTeamList[Team Number],0))),"",INDEX(OfficialTeamList[Team Name],MATCH(CoreValuesResults[[#This Row],[Team Number]], OfficialTeamList[Team Number],0)))</f>
        <v/>
      </c>
      <c r="C12" s="112">
        <f>INDEX(InnovationProjectResults[Identify - Research (CV)],MATCH(CoreValuesResults[[#This Row],[Team Number]],InnovationProjectResults[Team Number],0))</f>
        <v/>
      </c>
      <c r="D12" s="112">
        <f>INDEX(InnovationProjectResults[Design - Teamwork (CV)],MATCH(CoreValuesResults[[#This Row],[Team Number]],InnovationProjectResults[Team Number],0))</f>
        <v/>
      </c>
      <c r="E12" s="112">
        <f>INDEX(InnovationProjectResults[Create - Innovation (CV)],MATCH(CoreValuesResults[[#This Row],[Team Number]],InnovationProjectResults[Team Number],0))</f>
        <v/>
      </c>
      <c r="F12" s="112">
        <f>INDEX(InnovationProjectResults[Communicate - Impact (CV)],MATCH(CoreValuesResults[[#This Row],[Team Number]],InnovationProjectResults[Team Number],0))</f>
        <v/>
      </c>
      <c r="G12" s="112">
        <f>INDEX(InnovationProjectResults[Communicate - Fun (CV)],MATCH(CoreValuesResults[[#This Row],[Team Number]],InnovationProjectResults[Team Number],0))</f>
        <v/>
      </c>
      <c r="H12" s="112">
        <f>INDEX(RobotDesignResults[Identify - Research (CV)],MATCH(CoreValuesResults[[#This Row],[Team Number]],RobotDesignResults[Team Number],0))</f>
        <v/>
      </c>
      <c r="I12" s="112">
        <f>INDEX(RobotDesignResults[Design - Ideas (CV)],MATCH(CoreValuesResults[[#This Row],[Team Number]],RobotDesignResults[Team Number],0))</f>
        <v/>
      </c>
      <c r="J12" s="112">
        <f>INDEX(RobotDesignResults[Iterate - Improvements (CV)],MATCH(CoreValuesResults[[#This Row],[Team Number]],RobotDesignResults[Team Number],0))</f>
        <v/>
      </c>
      <c r="K12" s="112">
        <f>INDEX(RobotDesignResults[Communicate - Impact (CV)],MATCH(CoreValuesResults[[#This Row],[Team Number]],RobotDesignResults[Team Number],0))</f>
        <v/>
      </c>
      <c r="L12" s="112">
        <f>INDEX(RobotDesignResults[Communicate - Fun (CV)],MATCH(CoreValuesResults[[#This Row],[Team Number]],RobotDesignResults[Team Number],0))</f>
        <v/>
      </c>
      <c r="M12" s="72" t="n">
        <v>1</v>
      </c>
      <c r="N12" s="72" t="n">
        <v>2</v>
      </c>
      <c r="O12" s="72" t="n">
        <v>2</v>
      </c>
      <c r="P12" s="51" t="n"/>
      <c r="Q12" s="51" t="n"/>
      <c r="R12" s="51">
        <f>IF(CoreValuesResults[[#This Row],[Gracious Professionalism 1]]="","",COUNTIF(CoreValuesResults[[#This Row],[Gracious Professionalism 1]:[Gracious Professionalism 5]],""))</f>
        <v/>
      </c>
      <c r="S12" s="51">
        <f>IF(CoreValuesResults[[#This Row],[Gracious Professionalism 1]]="","",SUM(CoreValuesResults[[#This Row],[Gracious Professionalism 1]:[Gracious Professionalism 5]]))</f>
        <v/>
      </c>
      <c r="T12" s="51">
        <f>IF(CoreValuesResults[[#This Row],[Gracious Professionalism Empty Count]]=3,SUM(CoreValuesResults[[#This Row],[Gracious Professionalism 1]:[Gracious Professionalism 5]]),IF(CoreValuesResults[[#This Row],[Gracious Professionalism Empty Count]]=4,SUM(CoreValuesResults[[#This Row],[Gracious Professionalism 1]:[Gracious Professionalism 5]]),IF(CoreValuesResults[[#This Row],[Gracious Professionalism Empty Count]]=2,CoreValuesResults[[#This Row],[Gracious Professionalism Total]],IF(CoreValuesResults[[#This Row],[Gracious Professionalism Empty Count]]=1,CoreValuesResults[[#This Row],[Gracious Professionalism Total]]*0.75,IF(CoreValuesResults[[#This Row],[Gracious Professionalism Empty Count]]=0,CoreValuesResults[[#This Row],[Gracious Professionalism Total]]*0.6,"")))))</f>
        <v/>
      </c>
      <c r="U12" s="108">
        <f>SUM(CoreValuesResults[[#This Row],[Identify - Research (CV-IP)]:[Communicate - Fun (CV-RD)]],CoreValuesResults[[#This Row],[Gracious Professionalism Score]])</f>
        <v/>
      </c>
      <c r="V12" s="98">
        <f>IF(CoreValuesResults[[#This Row],[Team Number]]&gt;0,MIN(_xlfn.RANK.EQ(CoreValuesResults[[#This Row],[Core Values Score]],CoreValuesResults[Core Values Score],0),NumberOfTeams),NumberOfTeams+1)</f>
        <v/>
      </c>
      <c r="W12" s="109" t="n"/>
      <c r="X12" s="109" t="n"/>
      <c r="Y12" s="109" t="n"/>
    </row>
  </sheetData>
  <conditionalFormatting sqref="A2:A12 C2:L12 C3:Y12 N2:Y2">
    <cfRule type="expression" priority="24" dxfId="76">
      <formula>MOD(ROW(),2)</formula>
    </cfRule>
    <cfRule type="expression" priority="16" dxfId="75">
      <formula>ROW()-NumberOfTeams=1</formula>
    </cfRule>
  </conditionalFormatting>
  <conditionalFormatting sqref="W2:Y12">
    <cfRule type="cellIs" priority="23" operator="equal" dxfId="79">
      <formula>TRUE</formula>
    </cfRule>
  </conditionalFormatting>
  <conditionalFormatting sqref="B2:B12">
    <cfRule type="expression" priority="4" dxfId="76">
      <formula>MOD(ROW(),2)</formula>
    </cfRule>
    <cfRule type="expression" priority="3" dxfId="75">
      <formula>ROW()-NumberOfTeams=1</formula>
    </cfRule>
  </conditionalFormatting>
  <conditionalFormatting sqref="M2:O2">
    <cfRule type="expression" priority="2" dxfId="76">
      <formula>MOD(ROW(),2)</formula>
    </cfRule>
    <cfRule type="expression" priority="1" dxfId="75">
      <formula>ROW()-NumberOfTeams=1</formula>
    </cfRule>
  </conditionalFormatting>
  <dataValidations count="1">
    <dataValidation sqref="W2:Y12" showDropDown="0" showInputMessage="1" showErrorMessage="1" allowBlank="1" type="list">
      <formula1>$AD$2:$AD$3</formula1>
    </dataValidation>
  </dataValidations>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9.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37" t="inlineStr">
        <is>
          <t>rank</t>
        </is>
      </c>
      <c r="B1" s="37" t="inlineStr">
        <is>
          <t>team</t>
        </is>
      </c>
      <c r="C1" s="37" t="inlineStr">
        <is>
          <t>total</t>
        </is>
      </c>
      <c r="D1" s="37" t="n">
        <v>1</v>
      </c>
      <c r="E1" s="37" t="n">
        <v>2</v>
      </c>
      <c r="F1" s="37" t="n">
        <v>3</v>
      </c>
      <c r="G1" s="37" t="n">
        <v>4</v>
      </c>
      <c r="H1" s="37" t="n">
        <v>5</v>
      </c>
    </row>
    <row r="2">
      <c r="A2" s="37" t="n"/>
      <c r="B2" s="37" t="n"/>
      <c r="C2" s="37" t="n"/>
      <c r="D2" s="37" t="n"/>
      <c r="E2" s="37" t="n"/>
      <c r="F2" s="37" t="n"/>
      <c r="G2" s="37" t="n"/>
      <c r="H2" s="37" t="n"/>
    </row>
    <row r="3">
      <c r="A3" s="37" t="n"/>
      <c r="B3" s="37" t="n"/>
      <c r="C3" s="37" t="n"/>
      <c r="D3" s="37" t="n"/>
      <c r="E3" s="37" t="n"/>
      <c r="F3" s="37" t="n"/>
      <c r="G3" s="37" t="n"/>
      <c r="H3" s="37" t="n"/>
    </row>
    <row r="4">
      <c r="A4" s="37" t="n"/>
      <c r="B4" s="37" t="n"/>
      <c r="C4" s="37" t="n"/>
      <c r="D4" s="37" t="n"/>
      <c r="E4" s="37" t="n"/>
      <c r="F4" s="37" t="n"/>
      <c r="G4" s="37" t="n"/>
      <c r="H4" s="37" t="n"/>
    </row>
    <row r="5">
      <c r="A5" s="37" t="n"/>
      <c r="B5" s="37" t="n"/>
      <c r="C5" s="37" t="n"/>
      <c r="D5" s="37" t="n"/>
      <c r="E5" s="37" t="n"/>
      <c r="F5" s="37" t="n"/>
      <c r="G5" s="37" t="n"/>
      <c r="H5" s="37" t="n"/>
    </row>
    <row r="6">
      <c r="A6" s="37" t="n"/>
      <c r="B6" s="37" t="n"/>
      <c r="C6" s="37" t="n"/>
      <c r="D6" s="37" t="n"/>
      <c r="E6" s="37" t="n"/>
      <c r="F6" s="37" t="n"/>
      <c r="G6" s="37" t="n"/>
      <c r="H6" s="37" t="n"/>
    </row>
    <row r="7">
      <c r="A7" s="37" t="n"/>
      <c r="B7" s="37" t="n"/>
      <c r="C7" s="37" t="n"/>
      <c r="D7" s="37" t="n"/>
      <c r="E7" s="37" t="n"/>
      <c r="F7" s="37" t="n"/>
      <c r="G7" s="37" t="n"/>
      <c r="H7" s="37" t="n"/>
    </row>
    <row r="8">
      <c r="A8" s="37" t="n"/>
      <c r="B8" s="37" t="n"/>
      <c r="C8" s="37" t="n"/>
      <c r="D8" s="37" t="n"/>
      <c r="E8" s="37" t="n"/>
      <c r="F8" s="37" t="n"/>
      <c r="G8" s="37" t="n"/>
      <c r="H8" s="37" t="n"/>
    </row>
    <row r="9">
      <c r="A9" s="37" t="n"/>
      <c r="B9" s="37" t="n"/>
      <c r="C9" s="37" t="n"/>
      <c r="D9" s="37" t="n"/>
      <c r="E9" s="37" t="n"/>
      <c r="F9" s="37" t="n"/>
      <c r="G9" s="37" t="n"/>
      <c r="H9" s="37" t="n"/>
    </row>
    <row r="10">
      <c r="A10" s="37" t="n"/>
      <c r="B10" s="37" t="n"/>
      <c r="C10" s="37" t="n"/>
      <c r="D10" s="37" t="n"/>
      <c r="E10" s="37" t="n"/>
      <c r="F10" s="37" t="n"/>
      <c r="G10" s="37" t="n"/>
      <c r="H10" s="37" t="n"/>
    </row>
    <row r="11">
      <c r="A11" s="37" t="n"/>
      <c r="B11" s="37" t="n"/>
      <c r="C11" s="37" t="n"/>
      <c r="D11" s="37" t="n"/>
      <c r="E11" s="37" t="n"/>
      <c r="F11" s="37" t="n"/>
      <c r="G11" s="37" t="n"/>
      <c r="H11" s="37" t="n"/>
    </row>
    <row r="12">
      <c r="A12" s="37" t="n"/>
      <c r="B12" s="37" t="n"/>
      <c r="C12" s="37" t="n"/>
      <c r="D12" s="37" t="n"/>
      <c r="E12" s="37" t="n"/>
      <c r="F12" s="37" t="n"/>
      <c r="G12" s="37" t="n"/>
      <c r="H12" s="37" t="n"/>
    </row>
    <row r="13">
      <c r="A13" s="37" t="n"/>
      <c r="B13" s="37" t="n"/>
      <c r="C13" s="37" t="n"/>
      <c r="D13" s="37" t="n"/>
      <c r="E13" s="37" t="n"/>
      <c r="F13" s="37" t="n"/>
      <c r="G13" s="37" t="n"/>
      <c r="H13" s="37" t="n"/>
    </row>
    <row r="14">
      <c r="A14" s="37" t="n"/>
      <c r="B14" s="37" t="n"/>
      <c r="C14" s="37" t="n"/>
      <c r="D14" s="37" t="n"/>
      <c r="E14" s="37" t="n"/>
      <c r="F14" s="37" t="n"/>
      <c r="G14" s="37" t="n"/>
      <c r="H14" s="37" t="n"/>
    </row>
    <row r="15">
      <c r="A15" s="37" t="n"/>
      <c r="B15" s="37" t="n"/>
      <c r="C15" s="37" t="n"/>
      <c r="D15" s="37" t="n"/>
      <c r="E15" s="37" t="n"/>
      <c r="F15" s="37" t="n"/>
      <c r="G15" s="37" t="n"/>
      <c r="H15" s="37" t="n"/>
    </row>
    <row r="16">
      <c r="A16" s="37" t="n"/>
      <c r="B16" s="37" t="n"/>
      <c r="C16" s="37" t="n"/>
      <c r="D16" s="37" t="n"/>
      <c r="E16" s="37" t="n"/>
      <c r="F16" s="37" t="n"/>
      <c r="G16" s="37" t="n"/>
      <c r="H16" s="37" t="n"/>
    </row>
    <row r="17">
      <c r="A17" s="37" t="n"/>
      <c r="B17" s="37" t="n"/>
      <c r="C17" s="37" t="n"/>
      <c r="D17" s="37" t="n"/>
      <c r="E17" s="37" t="n"/>
      <c r="F17" s="37" t="n"/>
      <c r="G17" s="37" t="n"/>
      <c r="H17" s="37" t="n"/>
    </row>
    <row r="18">
      <c r="A18" s="37" t="n"/>
      <c r="B18" s="37" t="n"/>
      <c r="C18" s="37" t="n"/>
      <c r="D18" s="37" t="n"/>
      <c r="E18" s="37" t="n"/>
      <c r="F18" s="37" t="n"/>
      <c r="G18" s="37" t="n"/>
      <c r="H18" s="37" t="n"/>
    </row>
    <row r="19">
      <c r="A19" s="37" t="n"/>
      <c r="B19" s="37" t="n"/>
      <c r="C19" s="37" t="n"/>
      <c r="D19" s="37" t="n"/>
      <c r="E19" s="37" t="n"/>
      <c r="F19" s="37" t="n"/>
      <c r="G19" s="37" t="n"/>
      <c r="H19" s="37" t="n"/>
    </row>
    <row r="20">
      <c r="A20" s="37" t="n"/>
      <c r="B20" s="37" t="n"/>
      <c r="C20" s="37" t="n"/>
      <c r="D20" s="37" t="n"/>
      <c r="E20" s="37" t="n"/>
      <c r="F20" s="37" t="n"/>
      <c r="G20" s="37" t="n"/>
      <c r="H20" s="37" t="n"/>
    </row>
    <row r="21">
      <c r="A21" s="37" t="n"/>
      <c r="B21" s="37" t="n"/>
      <c r="C21" s="37" t="n"/>
      <c r="D21" s="37" t="n"/>
      <c r="E21" s="37" t="n"/>
      <c r="F21" s="37" t="n"/>
      <c r="G21" s="37" t="n"/>
      <c r="H21" s="37" t="n"/>
    </row>
    <row r="22">
      <c r="A22" s="37" t="n"/>
      <c r="B22" s="37" t="n"/>
      <c r="C22" s="37" t="n"/>
      <c r="D22" s="37" t="n"/>
      <c r="E22" s="37" t="n"/>
      <c r="F22" s="37" t="n"/>
      <c r="G22" s="37" t="n"/>
      <c r="H22" s="37" t="n"/>
    </row>
    <row r="23">
      <c r="A23" s="37" t="n"/>
      <c r="B23" s="37" t="n"/>
      <c r="C23" s="37" t="n"/>
      <c r="D23" s="37" t="n"/>
      <c r="E23" s="37" t="n"/>
      <c r="F23" s="37" t="n"/>
      <c r="G23" s="37" t="n"/>
      <c r="H23" s="37" t="n"/>
    </row>
    <row r="24">
      <c r="A24" s="37" t="n"/>
      <c r="B24" s="37" t="n"/>
      <c r="C24" s="37" t="n"/>
      <c r="D24" s="37" t="n"/>
      <c r="E24" s="37" t="n"/>
      <c r="F24" s="37" t="n"/>
      <c r="G24" s="37" t="n"/>
      <c r="H24" s="37" t="n"/>
    </row>
    <row r="25">
      <c r="A25" s="37" t="n"/>
      <c r="B25" s="37" t="n"/>
      <c r="C25" s="37" t="n"/>
      <c r="D25" s="37" t="n"/>
      <c r="E25" s="37" t="n"/>
      <c r="F25" s="37" t="n"/>
      <c r="G25" s="37" t="n"/>
      <c r="H25" s="37" t="n"/>
    </row>
    <row r="26">
      <c r="A26" s="37" t="n"/>
      <c r="B26" s="37" t="n"/>
      <c r="C26" s="37" t="n"/>
      <c r="D26" s="37" t="n"/>
      <c r="E26" s="37" t="n"/>
      <c r="F26" s="37" t="n"/>
      <c r="G26" s="37" t="n"/>
      <c r="H26" s="37" t="n"/>
    </row>
    <row r="27">
      <c r="A27" s="37" t="n"/>
      <c r="B27" s="37" t="n"/>
      <c r="C27" s="37" t="n"/>
      <c r="D27" s="37" t="n"/>
      <c r="E27" s="37" t="n"/>
      <c r="F27" s="37" t="n"/>
      <c r="G27" s="37" t="n"/>
      <c r="H27" s="37" t="n"/>
    </row>
    <row r="28">
      <c r="A28" s="37" t="n"/>
      <c r="B28" s="37" t="n"/>
      <c r="C28" s="37" t="n"/>
      <c r="D28" s="37" t="n"/>
      <c r="E28" s="37" t="n"/>
      <c r="F28" s="37" t="n"/>
      <c r="G28" s="37" t="n"/>
      <c r="H28" s="37" t="n"/>
    </row>
    <row r="29">
      <c r="A29" s="37" t="n"/>
      <c r="B29" s="37" t="n"/>
      <c r="C29" s="37" t="n"/>
      <c r="D29" s="37" t="n"/>
      <c r="E29" s="37" t="n"/>
      <c r="F29" s="37" t="n"/>
      <c r="G29" s="37" t="n"/>
      <c r="H29" s="37" t="n"/>
    </row>
    <row r="30">
      <c r="A30" s="37" t="n"/>
      <c r="B30" s="37" t="n"/>
      <c r="C30" s="37" t="n"/>
      <c r="D30" s="37" t="n"/>
      <c r="E30" s="37" t="n"/>
      <c r="F30" s="37" t="n"/>
      <c r="G30" s="37" t="n"/>
      <c r="H30" s="37" t="n"/>
    </row>
    <row r="31">
      <c r="A31" s="37" t="n"/>
      <c r="B31" s="37" t="n"/>
      <c r="C31" s="37" t="n"/>
      <c r="D31" s="37" t="n"/>
      <c r="E31" s="37" t="n"/>
      <c r="F31" s="37" t="n"/>
      <c r="G31" s="37" t="n"/>
      <c r="H31" s="37" t="n"/>
    </row>
    <row r="32">
      <c r="A32" s="37" t="n"/>
      <c r="B32" s="37" t="n"/>
      <c r="C32" s="37" t="n"/>
      <c r="D32" s="37" t="n"/>
      <c r="E32" s="37" t="n"/>
      <c r="F32" s="37" t="n"/>
      <c r="G32" s="37" t="n"/>
      <c r="H32" s="37" t="n"/>
    </row>
    <row r="33">
      <c r="A33" s="37" t="n"/>
      <c r="B33" s="37" t="n"/>
      <c r="C33" s="37" t="n"/>
      <c r="D33" s="37" t="n"/>
      <c r="E33" s="37" t="n"/>
      <c r="F33" s="37" t="n"/>
      <c r="G33" s="37" t="n"/>
      <c r="H33" s="37" t="n"/>
    </row>
    <row r="34">
      <c r="A34" s="37" t="n"/>
      <c r="B34" s="37" t="n"/>
      <c r="C34" s="37" t="n"/>
      <c r="D34" s="37" t="n"/>
      <c r="E34" s="37" t="n"/>
      <c r="F34" s="37" t="n"/>
      <c r="G34" s="37" t="n"/>
      <c r="H34" s="37" t="n"/>
    </row>
    <row r="35">
      <c r="A35" s="37" t="n"/>
      <c r="B35" s="37" t="n"/>
      <c r="C35" s="37" t="n"/>
      <c r="D35" s="37" t="n"/>
      <c r="E35" s="37" t="n"/>
      <c r="F35" s="37" t="n"/>
      <c r="G35" s="37" t="n"/>
      <c r="H35" s="37" t="n"/>
    </row>
    <row r="36">
      <c r="A36" s="37" t="n"/>
      <c r="B36" s="37" t="n"/>
      <c r="C36" s="37" t="n"/>
      <c r="D36" s="37" t="n"/>
      <c r="E36" s="37" t="n"/>
      <c r="F36" s="37" t="n"/>
      <c r="G36" s="37" t="n"/>
      <c r="H36" s="37" t="n"/>
    </row>
    <row r="37">
      <c r="A37" s="37" t="n"/>
      <c r="B37" s="37" t="n"/>
      <c r="C37" s="37" t="n"/>
      <c r="D37" s="37" t="n"/>
      <c r="E37" s="37" t="n"/>
      <c r="F37" s="37" t="n"/>
      <c r="G37" s="37" t="n"/>
      <c r="H37" s="37" t="n"/>
    </row>
    <row r="38">
      <c r="A38" s="37" t="n"/>
      <c r="B38" s="37" t="n"/>
      <c r="C38" s="37" t="n"/>
      <c r="D38" s="37" t="n"/>
      <c r="E38" s="37" t="n"/>
      <c r="F38" s="37" t="n"/>
      <c r="G38" s="37" t="n"/>
      <c r="H38" s="37" t="n"/>
    </row>
    <row r="39">
      <c r="A39" s="37" t="n"/>
      <c r="B39" s="37" t="n"/>
      <c r="C39" s="37" t="n"/>
      <c r="D39" s="37" t="n"/>
      <c r="E39" s="37" t="n"/>
      <c r="F39" s="37" t="n"/>
      <c r="G39" s="37" t="n"/>
      <c r="H39" s="37" t="n"/>
    </row>
    <row r="40">
      <c r="A40" s="37" t="n"/>
      <c r="B40" s="37" t="n"/>
      <c r="C40" s="37" t="n"/>
      <c r="D40" s="37" t="n"/>
      <c r="E40" s="37" t="n"/>
      <c r="F40" s="37" t="n"/>
      <c r="G40" s="37" t="n"/>
      <c r="H40" s="37" t="n"/>
    </row>
    <row r="41">
      <c r="A41" s="37" t="n"/>
      <c r="B41" s="37" t="n"/>
      <c r="C41" s="37" t="n"/>
      <c r="D41" s="37" t="n"/>
      <c r="E41" s="37" t="n"/>
      <c r="F41" s="37" t="n"/>
      <c r="G41" s="37" t="n"/>
      <c r="H41" s="37" t="n"/>
    </row>
    <row r="42">
      <c r="A42" s="37" t="n"/>
      <c r="B42" s="37" t="n"/>
      <c r="C42" s="37" t="n"/>
      <c r="D42" s="37" t="n"/>
      <c r="E42" s="37" t="n"/>
      <c r="F42" s="37" t="n"/>
      <c r="G42" s="37" t="n"/>
      <c r="H42" s="37" t="n"/>
    </row>
    <row r="43">
      <c r="A43" s="37" t="n"/>
      <c r="B43" s="37" t="n"/>
      <c r="C43" s="37" t="n"/>
      <c r="D43" s="37" t="n"/>
      <c r="E43" s="37" t="n"/>
      <c r="F43" s="37" t="n"/>
      <c r="G43" s="37" t="n"/>
      <c r="H43" s="37" t="n"/>
    </row>
    <row r="44">
      <c r="A44" s="37" t="n"/>
      <c r="B44" s="37" t="n"/>
      <c r="C44" s="37" t="n"/>
      <c r="D44" s="37" t="n"/>
      <c r="E44" s="37" t="n"/>
      <c r="F44" s="37" t="n"/>
      <c r="G44" s="37" t="n"/>
      <c r="H44" s="37" t="n"/>
    </row>
    <row r="45">
      <c r="A45" s="37" t="n"/>
      <c r="B45" s="37" t="n"/>
      <c r="C45" s="37" t="n"/>
      <c r="D45" s="37" t="n"/>
      <c r="E45" s="37" t="n"/>
      <c r="F45" s="37" t="n"/>
      <c r="G45" s="37" t="n"/>
      <c r="H45" s="37" t="n"/>
    </row>
    <row r="46">
      <c r="A46" s="37" t="n"/>
      <c r="B46" s="37" t="n"/>
      <c r="C46" s="37" t="n"/>
      <c r="D46" s="37" t="n"/>
      <c r="E46" s="37" t="n"/>
      <c r="F46" s="37" t="n"/>
      <c r="G46" s="37" t="n"/>
      <c r="H46" s="37" t="n"/>
    </row>
    <row r="47">
      <c r="A47" s="37" t="n"/>
      <c r="B47" s="37" t="n"/>
      <c r="C47" s="37" t="n"/>
      <c r="D47" s="37" t="n"/>
      <c r="E47" s="37" t="n"/>
      <c r="F47" s="37" t="n"/>
      <c r="G47" s="37" t="n"/>
      <c r="H47" s="37" t="n"/>
    </row>
    <row r="48">
      <c r="A48" s="37" t="n"/>
      <c r="B48" s="37" t="n"/>
      <c r="C48" s="37" t="n"/>
      <c r="D48" s="37" t="n"/>
      <c r="E48" s="37" t="n"/>
      <c r="F48" s="37" t="n"/>
      <c r="G48" s="37" t="n"/>
      <c r="H48" s="37" t="n"/>
    </row>
    <row r="49">
      <c r="A49" s="37" t="n"/>
      <c r="B49" s="37" t="n"/>
      <c r="C49" s="37" t="n"/>
      <c r="D49" s="37" t="n"/>
      <c r="E49" s="37" t="n"/>
      <c r="F49" s="37" t="n"/>
      <c r="G49" s="37" t="n"/>
      <c r="H49" s="37" t="n"/>
    </row>
    <row r="50">
      <c r="A50" s="37" t="n"/>
      <c r="B50" s="37" t="n"/>
      <c r="C50" s="37" t="n"/>
      <c r="D50" s="37" t="n"/>
      <c r="E50" s="37" t="n"/>
      <c r="F50" s="37" t="n"/>
      <c r="G50" s="37" t="n"/>
      <c r="H50" s="37" t="n"/>
    </row>
    <row r="51">
      <c r="A51" s="37" t="n"/>
      <c r="B51" s="37" t="n"/>
      <c r="C51" s="37" t="n"/>
      <c r="D51" s="37" t="n"/>
      <c r="E51" s="37" t="n"/>
      <c r="F51" s="37" t="n"/>
      <c r="G51" s="37" t="n"/>
      <c r="H51" s="37" t="n"/>
    </row>
    <row r="52">
      <c r="A52" s="37" t="n"/>
      <c r="B52" s="37" t="n"/>
      <c r="C52" s="37" t="n"/>
      <c r="D52" s="37" t="n"/>
      <c r="E52" s="37" t="n"/>
      <c r="F52" s="37" t="n"/>
      <c r="G52" s="37" t="n"/>
      <c r="H52" s="37" t="n"/>
    </row>
    <row r="53">
      <c r="A53" s="37" t="n"/>
      <c r="B53" s="37" t="n"/>
      <c r="C53" s="37" t="n"/>
      <c r="D53" s="37" t="n"/>
      <c r="E53" s="37" t="n"/>
      <c r="F53" s="37" t="n"/>
      <c r="G53" s="37" t="n"/>
      <c r="H53" s="37" t="n"/>
    </row>
    <row r="54">
      <c r="A54" s="37" t="n"/>
      <c r="B54" s="37" t="n"/>
      <c r="C54" s="37" t="n"/>
      <c r="D54" s="37" t="n"/>
      <c r="E54" s="37" t="n"/>
      <c r="F54" s="37" t="n"/>
      <c r="G54" s="37" t="n"/>
      <c r="H54" s="37" t="n"/>
    </row>
    <row r="55">
      <c r="A55" s="37" t="n"/>
      <c r="B55" s="37" t="n"/>
      <c r="C55" s="37" t="n"/>
      <c r="D55" s="37" t="n"/>
      <c r="E55" s="37" t="n"/>
      <c r="F55" s="37" t="n"/>
      <c r="G55" s="37" t="n"/>
      <c r="H55" s="37" t="n"/>
    </row>
    <row r="56">
      <c r="A56" s="37" t="n"/>
      <c r="B56" s="37" t="n"/>
      <c r="C56" s="37" t="n"/>
      <c r="D56" s="37" t="n"/>
      <c r="E56" s="37" t="n"/>
      <c r="F56" s="37" t="n"/>
      <c r="G56" s="37" t="n"/>
      <c r="H56" s="37" t="n"/>
    </row>
    <row r="57">
      <c r="A57" s="37" t="n"/>
      <c r="B57" s="37" t="n"/>
      <c r="C57" s="37" t="n"/>
      <c r="D57" s="37" t="n"/>
      <c r="E57" s="37" t="n"/>
      <c r="F57" s="37" t="n"/>
      <c r="G57" s="37" t="n"/>
      <c r="H57" s="37" t="n"/>
    </row>
    <row r="58">
      <c r="A58" s="37" t="n"/>
      <c r="B58" s="37" t="n"/>
      <c r="C58" s="37" t="n"/>
      <c r="D58" s="37" t="n"/>
      <c r="E58" s="37" t="n"/>
      <c r="F58" s="37" t="n"/>
      <c r="G58" s="37" t="n"/>
      <c r="H58" s="37" t="n"/>
    </row>
    <row r="59">
      <c r="A59" s="37" t="n"/>
      <c r="B59" s="37" t="n"/>
      <c r="C59" s="37" t="n"/>
      <c r="D59" s="37" t="n"/>
      <c r="E59" s="37" t="n"/>
      <c r="F59" s="37" t="n"/>
      <c r="G59" s="37" t="n"/>
      <c r="H59" s="37" t="n"/>
    </row>
    <row r="60">
      <c r="A60" s="37" t="n"/>
      <c r="B60" s="37" t="n"/>
      <c r="C60" s="37" t="n"/>
      <c r="D60" s="37" t="n"/>
      <c r="E60" s="37" t="n"/>
      <c r="F60" s="37" t="n"/>
      <c r="G60" s="37" t="n"/>
      <c r="H60" s="37" t="n"/>
    </row>
    <row r="61">
      <c r="A61" s="37" t="n"/>
      <c r="B61" s="37" t="n"/>
      <c r="C61" s="37" t="n"/>
      <c r="D61" s="37" t="n"/>
      <c r="E61" s="37" t="n"/>
      <c r="F61" s="37" t="n"/>
      <c r="G61" s="37" t="n"/>
      <c r="H61" s="37" t="n"/>
    </row>
  </sheetData>
  <pageMargins left="0.7" right="0.7" top="0.75" bottom="0.75" header="0.3" footer="0.3"/>
  <pageSetup orientation="portrait" paperSize="9"/>
</worksheet>
</file>

<file path=xl/worksheets/sheet10.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142" min="1" max="1"/>
    <col width="15.42578125" customWidth="1" style="142" min="2" max="2"/>
    <col width="45.42578125" customWidth="1" style="142" min="3" max="3"/>
    <col width="17.140625" customWidth="1" style="142" min="4" max="4"/>
    <col width="18.42578125" customWidth="1" style="142" min="5" max="5"/>
    <col width="9.140625" customWidth="1" style="142" min="6" max="6"/>
    <col width="15.42578125" customWidth="1" style="142" min="7" max="7"/>
    <col width="45.42578125" customWidth="1" style="142" min="8" max="8"/>
    <col width="17.140625" customWidth="1" style="142" min="9" max="9"/>
    <col width="18.42578125" customWidth="1" style="142" min="10" max="10"/>
    <col width="9.140625" customWidth="1" style="142" min="11" max="11"/>
    <col width="15.42578125" customWidth="1" style="142" min="12" max="12"/>
    <col width="45.42578125" customWidth="1" style="142" min="13" max="13"/>
    <col width="17.140625" customWidth="1" style="142" min="14" max="14"/>
    <col width="18.42578125" customWidth="1" style="142" min="15" max="15"/>
    <col width="9.140625" customWidth="1" style="142" min="16" max="17"/>
    <col width="9.140625" customWidth="1" style="142" min="18" max="16384"/>
  </cols>
  <sheetData>
    <row r="2" ht="20.25" customHeight="1">
      <c r="B2" s="142" t="inlineStr">
        <is>
          <t>Champion's</t>
        </is>
      </c>
      <c r="G2" s="142" t="inlineStr">
        <is>
          <t>Advancement</t>
        </is>
      </c>
    </row>
    <row r="3" ht="39.95" customHeight="1">
      <c r="B3" s="13" t="inlineStr">
        <is>
          <t>Team Number</t>
        </is>
      </c>
      <c r="C3" s="13" t="inlineStr">
        <is>
          <t>Team Name</t>
        </is>
      </c>
      <c r="D3" s="14" t="inlineStr">
        <is>
          <t>Champion's Rank</t>
        </is>
      </c>
      <c r="E3" s="14" t="inlineStr">
        <is>
          <t>Deliberated Rank</t>
        </is>
      </c>
      <c r="G3" s="24" t="inlineStr">
        <is>
          <t>Team Number</t>
        </is>
      </c>
      <c r="H3" s="24" t="inlineStr">
        <is>
          <t>Team Name</t>
        </is>
      </c>
      <c r="I3" s="25" t="inlineStr">
        <is>
          <t>Champion's Rank</t>
        </is>
      </c>
      <c r="J3" s="25" t="inlineStr">
        <is>
          <t>Deliberated Rank</t>
        </is>
      </c>
    </row>
    <row r="4" ht="20.25" customHeight="1">
      <c r="C4" s="142">
        <f>IF(ISNA(INDEX(OfficialTeamList[Team Name],MATCH(ChampionsDelib[[#This Row],[Team Number]], OfficialTeamList[Team Number],0))),"",INDEX(OfficialTeamList[Team Name],MATCH(ChampionsDelib[[#This Row],[Team Number]], OfficialTeamList[Team Number],0)))</f>
        <v/>
      </c>
      <c r="D4" s="142">
        <f>IF(ISNA(INDEX(TournamentData[Champion''s Rank],MATCH(ChampionsDelib[[#This Row],[Team Number]],TournamentData[Team Number],0))),NumberOfTeams+1,INDEX(TournamentData[Champion''s Rank],MATCH(ChampionsDelib[[#This Row],[Team Number]],TournamentData[Team Number],0)))</f>
        <v/>
      </c>
      <c r="H4" s="142">
        <f>IF(ISNA(INDEX(OfficialTeamList[Team Name],MATCH(RobotGameDelib[[#This Row],[Team Number]], OfficialTeamList[Team Number],0))),"",INDEX(OfficialTeamList[Team Name],MATCH(RobotGameDelib[[#This Row],[Team Number]], OfficialTeamList[Team Number],0)))</f>
        <v/>
      </c>
      <c r="I4" s="142">
        <f>IF(ISNA(INDEX(TournamentData[Champion''s Rank],MATCH(RobotGameDelib[[#This Row],[Team Number]],TournamentData[Team Number],0))),NumberOfTeams+1,INDEX(TournamentData[Champion''s Rank],MATCH(RobotGameDelib[[#This Row],[Team Number]],TournamentData[Team Number],0)))</f>
        <v/>
      </c>
    </row>
    <row r="5" ht="20.25" customHeight="1">
      <c r="C5" s="142">
        <f>IF(ISNA(INDEX(OfficialTeamList[Team Name],MATCH(ChampionsDelib[[#This Row],[Team Number]], OfficialTeamList[Team Number],0))),"",INDEX(OfficialTeamList[Team Name],MATCH(ChampionsDelib[[#This Row],[Team Number]], OfficialTeamList[Team Number],0)))</f>
        <v/>
      </c>
      <c r="D5" s="142">
        <f>IF(ISNA(INDEX(TournamentData[Champion''s Rank],MATCH(ChampionsDelib[[#This Row],[Team Number]],TournamentData[Team Number],0))),NumberOfTeams+1,INDEX(TournamentData[Champion''s Rank],MATCH(ChampionsDelib[[#This Row],[Team Number]],TournamentData[Team Number],0)))</f>
        <v/>
      </c>
      <c r="H5" s="142">
        <f>IF(ISNA(INDEX(OfficialTeamList[Team Name],MATCH(RobotGameDelib[[#This Row],[Team Number]], OfficialTeamList[Team Number],0))),"",INDEX(OfficialTeamList[Team Name],MATCH(RobotGameDelib[[#This Row],[Team Number]], OfficialTeamList[Team Number],0)))</f>
        <v/>
      </c>
      <c r="I5" s="142">
        <f>IF(ISNA(INDEX(TournamentData[Champion''s Rank],MATCH(RobotGameDelib[[#This Row],[Team Number]],TournamentData[Team Number],0))),NumberOfTeams+1,INDEX(TournamentData[Champion''s Rank],MATCH(RobotGameDelib[[#This Row],[Team Number]],TournamentData[Team Number],0)))</f>
        <v/>
      </c>
    </row>
    <row r="6" ht="20.25" customHeight="1">
      <c r="C6" s="142">
        <f>IF(ISNA(INDEX(OfficialTeamList[Team Name],MATCH(ChampionsDelib[[#This Row],[Team Number]], OfficialTeamList[Team Number],0))),"",INDEX(OfficialTeamList[Team Name],MATCH(ChampionsDelib[[#This Row],[Team Number]], OfficialTeamList[Team Number],0)))</f>
        <v/>
      </c>
      <c r="D6" s="142">
        <f>IF(ISNA(INDEX(TournamentData[Champion''s Rank],MATCH(ChampionsDelib[[#This Row],[Team Number]],TournamentData[Team Number],0))),NumberOfTeams+1,INDEX(TournamentData[Champion''s Rank],MATCH(ChampionsDelib[[#This Row],[Team Number]],TournamentData[Team Number],0)))</f>
        <v/>
      </c>
      <c r="H6" s="142">
        <f>IF(ISNA(INDEX(OfficialTeamList[Team Name],MATCH(RobotGameDelib[[#This Row],[Team Number]], OfficialTeamList[Team Number],0))),"",INDEX(OfficialTeamList[Team Name],MATCH(RobotGameDelib[[#This Row],[Team Number]], OfficialTeamList[Team Number],0)))</f>
        <v/>
      </c>
      <c r="I6" s="142">
        <f>IF(ISNA(INDEX(TournamentData[Champion''s Rank],MATCH(RobotGameDelib[[#This Row],[Team Number]],TournamentData[Team Number],0))),NumberOfTeams+1,INDEX(TournamentData[Champion''s Rank],MATCH(RobotGameDelib[[#This Row],[Team Number]],TournamentData[Team Number],0)))</f>
        <v/>
      </c>
    </row>
    <row r="7" ht="20.25" customHeight="1">
      <c r="C7" s="142">
        <f>IF(ISNA(INDEX(OfficialTeamList[Team Name],MATCH(ChampionsDelib[[#This Row],[Team Number]], OfficialTeamList[Team Number],0))),"",INDEX(OfficialTeamList[Team Name],MATCH(ChampionsDelib[[#This Row],[Team Number]], OfficialTeamList[Team Number],0)))</f>
        <v/>
      </c>
      <c r="D7" s="142">
        <f>IF(ISNA(INDEX(TournamentData[Champion''s Rank],MATCH(ChampionsDelib[[#This Row],[Team Number]],TournamentData[Team Number],0))),NumberOfTeams+1,INDEX(TournamentData[Champion''s Rank],MATCH(ChampionsDelib[[#This Row],[Team Number]],TournamentData[Team Number],0)))</f>
        <v/>
      </c>
      <c r="H7" s="142">
        <f>IF(ISNA(INDEX(OfficialTeamList[Team Name],MATCH(RobotGameDelib[[#This Row],[Team Number]], OfficialTeamList[Team Number],0))),"",INDEX(OfficialTeamList[Team Name],MATCH(RobotGameDelib[[#This Row],[Team Number]], OfficialTeamList[Team Number],0)))</f>
        <v/>
      </c>
      <c r="I7" s="142">
        <f>IF(ISNA(INDEX(TournamentData[Champion''s Rank],MATCH(RobotGameDelib[[#This Row],[Team Number]],TournamentData[Team Number],0))),NumberOfTeams+1,INDEX(TournamentData[Champion''s Rank],MATCH(RobotGameDelib[[#This Row],[Team Number]],TournamentData[Team Number],0)))</f>
        <v/>
      </c>
    </row>
    <row r="8" ht="20.25" customHeight="1">
      <c r="C8" s="142">
        <f>IF(ISNA(INDEX(OfficialTeamList[Team Name],MATCH(ChampionsDelib[[#This Row],[Team Number]], OfficialTeamList[Team Number],0))),"",INDEX(OfficialTeamList[Team Name],MATCH(ChampionsDelib[[#This Row],[Team Number]], OfficialTeamList[Team Number],0)))</f>
        <v/>
      </c>
      <c r="D8" s="142">
        <f>IF(ISNA(INDEX(TournamentData[Champion''s Rank],MATCH(ChampionsDelib[[#This Row],[Team Number]],TournamentData[Team Number],0))),NumberOfTeams+1,INDEX(TournamentData[Champion''s Rank],MATCH(ChampionsDelib[[#This Row],[Team Number]],TournamentData[Team Number],0)))</f>
        <v/>
      </c>
      <c r="H8" s="142">
        <f>IF(ISNA(INDEX(OfficialTeamList[Team Name],MATCH(RobotGameDelib[[#This Row],[Team Number]], OfficialTeamList[Team Number],0))),"",INDEX(OfficialTeamList[Team Name],MATCH(RobotGameDelib[[#This Row],[Team Number]], OfficialTeamList[Team Number],0)))</f>
        <v/>
      </c>
      <c r="I8" s="142">
        <f>IF(ISNA(INDEX(TournamentData[Champion''s Rank],MATCH(RobotGameDelib[[#This Row],[Team Number]],TournamentData[Team Number],0))),NumberOfTeams+1,INDEX(TournamentData[Champion''s Rank],MATCH(RobotGameDelib[[#This Row],[Team Number]],TournamentData[Team Number],0)))</f>
        <v/>
      </c>
    </row>
    <row r="9" ht="20.25" customHeight="1">
      <c r="C9" s="142">
        <f>IF(ISNA(INDEX(OfficialTeamList[Team Name],MATCH(ChampionsDelib[[#This Row],[Team Number]], OfficialTeamList[Team Number],0))),"",INDEX(OfficialTeamList[Team Name],MATCH(ChampionsDelib[[#This Row],[Team Number]], OfficialTeamList[Team Number],0)))</f>
        <v/>
      </c>
      <c r="D9" s="142">
        <f>IF(ISNA(INDEX(TournamentData[Champion''s Rank],MATCH(ChampionsDelib[[#This Row],[Team Number]],TournamentData[Team Number],0))),NumberOfTeams+1,INDEX(TournamentData[Champion''s Rank],MATCH(ChampionsDelib[[#This Row],[Team Number]],TournamentData[Team Number],0)))</f>
        <v/>
      </c>
      <c r="H9" s="142">
        <f>IF(ISNA(INDEX(OfficialTeamList[Team Name],MATCH(RobotGameDelib[[#This Row],[Team Number]], OfficialTeamList[Team Number],0))),"",INDEX(OfficialTeamList[Team Name],MATCH(RobotGameDelib[[#This Row],[Team Number]], OfficialTeamList[Team Number],0)))</f>
        <v/>
      </c>
      <c r="I9" s="142">
        <f>IF(ISNA(INDEX(TournamentData[Champion''s Rank],MATCH(RobotGameDelib[[#This Row],[Team Number]],TournamentData[Team Number],0))),NumberOfTeams+1,INDEX(TournamentData[Champion''s Rank],MATCH(RobotGameDelib[[#This Row],[Team Number]],TournamentData[Team Number],0)))</f>
        <v/>
      </c>
    </row>
    <row r="10" ht="20.25" customHeight="1">
      <c r="C10" s="142">
        <f>IF(ISNA(INDEX(OfficialTeamList[Team Name],MATCH(ChampionsDelib[[#This Row],[Team Number]], OfficialTeamList[Team Number],0))),"",INDEX(OfficialTeamList[Team Name],MATCH(ChampionsDelib[[#This Row],[Team Number]], OfficialTeamList[Team Number],0)))</f>
        <v/>
      </c>
      <c r="D10" s="142">
        <f>IF(ISNA(INDEX(TournamentData[Champion''s Rank],MATCH(ChampionsDelib[[#This Row],[Team Number]],TournamentData[Team Number],0))),NumberOfTeams+1,INDEX(TournamentData[Champion''s Rank],MATCH(ChampionsDelib[[#This Row],[Team Number]],TournamentData[Team Number],0)))</f>
        <v/>
      </c>
      <c r="H10" s="142">
        <f>IF(ISNA(INDEX(OfficialTeamList[Team Name],MATCH(RobotGameDelib[[#This Row],[Team Number]], OfficialTeamList[Team Number],0))),"",INDEX(OfficialTeamList[Team Name],MATCH(RobotGameDelib[[#This Row],[Team Number]], OfficialTeamList[Team Number],0)))</f>
        <v/>
      </c>
      <c r="I10" s="142">
        <f>IF(ISNA(INDEX(TournamentData[Champion''s Rank],MATCH(RobotGameDelib[[#This Row],[Team Number]],TournamentData[Team Number],0))),NumberOfTeams+1,INDEX(TournamentData[Champion''s Rank],MATCH(RobotGameDelib[[#This Row],[Team Number]],TournamentData[Team Number],0)))</f>
        <v/>
      </c>
    </row>
    <row r="11" ht="20.25" customHeight="1">
      <c r="C11" s="142">
        <f>IF(ISNA(INDEX(OfficialTeamList[Team Name],MATCH(ChampionsDelib[[#This Row],[Team Number]], OfficialTeamList[Team Number],0))),"",INDEX(OfficialTeamList[Team Name],MATCH(ChampionsDelib[[#This Row],[Team Number]], OfficialTeamList[Team Number],0)))</f>
        <v/>
      </c>
      <c r="D11" s="142">
        <f>IF(ISNA(INDEX(TournamentData[Champion''s Rank],MATCH(ChampionsDelib[[#This Row],[Team Number]],TournamentData[Team Number],0))),NumberOfTeams+1,INDEX(TournamentData[Champion''s Rank],MATCH(ChampionsDelib[[#This Row],[Team Number]],TournamentData[Team Number],0)))</f>
        <v/>
      </c>
      <c r="H11" s="142">
        <f>IF(ISNA(INDEX(OfficialTeamList[Team Name],MATCH(RobotGameDelib[[#This Row],[Team Number]], OfficialTeamList[Team Number],0))),"",INDEX(OfficialTeamList[Team Name],MATCH(RobotGameDelib[[#This Row],[Team Number]], OfficialTeamList[Team Number],0)))</f>
        <v/>
      </c>
      <c r="I11" s="142">
        <f>IF(ISNA(INDEX(TournamentData[Champion''s Rank],MATCH(RobotGameDelib[[#This Row],[Team Number]],TournamentData[Team Number],0))),NumberOfTeams+1,INDEX(TournamentData[Champion''s Rank],MATCH(RobotGameDelib[[#This Row],[Team Number]],TournamentData[Team Number],0)))</f>
        <v/>
      </c>
    </row>
    <row r="12" ht="20.25" customHeight="1">
      <c r="C12" s="142">
        <f>IF(ISNA(INDEX(OfficialTeamList[Team Name],MATCH(ChampionsDelib[[#This Row],[Team Number]], OfficialTeamList[Team Number],0))),"",INDEX(OfficialTeamList[Team Name],MATCH(ChampionsDelib[[#This Row],[Team Number]], OfficialTeamList[Team Number],0)))</f>
        <v/>
      </c>
      <c r="D12" s="142">
        <f>IF(ISNA(INDEX(TournamentData[Champion''s Rank],MATCH(ChampionsDelib[[#This Row],[Team Number]],TournamentData[Team Number],0))),NumberOfTeams+1,INDEX(TournamentData[Champion''s Rank],MATCH(ChampionsDelib[[#This Row],[Team Number]],TournamentData[Team Number],0)))</f>
        <v/>
      </c>
      <c r="H12" s="142">
        <f>IF(ISNA(INDEX(OfficialTeamList[Team Name],MATCH(RobotGameDelib[[#This Row],[Team Number]], OfficialTeamList[Team Number],0))),"",INDEX(OfficialTeamList[Team Name],MATCH(RobotGameDelib[[#This Row],[Team Number]], OfficialTeamList[Team Number],0)))</f>
        <v/>
      </c>
      <c r="I12" s="142">
        <f>IF(ISNA(INDEX(TournamentData[Champion''s Rank],MATCH(RobotGameDelib[[#This Row],[Team Number]],TournamentData[Team Number],0))),NumberOfTeams+1,INDEX(TournamentData[Champion''s Rank],MATCH(RobotGameDelib[[#This Row],[Team Number]],TournamentData[Team Number],0)))</f>
        <v/>
      </c>
    </row>
    <row r="13" ht="20.25" customHeight="1">
      <c r="C13" s="142">
        <f>IF(ISNA(INDEX(OfficialTeamList[Team Name],MATCH(ChampionsDelib[[#This Row],[Team Number]], OfficialTeamList[Team Number],0))),"",INDEX(OfficialTeamList[Team Name],MATCH(ChampionsDelib[[#This Row],[Team Number]], OfficialTeamList[Team Number],0)))</f>
        <v/>
      </c>
      <c r="D13" s="142">
        <f>IF(ISNA(INDEX(TournamentData[Champion''s Rank],MATCH(ChampionsDelib[[#This Row],[Team Number]],TournamentData[Team Number],0))),NumberOfTeams+1,INDEX(TournamentData[Champion''s Rank],MATCH(ChampionsDelib[[#This Row],[Team Number]],TournamentData[Team Number],0)))</f>
        <v/>
      </c>
      <c r="H13" s="142">
        <f>IF(ISNA(INDEX(OfficialTeamList[Team Name],MATCH(RobotGameDelib[[#This Row],[Team Number]], OfficialTeamList[Team Number],0))),"",INDEX(OfficialTeamList[Team Name],MATCH(RobotGameDelib[[#This Row],[Team Number]], OfficialTeamList[Team Number],0)))</f>
        <v/>
      </c>
      <c r="I13" s="142">
        <f>IF(ISNA(INDEX(TournamentData[Champion''s Rank],MATCH(RobotGameDelib[[#This Row],[Team Number]],TournamentData[Team Number],0))),NumberOfTeams+1,INDEX(TournamentData[Champion''s Rank],MATCH(RobotGameDelib[[#This Row],[Team Number]],TournamentData[Team Number],0)))</f>
        <v/>
      </c>
    </row>
    <row r="14" ht="20.25" customHeight="1">
      <c r="C14" s="142">
        <f>IF(ISNA(INDEX(OfficialTeamList[Team Name],MATCH(ChampionsDelib[[#This Row],[Team Number]], OfficialTeamList[Team Number],0))),"",INDEX(OfficialTeamList[Team Name],MATCH(ChampionsDelib[[#This Row],[Team Number]], OfficialTeamList[Team Number],0)))</f>
        <v/>
      </c>
      <c r="D14" s="142">
        <f>IF(ISNA(INDEX(TournamentData[Champion''s Rank],MATCH(ChampionsDelib[[#This Row],[Team Number]],TournamentData[Team Number],0))),NumberOfTeams+1,INDEX(TournamentData[Champion''s Rank],MATCH(ChampionsDelib[[#This Row],[Team Number]],TournamentData[Team Number],0)))</f>
        <v/>
      </c>
      <c r="H14" s="142">
        <f>IF(ISNA(INDEX(OfficialTeamList[Team Name],MATCH(RobotGameDelib[[#This Row],[Team Number]], OfficialTeamList[Team Number],0))),"",INDEX(OfficialTeamList[Team Name],MATCH(RobotGameDelib[[#This Row],[Team Number]], OfficialTeamList[Team Number],0)))</f>
        <v/>
      </c>
      <c r="I14" s="142">
        <f>IF(ISNA(INDEX(TournamentData[Champion''s Rank],MATCH(RobotGameDelib[[#This Row],[Team Number]],TournamentData[Team Number],0))),NumberOfTeams+1,INDEX(TournamentData[Champion''s Rank],MATCH(RobotGameDelib[[#This Row],[Team Number]],TournamentData[Team Number],0)))</f>
        <v/>
      </c>
    </row>
    <row r="15" ht="20.25" customHeight="1">
      <c r="C15" s="142">
        <f>IF(ISNA(INDEX(OfficialTeamList[Team Name],MATCH(ChampionsDelib[[#This Row],[Team Number]], OfficialTeamList[Team Number],0))),"",INDEX(OfficialTeamList[Team Name],MATCH(ChampionsDelib[[#This Row],[Team Number]], OfficialTeamList[Team Number],0)))</f>
        <v/>
      </c>
      <c r="D15" s="142">
        <f>IF(ISNA(INDEX(TournamentData[Champion''s Rank],MATCH(ChampionsDelib[[#This Row],[Team Number]],TournamentData[Team Number],0))),NumberOfTeams+1,INDEX(TournamentData[Champion''s Rank],MATCH(ChampionsDelib[[#This Row],[Team Number]],TournamentData[Team Number],0)))</f>
        <v/>
      </c>
      <c r="H15" s="142">
        <f>IF(ISNA(INDEX(OfficialTeamList[Team Name],MATCH(RobotGameDelib[[#This Row],[Team Number]], OfficialTeamList[Team Number],0))),"",INDEX(OfficialTeamList[Team Name],MATCH(RobotGameDelib[[#This Row],[Team Number]], OfficialTeamList[Team Number],0)))</f>
        <v/>
      </c>
      <c r="I15" s="142">
        <f>IF(ISNA(INDEX(TournamentData[Champion''s Rank],MATCH(RobotGameDelib[[#This Row],[Team Number]],TournamentData[Team Number],0))),NumberOfTeams+1,INDEX(TournamentData[Champion''s Rank],MATCH(RobotGameDelib[[#This Row],[Team Number]],TournamentData[Team Number],0)))</f>
        <v/>
      </c>
    </row>
    <row r="16" ht="20.25" customHeight="1">
      <c r="C16" s="142">
        <f>IF(ISNA(INDEX(OfficialTeamList[Team Name],MATCH(ChampionsDelib[[#This Row],[Team Number]], OfficialTeamList[Team Number],0))),"",INDEX(OfficialTeamList[Team Name],MATCH(ChampionsDelib[[#This Row],[Team Number]], OfficialTeamList[Team Number],0)))</f>
        <v/>
      </c>
      <c r="D16" s="142">
        <f>IF(ISNA(INDEX(TournamentData[Champion''s Rank],MATCH(ChampionsDelib[[#This Row],[Team Number]],TournamentData[Team Number],0))),NumberOfTeams+1,INDEX(TournamentData[Champion''s Rank],MATCH(ChampionsDelib[[#This Row],[Team Number]],TournamentData[Team Number],0)))</f>
        <v/>
      </c>
      <c r="H16" s="142">
        <f>IF(ISNA(INDEX(OfficialTeamList[Team Name],MATCH(RobotGameDelib[[#This Row],[Team Number]], OfficialTeamList[Team Number],0))),"",INDEX(OfficialTeamList[Team Name],MATCH(RobotGameDelib[[#This Row],[Team Number]], OfficialTeamList[Team Number],0)))</f>
        <v/>
      </c>
      <c r="I16" s="142">
        <f>IF(ISNA(INDEX(TournamentData[Champion''s Rank],MATCH(RobotGameDelib[[#This Row],[Team Number]],TournamentData[Team Number],0))),NumberOfTeams+1,INDEX(TournamentData[Champion''s Rank],MATCH(RobotGameDelib[[#This Row],[Team Number]],TournamentData[Team Number],0)))</f>
        <v/>
      </c>
    </row>
    <row r="17" ht="20.25" customHeight="1">
      <c r="C17" s="142">
        <f>IF(ISNA(INDEX(OfficialTeamList[Team Name],MATCH(ChampionsDelib[[#This Row],[Team Number]], OfficialTeamList[Team Number],0))),"",INDEX(OfficialTeamList[Team Name],MATCH(ChampionsDelib[[#This Row],[Team Number]], OfficialTeamList[Team Number],0)))</f>
        <v/>
      </c>
      <c r="D17" s="142">
        <f>IF(ISNA(INDEX(TournamentData[Champion''s Rank],MATCH(ChampionsDelib[[#This Row],[Team Number]],TournamentData[Team Number],0))),NumberOfTeams+1,INDEX(TournamentData[Champion''s Rank],MATCH(ChampionsDelib[[#This Row],[Team Number]],TournamentData[Team Number],0)))</f>
        <v/>
      </c>
      <c r="H17" s="142">
        <f>IF(ISNA(INDEX(OfficialTeamList[Team Name],MATCH(RobotGameDelib[[#This Row],[Team Number]], OfficialTeamList[Team Number],0))),"",INDEX(OfficialTeamList[Team Name],MATCH(RobotGameDelib[[#This Row],[Team Number]], OfficialTeamList[Team Number],0)))</f>
        <v/>
      </c>
      <c r="I17" s="142">
        <f>IF(ISNA(INDEX(TournamentData[Champion''s Rank],MATCH(RobotGameDelib[[#This Row],[Team Number]],TournamentData[Team Number],0))),NumberOfTeams+1,INDEX(TournamentData[Champion''s Rank],MATCH(RobotGameDelib[[#This Row],[Team Number]],TournamentData[Team Number],0)))</f>
        <v/>
      </c>
    </row>
    <row r="18" ht="20.25" customHeight="1">
      <c r="C18" s="142">
        <f>IF(ISNA(INDEX(OfficialTeamList[Team Name],MATCH(ChampionsDelib[[#This Row],[Team Number]], OfficialTeamList[Team Number],0))),"",INDEX(OfficialTeamList[Team Name],MATCH(ChampionsDelib[[#This Row],[Team Number]], OfficialTeamList[Team Number],0)))</f>
        <v/>
      </c>
      <c r="D18" s="142">
        <f>IF(ISNA(INDEX(TournamentData[Champion''s Rank],MATCH(ChampionsDelib[[#This Row],[Team Number]],TournamentData[Team Number],0))),NumberOfTeams+1,INDEX(TournamentData[Champion''s Rank],MATCH(ChampionsDelib[[#This Row],[Team Number]],TournamentData[Team Number],0)))</f>
        <v/>
      </c>
      <c r="H18" s="142">
        <f>IF(ISNA(INDEX(OfficialTeamList[Team Name],MATCH(RobotGameDelib[[#This Row],[Team Number]], OfficialTeamList[Team Number],0))),"",INDEX(OfficialTeamList[Team Name],MATCH(RobotGameDelib[[#This Row],[Team Number]], OfficialTeamList[Team Number],0)))</f>
        <v/>
      </c>
      <c r="I18" s="142">
        <f>IF(ISNA(INDEX(TournamentData[Champion''s Rank],MATCH(RobotGameDelib[[#This Row],[Team Number]],TournamentData[Team Number],0))),NumberOfTeams+1,INDEX(TournamentData[Champion''s Rank],MATCH(RobotGameDelib[[#This Row],[Team Number]],TournamentData[Team Number],0)))</f>
        <v/>
      </c>
    </row>
    <row r="20" ht="20.25" customHeight="1">
      <c r="B20" s="142" t="inlineStr">
        <is>
          <t>Core Values</t>
        </is>
      </c>
      <c r="G20" s="142" t="inlineStr">
        <is>
          <t>Robot Design</t>
        </is>
      </c>
      <c r="L20" s="142" t="inlineStr">
        <is>
          <t>Innovation Project</t>
        </is>
      </c>
    </row>
    <row r="21" ht="39.95" customHeight="1">
      <c r="B21" s="17" t="inlineStr">
        <is>
          <t>Team Number</t>
        </is>
      </c>
      <c r="C21" s="17" t="inlineStr">
        <is>
          <t>Team Name</t>
        </is>
      </c>
      <c r="D21" s="18" t="inlineStr">
        <is>
          <t>Core Values Rank</t>
        </is>
      </c>
      <c r="E21" s="18" t="inlineStr">
        <is>
          <t>Deliberated Rank</t>
        </is>
      </c>
      <c r="G21" s="21" t="inlineStr">
        <is>
          <t>Team Number</t>
        </is>
      </c>
      <c r="H21" s="21" t="inlineStr">
        <is>
          <t>Team Name</t>
        </is>
      </c>
      <c r="I21" s="22" t="inlineStr">
        <is>
          <t>Robot Design Rank</t>
        </is>
      </c>
      <c r="J21" s="22" t="inlineStr">
        <is>
          <t>Deliberated Rank</t>
        </is>
      </c>
      <c r="L21" s="19" t="inlineStr">
        <is>
          <t>Team Number</t>
        </is>
      </c>
      <c r="M21" s="19" t="inlineStr">
        <is>
          <t>Team Name</t>
        </is>
      </c>
      <c r="N21" s="20" t="inlineStr">
        <is>
          <t>Innovation Project Rank</t>
        </is>
      </c>
      <c r="O21" s="20" t="inlineStr">
        <is>
          <t>Deliberated Rank</t>
        </is>
      </c>
    </row>
    <row r="22" ht="20.25" customHeight="1">
      <c r="C22" s="142">
        <f>IF(ISNA(INDEX(OfficialTeamList[Team Name],MATCH(CoreValuesDelib[[#This Row],[Team Number]], OfficialTeamList[Team Number],0))),"",INDEX(OfficialTeamList[Team Name],MATCH(CoreValuesDelib[[#This Row],[Team Number]], OfficialTeamList[Team Number],0)))</f>
        <v/>
      </c>
      <c r="D22" s="142">
        <f>IF(ISNA(INDEX(CoreValuesResults[Core Values Rank],MATCH(CoreValuesDelib[[#This Row],[Team Number]],CoreValuesResults[Team Number],0))),NumberOfTeams+1,INDEX(CoreValuesResults[Core Values Rank],MATCH(CoreValuesDelib[[#This Row],[Team Number]],CoreValuesResults[Team Number],0)))</f>
        <v/>
      </c>
      <c r="H22" s="142">
        <f>IF(ISNA(INDEX(OfficialTeamList[Team Name],MATCH(RobotDesignDelib[[#This Row],[Team Number]], OfficialTeamList[Team Number],0))),"",INDEX(OfficialTeamList[Team Name],MATCH(RobotDesignDelib[[#This Row],[Team Number]], OfficialTeamList[Team Number],0)))</f>
        <v/>
      </c>
      <c r="I22" s="142">
        <f>IF(ISNA(INDEX(RobotDesignResults[Robot Design Rank],MATCH(RobotDesignDelib[[#This Row],[Team Number]],RobotDesignResults[Team Number],0))),NumberOfTeams+1,INDEX(RobotDesignResults[Robot Design Rank],MATCH(RobotDesignDelib[[#This Row],[Team Number]],RobotDesignResults[Team Number],0)))</f>
        <v/>
      </c>
      <c r="M22" s="142">
        <f>IF(ISNA(INDEX(OfficialTeamList[Team Name],MATCH(InnovationProjectDelib[[#This Row],[Team Number]], OfficialTeamList[Team Number],0))),"",INDEX(OfficialTeamList[Team Name],MATCH(InnovationProjectDelib[[#This Row],[Team Number]], OfficialTeamList[Team Number],0)))</f>
        <v/>
      </c>
      <c r="N22"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142">
        <f>IF(ISNA(INDEX(OfficialTeamList[Team Name],MATCH(CoreValuesDelib[[#This Row],[Team Number]], OfficialTeamList[Team Number],0))),"",INDEX(OfficialTeamList[Team Name],MATCH(CoreValuesDelib[[#This Row],[Team Number]], OfficialTeamList[Team Number],0)))</f>
        <v/>
      </c>
      <c r="D23" s="142">
        <f>IF(ISNA(INDEX(CoreValuesResults[Core Values Rank],MATCH(CoreValuesDelib[[#This Row],[Team Number]],CoreValuesResults[Team Number],0))),NumberOfTeams+1,INDEX(CoreValuesResults[Core Values Rank],MATCH(CoreValuesDelib[[#This Row],[Team Number]],CoreValuesResults[Team Number],0)))</f>
        <v/>
      </c>
      <c r="H23" s="142">
        <f>IF(ISNA(INDEX(OfficialTeamList[Team Name],MATCH(RobotDesignDelib[[#This Row],[Team Number]], OfficialTeamList[Team Number],0))),"",INDEX(OfficialTeamList[Team Name],MATCH(RobotDesignDelib[[#This Row],[Team Number]], OfficialTeamList[Team Number],0)))</f>
        <v/>
      </c>
      <c r="I23" s="142">
        <f>IF(ISNA(INDEX(RobotDesignResults[Robot Design Rank],MATCH(RobotDesignDelib[[#This Row],[Team Number]],RobotDesignResults[Team Number],0))),NumberOfTeams+1,INDEX(RobotDesignResults[Robot Design Rank],MATCH(RobotDesignDelib[[#This Row],[Team Number]],RobotDesignResults[Team Number],0)))</f>
        <v/>
      </c>
      <c r="M23" s="142">
        <f>IF(ISNA(INDEX(OfficialTeamList[Team Name],MATCH(InnovationProjectDelib[[#This Row],[Team Number]], OfficialTeamList[Team Number],0))),"",INDEX(OfficialTeamList[Team Name],MATCH(InnovationProjectDelib[[#This Row],[Team Number]], OfficialTeamList[Team Number],0)))</f>
        <v/>
      </c>
      <c r="N23"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142">
        <f>IF(ISNA(INDEX(OfficialTeamList[Team Name],MATCH(CoreValuesDelib[[#This Row],[Team Number]], OfficialTeamList[Team Number],0))),"",INDEX(OfficialTeamList[Team Name],MATCH(CoreValuesDelib[[#This Row],[Team Number]], OfficialTeamList[Team Number],0)))</f>
        <v/>
      </c>
      <c r="D24" s="142">
        <f>IF(ISNA(INDEX(CoreValuesResults[Core Values Rank],MATCH(CoreValuesDelib[[#This Row],[Team Number]],CoreValuesResults[Team Number],0))),NumberOfTeams+1,INDEX(CoreValuesResults[Core Values Rank],MATCH(CoreValuesDelib[[#This Row],[Team Number]],CoreValuesResults[Team Number],0)))</f>
        <v/>
      </c>
      <c r="H24" s="142">
        <f>IF(ISNA(INDEX(OfficialTeamList[Team Name],MATCH(RobotDesignDelib[[#This Row],[Team Number]], OfficialTeamList[Team Number],0))),"",INDEX(OfficialTeamList[Team Name],MATCH(RobotDesignDelib[[#This Row],[Team Number]], OfficialTeamList[Team Number],0)))</f>
        <v/>
      </c>
      <c r="I24" s="142">
        <f>IF(ISNA(INDEX(RobotDesignResults[Robot Design Rank],MATCH(RobotDesignDelib[[#This Row],[Team Number]],RobotDesignResults[Team Number],0))),NumberOfTeams+1,INDEX(RobotDesignResults[Robot Design Rank],MATCH(RobotDesignDelib[[#This Row],[Team Number]],RobotDesignResults[Team Number],0)))</f>
        <v/>
      </c>
      <c r="M24" s="142">
        <f>IF(ISNA(INDEX(OfficialTeamList[Team Name],MATCH(InnovationProjectDelib[[#This Row],[Team Number]], OfficialTeamList[Team Number],0))),"",INDEX(OfficialTeamList[Team Name],MATCH(InnovationProjectDelib[[#This Row],[Team Number]], OfficialTeamList[Team Number],0)))</f>
        <v/>
      </c>
      <c r="N24"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142">
        <f>IF(ISNA(INDEX(OfficialTeamList[Team Name],MATCH(CoreValuesDelib[[#This Row],[Team Number]], OfficialTeamList[Team Number],0))),"",INDEX(OfficialTeamList[Team Name],MATCH(CoreValuesDelib[[#This Row],[Team Number]], OfficialTeamList[Team Number],0)))</f>
        <v/>
      </c>
      <c r="D25" s="142">
        <f>IF(ISNA(INDEX(CoreValuesResults[Core Values Rank],MATCH(CoreValuesDelib[[#This Row],[Team Number]],CoreValuesResults[Team Number],0))),NumberOfTeams+1,INDEX(CoreValuesResults[Core Values Rank],MATCH(CoreValuesDelib[[#This Row],[Team Number]],CoreValuesResults[Team Number],0)))</f>
        <v/>
      </c>
      <c r="H25" s="142">
        <f>IF(ISNA(INDEX(OfficialTeamList[Team Name],MATCH(RobotDesignDelib[[#This Row],[Team Number]], OfficialTeamList[Team Number],0))),"",INDEX(OfficialTeamList[Team Name],MATCH(RobotDesignDelib[[#This Row],[Team Number]], OfficialTeamList[Team Number],0)))</f>
        <v/>
      </c>
      <c r="I25" s="142">
        <f>IF(ISNA(INDEX(RobotDesignResults[Robot Design Rank],MATCH(RobotDesignDelib[[#This Row],[Team Number]],RobotDesignResults[Team Number],0))),NumberOfTeams+1,INDEX(RobotDesignResults[Robot Design Rank],MATCH(RobotDesignDelib[[#This Row],[Team Number]],RobotDesignResults[Team Number],0)))</f>
        <v/>
      </c>
      <c r="M25" s="142">
        <f>IF(ISNA(INDEX(OfficialTeamList[Team Name],MATCH(InnovationProjectDelib[[#This Row],[Team Number]], OfficialTeamList[Team Number],0))),"",INDEX(OfficialTeamList[Team Name],MATCH(InnovationProjectDelib[[#This Row],[Team Number]], OfficialTeamList[Team Number],0)))</f>
        <v/>
      </c>
      <c r="N25"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142">
        <f>IF(ISNA(INDEX(OfficialTeamList[Team Name],MATCH(CoreValuesDelib[[#This Row],[Team Number]], OfficialTeamList[Team Number],0))),"",INDEX(OfficialTeamList[Team Name],MATCH(CoreValuesDelib[[#This Row],[Team Number]], OfficialTeamList[Team Number],0)))</f>
        <v/>
      </c>
      <c r="D26" s="142">
        <f>IF(ISNA(INDEX(CoreValuesResults[Core Values Rank],MATCH(CoreValuesDelib[[#This Row],[Team Number]],CoreValuesResults[Team Number],0))),NumberOfTeams+1,INDEX(CoreValuesResults[Core Values Rank],MATCH(CoreValuesDelib[[#This Row],[Team Number]],CoreValuesResults[Team Number],0)))</f>
        <v/>
      </c>
      <c r="H26" s="142">
        <f>IF(ISNA(INDEX(OfficialTeamList[Team Name],MATCH(RobotDesignDelib[[#This Row],[Team Number]], OfficialTeamList[Team Number],0))),"",INDEX(OfficialTeamList[Team Name],MATCH(RobotDesignDelib[[#This Row],[Team Number]], OfficialTeamList[Team Number],0)))</f>
        <v/>
      </c>
      <c r="I26" s="142">
        <f>IF(ISNA(INDEX(RobotDesignResults[Robot Design Rank],MATCH(RobotDesignDelib[[#This Row],[Team Number]],RobotDesignResults[Team Number],0))),NumberOfTeams+1,INDEX(RobotDesignResults[Robot Design Rank],MATCH(RobotDesignDelib[[#This Row],[Team Number]],RobotDesignResults[Team Number],0)))</f>
        <v/>
      </c>
      <c r="M26" s="142">
        <f>IF(ISNA(INDEX(OfficialTeamList[Team Name],MATCH(InnovationProjectDelib[[#This Row],[Team Number]], OfficialTeamList[Team Number],0))),"",INDEX(OfficialTeamList[Team Name],MATCH(InnovationProjectDelib[[#This Row],[Team Number]], OfficialTeamList[Team Number],0)))</f>
        <v/>
      </c>
      <c r="N26"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142">
        <f>IF(ISNA(INDEX(OfficialTeamList[Team Name],MATCH(CoreValuesDelib[[#This Row],[Team Number]], OfficialTeamList[Team Number],0))),"",INDEX(OfficialTeamList[Team Name],MATCH(CoreValuesDelib[[#This Row],[Team Number]], OfficialTeamList[Team Number],0)))</f>
        <v/>
      </c>
      <c r="D27" s="142">
        <f>IF(ISNA(INDEX(CoreValuesResults[Core Values Rank],MATCH(CoreValuesDelib[[#This Row],[Team Number]],CoreValuesResults[Team Number],0))),NumberOfTeams+1,INDEX(CoreValuesResults[Core Values Rank],MATCH(CoreValuesDelib[[#This Row],[Team Number]],CoreValuesResults[Team Number],0)))</f>
        <v/>
      </c>
      <c r="H27" s="142">
        <f>IF(ISNA(INDEX(OfficialTeamList[Team Name],MATCH(RobotDesignDelib[[#This Row],[Team Number]], OfficialTeamList[Team Number],0))),"",INDEX(OfficialTeamList[Team Name],MATCH(RobotDesignDelib[[#This Row],[Team Number]], OfficialTeamList[Team Number],0)))</f>
        <v/>
      </c>
      <c r="I27" s="142">
        <f>IF(ISNA(INDEX(RobotDesignResults[Robot Design Rank],MATCH(RobotDesignDelib[[#This Row],[Team Number]],RobotDesignResults[Team Number],0))),NumberOfTeams+1,INDEX(RobotDesignResults[Robot Design Rank],MATCH(RobotDesignDelib[[#This Row],[Team Number]],RobotDesignResults[Team Number],0)))</f>
        <v/>
      </c>
      <c r="M27" s="142">
        <f>IF(ISNA(INDEX(OfficialTeamList[Team Name],MATCH(InnovationProjectDelib[[#This Row],[Team Number]], OfficialTeamList[Team Number],0))),"",INDEX(OfficialTeamList[Team Name],MATCH(InnovationProjectDelib[[#This Row],[Team Number]], OfficialTeamList[Team Number],0)))</f>
        <v/>
      </c>
      <c r="N27"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142">
        <f>IF(ISNA(INDEX(OfficialTeamList[Team Name],MATCH(CoreValuesDelib[[#This Row],[Team Number]], OfficialTeamList[Team Number],0))),"",INDEX(OfficialTeamList[Team Name],MATCH(CoreValuesDelib[[#This Row],[Team Number]], OfficialTeamList[Team Number],0)))</f>
        <v/>
      </c>
      <c r="D28" s="142">
        <f>IF(ISNA(INDEX(CoreValuesResults[Core Values Rank],MATCH(CoreValuesDelib[[#This Row],[Team Number]],CoreValuesResults[Team Number],0))),NumberOfTeams+1,INDEX(CoreValuesResults[Core Values Rank],MATCH(CoreValuesDelib[[#This Row],[Team Number]],CoreValuesResults[Team Number],0)))</f>
        <v/>
      </c>
      <c r="H28" s="142">
        <f>IF(ISNA(INDEX(OfficialTeamList[Team Name],MATCH(RobotDesignDelib[[#This Row],[Team Number]], OfficialTeamList[Team Number],0))),"",INDEX(OfficialTeamList[Team Name],MATCH(RobotDesignDelib[[#This Row],[Team Number]], OfficialTeamList[Team Number],0)))</f>
        <v/>
      </c>
      <c r="I28" s="142">
        <f>IF(ISNA(INDEX(RobotDesignResults[Robot Design Rank],MATCH(RobotDesignDelib[[#This Row],[Team Number]],RobotDesignResults[Team Number],0))),NumberOfTeams+1,INDEX(RobotDesignResults[Robot Design Rank],MATCH(RobotDesignDelib[[#This Row],[Team Number]],RobotDesignResults[Team Number],0)))</f>
        <v/>
      </c>
      <c r="M28" s="142">
        <f>IF(ISNA(INDEX(OfficialTeamList[Team Name],MATCH(InnovationProjectDelib[[#This Row],[Team Number]], OfficialTeamList[Team Number],0))),"",INDEX(OfficialTeamList[Team Name],MATCH(InnovationProjectDelib[[#This Row],[Team Number]], OfficialTeamList[Team Number],0)))</f>
        <v/>
      </c>
      <c r="N28"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142">
        <f>IF(ISNA(INDEX(OfficialTeamList[Team Name],MATCH(CoreValuesDelib[[#This Row],[Team Number]], OfficialTeamList[Team Number],0))),"",INDEX(OfficialTeamList[Team Name],MATCH(CoreValuesDelib[[#This Row],[Team Number]], OfficialTeamList[Team Number],0)))</f>
        <v/>
      </c>
      <c r="D29" s="142">
        <f>IF(ISNA(INDEX(CoreValuesResults[Core Values Rank],MATCH(CoreValuesDelib[[#This Row],[Team Number]],CoreValuesResults[Team Number],0))),NumberOfTeams+1,INDEX(CoreValuesResults[Core Values Rank],MATCH(CoreValuesDelib[[#This Row],[Team Number]],CoreValuesResults[Team Number],0)))</f>
        <v/>
      </c>
      <c r="H29" s="142">
        <f>IF(ISNA(INDEX(OfficialTeamList[Team Name],MATCH(RobotDesignDelib[[#This Row],[Team Number]], OfficialTeamList[Team Number],0))),"",INDEX(OfficialTeamList[Team Name],MATCH(RobotDesignDelib[[#This Row],[Team Number]], OfficialTeamList[Team Number],0)))</f>
        <v/>
      </c>
      <c r="I29" s="142">
        <f>IF(ISNA(INDEX(RobotDesignResults[Robot Design Rank],MATCH(RobotDesignDelib[[#This Row],[Team Number]],RobotDesignResults[Team Number],0))),NumberOfTeams+1,INDEX(RobotDesignResults[Robot Design Rank],MATCH(RobotDesignDelib[[#This Row],[Team Number]],RobotDesignResults[Team Number],0)))</f>
        <v/>
      </c>
      <c r="M29" s="142">
        <f>IF(ISNA(INDEX(OfficialTeamList[Team Name],MATCH(InnovationProjectDelib[[#This Row],[Team Number]], OfficialTeamList[Team Number],0))),"",INDEX(OfficialTeamList[Team Name],MATCH(InnovationProjectDelib[[#This Row],[Team Number]], OfficialTeamList[Team Number],0)))</f>
        <v/>
      </c>
      <c r="N29"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142">
        <f>IF(ISNA(INDEX(OfficialTeamList[Team Name],MATCH(CoreValuesDelib[[#This Row],[Team Number]], OfficialTeamList[Team Number],0))),"",INDEX(OfficialTeamList[Team Name],MATCH(CoreValuesDelib[[#This Row],[Team Number]], OfficialTeamList[Team Number],0)))</f>
        <v/>
      </c>
      <c r="D30" s="142">
        <f>IF(ISNA(INDEX(CoreValuesResults[Core Values Rank],MATCH(CoreValuesDelib[[#This Row],[Team Number]],CoreValuesResults[Team Number],0))),NumberOfTeams+1,INDEX(CoreValuesResults[Core Values Rank],MATCH(CoreValuesDelib[[#This Row],[Team Number]],CoreValuesResults[Team Number],0)))</f>
        <v/>
      </c>
      <c r="H30" s="142">
        <f>IF(ISNA(INDEX(OfficialTeamList[Team Name],MATCH(RobotDesignDelib[[#This Row],[Team Number]], OfficialTeamList[Team Number],0))),"",INDEX(OfficialTeamList[Team Name],MATCH(RobotDesignDelib[[#This Row],[Team Number]], OfficialTeamList[Team Number],0)))</f>
        <v/>
      </c>
      <c r="I30" s="142">
        <f>IF(ISNA(INDEX(RobotDesignResults[Robot Design Rank],MATCH(RobotDesignDelib[[#This Row],[Team Number]],RobotDesignResults[Team Number],0))),NumberOfTeams+1,INDEX(RobotDesignResults[Robot Design Rank],MATCH(RobotDesignDelib[[#This Row],[Team Number]],RobotDesignResults[Team Number],0)))</f>
        <v/>
      </c>
      <c r="M30" s="142">
        <f>IF(ISNA(INDEX(OfficialTeamList[Team Name],MATCH(InnovationProjectDelib[[#This Row],[Team Number]], OfficialTeamList[Team Number],0))),"",INDEX(OfficialTeamList[Team Name],MATCH(InnovationProjectDelib[[#This Row],[Team Number]], OfficialTeamList[Team Number],0)))</f>
        <v/>
      </c>
      <c r="N30"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142">
        <f>IF(ISNA(INDEX(OfficialTeamList[Team Name],MATCH(CoreValuesDelib[[#This Row],[Team Number]], OfficialTeamList[Team Number],0))),"",INDEX(OfficialTeamList[Team Name],MATCH(CoreValuesDelib[[#This Row],[Team Number]], OfficialTeamList[Team Number],0)))</f>
        <v/>
      </c>
      <c r="D31" s="142">
        <f>IF(ISNA(INDEX(CoreValuesResults[Core Values Rank],MATCH(CoreValuesDelib[[#This Row],[Team Number]],CoreValuesResults[Team Number],0))),NumberOfTeams+1,INDEX(CoreValuesResults[Core Values Rank],MATCH(CoreValuesDelib[[#This Row],[Team Number]],CoreValuesResults[Team Number],0)))</f>
        <v/>
      </c>
      <c r="H31" s="142">
        <f>IF(ISNA(INDEX(OfficialTeamList[Team Name],MATCH(RobotDesignDelib[[#This Row],[Team Number]], OfficialTeamList[Team Number],0))),"",INDEX(OfficialTeamList[Team Name],MATCH(RobotDesignDelib[[#This Row],[Team Number]], OfficialTeamList[Team Number],0)))</f>
        <v/>
      </c>
      <c r="I31" s="142">
        <f>IF(ISNA(INDEX(RobotDesignResults[Robot Design Rank],MATCH(RobotDesignDelib[[#This Row],[Team Number]],RobotDesignResults[Team Number],0))),NumberOfTeams+1,INDEX(RobotDesignResults[Robot Design Rank],MATCH(RobotDesignDelib[[#This Row],[Team Number]],RobotDesignResults[Team Number],0)))</f>
        <v/>
      </c>
      <c r="M31" s="142">
        <f>IF(ISNA(INDEX(OfficialTeamList[Team Name],MATCH(InnovationProjectDelib[[#This Row],[Team Number]], OfficialTeamList[Team Number],0))),"",INDEX(OfficialTeamList[Team Name],MATCH(InnovationProjectDelib[[#This Row],[Team Number]], OfficialTeamList[Team Number],0)))</f>
        <v/>
      </c>
      <c r="N31"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142">
        <f>IF(ISNA(INDEX(OfficialTeamList[Team Name],MATCH(CoreValuesDelib[[#This Row],[Team Number]], OfficialTeamList[Team Number],0))),"",INDEX(OfficialTeamList[Team Name],MATCH(CoreValuesDelib[[#This Row],[Team Number]], OfficialTeamList[Team Number],0)))</f>
        <v/>
      </c>
      <c r="D32" s="142">
        <f>IF(ISNA(INDEX(CoreValuesResults[Core Values Rank],MATCH(CoreValuesDelib[[#This Row],[Team Number]],CoreValuesResults[Team Number],0))),NumberOfTeams+1,INDEX(CoreValuesResults[Core Values Rank],MATCH(CoreValuesDelib[[#This Row],[Team Number]],CoreValuesResults[Team Number],0)))</f>
        <v/>
      </c>
      <c r="H32" s="142">
        <f>IF(ISNA(INDEX(OfficialTeamList[Team Name],MATCH(RobotDesignDelib[[#This Row],[Team Number]], OfficialTeamList[Team Number],0))),"",INDEX(OfficialTeamList[Team Name],MATCH(RobotDesignDelib[[#This Row],[Team Number]], OfficialTeamList[Team Number],0)))</f>
        <v/>
      </c>
      <c r="I32" s="142">
        <f>IF(ISNA(INDEX(RobotDesignResults[Robot Design Rank],MATCH(RobotDesignDelib[[#This Row],[Team Number]],RobotDesignResults[Team Number],0))),NumberOfTeams+1,INDEX(RobotDesignResults[Robot Design Rank],MATCH(RobotDesignDelib[[#This Row],[Team Number]],RobotDesignResults[Team Number],0)))</f>
        <v/>
      </c>
      <c r="M32" s="142">
        <f>IF(ISNA(INDEX(OfficialTeamList[Team Name],MATCH(InnovationProjectDelib[[#This Row],[Team Number]], OfficialTeamList[Team Number],0))),"",INDEX(OfficialTeamList[Team Name],MATCH(InnovationProjectDelib[[#This Row],[Team Number]], OfficialTeamList[Team Number],0)))</f>
        <v/>
      </c>
      <c r="N32"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142">
        <f>IF(ISNA(INDEX(OfficialTeamList[Team Name],MATCH(CoreValuesDelib[[#This Row],[Team Number]], OfficialTeamList[Team Number],0))),"",INDEX(OfficialTeamList[Team Name],MATCH(CoreValuesDelib[[#This Row],[Team Number]], OfficialTeamList[Team Number],0)))</f>
        <v/>
      </c>
      <c r="D33" s="142">
        <f>IF(ISNA(INDEX(CoreValuesResults[Core Values Rank],MATCH(CoreValuesDelib[[#This Row],[Team Number]],CoreValuesResults[Team Number],0))),NumberOfTeams+1,INDEX(CoreValuesResults[Core Values Rank],MATCH(CoreValuesDelib[[#This Row],[Team Number]],CoreValuesResults[Team Number],0)))</f>
        <v/>
      </c>
      <c r="H33" s="142">
        <f>IF(ISNA(INDEX(OfficialTeamList[Team Name],MATCH(RobotDesignDelib[[#This Row],[Team Number]], OfficialTeamList[Team Number],0))),"",INDEX(OfficialTeamList[Team Name],MATCH(RobotDesignDelib[[#This Row],[Team Number]], OfficialTeamList[Team Number],0)))</f>
        <v/>
      </c>
      <c r="I33" s="142">
        <f>IF(ISNA(INDEX(RobotDesignResults[Robot Design Rank],MATCH(RobotDesignDelib[[#This Row],[Team Number]],RobotDesignResults[Team Number],0))),NumberOfTeams+1,INDEX(RobotDesignResults[Robot Design Rank],MATCH(RobotDesignDelib[[#This Row],[Team Number]],RobotDesignResults[Team Number],0)))</f>
        <v/>
      </c>
      <c r="M33" s="142">
        <f>IF(ISNA(INDEX(OfficialTeamList[Team Name],MATCH(InnovationProjectDelib[[#This Row],[Team Number]], OfficialTeamList[Team Number],0))),"",INDEX(OfficialTeamList[Team Name],MATCH(InnovationProjectDelib[[#This Row],[Team Number]], OfficialTeamList[Team Number],0)))</f>
        <v/>
      </c>
      <c r="N33"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142">
        <f>IF(ISNA(INDEX(OfficialTeamList[Team Name],MATCH(CoreValuesDelib[[#This Row],[Team Number]], OfficialTeamList[Team Number],0))),"",INDEX(OfficialTeamList[Team Name],MATCH(CoreValuesDelib[[#This Row],[Team Number]], OfficialTeamList[Team Number],0)))</f>
        <v/>
      </c>
      <c r="D34" s="142">
        <f>IF(ISNA(INDEX(CoreValuesResults[Core Values Rank],MATCH(CoreValuesDelib[[#This Row],[Team Number]],CoreValuesResults[Team Number],0))),NumberOfTeams+1,INDEX(CoreValuesResults[Core Values Rank],MATCH(CoreValuesDelib[[#This Row],[Team Number]],CoreValuesResults[Team Number],0)))</f>
        <v/>
      </c>
      <c r="H34" s="142">
        <f>IF(ISNA(INDEX(OfficialTeamList[Team Name],MATCH(RobotDesignDelib[[#This Row],[Team Number]], OfficialTeamList[Team Number],0))),"",INDEX(OfficialTeamList[Team Name],MATCH(RobotDesignDelib[[#This Row],[Team Number]], OfficialTeamList[Team Number],0)))</f>
        <v/>
      </c>
      <c r="I34" s="142">
        <f>IF(ISNA(INDEX(RobotDesignResults[Robot Design Rank],MATCH(RobotDesignDelib[[#This Row],[Team Number]],RobotDesignResults[Team Number],0))),NumberOfTeams+1,INDEX(RobotDesignResults[Robot Design Rank],MATCH(RobotDesignDelib[[#This Row],[Team Number]],RobotDesignResults[Team Number],0)))</f>
        <v/>
      </c>
      <c r="M34" s="142">
        <f>IF(ISNA(INDEX(OfficialTeamList[Team Name],MATCH(InnovationProjectDelib[[#This Row],[Team Number]], OfficialTeamList[Team Number],0))),"",INDEX(OfficialTeamList[Team Name],MATCH(InnovationProjectDelib[[#This Row],[Team Number]], OfficialTeamList[Team Number],0)))</f>
        <v/>
      </c>
      <c r="N34"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142">
        <f>IF(ISNA(INDEX(OfficialTeamList[Team Name],MATCH(CoreValuesDelib[[#This Row],[Team Number]], OfficialTeamList[Team Number],0))),"",INDEX(OfficialTeamList[Team Name],MATCH(CoreValuesDelib[[#This Row],[Team Number]], OfficialTeamList[Team Number],0)))</f>
        <v/>
      </c>
      <c r="D35" s="142">
        <f>IF(ISNA(INDEX(CoreValuesResults[Core Values Rank],MATCH(CoreValuesDelib[[#This Row],[Team Number]],CoreValuesResults[Team Number],0))),NumberOfTeams+1,INDEX(CoreValuesResults[Core Values Rank],MATCH(CoreValuesDelib[[#This Row],[Team Number]],CoreValuesResults[Team Number],0)))</f>
        <v/>
      </c>
      <c r="H35" s="142">
        <f>IF(ISNA(INDEX(OfficialTeamList[Team Name],MATCH(RobotDesignDelib[[#This Row],[Team Number]], OfficialTeamList[Team Number],0))),"",INDEX(OfficialTeamList[Team Name],MATCH(RobotDesignDelib[[#This Row],[Team Number]], OfficialTeamList[Team Number],0)))</f>
        <v/>
      </c>
      <c r="I35" s="142">
        <f>IF(ISNA(INDEX(RobotDesignResults[Robot Design Rank],MATCH(RobotDesignDelib[[#This Row],[Team Number]],RobotDesignResults[Team Number],0))),NumberOfTeams+1,INDEX(RobotDesignResults[Robot Design Rank],MATCH(RobotDesignDelib[[#This Row],[Team Number]],RobotDesignResults[Team Number],0)))</f>
        <v/>
      </c>
      <c r="M35" s="142">
        <f>IF(ISNA(INDEX(OfficialTeamList[Team Name],MATCH(InnovationProjectDelib[[#This Row],[Team Number]], OfficialTeamList[Team Number],0))),"",INDEX(OfficialTeamList[Team Name],MATCH(InnovationProjectDelib[[#This Row],[Team Number]], OfficialTeamList[Team Number],0)))</f>
        <v/>
      </c>
      <c r="N35"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142">
        <f>IF(ISNA(INDEX(OfficialTeamList[Team Name],MATCH(CoreValuesDelib[[#This Row],[Team Number]], OfficialTeamList[Team Number],0))),"",INDEX(OfficialTeamList[Team Name],MATCH(CoreValuesDelib[[#This Row],[Team Number]], OfficialTeamList[Team Number],0)))</f>
        <v/>
      </c>
      <c r="D36" s="142">
        <f>IF(ISNA(INDEX(CoreValuesResults[Core Values Rank],MATCH(CoreValuesDelib[[#This Row],[Team Number]],CoreValuesResults[Team Number],0))),NumberOfTeams+1,INDEX(CoreValuesResults[Core Values Rank],MATCH(CoreValuesDelib[[#This Row],[Team Number]],CoreValuesResults[Team Number],0)))</f>
        <v/>
      </c>
      <c r="H36" s="142">
        <f>IF(ISNA(INDEX(OfficialTeamList[Team Name],MATCH(RobotDesignDelib[[#This Row],[Team Number]], OfficialTeamList[Team Number],0))),"",INDEX(OfficialTeamList[Team Name],MATCH(RobotDesignDelib[[#This Row],[Team Number]], OfficialTeamList[Team Number],0)))</f>
        <v/>
      </c>
      <c r="I36" s="142">
        <f>IF(ISNA(INDEX(RobotDesignResults[Robot Design Rank],MATCH(RobotDesignDelib[[#This Row],[Team Number]],RobotDesignResults[Team Number],0))),NumberOfTeams+1,INDEX(RobotDesignResults[Robot Design Rank],MATCH(RobotDesignDelib[[#This Row],[Team Number]],RobotDesignResults[Team Number],0)))</f>
        <v/>
      </c>
      <c r="M36" s="142">
        <f>IF(ISNA(INDEX(OfficialTeamList[Team Name],MATCH(InnovationProjectDelib[[#This Row],[Team Number]], OfficialTeamList[Team Number],0))),"",INDEX(OfficialTeamList[Team Name],MATCH(InnovationProjectDelib[[#This Row],[Team Number]], OfficialTeamList[Team Number],0)))</f>
        <v/>
      </c>
      <c r="N36" s="142">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142" t="inlineStr">
        <is>
          <t>Breakthrough</t>
        </is>
      </c>
      <c r="G38" s="142" t="inlineStr">
        <is>
          <t>Rising All-Star</t>
        </is>
      </c>
      <c r="L38" s="142" t="inlineStr">
        <is>
          <t>Motivate</t>
        </is>
      </c>
    </row>
    <row r="39" ht="39.95" customHeight="1">
      <c r="B39" s="15" t="inlineStr">
        <is>
          <t>Team Number</t>
        </is>
      </c>
      <c r="C39" s="15" t="inlineStr">
        <is>
          <t>Team Name</t>
        </is>
      </c>
      <c r="D39" s="16" t="inlineStr">
        <is>
          <t>Champion's Rank</t>
        </is>
      </c>
      <c r="E39" s="16" t="inlineStr">
        <is>
          <t>Deliberated Rank</t>
        </is>
      </c>
      <c r="G39" s="15" t="inlineStr">
        <is>
          <t>Team Number</t>
        </is>
      </c>
      <c r="H39" s="15" t="inlineStr">
        <is>
          <t>Team Name</t>
        </is>
      </c>
      <c r="I39" s="16" t="inlineStr">
        <is>
          <t>Champion's Rank</t>
        </is>
      </c>
      <c r="J39" s="16" t="inlineStr">
        <is>
          <t>Deliberated Rank</t>
        </is>
      </c>
      <c r="L39" s="15" t="inlineStr">
        <is>
          <t>Team Number</t>
        </is>
      </c>
      <c r="M39" s="15" t="inlineStr">
        <is>
          <t>Team Name</t>
        </is>
      </c>
      <c r="N39" s="16" t="inlineStr">
        <is>
          <t>Champion's Rank</t>
        </is>
      </c>
      <c r="O39" s="16" t="inlineStr">
        <is>
          <t>Deliberated Rank</t>
        </is>
      </c>
    </row>
    <row r="40" ht="20.25" customHeight="1">
      <c r="C40" s="142">
        <f>IF(ISNA(INDEX(OfficialTeamList[Team Name],MATCH(BreakthroughDelib[[#This Row],[Team Number]], OfficialTeamList[Team Number],0))),"",INDEX(OfficialTeamList[Team Name],MATCH(BreakthroughDelib[[#This Row],[Team Number]], OfficialTeamList[Team Number],0)))</f>
        <v/>
      </c>
      <c r="D40" s="142">
        <f>IF(ISNA(INDEX(TournamentData[Champion''s Rank],MATCH(BreakthroughDelib[[#This Row],[Team Number]],TournamentData[Team Number],0))),NumberOfTeams+1,INDEX(TournamentData[Champion''s Rank],MATCH(BreakthroughDelib[[#This Row],[Team Number]],TournamentData[Team Number],0)))</f>
        <v/>
      </c>
      <c r="H40" s="142">
        <f>IF(ISNA(INDEX(OfficialTeamList[Team Name],MATCH(RookiAllStarDelib[[#This Row],[Team Number]], OfficialTeamList[Team Number],0))),"",INDEX(OfficialTeamList[Team Name],MATCH(RookiAllStarDelib[[#This Row],[Team Number]], OfficialTeamList[Team Number],0)))</f>
        <v/>
      </c>
      <c r="I40" s="142">
        <f>IF(ISNA(INDEX(TournamentData[Champion''s Rank],MATCH(RookiAllStarDelib[[#This Row],[Team Number]],TournamentData[Team Number],0))),NumberOfTeams+1,INDEX(TournamentData[Champion''s Rank],MATCH(RookiAllStarDelib[[#This Row],[Team Number]],TournamentData[Team Number],0)))</f>
        <v/>
      </c>
      <c r="M40" s="142">
        <f>IF(ISNA(INDEX(OfficialTeamList[Team Name],MATCH(MotivateDelib[[#This Row],[Team Number]], OfficialTeamList[Team Number],0))),"",INDEX(OfficialTeamList[Team Name],MATCH(MotivateDelib[[#This Row],[Team Number]], OfficialTeamList[Team Number],0)))</f>
        <v/>
      </c>
      <c r="N40" s="142">
        <f>IF(ISNA(INDEX(TournamentData[Champion''s Rank],MATCH(MotivateDelib[[#This Row],[Team Number]],TournamentData[Team Number],0))),NumberOfTeams+1,INDEX(TournamentData[Champion''s Rank],MATCH(MotivateDelib[[#This Row],[Team Number]],TournamentData[Team Number],0)))</f>
        <v/>
      </c>
    </row>
    <row r="41" ht="20.25" customHeight="1">
      <c r="C41" s="142">
        <f>IF(ISNA(INDEX(OfficialTeamList[Team Name],MATCH(BreakthroughDelib[[#This Row],[Team Number]], OfficialTeamList[Team Number],0))),"",INDEX(OfficialTeamList[Team Name],MATCH(BreakthroughDelib[[#This Row],[Team Number]], OfficialTeamList[Team Number],0)))</f>
        <v/>
      </c>
      <c r="D41" s="142">
        <f>IF(ISNA(INDEX(TournamentData[Champion''s Rank],MATCH(BreakthroughDelib[[#This Row],[Team Number]],TournamentData[Team Number],0))),NumberOfTeams+1,INDEX(TournamentData[Champion''s Rank],MATCH(BreakthroughDelib[[#This Row],[Team Number]],TournamentData[Team Number],0)))</f>
        <v/>
      </c>
      <c r="H41" s="142">
        <f>IF(ISNA(INDEX(OfficialTeamList[Team Name],MATCH(RookiAllStarDelib[[#This Row],[Team Number]], OfficialTeamList[Team Number],0))),"",INDEX(OfficialTeamList[Team Name],MATCH(RookiAllStarDelib[[#This Row],[Team Number]], OfficialTeamList[Team Number],0)))</f>
        <v/>
      </c>
      <c r="I41" s="142">
        <f>IF(ISNA(INDEX(TournamentData[Champion''s Rank],MATCH(RookiAllStarDelib[[#This Row],[Team Number]],TournamentData[Team Number],0))),NumberOfTeams+1,INDEX(TournamentData[Champion''s Rank],MATCH(RookiAllStarDelib[[#This Row],[Team Number]],TournamentData[Team Number],0)))</f>
        <v/>
      </c>
      <c r="M41" s="142">
        <f>IF(ISNA(INDEX(OfficialTeamList[Team Name],MATCH(MotivateDelib[[#This Row],[Team Number]], OfficialTeamList[Team Number],0))),"",INDEX(OfficialTeamList[Team Name],MATCH(MotivateDelib[[#This Row],[Team Number]], OfficialTeamList[Team Number],0)))</f>
        <v/>
      </c>
      <c r="N41" s="142">
        <f>IF(ISNA(INDEX(TournamentData[Champion''s Rank],MATCH(MotivateDelib[[#This Row],[Team Number]],TournamentData[Team Number],0))),NumberOfTeams+1,INDEX(TournamentData[Champion''s Rank],MATCH(MotivateDelib[[#This Row],[Team Number]],TournamentData[Team Number],0)))</f>
        <v/>
      </c>
    </row>
    <row r="42" ht="20.25" customHeight="1">
      <c r="C42" s="142">
        <f>IF(ISNA(INDEX(OfficialTeamList[Team Name],MATCH(BreakthroughDelib[[#This Row],[Team Number]], OfficialTeamList[Team Number],0))),"",INDEX(OfficialTeamList[Team Name],MATCH(BreakthroughDelib[[#This Row],[Team Number]], OfficialTeamList[Team Number],0)))</f>
        <v/>
      </c>
      <c r="D42" s="142">
        <f>IF(ISNA(INDEX(TournamentData[Champion''s Rank],MATCH(BreakthroughDelib[[#This Row],[Team Number]],TournamentData[Team Number],0))),NumberOfTeams+1,INDEX(TournamentData[Champion''s Rank],MATCH(BreakthroughDelib[[#This Row],[Team Number]],TournamentData[Team Number],0)))</f>
        <v/>
      </c>
      <c r="H42" s="142">
        <f>IF(ISNA(INDEX(OfficialTeamList[Team Name],MATCH(RookiAllStarDelib[[#This Row],[Team Number]], OfficialTeamList[Team Number],0))),"",INDEX(OfficialTeamList[Team Name],MATCH(RookiAllStarDelib[[#This Row],[Team Number]], OfficialTeamList[Team Number],0)))</f>
        <v/>
      </c>
      <c r="I42" s="142">
        <f>IF(ISNA(INDEX(TournamentData[Champion''s Rank],MATCH(RookiAllStarDelib[[#This Row],[Team Number]],TournamentData[Team Number],0))),NumberOfTeams+1,INDEX(TournamentData[Champion''s Rank],MATCH(RookiAllStarDelib[[#This Row],[Team Number]],TournamentData[Team Number],0)))</f>
        <v/>
      </c>
      <c r="M42" s="142">
        <f>IF(ISNA(INDEX(OfficialTeamList[Team Name],MATCH(MotivateDelib[[#This Row],[Team Number]], OfficialTeamList[Team Number],0))),"",INDEX(OfficialTeamList[Team Name],MATCH(MotivateDelib[[#This Row],[Team Number]], OfficialTeamList[Team Number],0)))</f>
        <v/>
      </c>
      <c r="N42" s="142">
        <f>IF(ISNA(INDEX(TournamentData[Champion''s Rank],MATCH(MotivateDelib[[#This Row],[Team Number]],TournamentData[Team Number],0))),NumberOfTeams+1,INDEX(TournamentData[Champion''s Rank],MATCH(MotivateDelib[[#This Row],[Team Number]],TournamentData[Team Number],0)))</f>
        <v/>
      </c>
    </row>
    <row r="43" ht="20.25" customHeight="1">
      <c r="C43" s="142">
        <f>IF(ISNA(INDEX(OfficialTeamList[Team Name],MATCH(BreakthroughDelib[[#This Row],[Team Number]], OfficialTeamList[Team Number],0))),"",INDEX(OfficialTeamList[Team Name],MATCH(BreakthroughDelib[[#This Row],[Team Number]], OfficialTeamList[Team Number],0)))</f>
        <v/>
      </c>
      <c r="D43" s="142">
        <f>IF(ISNA(INDEX(TournamentData[Champion''s Rank],MATCH(BreakthroughDelib[[#This Row],[Team Number]],TournamentData[Team Number],0))),NumberOfTeams+1,INDEX(TournamentData[Champion''s Rank],MATCH(BreakthroughDelib[[#This Row],[Team Number]],TournamentData[Team Number],0)))</f>
        <v/>
      </c>
      <c r="H43" s="142">
        <f>IF(ISNA(INDEX(OfficialTeamList[Team Name],MATCH(RookiAllStarDelib[[#This Row],[Team Number]], OfficialTeamList[Team Number],0))),"",INDEX(OfficialTeamList[Team Name],MATCH(RookiAllStarDelib[[#This Row],[Team Number]], OfficialTeamList[Team Number],0)))</f>
        <v/>
      </c>
      <c r="I43" s="142">
        <f>IF(ISNA(INDEX(TournamentData[Champion''s Rank],MATCH(RookiAllStarDelib[[#This Row],[Team Number]],TournamentData[Team Number],0))),NumberOfTeams+1,INDEX(TournamentData[Champion''s Rank],MATCH(RookiAllStarDelib[[#This Row],[Team Number]],TournamentData[Team Number],0)))</f>
        <v/>
      </c>
      <c r="M43" s="142">
        <f>IF(ISNA(INDEX(OfficialTeamList[Team Name],MATCH(MotivateDelib[[#This Row],[Team Number]], OfficialTeamList[Team Number],0))),"",INDEX(OfficialTeamList[Team Name],MATCH(MotivateDelib[[#This Row],[Team Number]], OfficialTeamList[Team Number],0)))</f>
        <v/>
      </c>
      <c r="N43" s="142">
        <f>IF(ISNA(INDEX(TournamentData[Champion''s Rank],MATCH(MotivateDelib[[#This Row],[Team Number]],TournamentData[Team Number],0))),NumberOfTeams+1,INDEX(TournamentData[Champion''s Rank],MATCH(MotivateDelib[[#This Row],[Team Number]],TournamentData[Team Number],0)))</f>
        <v/>
      </c>
    </row>
    <row r="44" ht="20.25" customHeight="1">
      <c r="C44" s="142">
        <f>IF(ISNA(INDEX(OfficialTeamList[Team Name],MATCH(BreakthroughDelib[[#This Row],[Team Number]], OfficialTeamList[Team Number],0))),"",INDEX(OfficialTeamList[Team Name],MATCH(BreakthroughDelib[[#This Row],[Team Number]], OfficialTeamList[Team Number],0)))</f>
        <v/>
      </c>
      <c r="D44" s="142">
        <f>IF(ISNA(INDEX(TournamentData[Champion''s Rank],MATCH(BreakthroughDelib[[#This Row],[Team Number]],TournamentData[Team Number],0))),NumberOfTeams+1,INDEX(TournamentData[Champion''s Rank],MATCH(BreakthroughDelib[[#This Row],[Team Number]],TournamentData[Team Number],0)))</f>
        <v/>
      </c>
      <c r="H44" s="142">
        <f>IF(ISNA(INDEX(OfficialTeamList[Team Name],MATCH(RookiAllStarDelib[[#This Row],[Team Number]], OfficialTeamList[Team Number],0))),"",INDEX(OfficialTeamList[Team Name],MATCH(RookiAllStarDelib[[#This Row],[Team Number]], OfficialTeamList[Team Number],0)))</f>
        <v/>
      </c>
      <c r="I44" s="142">
        <f>IF(ISNA(INDEX(TournamentData[Champion''s Rank],MATCH(RookiAllStarDelib[[#This Row],[Team Number]],TournamentData[Team Number],0))),NumberOfTeams+1,INDEX(TournamentData[Champion''s Rank],MATCH(RookiAllStarDelib[[#This Row],[Team Number]],TournamentData[Team Number],0)))</f>
        <v/>
      </c>
      <c r="M44" s="142">
        <f>IF(ISNA(INDEX(OfficialTeamList[Team Name],MATCH(MotivateDelib[[#This Row],[Team Number]], OfficialTeamList[Team Number],0))),"",INDEX(OfficialTeamList[Team Name],MATCH(MotivateDelib[[#This Row],[Team Number]], OfficialTeamList[Team Number],0)))</f>
        <v/>
      </c>
      <c r="N44" s="142">
        <f>IF(ISNA(INDEX(TournamentData[Champion''s Rank],MATCH(MotivateDelib[[#This Row],[Team Number]],TournamentData[Team Number],0))),NumberOfTeams+1,INDEX(TournamentData[Champion''s Rank],MATCH(MotivateDelib[[#This Row],[Team Number]],TournamentData[Team Number],0)))</f>
        <v/>
      </c>
    </row>
    <row r="45" ht="20.25" customHeight="1">
      <c r="C45" s="142">
        <f>IF(ISNA(INDEX(OfficialTeamList[Team Name],MATCH(BreakthroughDelib[[#This Row],[Team Number]], OfficialTeamList[Team Number],0))),"",INDEX(OfficialTeamList[Team Name],MATCH(BreakthroughDelib[[#This Row],[Team Number]], OfficialTeamList[Team Number],0)))</f>
        <v/>
      </c>
      <c r="D45" s="142">
        <f>IF(ISNA(INDEX(TournamentData[Champion''s Rank],MATCH(BreakthroughDelib[[#This Row],[Team Number]],TournamentData[Team Number],0))),NumberOfTeams+1,INDEX(TournamentData[Champion''s Rank],MATCH(BreakthroughDelib[[#This Row],[Team Number]],TournamentData[Team Number],0)))</f>
        <v/>
      </c>
      <c r="H45" s="142">
        <f>IF(ISNA(INDEX(OfficialTeamList[Team Name],MATCH(RookiAllStarDelib[[#This Row],[Team Number]], OfficialTeamList[Team Number],0))),"",INDEX(OfficialTeamList[Team Name],MATCH(RookiAllStarDelib[[#This Row],[Team Number]], OfficialTeamList[Team Number],0)))</f>
        <v/>
      </c>
      <c r="I45" s="142">
        <f>IF(ISNA(INDEX(TournamentData[Champion''s Rank],MATCH(RookiAllStarDelib[[#This Row],[Team Number]],TournamentData[Team Number],0))),NumberOfTeams+1,INDEX(TournamentData[Champion''s Rank],MATCH(RookiAllStarDelib[[#This Row],[Team Number]],TournamentData[Team Number],0)))</f>
        <v/>
      </c>
      <c r="M45" s="142">
        <f>IF(ISNA(INDEX(OfficialTeamList[Team Name],MATCH(MotivateDelib[[#This Row],[Team Number]], OfficialTeamList[Team Number],0))),"",INDEX(OfficialTeamList[Team Name],MATCH(MotivateDelib[[#This Row],[Team Number]], OfficialTeamList[Team Number],0)))</f>
        <v/>
      </c>
      <c r="N45" s="142">
        <f>IF(ISNA(INDEX(TournamentData[Champion''s Rank],MATCH(MotivateDelib[[#This Row],[Team Number]],TournamentData[Team Number],0))),NumberOfTeams+1,INDEX(TournamentData[Champion''s Rank],MATCH(MotivateDelib[[#This Row],[Team Number]],TournamentData[Team Number],0)))</f>
        <v/>
      </c>
    </row>
    <row r="46" ht="20.25" customHeight="1">
      <c r="C46" s="142">
        <f>IF(ISNA(INDEX(OfficialTeamList[Team Name],MATCH(BreakthroughDelib[[#This Row],[Team Number]], OfficialTeamList[Team Number],0))),"",INDEX(OfficialTeamList[Team Name],MATCH(BreakthroughDelib[[#This Row],[Team Number]], OfficialTeamList[Team Number],0)))</f>
        <v/>
      </c>
      <c r="D46" s="142">
        <f>IF(ISNA(INDEX(TournamentData[Champion''s Rank],MATCH(BreakthroughDelib[[#This Row],[Team Number]],TournamentData[Team Number],0))),NumberOfTeams+1,INDEX(TournamentData[Champion''s Rank],MATCH(BreakthroughDelib[[#This Row],[Team Number]],TournamentData[Team Number],0)))</f>
        <v/>
      </c>
      <c r="H46" s="142">
        <f>IF(ISNA(INDEX(OfficialTeamList[Team Name],MATCH(RookiAllStarDelib[[#This Row],[Team Number]], OfficialTeamList[Team Number],0))),"",INDEX(OfficialTeamList[Team Name],MATCH(RookiAllStarDelib[[#This Row],[Team Number]], OfficialTeamList[Team Number],0)))</f>
        <v/>
      </c>
      <c r="I46" s="142">
        <f>IF(ISNA(INDEX(TournamentData[Champion''s Rank],MATCH(RookiAllStarDelib[[#This Row],[Team Number]],TournamentData[Team Number],0))),NumberOfTeams+1,INDEX(TournamentData[Champion''s Rank],MATCH(RookiAllStarDelib[[#This Row],[Team Number]],TournamentData[Team Number],0)))</f>
        <v/>
      </c>
      <c r="M46" s="142">
        <f>IF(ISNA(INDEX(OfficialTeamList[Team Name],MATCH(MotivateDelib[[#This Row],[Team Number]], OfficialTeamList[Team Number],0))),"",INDEX(OfficialTeamList[Team Name],MATCH(MotivateDelib[[#This Row],[Team Number]], OfficialTeamList[Team Number],0)))</f>
        <v/>
      </c>
      <c r="N46" s="142">
        <f>IF(ISNA(INDEX(TournamentData[Champion''s Rank],MATCH(MotivateDelib[[#This Row],[Team Number]],TournamentData[Team Number],0))),NumberOfTeams+1,INDEX(TournamentData[Champion''s Rank],MATCH(MotivateDelib[[#This Row],[Team Number]],TournamentData[Team Number],0)))</f>
        <v/>
      </c>
    </row>
    <row r="47" ht="20.25" customHeight="1">
      <c r="C47" s="142">
        <f>IF(ISNA(INDEX(OfficialTeamList[Team Name],MATCH(BreakthroughDelib[[#This Row],[Team Number]], OfficialTeamList[Team Number],0))),"",INDEX(OfficialTeamList[Team Name],MATCH(BreakthroughDelib[[#This Row],[Team Number]], OfficialTeamList[Team Number],0)))</f>
        <v/>
      </c>
      <c r="D47" s="142">
        <f>IF(ISNA(INDEX(TournamentData[Champion''s Rank],MATCH(BreakthroughDelib[[#This Row],[Team Number]],TournamentData[Team Number],0))),NumberOfTeams+1,INDEX(TournamentData[Champion''s Rank],MATCH(BreakthroughDelib[[#This Row],[Team Number]],TournamentData[Team Number],0)))</f>
        <v/>
      </c>
      <c r="H47" s="142">
        <f>IF(ISNA(INDEX(OfficialTeamList[Team Name],MATCH(RookiAllStarDelib[[#This Row],[Team Number]], OfficialTeamList[Team Number],0))),"",INDEX(OfficialTeamList[Team Name],MATCH(RookiAllStarDelib[[#This Row],[Team Number]], OfficialTeamList[Team Number],0)))</f>
        <v/>
      </c>
      <c r="I47" s="142">
        <f>IF(ISNA(INDEX(TournamentData[Champion''s Rank],MATCH(RookiAllStarDelib[[#This Row],[Team Number]],TournamentData[Team Number],0))),NumberOfTeams+1,INDEX(TournamentData[Champion''s Rank],MATCH(RookiAllStarDelib[[#This Row],[Team Number]],TournamentData[Team Number],0)))</f>
        <v/>
      </c>
      <c r="M47" s="142">
        <f>IF(ISNA(INDEX(OfficialTeamList[Team Name],MATCH(MotivateDelib[[#This Row],[Team Number]], OfficialTeamList[Team Number],0))),"",INDEX(OfficialTeamList[Team Name],MATCH(MotivateDelib[[#This Row],[Team Number]], OfficialTeamList[Team Number],0)))</f>
        <v/>
      </c>
      <c r="N47" s="142">
        <f>IF(ISNA(INDEX(TournamentData[Champion''s Rank],MATCH(MotivateDelib[[#This Row],[Team Number]],TournamentData[Team Number],0))),NumberOfTeams+1,INDEX(TournamentData[Champion''s Rank],MATCH(MotivateDelib[[#This Row],[Team Number]],TournamentData[Team Number],0)))</f>
        <v/>
      </c>
    </row>
    <row r="48" ht="20.25" customHeight="1">
      <c r="C48" s="142">
        <f>IF(ISNA(INDEX(OfficialTeamList[Team Name],MATCH(BreakthroughDelib[[#This Row],[Team Number]], OfficialTeamList[Team Number],0))),"",INDEX(OfficialTeamList[Team Name],MATCH(BreakthroughDelib[[#This Row],[Team Number]], OfficialTeamList[Team Number],0)))</f>
        <v/>
      </c>
      <c r="D48" s="142">
        <f>IF(ISNA(INDEX(TournamentData[Champion''s Rank],MATCH(BreakthroughDelib[[#This Row],[Team Number]],TournamentData[Team Number],0))),NumberOfTeams+1,INDEX(TournamentData[Champion''s Rank],MATCH(BreakthroughDelib[[#This Row],[Team Number]],TournamentData[Team Number],0)))</f>
        <v/>
      </c>
      <c r="H48" s="142">
        <f>IF(ISNA(INDEX(OfficialTeamList[Team Name],MATCH(RookiAllStarDelib[[#This Row],[Team Number]], OfficialTeamList[Team Number],0))),"",INDEX(OfficialTeamList[Team Name],MATCH(RookiAllStarDelib[[#This Row],[Team Number]], OfficialTeamList[Team Number],0)))</f>
        <v/>
      </c>
      <c r="I48" s="142">
        <f>IF(ISNA(INDEX(TournamentData[Champion''s Rank],MATCH(RookiAllStarDelib[[#This Row],[Team Number]],TournamentData[Team Number],0))),NumberOfTeams+1,INDEX(TournamentData[Champion''s Rank],MATCH(RookiAllStarDelib[[#This Row],[Team Number]],TournamentData[Team Number],0)))</f>
        <v/>
      </c>
      <c r="M48" s="142">
        <f>IF(ISNA(INDEX(OfficialTeamList[Team Name],MATCH(MotivateDelib[[#This Row],[Team Number]], OfficialTeamList[Team Number],0))),"",INDEX(OfficialTeamList[Team Name],MATCH(MotivateDelib[[#This Row],[Team Number]], OfficialTeamList[Team Number],0)))</f>
        <v/>
      </c>
      <c r="N48" s="142">
        <f>IF(ISNA(INDEX(TournamentData[Champion''s Rank],MATCH(MotivateDelib[[#This Row],[Team Number]],TournamentData[Team Number],0))),NumberOfTeams+1,INDEX(TournamentData[Champion''s Rank],MATCH(MotivateDelib[[#This Row],[Team Number]],TournamentData[Team Number],0)))</f>
        <v/>
      </c>
    </row>
    <row r="49" ht="20.25" customHeight="1">
      <c r="C49" s="142">
        <f>IF(ISNA(INDEX(OfficialTeamList[Team Name],MATCH(BreakthroughDelib[[#This Row],[Team Number]], OfficialTeamList[Team Number],0))),"",INDEX(OfficialTeamList[Team Name],MATCH(BreakthroughDelib[[#This Row],[Team Number]], OfficialTeamList[Team Number],0)))</f>
        <v/>
      </c>
      <c r="D49" s="142">
        <f>IF(ISNA(INDEX(TournamentData[Champion''s Rank],MATCH(BreakthroughDelib[[#This Row],[Team Number]],TournamentData[Team Number],0))),NumberOfTeams+1,INDEX(TournamentData[Champion''s Rank],MATCH(BreakthroughDelib[[#This Row],[Team Number]],TournamentData[Team Number],0)))</f>
        <v/>
      </c>
      <c r="H49" s="142">
        <f>IF(ISNA(INDEX(OfficialTeamList[Team Name],MATCH(RookiAllStarDelib[[#This Row],[Team Number]], OfficialTeamList[Team Number],0))),"",INDEX(OfficialTeamList[Team Name],MATCH(RookiAllStarDelib[[#This Row],[Team Number]], OfficialTeamList[Team Number],0)))</f>
        <v/>
      </c>
      <c r="I49" s="142">
        <f>IF(ISNA(INDEX(TournamentData[Champion''s Rank],MATCH(RookiAllStarDelib[[#This Row],[Team Number]],TournamentData[Team Number],0))),NumberOfTeams+1,INDEX(TournamentData[Champion''s Rank],MATCH(RookiAllStarDelib[[#This Row],[Team Number]],TournamentData[Team Number],0)))</f>
        <v/>
      </c>
      <c r="M49" s="142">
        <f>IF(ISNA(INDEX(OfficialTeamList[Team Name],MATCH(MotivateDelib[[#This Row],[Team Number]], OfficialTeamList[Team Number],0))),"",INDEX(OfficialTeamList[Team Name],MATCH(MotivateDelib[[#This Row],[Team Number]], OfficialTeamList[Team Number],0)))</f>
        <v/>
      </c>
      <c r="N49" s="142">
        <f>IF(ISNA(INDEX(TournamentData[Champion''s Rank],MATCH(MotivateDelib[[#This Row],[Team Number]],TournamentData[Team Number],0))),NumberOfTeams+1,INDEX(TournamentData[Champion''s Rank],MATCH(MotivateDelib[[#This Row],[Team Number]],TournamentData[Team Number],0)))</f>
        <v/>
      </c>
    </row>
    <row r="50" ht="20.25" customHeight="1">
      <c r="C50" s="142">
        <f>IF(ISNA(INDEX(OfficialTeamList[Team Name],MATCH(BreakthroughDelib[[#This Row],[Team Number]], OfficialTeamList[Team Number],0))),"",INDEX(OfficialTeamList[Team Name],MATCH(BreakthroughDelib[[#This Row],[Team Number]], OfficialTeamList[Team Number],0)))</f>
        <v/>
      </c>
      <c r="D50" s="142">
        <f>IF(ISNA(INDEX(TournamentData[Champion''s Rank],MATCH(BreakthroughDelib[[#This Row],[Team Number]],TournamentData[Team Number],0))),NumberOfTeams+1,INDEX(TournamentData[Champion''s Rank],MATCH(BreakthroughDelib[[#This Row],[Team Number]],TournamentData[Team Number],0)))</f>
        <v/>
      </c>
      <c r="H50" s="142">
        <f>IF(ISNA(INDEX(OfficialTeamList[Team Name],MATCH(RookiAllStarDelib[[#This Row],[Team Number]], OfficialTeamList[Team Number],0))),"",INDEX(OfficialTeamList[Team Name],MATCH(RookiAllStarDelib[[#This Row],[Team Number]], OfficialTeamList[Team Number],0)))</f>
        <v/>
      </c>
      <c r="I50" s="142">
        <f>IF(ISNA(INDEX(TournamentData[Champion''s Rank],MATCH(RookiAllStarDelib[[#This Row],[Team Number]],TournamentData[Team Number],0))),NumberOfTeams+1,INDEX(TournamentData[Champion''s Rank],MATCH(RookiAllStarDelib[[#This Row],[Team Number]],TournamentData[Team Number],0)))</f>
        <v/>
      </c>
      <c r="M50" s="142">
        <f>IF(ISNA(INDEX(OfficialTeamList[Team Name],MATCH(MotivateDelib[[#This Row],[Team Number]], OfficialTeamList[Team Number],0))),"",INDEX(OfficialTeamList[Team Name],MATCH(MotivateDelib[[#This Row],[Team Number]], OfficialTeamList[Team Number],0)))</f>
        <v/>
      </c>
      <c r="N50" s="142">
        <f>IF(ISNA(INDEX(TournamentData[Champion''s Rank],MATCH(MotivateDelib[[#This Row],[Team Number]],TournamentData[Team Number],0))),NumberOfTeams+1,INDEX(TournamentData[Champion''s Rank],MATCH(MotivateDelib[[#This Row],[Team Number]],TournamentData[Team Number],0)))</f>
        <v/>
      </c>
    </row>
    <row r="51" ht="20.25" customHeight="1">
      <c r="C51" s="142">
        <f>IF(ISNA(INDEX(OfficialTeamList[Team Name],MATCH(BreakthroughDelib[[#This Row],[Team Number]], OfficialTeamList[Team Number],0))),"",INDEX(OfficialTeamList[Team Name],MATCH(BreakthroughDelib[[#This Row],[Team Number]], OfficialTeamList[Team Number],0)))</f>
        <v/>
      </c>
      <c r="D51" s="142">
        <f>IF(ISNA(INDEX(TournamentData[Champion''s Rank],MATCH(BreakthroughDelib[[#This Row],[Team Number]],TournamentData[Team Number],0))),NumberOfTeams+1,INDEX(TournamentData[Champion''s Rank],MATCH(BreakthroughDelib[[#This Row],[Team Number]],TournamentData[Team Number],0)))</f>
        <v/>
      </c>
      <c r="H51" s="142">
        <f>IF(ISNA(INDEX(OfficialTeamList[Team Name],MATCH(RookiAllStarDelib[[#This Row],[Team Number]], OfficialTeamList[Team Number],0))),"",INDEX(OfficialTeamList[Team Name],MATCH(RookiAllStarDelib[[#This Row],[Team Number]], OfficialTeamList[Team Number],0)))</f>
        <v/>
      </c>
      <c r="I51" s="142">
        <f>IF(ISNA(INDEX(TournamentData[Champion''s Rank],MATCH(RookiAllStarDelib[[#This Row],[Team Number]],TournamentData[Team Number],0))),NumberOfTeams+1,INDEX(TournamentData[Champion''s Rank],MATCH(RookiAllStarDelib[[#This Row],[Team Number]],TournamentData[Team Number],0)))</f>
        <v/>
      </c>
      <c r="M51" s="142">
        <f>IF(ISNA(INDEX(OfficialTeamList[Team Name],MATCH(MotivateDelib[[#This Row],[Team Number]], OfficialTeamList[Team Number],0))),"",INDEX(OfficialTeamList[Team Name],MATCH(MotivateDelib[[#This Row],[Team Number]], OfficialTeamList[Team Number],0)))</f>
        <v/>
      </c>
      <c r="N51" s="142">
        <f>IF(ISNA(INDEX(TournamentData[Champion''s Rank],MATCH(MotivateDelib[[#This Row],[Team Number]],TournamentData[Team Number],0))),NumberOfTeams+1,INDEX(TournamentData[Champion''s Rank],MATCH(MotivateDelib[[#This Row],[Team Number]],TournamentData[Team Number],0)))</f>
        <v/>
      </c>
    </row>
    <row r="52" ht="20.25" customHeight="1">
      <c r="C52" s="142">
        <f>IF(ISNA(INDEX(OfficialTeamList[Team Name],MATCH(BreakthroughDelib[[#This Row],[Team Number]], OfficialTeamList[Team Number],0))),"",INDEX(OfficialTeamList[Team Name],MATCH(BreakthroughDelib[[#This Row],[Team Number]], OfficialTeamList[Team Number],0)))</f>
        <v/>
      </c>
      <c r="D52" s="142">
        <f>IF(ISNA(INDEX(TournamentData[Champion''s Rank],MATCH(BreakthroughDelib[[#This Row],[Team Number]],TournamentData[Team Number],0))),NumberOfTeams+1,INDEX(TournamentData[Champion''s Rank],MATCH(BreakthroughDelib[[#This Row],[Team Number]],TournamentData[Team Number],0)))</f>
        <v/>
      </c>
      <c r="H52" s="142">
        <f>IF(ISNA(INDEX(OfficialTeamList[Team Name],MATCH(RookiAllStarDelib[[#This Row],[Team Number]], OfficialTeamList[Team Number],0))),"",INDEX(OfficialTeamList[Team Name],MATCH(RookiAllStarDelib[[#This Row],[Team Number]], OfficialTeamList[Team Number],0)))</f>
        <v/>
      </c>
      <c r="I52" s="142">
        <f>IF(ISNA(INDEX(TournamentData[Champion''s Rank],MATCH(RookiAllStarDelib[[#This Row],[Team Number]],TournamentData[Team Number],0))),NumberOfTeams+1,INDEX(TournamentData[Champion''s Rank],MATCH(RookiAllStarDelib[[#This Row],[Team Number]],TournamentData[Team Number],0)))</f>
        <v/>
      </c>
      <c r="M52" s="142">
        <f>IF(ISNA(INDEX(OfficialTeamList[Team Name],MATCH(MotivateDelib[[#This Row],[Team Number]], OfficialTeamList[Team Number],0))),"",INDEX(OfficialTeamList[Team Name],MATCH(MotivateDelib[[#This Row],[Team Number]], OfficialTeamList[Team Number],0)))</f>
        <v/>
      </c>
      <c r="N52" s="142">
        <f>IF(ISNA(INDEX(TournamentData[Champion''s Rank],MATCH(MotivateDelib[[#This Row],[Team Number]],TournamentData[Team Number],0))),NumberOfTeams+1,INDEX(TournamentData[Champion''s Rank],MATCH(MotivateDelib[[#This Row],[Team Number]],TournamentData[Team Number],0)))</f>
        <v/>
      </c>
    </row>
    <row r="53" ht="20.25" customHeight="1">
      <c r="C53" s="142">
        <f>IF(ISNA(INDEX(OfficialTeamList[Team Name],MATCH(BreakthroughDelib[[#This Row],[Team Number]], OfficialTeamList[Team Number],0))),"",INDEX(OfficialTeamList[Team Name],MATCH(BreakthroughDelib[[#This Row],[Team Number]], OfficialTeamList[Team Number],0)))</f>
        <v/>
      </c>
      <c r="D53" s="142">
        <f>IF(ISNA(INDEX(TournamentData[Champion''s Rank],MATCH(BreakthroughDelib[[#This Row],[Team Number]],TournamentData[Team Number],0))),NumberOfTeams+1,INDEX(TournamentData[Champion''s Rank],MATCH(BreakthroughDelib[[#This Row],[Team Number]],TournamentData[Team Number],0)))</f>
        <v/>
      </c>
      <c r="H53" s="142">
        <f>IF(ISNA(INDEX(OfficialTeamList[Team Name],MATCH(RookiAllStarDelib[[#This Row],[Team Number]], OfficialTeamList[Team Number],0))),"",INDEX(OfficialTeamList[Team Name],MATCH(RookiAllStarDelib[[#This Row],[Team Number]], OfficialTeamList[Team Number],0)))</f>
        <v/>
      </c>
      <c r="I53" s="142">
        <f>IF(ISNA(INDEX(TournamentData[Champion''s Rank],MATCH(RookiAllStarDelib[[#This Row],[Team Number]],TournamentData[Team Number],0))),NumberOfTeams+1,INDEX(TournamentData[Champion''s Rank],MATCH(RookiAllStarDelib[[#This Row],[Team Number]],TournamentData[Team Number],0)))</f>
        <v/>
      </c>
      <c r="M53" s="142">
        <f>IF(ISNA(INDEX(OfficialTeamList[Team Name],MATCH(MotivateDelib[[#This Row],[Team Number]], OfficialTeamList[Team Number],0))),"",INDEX(OfficialTeamList[Team Name],MATCH(MotivateDelib[[#This Row],[Team Number]], OfficialTeamList[Team Number],0)))</f>
        <v/>
      </c>
      <c r="N53" s="142">
        <f>IF(ISNA(INDEX(TournamentData[Champion''s Rank],MATCH(MotivateDelib[[#This Row],[Team Number]],TournamentData[Team Number],0))),NumberOfTeams+1,INDEX(TournamentData[Champion''s Rank],MATCH(MotivateDelib[[#This Row],[Team Number]],TournamentData[Team Number],0)))</f>
        <v/>
      </c>
    </row>
    <row r="54" ht="20.25" customHeight="1">
      <c r="C54" s="142">
        <f>IF(ISNA(INDEX(OfficialTeamList[Team Name],MATCH(BreakthroughDelib[[#This Row],[Team Number]], OfficialTeamList[Team Number],0))),"",INDEX(OfficialTeamList[Team Name],MATCH(BreakthroughDelib[[#This Row],[Team Number]], OfficialTeamList[Team Number],0)))</f>
        <v/>
      </c>
      <c r="D54" s="142">
        <f>IF(ISNA(INDEX(TournamentData[Champion''s Rank],MATCH(BreakthroughDelib[[#This Row],[Team Number]],TournamentData[Team Number],0))),NumberOfTeams+1,INDEX(TournamentData[Champion''s Rank],MATCH(BreakthroughDelib[[#This Row],[Team Number]],TournamentData[Team Number],0)))</f>
        <v/>
      </c>
      <c r="H54" s="142">
        <f>IF(ISNA(INDEX(OfficialTeamList[Team Name],MATCH(RookiAllStarDelib[[#This Row],[Team Number]], OfficialTeamList[Team Number],0))),"",INDEX(OfficialTeamList[Team Name],MATCH(RookiAllStarDelib[[#This Row],[Team Number]], OfficialTeamList[Team Number],0)))</f>
        <v/>
      </c>
      <c r="I54" s="142">
        <f>IF(ISNA(INDEX(TournamentData[Champion''s Rank],MATCH(RookiAllStarDelib[[#This Row],[Team Number]],TournamentData[Team Number],0))),NumberOfTeams+1,INDEX(TournamentData[Champion''s Rank],MATCH(RookiAllStarDelib[[#This Row],[Team Number]],TournamentData[Team Number],0)))</f>
        <v/>
      </c>
      <c r="M54" s="142">
        <f>IF(ISNA(INDEX(OfficialTeamList[Team Name],MATCH(MotivateDelib[[#This Row],[Team Number]], OfficialTeamList[Team Number],0))),"",INDEX(OfficialTeamList[Team Name],MATCH(MotivateDelib[[#This Row],[Team Number]], OfficialTeamList[Team Number],0)))</f>
        <v/>
      </c>
      <c r="N54" s="142">
        <f>IF(ISNA(INDEX(TournamentData[Champion''s Rank],MATCH(MotivateDelib[[#This Row],[Team Number]],TournamentData[Team Number],0))),NumberOfTeams+1,INDEX(TournamentData[Champion''s Rank],MATCH(MotivateDelib[[#This Row],[Team Number]],TournamentData[Team Number],0)))</f>
        <v/>
      </c>
    </row>
  </sheetData>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2024-11-29T03:35:59Z</dcterms:modified>
  <cp:lastModifiedBy>Skip Morrow</cp:lastModifiedBy>
  <cp:lastPrinted>2024-05-24T13:15:35Z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