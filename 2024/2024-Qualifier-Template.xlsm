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e9803f7dd3f4fe8"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0E2F4227-A6E3-4B8D-8406-E6B47C24640E}" xr6:coauthVersionLast="47" xr6:coauthVersionMax="47" xr10:uidLastSave="{00000000-0000-0000-0000-000000000000}"/>
  <bookViews>
    <workbookView xWindow="-120" yWindow="-120" windowWidth="38640" windowHeight="21120" tabRatio="879" activeTab="10"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C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<sst xmlns="http://schemas.openxmlformats.org/spreadsheetml/2006/main" count="342" uniqueCount="135">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</sst>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0">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xf numFmtId="0" fontId="11" fillId="0" borderId="0" xfId="0" applyFont="1" applyAlignment="1">
      <alignment wrapText="1"/>
    </xf>
    <xf numFmtId="0" fontId="1" fillId="0" borderId="0" xfId="0" applyFont="1" applyAlignment="1">
      <alignment wrapText="1"/>
    </xf>
  </cellXfs>
  <cellStyles count="1">
    <cellStyle name="Normal" xfId="0" builtinId="0"/>
  </cellStyles>
  <dxfs count="161">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0" formatCode="General"/>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4">
      <calculatedColumnFormula>INDEX(OfficialTeamList[Pod Number],MATCH(TournamentData[[#This Row],[Team Number]], OfficialTeamList[Team Number],0))</calculatedColumnFormula>
    </tableColumn>
    <tableColumn id="2" xr3:uid="{00000000-0010-0000-0200-000002000000}" name="Team Name" dataDxfId="12">
      <calculatedColumnFormula>INDEX(OfficialTeamList[Team Name],MATCH(TournamentData[[#This Row],[Team Number]], OfficialTeamList[Team Number],0))</calculatedColumnFormula>
    </tableColumn>
    <tableColumn id="6" xr3:uid="{00000000-0010-0000-0200-000006000000}" name="Robot Game Score 1" dataDxfId="1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4">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3">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32">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1">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0">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9">
      <calculatedColumnFormula>_xlfn.RANK.EQ(TournamentData[[#This Row],[Max Robot Game Score]],TournamentData[Max Robot Game Score])</calculatedColumnFormula>
    </tableColumn>
    <tableColumn id="3" xr3:uid="{00000000-0010-0000-0200-000003000000}" name="Core Values Rank" dataDxfId="128">
      <calculatedColumnFormula>INDEX(CoreValuesResults[Core Values Rank],MATCH(TournamentData[[#This Row],[Team Number]],CoreValuesResults[Team Number],0))</calculatedColumnFormula>
    </tableColumn>
    <tableColumn id="4" xr3:uid="{00000000-0010-0000-0200-000004000000}" name="Innovation Project Rank" dataDxfId="127">
      <calculatedColumnFormula>INDEX(InnovationProjectResults[Innovation Project Rank],MATCH(TournamentData[[#This Row],[Team Number]],InnovationProjectResults[Team Number],0))</calculatedColumnFormula>
    </tableColumn>
    <tableColumn id="5" xr3:uid="{00000000-0010-0000-0200-000005000000}" name="Robot Design Rank" dataDxfId="126">
      <calculatedColumnFormula>INDEX(RobotDesignResults[Robot Design Rank],MATCH(TournamentData[[#This Row],[Team Number]],RobotDesignResults[Team Number],0))</calculatedColumnFormula>
    </tableColumn>
    <tableColumn id="14" xr3:uid="{00000000-0010-0000-0200-00000E000000}" name="Champion's Score" dataDxfId="125">
      <calculatedColumnFormula>SUM(TournamentData[[#This Row],[Robot Game Rank]:[Robot Design Rank]])</calculatedColumnFormula>
    </tableColumn>
    <tableColumn id="11" xr3:uid="{00000000-0010-0000-0200-00000B000000}" name="Champion's Rank" dataDxfId="124">
      <calculatedColumnFormula>RANK(TournamentData[[#This Row],[Champion''s Score]],TournamentData[Champion''s Score],1)</calculatedColumnFormula>
    </tableColumn>
    <tableColumn id="12" xr3:uid="{00000000-0010-0000-0200-00000C000000}" name="Award" dataDxfId="123"/>
    <tableColumn id="21" xr3:uid="{00000000-0010-0000-0200-000015000000}" name="Advance?" dataDxfId="122" dataCellStyle="Normal"/>
    <tableColumn id="28" xr3:uid="{00000000-0010-0000-0200-00001C000000}" name="Core Values Score" dataDxfId="121">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0">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9">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8">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7">
      <calculatedColumnFormula>IF(U3,_xlfn.RANK.EQ(U3,U$3:U$17,0),NumberOfTeams)</calculatedColumnFormula>
    </tableColumn>
    <tableColumn id="20" xr3:uid="{00000000-0010-0000-0200-000014000000}" name="Comments" dataDxfId="1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5" dataDxfId="113" headerRowBorderDxfId="114">
  <autoFilter ref="A1:F150" xr:uid="{00000000-0009-0000-0100-000004000000}"/>
  <sortState xmlns:xlrd2="http://schemas.microsoft.com/office/spreadsheetml/2017/richdata2" ref="A2:F2">
    <sortCondition ref="A2"/>
  </sortState>
  <tableColumns count="6">
    <tableColumn id="2" xr3:uid="{00000000-0010-0000-0300-000002000000}" name="Team Number" dataDxfId="11"/>
    <tableColumn id="9" xr3:uid="{00000000-0010-0000-0300-000009000000}" name="Team Name" dataDxfId="9">
      <calculatedColumnFormula>INDEX(OfficialTeamList[Team Name],MATCH(RobotGameScores[[#This Row],[Team Number]], OfficialTeamList[Team Number],0))</calculatedColumnFormula>
    </tableColumn>
    <tableColumn id="3" xr3:uid="{00000000-0010-0000-0300-000003000000}" name="Robot Game 1 Score" dataDxfId="10"/>
    <tableColumn id="4" xr3:uid="{00000000-0010-0000-0300-000004000000}" name="Robot Game 2 Score" dataDxfId="112"/>
    <tableColumn id="5" xr3:uid="{00000000-0010-0000-0300-000005000000}" name="Robot Game 3 Score" dataDxfId="111"/>
    <tableColumn id="8" xr3:uid="{00000000-0010-0000-0300-000008000000}" name="Highest Robot Game Score" dataDxfId="110">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9" dataDxfId="108">
  <autoFilter ref="A1:O150" xr:uid="{00000000-0009-0000-0100-000005000000}"/>
  <sortState xmlns:xlrd2="http://schemas.microsoft.com/office/spreadsheetml/2017/richdata2" ref="A2:O2">
    <sortCondition ref="A2"/>
  </sortState>
  <tableColumns count="15">
    <tableColumn id="1" xr3:uid="{00000000-0010-0000-0400-000001000000}" name="Team Number" dataDxfId="107"/>
    <tableColumn id="6" xr3:uid="{E46BEA07-C782-4EA7-A684-AB5012889F0E}" name="POD" dataDxfId="8">
      <calculatedColumnFormula>INDEX(OfficialTeamList[Pod Number],MATCH(InnovationProjectResults[[#This Row],[Team Number]], OfficialTeamList[Team Number],0))</calculatedColumnFormula>
    </tableColumn>
    <tableColumn id="2" xr3:uid="{00000000-0010-0000-0400-000002000000}" name="Team Name" dataDxfId="6">
      <calculatedColumnFormula>INDEX(OfficialTeamList[Team Name],MATCH(InnovationProjectResults[[#This Row],[Team Number]], OfficialTeamList[Team Number],0))</calculatedColumnFormula>
    </tableColumn>
    <tableColumn id="3" xr3:uid="{00000000-0010-0000-0400-000003000000}" name="Identify - Define" dataDxfId="7"/>
    <tableColumn id="4" xr3:uid="{00000000-0010-0000-0400-000004000000}" name="Identify - Research (CV)" dataDxfId="106"/>
    <tableColumn id="5" xr3:uid="{00000000-0010-0000-0400-000005000000}" name="Design - Plan" dataDxfId="105"/>
    <tableColumn id="7" xr3:uid="{00000000-0010-0000-0400-000007000000}" name="Design - Teamwork (CV)" dataDxfId="104"/>
    <tableColumn id="10" xr3:uid="{00000000-0010-0000-0400-00000A000000}" name="Create - Innovation (CV)" dataDxfId="103"/>
    <tableColumn id="8" xr3:uid="{00000000-0010-0000-0400-000008000000}" name="Create - Model" dataDxfId="102"/>
    <tableColumn id="9" xr3:uid="{00000000-0010-0000-0400-000009000000}" name="Iterate - Sharing" dataDxfId="101"/>
    <tableColumn id="11" xr3:uid="{00000000-0010-0000-0400-00000B000000}" name="Iterate - Improvement" dataDxfId="100"/>
    <tableColumn id="12" xr3:uid="{00000000-0010-0000-0400-00000C000000}" name="Communicate - Impact (CV)" dataDxfId="99"/>
    <tableColumn id="13" xr3:uid="{00000000-0010-0000-0400-00000D000000}" name="Communicate - Fun (CV)" dataDxfId="98"/>
    <tableColumn id="19" xr3:uid="{00000000-0010-0000-0400-000013000000}" name="Innovation Project Score" dataDxfId="97">
      <calculatedColumnFormula>SUM(InnovationProjectResults[[#This Row],[Identify - Define]:[Communicate - Fun (CV)]])</calculatedColumnFormula>
    </tableColumn>
    <tableColumn id="20" xr3:uid="{00000000-0010-0000-0400-000014000000}" name="Innovation Project Rank" dataDxfId="96">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95" dataDxfId="94">
  <autoFilter ref="A1:O150" xr:uid="{00000000-0009-0000-0100-000006000000}"/>
  <sortState xmlns:xlrd2="http://schemas.microsoft.com/office/spreadsheetml/2017/richdata2" ref="A2:O2">
    <sortCondition ref="A2"/>
  </sortState>
  <tableColumns count="15">
    <tableColumn id="1" xr3:uid="{00000000-0010-0000-0500-000001000000}" name="Team Number" dataDxfId="93"/>
    <tableColumn id="10" xr3:uid="{C0D2F65A-10A9-404F-9BBE-190FF9BD2C0E}" name="POD" dataDxfId="5">
      <calculatedColumnFormula>INDEX(OfficialTeamList[Pod Number],MATCH(RobotDesignResults[[#This Row],[Team Number]], OfficialTeamList[Team Number],0))</calculatedColumnFormula>
    </tableColumn>
    <tableColumn id="2" xr3:uid="{00000000-0010-0000-0500-000002000000}" name="Team Name" dataDxfId="3">
      <calculatedColumnFormula>INDEX(OfficialTeamList[Team Name],MATCH(RobotDesignResults[[#This Row],[Team Number]], OfficialTeamList[Team Number],0))</calculatedColumnFormula>
    </tableColumn>
    <tableColumn id="3" xr3:uid="{00000000-0010-0000-0500-000003000000}" name="Identify - Strategy" dataDxfId="4"/>
    <tableColumn id="4" xr3:uid="{00000000-0010-0000-0500-000004000000}" name="Identify - Research (CV)" dataDxfId="92"/>
    <tableColumn id="5" xr3:uid="{00000000-0010-0000-0500-000005000000}" name="Design - Ideas (CV)" dataDxfId="91"/>
    <tableColumn id="7" xr3:uid="{00000000-0010-0000-0500-000007000000}" name="Design - Building/Coding" dataDxfId="90"/>
    <tableColumn id="6" xr3:uid="{00000000-0010-0000-0500-000006000000}" name="Create - Attachments" dataDxfId="89"/>
    <tableColumn id="8" xr3:uid="{00000000-0010-0000-0500-000008000000}" name="Create - Code/ Sensors" dataDxfId="88"/>
    <tableColumn id="9" xr3:uid="{00000000-0010-0000-0500-000009000000}" name="Iterate - Testing" dataDxfId="87"/>
    <tableColumn id="11" xr3:uid="{00000000-0010-0000-0500-00000B000000}" name="Iterate - Improvements (CV)" dataDxfId="86"/>
    <tableColumn id="12" xr3:uid="{00000000-0010-0000-0500-00000C000000}" name="Communicate - Impact (CV)" dataDxfId="85"/>
    <tableColumn id="13" xr3:uid="{00000000-0010-0000-0500-00000D000000}" name="Communicate - Fun (CV)" dataDxfId="84"/>
    <tableColumn id="19" xr3:uid="{00000000-0010-0000-0500-000013000000}" name="Robot Design Score" dataDxfId="83">
      <calculatedColumnFormula>SUM(RobotDesignResults[[#This Row],[Identify - Strategy]:[Communicate - Fun (CV)]])</calculatedColumnFormula>
    </tableColumn>
    <tableColumn id="20" xr3:uid="{00000000-0010-0000-0500-000014000000}" name="Robot Design Rank" dataDxfId="82">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81" dataDxfId="80">
  <autoFilter ref="A1:T150" xr:uid="{00000000-0009-0000-0100-000007000000}"/>
  <sortState xmlns:xlrd2="http://schemas.microsoft.com/office/spreadsheetml/2017/richdata2" ref="A2:T2">
    <sortCondition ref="A2"/>
  </sortState>
  <tableColumns count="20">
    <tableColumn id="1" xr3:uid="{00000000-0010-0000-0600-000001000000}" name="Team Number" dataDxfId="79"/>
    <tableColumn id="9" xr3:uid="{4361BCCF-6CA1-40A6-8943-E181C815C404}" name="POD" dataDxfId="2">
      <calculatedColumnFormula>INDEX(OfficialTeamList[Pod Number],MATCH(CoreValuesResults[[#This Row],[Team Number]], OfficialTeamList[Team Number],0))</calculatedColumnFormula>
    </tableColumn>
    <tableColumn id="2" xr3:uid="{00000000-0010-0000-0600-000002000000}" name="Team Name" dataDxfId="0">
      <calculatedColumnFormula>INDEX(OfficialTeamList[Team Name],MATCH(CoreValuesResults[[#This Row],[Team Number]], OfficialTeamList[Team Number],0))</calculatedColumnFormula>
    </tableColumn>
    <tableColumn id="3" xr3:uid="{00000000-0010-0000-0600-000003000000}" name="Identify - Research (CV-IP)" dataDxfId="1">
      <calculatedColumnFormula>INDEX(InnovationProjectResults[Identify - Research (CV)],MATCH(CoreValuesResults[[#This Row],[Team Number]],InnovationProjectResults[Team Number],0))</calculatedColumnFormula>
    </tableColumn>
    <tableColumn id="4" xr3:uid="{00000000-0010-0000-0600-000004000000}" name="Design - Teamwork (CV-IP)" dataDxfId="78">
      <calculatedColumnFormula>INDEX(InnovationProjectResults[Design - Teamwork (CV)],MATCH(CoreValuesResults[[#This Row],[Team Number]],InnovationProjectResults[Team Number],0))</calculatedColumnFormula>
    </tableColumn>
    <tableColumn id="5" xr3:uid="{00000000-0010-0000-0600-000005000000}" name="Create - Innovation (CV-IP)" dataDxfId="77">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6">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5">
      <calculatedColumnFormula>INDEX(InnovationProjectResults[Communicate - Fun (CV)],MATCH(CoreValuesResults[[#This Row],[Team Number]],InnovationProjectResults[Team Number],0))</calculatedColumnFormula>
    </tableColumn>
    <tableColumn id="22" xr3:uid="{00000000-0010-0000-0600-000016000000}" name="Identify - Research (CV-RD)" dataDxfId="74">
      <calculatedColumnFormula>INDEX(RobotDesignResults[Identify - Research (CV)],MATCH(CoreValuesResults[[#This Row],[Team Number]],RobotDesignResults[Team Number],0))</calculatedColumnFormula>
    </tableColumn>
    <tableColumn id="25" xr3:uid="{00000000-0010-0000-0600-000019000000}" name="Design - Ideas (CV-RD)" dataDxfId="73">
      <calculatedColumnFormula>INDEX(RobotDesignResults[Design - Ideas (CV)],MATCH(CoreValuesResults[[#This Row],[Team Number]],RobotDesignResults[Team Number],0))</calculatedColumnFormula>
    </tableColumn>
    <tableColumn id="24" xr3:uid="{00000000-0010-0000-0600-000018000000}" name="Iterate - Improvements (CV-RD)" dataDxfId="72">
      <calculatedColumnFormula>INDEX(RobotDesignResults[Iterate - Improvements (CV)],MATCH(CoreValuesResults[[#This Row],[Team Number]],RobotDesignResults[Team Number],0))</calculatedColumnFormula>
    </tableColumn>
    <tableColumn id="23" xr3:uid="{00000000-0010-0000-0600-000017000000}" name="Communicate - Impact (CV-RD)" dataDxfId="71">
      <calculatedColumnFormula>INDEX(RobotDesignResults[Communicate - Impact (CV)],MATCH(CoreValuesResults[[#This Row],[Team Number]],RobotDesignResults[Team Number],0))</calculatedColumnFormula>
    </tableColumn>
    <tableColumn id="13" xr3:uid="{00000000-0010-0000-0600-00000D000000}" name="Communicate - Fun (CV-RD)" dataDxfId="70">
      <calculatedColumnFormula>INDEX(RobotDesignResults[Communicate - Fun (CV)],MATCH(CoreValuesResults[[#This Row],[Team Number]],RobotDesignResults[Team Number],0))</calculatedColumnFormula>
    </tableColumn>
    <tableColumn id="7" xr3:uid="{00000000-0010-0000-0600-000007000000}" name="Gracious Professionalism 1" dataDxfId="69"/>
    <tableColumn id="8" xr3:uid="{00000000-0010-0000-0600-000008000000}" name="Gracious Professionalism 2" dataDxfId="68"/>
    <tableColumn id="6" xr3:uid="{00000000-0010-0000-0600-000006000000}" name="Gracious Professionalism 3" dataDxfId="67"/>
    <tableColumn id="14" xr3:uid="{00000000-0010-0000-0600-00000E000000}" name="Gracious Professionalism Total" dataDxfId="66">
      <calculatedColumnFormula>SUM(CoreValuesResults[[#This Row],[Gracious Professionalism 1]:[Gracious Professionalism 3]])</calculatedColumnFormula>
    </tableColumn>
    <tableColumn id="18" xr3:uid="{00000000-0010-0000-0600-000012000000}" name="Gracious Professionalism Score" dataDxfId="65">
      <calculatedColumnFormula>SUM(N2:Q2)</calculatedColumnFormula>
    </tableColumn>
    <tableColumn id="19" xr3:uid="{00000000-0010-0000-0600-000013000000}" name="Core Values Score" dataDxfId="64">
      <calculatedColumnFormula>SUM(CoreValuesResults[[#This Row],[Identify - Research (CV-IP)]:[Communicate - Fun (CV-RD)]],CoreValuesResults[[#This Row],[Gracious Professionalism Score]])</calculatedColumnFormula>
    </tableColumn>
    <tableColumn id="20" xr3:uid="{00000000-0010-0000-0600-000014000000}" name="Core Values Rank" dataDxfId="63">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62" dataDxfId="61">
  <autoFilter ref="B3:E18" xr:uid="{00000000-0009-0000-0100-000008000000}"/>
  <tableColumns count="4">
    <tableColumn id="1" xr3:uid="{00000000-0010-0000-0700-000001000000}" name="Team Number" dataDxfId="60"/>
    <tableColumn id="2" xr3:uid="{00000000-0010-0000-0700-000002000000}" name="Team Name" dataDxfId="59">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58">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7"/>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6" dataDxfId="55">
  <autoFilter ref="G3:J18" xr:uid="{00000000-0009-0000-0100-000009000000}"/>
  <tableColumns count="4">
    <tableColumn id="1" xr3:uid="{00000000-0010-0000-0800-000001000000}" name="Team Number" dataDxfId="54"/>
    <tableColumn id="2" xr3:uid="{00000000-0010-0000-0800-000002000000}" name="Team Name" dataDxfId="53">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52">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51"/>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50" dataDxfId="49">
  <autoFilter ref="B21:E36" xr:uid="{00000000-0009-0000-0100-00000A000000}"/>
  <tableColumns count="4">
    <tableColumn id="1" xr3:uid="{00000000-0010-0000-0900-000001000000}" name="Team Number" dataDxfId="48"/>
    <tableColumn id="2" xr3:uid="{00000000-0010-0000-0900-000002000000}" name="Team Name" dataDxfId="47">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46">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5"/>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4" dataDxfId="43">
  <autoFilter ref="G21:J36" xr:uid="{00000000-0009-0000-0100-00000B000000}"/>
  <tableColumns count="4">
    <tableColumn id="1" xr3:uid="{00000000-0010-0000-0A00-000001000000}" name="Team Number" dataDxfId="42"/>
    <tableColumn id="2" xr3:uid="{00000000-0010-0000-0A00-000002000000}" name="Team Name" dataDxfId="41">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40">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9"/>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8" dataDxfId="37">
  <autoFilter ref="L21:O36" xr:uid="{00000000-0009-0000-0100-00000C000000}"/>
  <tableColumns count="4">
    <tableColumn id="1" xr3:uid="{00000000-0010-0000-0B00-000001000000}" name="Team Number" dataDxfId="36"/>
    <tableColumn id="2" xr3:uid="{00000000-0010-0000-0B00-000002000000}" name="Team Name" dataDxfId="35">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34">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33"/>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32" dataDxfId="31">
  <autoFilter ref="B39:E54" xr:uid="{00000000-0009-0000-0100-00000D000000}"/>
  <tableColumns count="4">
    <tableColumn id="1" xr3:uid="{00000000-0010-0000-0C00-000001000000}" name="Team Number" dataDxfId="30"/>
    <tableColumn id="2" xr3:uid="{00000000-0010-0000-0C00-000002000000}" name="Team Name" dataDxfId="29">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28">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7"/>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6" dataDxfId="25">
  <autoFilter ref="G39:J54" xr:uid="{00000000-0009-0000-0100-00000E000000}"/>
  <tableColumns count="4">
    <tableColumn id="1" xr3:uid="{00000000-0010-0000-0D00-000001000000}" name="Team Number" dataDxfId="24"/>
    <tableColumn id="2" xr3:uid="{00000000-0010-0000-0D00-000002000000}" name="Team Name" dataDxfId="23">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22">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21"/>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20" dataDxfId="19">
  <autoFilter ref="L39:O54" xr:uid="{00000000-0009-0000-0100-00000F000000}"/>
  <tableColumns count="4">
    <tableColumn id="1" xr3:uid="{00000000-0010-0000-0E00-000001000000}" name="Team Number" dataDxfId="18"/>
    <tableColumn id="2" xr3:uid="{00000000-0010-0000-0E00-000002000000}" name="Team Name" dataDxfId="17">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6">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5"/>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122</v>
      </c>
    </row>
    <row r="2" spans="2:3" ht="102.75" customHeight="1" x14ac:dyDescent="0.25">
      <c r="C2" s="92" t="s">
        <v>0</v>
      </c>
    </row>
    <row r="3" spans="2:3" ht="39.75" customHeight="1" x14ac:dyDescent="0.25">
      <c r="C3" s="102" t="s">
        <v>134</v>
      </c>
    </row>
    <row r="4" spans="2:3" ht="110.25" customHeight="1" x14ac:dyDescent="0.25">
      <c r="B4" s="100" t="s">
        <v>1</v>
      </c>
      <c r="C4" s="94" t="s">
        <v>124</v>
      </c>
    </row>
    <row r="5" spans="2:3" ht="36" customHeight="1" x14ac:dyDescent="0.25">
      <c r="B5" s="99"/>
      <c r="C5" s="37"/>
    </row>
    <row r="6" spans="2:3" ht="121.5" customHeight="1" x14ac:dyDescent="0.25">
      <c r="B6" s="100" t="s">
        <v>2</v>
      </c>
      <c r="C6" s="94" t="s">
        <v>123</v>
      </c>
    </row>
    <row r="7" spans="2:3" ht="31.5" customHeight="1" x14ac:dyDescent="0.25">
      <c r="B7" s="101"/>
    </row>
    <row r="8" spans="2:3" ht="138" customHeight="1" x14ac:dyDescent="0.25">
      <c r="B8" s="101"/>
      <c r="C8" s="95" t="s">
        <v>125</v>
      </c>
    </row>
    <row r="9" spans="2:3" ht="117" customHeight="1" x14ac:dyDescent="0.25">
      <c r="B9" s="100" t="s">
        <v>3</v>
      </c>
      <c r="C9" s="94" t="s">
        <v>126</v>
      </c>
    </row>
    <row r="10" spans="2:3" ht="52.9" customHeight="1" x14ac:dyDescent="0.25">
      <c r="B10" s="101"/>
      <c r="C10" s="95" t="s">
        <v>127</v>
      </c>
    </row>
    <row r="11" spans="2:3" ht="1.9" customHeight="1" x14ac:dyDescent="0.25">
      <c r="B11" s="101"/>
    </row>
    <row r="12" spans="2:3" ht="20.45" customHeight="1" x14ac:dyDescent="0.25">
      <c r="B12" s="101"/>
    </row>
    <row r="13" spans="2:3" ht="73.5" customHeight="1" x14ac:dyDescent="0.25">
      <c r="B13" s="100" t="s">
        <v>4</v>
      </c>
      <c r="C13" s="94" t="s">
        <v>128</v>
      </c>
    </row>
    <row r="14" spans="2:3" ht="95.25" customHeight="1" x14ac:dyDescent="0.25">
      <c r="B14" s="100" t="s">
        <v>5</v>
      </c>
      <c r="C14" s="99" t="s">
        <v>6</v>
      </c>
    </row>
    <row r="15" spans="2:3" ht="105" customHeight="1" x14ac:dyDescent="0.25">
      <c r="B15" s="100" t="s">
        <v>131</v>
      </c>
      <c r="C15" s="99" t="s">
        <v>132</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129</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133</v>
      </c>
    </row>
    <row r="23" spans="2:3" ht="39.950000000000003" customHeight="1" thickBot="1" x14ac:dyDescent="0.3">
      <c r="C23" s="98" t="s">
        <v>130</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5" t="s">
        <v>11</v>
      </c>
      <c r="B1" s="105"/>
      <c r="C1" s="105"/>
      <c r="D1" s="105"/>
      <c r="E1" s="7" t="s">
        <v>120</v>
      </c>
      <c r="F1" s="90">
        <f>COUNT(OfficialTeamList[Team Number])</f>
        <v>1</v>
      </c>
      <c r="G1" s="90" t="s">
        <v>121</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104</v>
      </c>
      <c r="C3" s="69" t="s">
        <v>105</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111</v>
      </c>
    </row>
    <row r="2" spans="1:1" x14ac:dyDescent="0.25">
      <c r="A2" t="s">
        <v>112</v>
      </c>
    </row>
    <row r="3" spans="1:1" x14ac:dyDescent="0.25">
      <c r="A3" t="s">
        <v>113</v>
      </c>
    </row>
    <row r="4" spans="1:1" x14ac:dyDescent="0.25">
      <c r="A4" t="s">
        <v>114</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102</v>
      </c>
    </row>
    <row r="3" spans="1:3" x14ac:dyDescent="0.25">
      <c r="A3" t="s">
        <v>101</v>
      </c>
    </row>
    <row r="4" spans="1:3" x14ac:dyDescent="0.25">
      <c r="A4" t="s">
        <v>106</v>
      </c>
    </row>
    <row r="5" spans="1:3" x14ac:dyDescent="0.25">
      <c r="A5" t="s">
        <v>107</v>
      </c>
    </row>
    <row r="6" spans="1:3" x14ac:dyDescent="0.25">
      <c r="A6" t="s">
        <v>103</v>
      </c>
    </row>
    <row r="7" spans="1:3" x14ac:dyDescent="0.25">
      <c r="A7" t="s">
        <v>94</v>
      </c>
      <c r="B7">
        <v>1</v>
      </c>
      <c r="C7" t="s">
        <v>95</v>
      </c>
    </row>
    <row r="8" spans="1:3" x14ac:dyDescent="0.25">
      <c r="A8" t="s">
        <v>20</v>
      </c>
      <c r="B8">
        <v>1</v>
      </c>
    </row>
    <row r="9" spans="1:3" x14ac:dyDescent="0.25">
      <c r="A9" t="s">
        <v>90</v>
      </c>
      <c r="B9">
        <v>1</v>
      </c>
    </row>
    <row r="10" spans="1:3" x14ac:dyDescent="0.25">
      <c r="A10" t="s">
        <v>88</v>
      </c>
      <c r="B10">
        <v>1</v>
      </c>
    </row>
    <row r="11" spans="1:3" x14ac:dyDescent="0.25">
      <c r="A11" t="s">
        <v>89</v>
      </c>
      <c r="B11">
        <v>1</v>
      </c>
    </row>
    <row r="12" spans="1:3" x14ac:dyDescent="0.25">
      <c r="A12" t="s">
        <v>96</v>
      </c>
      <c r="B12">
        <v>1</v>
      </c>
    </row>
    <row r="13" spans="1:3" x14ac:dyDescent="0.25">
      <c r="A13" t="s">
        <v>97</v>
      </c>
      <c r="B13">
        <v>1</v>
      </c>
    </row>
    <row r="14" spans="1:3" ht="90" x14ac:dyDescent="0.25">
      <c r="A14" t="s">
        <v>99</v>
      </c>
      <c r="B14">
        <v>1</v>
      </c>
      <c r="C14" s="60" t="s">
        <v>100</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38</v>
      </c>
      <c r="C1" t="s">
        <v>108</v>
      </c>
    </row>
    <row r="2" spans="1:3" x14ac:dyDescent="0.25">
      <c r="A2" t="s">
        <v>98</v>
      </c>
      <c r="C2" t="s">
        <v>109</v>
      </c>
    </row>
    <row r="3" spans="1:3" x14ac:dyDescent="0.25">
      <c r="C3" t="s">
        <v>110</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115</v>
      </c>
      <c r="C1" s="60" t="s">
        <v>116</v>
      </c>
      <c r="D1" t="s">
        <v>117</v>
      </c>
      <c r="E1" t="s">
        <v>118</v>
      </c>
      <c r="F1" t="s">
        <v>119</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zoomScaleNormal="100" workbookViewId="0">
      <pane xSplit="3" ySplit="2" topLeftCell="D3" activePane="bottomRight" state="frozen"/>
      <selection pane="topRight" activeCell="C1" sqref="C1"/>
      <selection pane="bottomLeft" activeCell="A3" sqref="A3"/>
      <selection pane="bottomRight" activeCell="D3" sqref="D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06" t="s">
        <v>19</v>
      </c>
      <c r="B1" s="106"/>
      <c r="C1" s="107"/>
      <c r="D1" s="106" t="s">
        <v>20</v>
      </c>
      <c r="E1" s="107"/>
      <c r="F1" s="107"/>
      <c r="G1" s="107"/>
      <c r="H1" s="107"/>
      <c r="I1" s="107"/>
      <c r="J1" s="107"/>
      <c r="K1" s="106" t="s">
        <v>21</v>
      </c>
      <c r="L1" s="107"/>
      <c r="M1" s="107"/>
      <c r="N1" s="106" t="s">
        <v>22</v>
      </c>
      <c r="O1" s="107"/>
      <c r="P1" s="106" t="s">
        <v>23</v>
      </c>
      <c r="Q1" s="107"/>
      <c r="R1" s="106" t="s">
        <v>24</v>
      </c>
      <c r="S1" s="107"/>
      <c r="T1" s="107"/>
      <c r="U1" s="107"/>
      <c r="V1" s="107"/>
      <c r="W1" s="4" t="s">
        <v>25</v>
      </c>
      <c r="X1" s="4"/>
      <c r="Z1" s="46"/>
    </row>
    <row r="2" spans="1:26" s="9" customFormat="1" ht="118.5" customHeight="1" x14ac:dyDescent="0.25">
      <c r="A2" s="48" t="s">
        <v>12</v>
      </c>
      <c r="B2" s="48" t="s">
        <v>115</v>
      </c>
      <c r="C2" s="48" t="s">
        <v>13</v>
      </c>
      <c r="D2" s="49" t="s">
        <v>26</v>
      </c>
      <c r="E2" s="49" t="s">
        <v>27</v>
      </c>
      <c r="F2" s="49" t="s">
        <v>28</v>
      </c>
      <c r="G2" s="49" t="s">
        <v>29</v>
      </c>
      <c r="H2" s="49" t="s">
        <v>30</v>
      </c>
      <c r="I2" s="49" t="s">
        <v>31</v>
      </c>
      <c r="J2" s="50" t="s">
        <v>32</v>
      </c>
      <c r="K2" s="51" t="s">
        <v>33</v>
      </c>
      <c r="L2" s="52" t="s">
        <v>34</v>
      </c>
      <c r="M2" s="53" t="s">
        <v>35</v>
      </c>
      <c r="N2" s="54" t="s">
        <v>36</v>
      </c>
      <c r="O2" s="55" t="s">
        <v>37</v>
      </c>
      <c r="P2" s="48" t="s">
        <v>38</v>
      </c>
      <c r="Q2" s="48" t="s">
        <v>39</v>
      </c>
      <c r="R2" s="27" t="s">
        <v>40</v>
      </c>
      <c r="S2" s="28" t="s">
        <v>41</v>
      </c>
      <c r="T2" s="29" t="s">
        <v>42</v>
      </c>
      <c r="U2" s="30" t="s">
        <v>43</v>
      </c>
      <c r="V2" s="31" t="s">
        <v>44</v>
      </c>
      <c r="W2" s="32" t="s">
        <v>25</v>
      </c>
      <c r="Z2" s="45"/>
    </row>
    <row r="3" spans="1:26" ht="21" customHeight="1" x14ac:dyDescent="0.25">
      <c r="A3" s="69">
        <v>1</v>
      </c>
      <c r="B3" s="69">
        <f>INDEX(OfficialTeamList[Pod Number],MATCH(TournamentData[[#This Row],[Team Number]], OfficialTeamList[Team Number],0))</f>
        <v>1</v>
      </c>
      <c r="C3" s="108"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113</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8"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113</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8"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113</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8"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113</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8"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113</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8"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113</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8"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113</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8"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113</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8"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113</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8"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113</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8"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113</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8"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113</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8"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113</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8"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113</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8"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113</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8"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113</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8"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113</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8"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113</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8"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113</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8"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113</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8"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113</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8"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113</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8"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113</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8"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113</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8"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113</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8"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113</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8"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113</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8"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113</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8"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113</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8"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113</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8"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113</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8"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113</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8"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113</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8"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113</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8"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113</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8"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113</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8"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113</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8"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113</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8"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113</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8"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113</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8"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113</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8"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113</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8"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113</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8"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113</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8"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113</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8"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113</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8"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113</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8"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113</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8"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113</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8"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113</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8"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113</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8"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113</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8"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113</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8"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113</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8"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113</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8"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113</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8"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113</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8"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113</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8"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113</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8"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113</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8"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113</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8"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113</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8"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113</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8"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113</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8"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113</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8"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113</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8"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113</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8"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113</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8"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113</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8"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113</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8"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113</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8"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113</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8"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113</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8"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113</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8"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113</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8"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113</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8"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113</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8"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113</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8"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113</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8"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113</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8"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113</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8"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113</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8"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113</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8"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113</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8"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113</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8"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113</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8"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113</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8"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113</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8"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113</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8"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113</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8"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113</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8"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113</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8"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113</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8"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113</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8"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113</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8"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113</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8"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113</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8"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113</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8"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113</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8"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113</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8"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113</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8"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113</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8"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113</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8"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113</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8"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113</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8"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113</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8"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113</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8"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113</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8"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113</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8"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113</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8"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113</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8"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113</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8"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113</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8"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113</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8"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113</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8"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113</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8"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113</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8"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113</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8"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113</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8"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113</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8"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113</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8"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113</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8"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113</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8"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113</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8"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113</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8"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113</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8"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113</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8"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113</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8"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113</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8"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113</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8"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113</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8"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113</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8"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113</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8"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113</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8"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113</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8"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113</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8"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113</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8"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113</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8"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113</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8"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113</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8"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113</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8"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113</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8"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113</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8"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113</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8"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113</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8"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113</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8"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113</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8"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113</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6">
    <mergeCell ref="K1:M1"/>
    <mergeCell ref="R1:V1"/>
    <mergeCell ref="P1:Q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45</v>
      </c>
      <c r="D1" s="65" t="s">
        <v>46</v>
      </c>
      <c r="E1" s="65" t="s">
        <v>47</v>
      </c>
      <c r="F1" s="59" t="s">
        <v>48</v>
      </c>
    </row>
    <row r="2" spans="1:6" ht="21" customHeight="1" x14ac:dyDescent="0.25">
      <c r="A2" s="69"/>
      <c r="B2" s="109" t="e">
        <f>INDEX(OfficialTeamList[Team Name],MATCH(RobotGameScores[[#This Row],[Team Number]], OfficialTeamList[Team Number],0))</f>
        <v>#N/A</v>
      </c>
      <c r="C2" s="70"/>
      <c r="D2" s="70"/>
      <c r="E2" s="70"/>
      <c r="F2" s="74">
        <f>MAX(C2:E2)</f>
        <v>0</v>
      </c>
    </row>
    <row r="3" spans="1:6" ht="21" customHeight="1" x14ac:dyDescent="0.25">
      <c r="A3" s="69"/>
      <c r="B3" s="109" t="e">
        <f>INDEX(OfficialTeamList[Team Name],MATCH(RobotGameScores[[#This Row],[Team Number]], OfficialTeamList[Team Number],0))</f>
        <v>#N/A</v>
      </c>
      <c r="C3" s="70"/>
      <c r="D3" s="70"/>
      <c r="E3" s="70"/>
      <c r="F3" s="74">
        <f>MAX(C3:E3)</f>
        <v>0</v>
      </c>
    </row>
    <row r="4" spans="1:6" ht="21" customHeight="1" x14ac:dyDescent="0.25">
      <c r="A4" s="69"/>
      <c r="B4" s="109" t="e">
        <f>INDEX(OfficialTeamList[Team Name],MATCH(RobotGameScores[[#This Row],[Team Number]], OfficialTeamList[Team Number],0))</f>
        <v>#N/A</v>
      </c>
      <c r="C4" s="70"/>
      <c r="D4" s="70"/>
      <c r="E4" s="70"/>
      <c r="F4" s="74">
        <f t="shared" ref="F4:F67" si="0">MAX(C4:E4)</f>
        <v>0</v>
      </c>
    </row>
    <row r="5" spans="1:6" ht="21" customHeight="1" x14ac:dyDescent="0.25">
      <c r="A5" s="69"/>
      <c r="B5" s="109" t="e">
        <f>INDEX(OfficialTeamList[Team Name],MATCH(RobotGameScores[[#This Row],[Team Number]], OfficialTeamList[Team Number],0))</f>
        <v>#N/A</v>
      </c>
      <c r="C5" s="70"/>
      <c r="D5" s="70"/>
      <c r="E5" s="70"/>
      <c r="F5" s="74">
        <f t="shared" si="0"/>
        <v>0</v>
      </c>
    </row>
    <row r="6" spans="1:6" ht="21" customHeight="1" x14ac:dyDescent="0.25">
      <c r="A6" s="69"/>
      <c r="B6" s="109" t="e">
        <f>INDEX(OfficialTeamList[Team Name],MATCH(RobotGameScores[[#This Row],[Team Number]], OfficialTeamList[Team Number],0))</f>
        <v>#N/A</v>
      </c>
      <c r="C6" s="70"/>
      <c r="D6" s="70"/>
      <c r="E6" s="70"/>
      <c r="F6" s="74">
        <f t="shared" si="0"/>
        <v>0</v>
      </c>
    </row>
    <row r="7" spans="1:6" ht="21" customHeight="1" x14ac:dyDescent="0.25">
      <c r="A7" s="69"/>
      <c r="B7" s="109" t="e">
        <f>INDEX(OfficialTeamList[Team Name],MATCH(RobotGameScores[[#This Row],[Team Number]], OfficialTeamList[Team Number],0))</f>
        <v>#N/A</v>
      </c>
      <c r="C7" s="70"/>
      <c r="D7" s="70"/>
      <c r="E7" s="70"/>
      <c r="F7" s="74">
        <f t="shared" si="0"/>
        <v>0</v>
      </c>
    </row>
    <row r="8" spans="1:6" ht="21" customHeight="1" x14ac:dyDescent="0.25">
      <c r="A8" s="69"/>
      <c r="B8" s="109" t="e">
        <f>INDEX(OfficialTeamList[Team Name],MATCH(RobotGameScores[[#This Row],[Team Number]], OfficialTeamList[Team Number],0))</f>
        <v>#N/A</v>
      </c>
      <c r="C8" s="70"/>
      <c r="D8" s="70"/>
      <c r="E8" s="70"/>
      <c r="F8" s="74">
        <f t="shared" si="0"/>
        <v>0</v>
      </c>
    </row>
    <row r="9" spans="1:6" ht="21" customHeight="1" x14ac:dyDescent="0.25">
      <c r="A9" s="69"/>
      <c r="B9" s="109" t="e">
        <f>INDEX(OfficialTeamList[Team Name],MATCH(RobotGameScores[[#This Row],[Team Number]], OfficialTeamList[Team Number],0))</f>
        <v>#N/A</v>
      </c>
      <c r="C9" s="70"/>
      <c r="D9" s="70"/>
      <c r="E9" s="70"/>
      <c r="F9" s="74">
        <f t="shared" si="0"/>
        <v>0</v>
      </c>
    </row>
    <row r="10" spans="1:6" ht="21" customHeight="1" x14ac:dyDescent="0.25">
      <c r="A10" s="69"/>
      <c r="B10" s="109" t="e">
        <f>INDEX(OfficialTeamList[Team Name],MATCH(RobotGameScores[[#This Row],[Team Number]], OfficialTeamList[Team Number],0))</f>
        <v>#N/A</v>
      </c>
      <c r="C10" s="70"/>
      <c r="D10" s="70"/>
      <c r="E10" s="70"/>
      <c r="F10" s="74">
        <f t="shared" si="0"/>
        <v>0</v>
      </c>
    </row>
    <row r="11" spans="1:6" ht="21" customHeight="1" x14ac:dyDescent="0.25">
      <c r="A11" s="69"/>
      <c r="B11" s="109" t="e">
        <f>INDEX(OfficialTeamList[Team Name],MATCH(RobotGameScores[[#This Row],[Team Number]], OfficialTeamList[Team Number],0))</f>
        <v>#N/A</v>
      </c>
      <c r="C11" s="70"/>
      <c r="D11" s="70"/>
      <c r="E11" s="70"/>
      <c r="F11" s="74">
        <f t="shared" si="0"/>
        <v>0</v>
      </c>
    </row>
    <row r="12" spans="1:6" ht="21" customHeight="1" x14ac:dyDescent="0.25">
      <c r="A12" s="69"/>
      <c r="B12" s="109" t="e">
        <f>INDEX(OfficialTeamList[Team Name],MATCH(RobotGameScores[[#This Row],[Team Number]], OfficialTeamList[Team Number],0))</f>
        <v>#N/A</v>
      </c>
      <c r="C12" s="70"/>
      <c r="D12" s="70"/>
      <c r="E12" s="70"/>
      <c r="F12" s="74">
        <f t="shared" si="0"/>
        <v>0</v>
      </c>
    </row>
    <row r="13" spans="1:6" ht="21" customHeight="1" x14ac:dyDescent="0.25">
      <c r="A13" s="69"/>
      <c r="B13" s="109" t="e">
        <f>INDEX(OfficialTeamList[Team Name],MATCH(RobotGameScores[[#This Row],[Team Number]], OfficialTeamList[Team Number],0))</f>
        <v>#N/A</v>
      </c>
      <c r="C13" s="70"/>
      <c r="D13" s="70"/>
      <c r="E13" s="70"/>
      <c r="F13" s="74">
        <f t="shared" si="0"/>
        <v>0</v>
      </c>
    </row>
    <row r="14" spans="1:6" ht="21" customHeight="1" x14ac:dyDescent="0.25">
      <c r="A14" s="69"/>
      <c r="B14" s="109" t="e">
        <f>INDEX(OfficialTeamList[Team Name],MATCH(RobotGameScores[[#This Row],[Team Number]], OfficialTeamList[Team Number],0))</f>
        <v>#N/A</v>
      </c>
      <c r="C14" s="70"/>
      <c r="D14" s="70"/>
      <c r="E14" s="70"/>
      <c r="F14" s="74">
        <f t="shared" si="0"/>
        <v>0</v>
      </c>
    </row>
    <row r="15" spans="1:6" ht="21" customHeight="1" x14ac:dyDescent="0.25">
      <c r="A15" s="69"/>
      <c r="B15" s="109" t="e">
        <f>INDEX(OfficialTeamList[Team Name],MATCH(RobotGameScores[[#This Row],[Team Number]], OfficialTeamList[Team Number],0))</f>
        <v>#N/A</v>
      </c>
      <c r="C15" s="70"/>
      <c r="D15" s="70"/>
      <c r="E15" s="70"/>
      <c r="F15" s="74">
        <f t="shared" si="0"/>
        <v>0</v>
      </c>
    </row>
    <row r="16" spans="1:6" ht="21" customHeight="1" x14ac:dyDescent="0.25">
      <c r="A16" s="69"/>
      <c r="B16" s="109" t="e">
        <f>INDEX(OfficialTeamList[Team Name],MATCH(RobotGameScores[[#This Row],[Team Number]], OfficialTeamList[Team Number],0))</f>
        <v>#N/A</v>
      </c>
      <c r="C16" s="70"/>
      <c r="D16" s="70"/>
      <c r="E16" s="70"/>
      <c r="F16" s="74">
        <f t="shared" si="0"/>
        <v>0</v>
      </c>
    </row>
    <row r="17" spans="1:6" ht="21" customHeight="1" x14ac:dyDescent="0.25">
      <c r="A17" s="69"/>
      <c r="B17" s="109" t="e">
        <f>INDEX(OfficialTeamList[Team Name],MATCH(RobotGameScores[[#This Row],[Team Number]], OfficialTeamList[Team Number],0))</f>
        <v>#N/A</v>
      </c>
      <c r="C17" s="70"/>
      <c r="D17" s="70"/>
      <c r="E17" s="70"/>
      <c r="F17" s="74">
        <f t="shared" si="0"/>
        <v>0</v>
      </c>
    </row>
    <row r="18" spans="1:6" ht="21" customHeight="1" x14ac:dyDescent="0.25">
      <c r="A18" s="69"/>
      <c r="B18" s="109" t="e">
        <f>INDEX(OfficialTeamList[Team Name],MATCH(RobotGameScores[[#This Row],[Team Number]], OfficialTeamList[Team Number],0))</f>
        <v>#N/A</v>
      </c>
      <c r="C18" s="70"/>
      <c r="D18" s="70"/>
      <c r="E18" s="70"/>
      <c r="F18" s="74">
        <f t="shared" si="0"/>
        <v>0</v>
      </c>
    </row>
    <row r="19" spans="1:6" ht="21" customHeight="1" x14ac:dyDescent="0.25">
      <c r="A19" s="69"/>
      <c r="B19" s="109" t="e">
        <f>INDEX(OfficialTeamList[Team Name],MATCH(RobotGameScores[[#This Row],[Team Number]], OfficialTeamList[Team Number],0))</f>
        <v>#N/A</v>
      </c>
      <c r="C19" s="70"/>
      <c r="D19" s="70"/>
      <c r="E19" s="70"/>
      <c r="F19" s="74">
        <f t="shared" si="0"/>
        <v>0</v>
      </c>
    </row>
    <row r="20" spans="1:6" ht="21" customHeight="1" x14ac:dyDescent="0.25">
      <c r="A20" s="69"/>
      <c r="B20" s="109" t="e">
        <f>INDEX(OfficialTeamList[Team Name],MATCH(RobotGameScores[[#This Row],[Team Number]], OfficialTeamList[Team Number],0))</f>
        <v>#N/A</v>
      </c>
      <c r="C20" s="70"/>
      <c r="D20" s="70"/>
      <c r="E20" s="70"/>
      <c r="F20" s="74">
        <f t="shared" si="0"/>
        <v>0</v>
      </c>
    </row>
    <row r="21" spans="1:6" ht="21" customHeight="1" x14ac:dyDescent="0.25">
      <c r="A21" s="69"/>
      <c r="B21" s="109" t="e">
        <f>INDEX(OfficialTeamList[Team Name],MATCH(RobotGameScores[[#This Row],[Team Number]], OfficialTeamList[Team Number],0))</f>
        <v>#N/A</v>
      </c>
      <c r="C21" s="70"/>
      <c r="D21" s="70"/>
      <c r="E21" s="70"/>
      <c r="F21" s="74">
        <f t="shared" si="0"/>
        <v>0</v>
      </c>
    </row>
    <row r="22" spans="1:6" ht="21" customHeight="1" x14ac:dyDescent="0.25">
      <c r="A22" s="69"/>
      <c r="B22" s="109" t="e">
        <f>INDEX(OfficialTeamList[Team Name],MATCH(RobotGameScores[[#This Row],[Team Number]], OfficialTeamList[Team Number],0))</f>
        <v>#N/A</v>
      </c>
      <c r="C22" s="70"/>
      <c r="D22" s="70"/>
      <c r="E22" s="70"/>
      <c r="F22" s="74">
        <f t="shared" si="0"/>
        <v>0</v>
      </c>
    </row>
    <row r="23" spans="1:6" ht="21" customHeight="1" x14ac:dyDescent="0.25">
      <c r="A23" s="69"/>
      <c r="B23" s="109" t="e">
        <f>INDEX(OfficialTeamList[Team Name],MATCH(RobotGameScores[[#This Row],[Team Number]], OfficialTeamList[Team Number],0))</f>
        <v>#N/A</v>
      </c>
      <c r="C23" s="70"/>
      <c r="D23" s="70"/>
      <c r="E23" s="70"/>
      <c r="F23" s="74">
        <f t="shared" si="0"/>
        <v>0</v>
      </c>
    </row>
    <row r="24" spans="1:6" ht="21" customHeight="1" x14ac:dyDescent="0.25">
      <c r="A24" s="69"/>
      <c r="B24" s="109" t="e">
        <f>INDEX(OfficialTeamList[Team Name],MATCH(RobotGameScores[[#This Row],[Team Number]], OfficialTeamList[Team Number],0))</f>
        <v>#N/A</v>
      </c>
      <c r="C24" s="70"/>
      <c r="D24" s="70"/>
      <c r="E24" s="70"/>
      <c r="F24" s="74">
        <f t="shared" si="0"/>
        <v>0</v>
      </c>
    </row>
    <row r="25" spans="1:6" ht="21" customHeight="1" x14ac:dyDescent="0.25">
      <c r="A25" s="69"/>
      <c r="B25" s="109" t="e">
        <f>INDEX(OfficialTeamList[Team Name],MATCH(RobotGameScores[[#This Row],[Team Number]], OfficialTeamList[Team Number],0))</f>
        <v>#N/A</v>
      </c>
      <c r="C25" s="70"/>
      <c r="D25" s="70"/>
      <c r="E25" s="70"/>
      <c r="F25" s="74">
        <f t="shared" si="0"/>
        <v>0</v>
      </c>
    </row>
    <row r="26" spans="1:6" ht="21" customHeight="1" x14ac:dyDescent="0.25">
      <c r="A26" s="69"/>
      <c r="B26" s="109" t="e">
        <f>INDEX(OfficialTeamList[Team Name],MATCH(RobotGameScores[[#This Row],[Team Number]], OfficialTeamList[Team Number],0))</f>
        <v>#N/A</v>
      </c>
      <c r="C26" s="70"/>
      <c r="D26" s="70"/>
      <c r="E26" s="70"/>
      <c r="F26" s="74">
        <f t="shared" si="0"/>
        <v>0</v>
      </c>
    </row>
    <row r="27" spans="1:6" ht="21" customHeight="1" x14ac:dyDescent="0.25">
      <c r="A27" s="69"/>
      <c r="B27" s="109" t="e">
        <f>INDEX(OfficialTeamList[Team Name],MATCH(RobotGameScores[[#This Row],[Team Number]], OfficialTeamList[Team Number],0))</f>
        <v>#N/A</v>
      </c>
      <c r="C27" s="70"/>
      <c r="D27" s="70"/>
      <c r="E27" s="70"/>
      <c r="F27" s="74">
        <f t="shared" si="0"/>
        <v>0</v>
      </c>
    </row>
    <row r="28" spans="1:6" ht="21" customHeight="1" x14ac:dyDescent="0.25">
      <c r="A28" s="69"/>
      <c r="B28" s="109" t="e">
        <f>INDEX(OfficialTeamList[Team Name],MATCH(RobotGameScores[[#This Row],[Team Number]], OfficialTeamList[Team Number],0))</f>
        <v>#N/A</v>
      </c>
      <c r="C28" s="70"/>
      <c r="D28" s="70"/>
      <c r="E28" s="70"/>
      <c r="F28" s="74">
        <f t="shared" si="0"/>
        <v>0</v>
      </c>
    </row>
    <row r="29" spans="1:6" ht="21" customHeight="1" x14ac:dyDescent="0.25">
      <c r="A29" s="69"/>
      <c r="B29" s="109" t="e">
        <f>INDEX(OfficialTeamList[Team Name],MATCH(RobotGameScores[[#This Row],[Team Number]], OfficialTeamList[Team Number],0))</f>
        <v>#N/A</v>
      </c>
      <c r="C29" s="70"/>
      <c r="D29" s="70"/>
      <c r="E29" s="70"/>
      <c r="F29" s="74">
        <f t="shared" si="0"/>
        <v>0</v>
      </c>
    </row>
    <row r="30" spans="1:6" ht="21" customHeight="1" x14ac:dyDescent="0.25">
      <c r="A30" s="69"/>
      <c r="B30" s="109" t="e">
        <f>INDEX(OfficialTeamList[Team Name],MATCH(RobotGameScores[[#This Row],[Team Number]], OfficialTeamList[Team Number],0))</f>
        <v>#N/A</v>
      </c>
      <c r="C30" s="70"/>
      <c r="D30" s="70"/>
      <c r="E30" s="70"/>
      <c r="F30" s="74">
        <f t="shared" si="0"/>
        <v>0</v>
      </c>
    </row>
    <row r="31" spans="1:6" ht="21" customHeight="1" x14ac:dyDescent="0.25">
      <c r="A31" s="69"/>
      <c r="B31" s="109" t="e">
        <f>INDEX(OfficialTeamList[Team Name],MATCH(RobotGameScores[[#This Row],[Team Number]], OfficialTeamList[Team Number],0))</f>
        <v>#N/A</v>
      </c>
      <c r="C31" s="70"/>
      <c r="D31" s="70"/>
      <c r="E31" s="70"/>
      <c r="F31" s="74">
        <f t="shared" si="0"/>
        <v>0</v>
      </c>
    </row>
    <row r="32" spans="1:6" ht="21" customHeight="1" x14ac:dyDescent="0.25">
      <c r="A32" s="69"/>
      <c r="B32" s="109" t="e">
        <f>INDEX(OfficialTeamList[Team Name],MATCH(RobotGameScores[[#This Row],[Team Number]], OfficialTeamList[Team Number],0))</f>
        <v>#N/A</v>
      </c>
      <c r="C32" s="70"/>
      <c r="D32" s="70"/>
      <c r="E32" s="70"/>
      <c r="F32" s="74">
        <f t="shared" si="0"/>
        <v>0</v>
      </c>
    </row>
    <row r="33" spans="1:6" ht="21" customHeight="1" x14ac:dyDescent="0.25">
      <c r="A33" s="69"/>
      <c r="B33" s="109" t="e">
        <f>INDEX(OfficialTeamList[Team Name],MATCH(RobotGameScores[[#This Row],[Team Number]], OfficialTeamList[Team Number],0))</f>
        <v>#N/A</v>
      </c>
      <c r="C33" s="70"/>
      <c r="D33" s="70"/>
      <c r="E33" s="70"/>
      <c r="F33" s="74">
        <f t="shared" si="0"/>
        <v>0</v>
      </c>
    </row>
    <row r="34" spans="1:6" ht="21" customHeight="1" x14ac:dyDescent="0.25">
      <c r="A34" s="69"/>
      <c r="B34" s="109" t="e">
        <f>INDEX(OfficialTeamList[Team Name],MATCH(RobotGameScores[[#This Row],[Team Number]], OfficialTeamList[Team Number],0))</f>
        <v>#N/A</v>
      </c>
      <c r="C34" s="70"/>
      <c r="D34" s="70"/>
      <c r="E34" s="70"/>
      <c r="F34" s="74">
        <f t="shared" si="0"/>
        <v>0</v>
      </c>
    </row>
    <row r="35" spans="1:6" ht="21" customHeight="1" x14ac:dyDescent="0.25">
      <c r="A35" s="69"/>
      <c r="B35" s="109" t="e">
        <f>INDEX(OfficialTeamList[Team Name],MATCH(RobotGameScores[[#This Row],[Team Number]], OfficialTeamList[Team Number],0))</f>
        <v>#N/A</v>
      </c>
      <c r="C35" s="70"/>
      <c r="D35" s="70"/>
      <c r="E35" s="70"/>
      <c r="F35" s="74">
        <f t="shared" si="0"/>
        <v>0</v>
      </c>
    </row>
    <row r="36" spans="1:6" ht="21" customHeight="1" x14ac:dyDescent="0.25">
      <c r="A36" s="69"/>
      <c r="B36" s="109" t="e">
        <f>INDEX(OfficialTeamList[Team Name],MATCH(RobotGameScores[[#This Row],[Team Number]], OfficialTeamList[Team Number],0))</f>
        <v>#N/A</v>
      </c>
      <c r="C36" s="70"/>
      <c r="D36" s="70"/>
      <c r="E36" s="70"/>
      <c r="F36" s="74">
        <f t="shared" si="0"/>
        <v>0</v>
      </c>
    </row>
    <row r="37" spans="1:6" ht="21" customHeight="1" x14ac:dyDescent="0.25">
      <c r="A37" s="69"/>
      <c r="B37" s="109" t="e">
        <f>INDEX(OfficialTeamList[Team Name],MATCH(RobotGameScores[[#This Row],[Team Number]], OfficialTeamList[Team Number],0))</f>
        <v>#N/A</v>
      </c>
      <c r="C37" s="70"/>
      <c r="D37" s="70"/>
      <c r="E37" s="70"/>
      <c r="F37" s="74">
        <f t="shared" si="0"/>
        <v>0</v>
      </c>
    </row>
    <row r="38" spans="1:6" ht="21" customHeight="1" x14ac:dyDescent="0.25">
      <c r="A38" s="69"/>
      <c r="B38" s="109" t="e">
        <f>INDEX(OfficialTeamList[Team Name],MATCH(RobotGameScores[[#This Row],[Team Number]], OfficialTeamList[Team Number],0))</f>
        <v>#N/A</v>
      </c>
      <c r="C38" s="70"/>
      <c r="D38" s="70"/>
      <c r="E38" s="70"/>
      <c r="F38" s="74">
        <f t="shared" si="0"/>
        <v>0</v>
      </c>
    </row>
    <row r="39" spans="1:6" ht="21" customHeight="1" x14ac:dyDescent="0.25">
      <c r="A39" s="69"/>
      <c r="B39" s="109" t="e">
        <f>INDEX(OfficialTeamList[Team Name],MATCH(RobotGameScores[[#This Row],[Team Number]], OfficialTeamList[Team Number],0))</f>
        <v>#N/A</v>
      </c>
      <c r="C39" s="70"/>
      <c r="D39" s="70"/>
      <c r="E39" s="70"/>
      <c r="F39" s="74">
        <f t="shared" si="0"/>
        <v>0</v>
      </c>
    </row>
    <row r="40" spans="1:6" ht="21" customHeight="1" x14ac:dyDescent="0.25">
      <c r="A40" s="69"/>
      <c r="B40" s="109" t="e">
        <f>INDEX(OfficialTeamList[Team Name],MATCH(RobotGameScores[[#This Row],[Team Number]], OfficialTeamList[Team Number],0))</f>
        <v>#N/A</v>
      </c>
      <c r="C40" s="70"/>
      <c r="D40" s="70"/>
      <c r="E40" s="70"/>
      <c r="F40" s="74">
        <f t="shared" si="0"/>
        <v>0</v>
      </c>
    </row>
    <row r="41" spans="1:6" ht="21" customHeight="1" x14ac:dyDescent="0.25">
      <c r="A41" s="69"/>
      <c r="B41" s="109" t="e">
        <f>INDEX(OfficialTeamList[Team Name],MATCH(RobotGameScores[[#This Row],[Team Number]], OfficialTeamList[Team Number],0))</f>
        <v>#N/A</v>
      </c>
      <c r="C41" s="70"/>
      <c r="D41" s="70"/>
      <c r="E41" s="70"/>
      <c r="F41" s="74">
        <f t="shared" si="0"/>
        <v>0</v>
      </c>
    </row>
    <row r="42" spans="1:6" ht="21" customHeight="1" x14ac:dyDescent="0.25">
      <c r="A42" s="69"/>
      <c r="B42" s="109" t="e">
        <f>INDEX(OfficialTeamList[Team Name],MATCH(RobotGameScores[[#This Row],[Team Number]], OfficialTeamList[Team Number],0))</f>
        <v>#N/A</v>
      </c>
      <c r="C42" s="70"/>
      <c r="D42" s="70"/>
      <c r="E42" s="70"/>
      <c r="F42" s="74">
        <f t="shared" si="0"/>
        <v>0</v>
      </c>
    </row>
    <row r="43" spans="1:6" ht="21" customHeight="1" x14ac:dyDescent="0.25">
      <c r="A43" s="69"/>
      <c r="B43" s="109" t="e">
        <f>INDEX(OfficialTeamList[Team Name],MATCH(RobotGameScores[[#This Row],[Team Number]], OfficialTeamList[Team Number],0))</f>
        <v>#N/A</v>
      </c>
      <c r="C43" s="70"/>
      <c r="D43" s="70"/>
      <c r="E43" s="70"/>
      <c r="F43" s="74">
        <f t="shared" si="0"/>
        <v>0</v>
      </c>
    </row>
    <row r="44" spans="1:6" ht="21" customHeight="1" x14ac:dyDescent="0.25">
      <c r="A44" s="69"/>
      <c r="B44" s="109" t="e">
        <f>INDEX(OfficialTeamList[Team Name],MATCH(RobotGameScores[[#This Row],[Team Number]], OfficialTeamList[Team Number],0))</f>
        <v>#N/A</v>
      </c>
      <c r="C44" s="70"/>
      <c r="D44" s="70"/>
      <c r="E44" s="70"/>
      <c r="F44" s="74">
        <f t="shared" si="0"/>
        <v>0</v>
      </c>
    </row>
    <row r="45" spans="1:6" ht="21" customHeight="1" x14ac:dyDescent="0.25">
      <c r="A45" s="69"/>
      <c r="B45" s="109" t="e">
        <f>INDEX(OfficialTeamList[Team Name],MATCH(RobotGameScores[[#This Row],[Team Number]], OfficialTeamList[Team Number],0))</f>
        <v>#N/A</v>
      </c>
      <c r="C45" s="70"/>
      <c r="D45" s="70"/>
      <c r="E45" s="70"/>
      <c r="F45" s="74">
        <f t="shared" si="0"/>
        <v>0</v>
      </c>
    </row>
    <row r="46" spans="1:6" ht="21" customHeight="1" x14ac:dyDescent="0.25">
      <c r="A46" s="69"/>
      <c r="B46" s="109" t="e">
        <f>INDEX(OfficialTeamList[Team Name],MATCH(RobotGameScores[[#This Row],[Team Number]], OfficialTeamList[Team Number],0))</f>
        <v>#N/A</v>
      </c>
      <c r="C46" s="70"/>
      <c r="D46" s="70"/>
      <c r="E46" s="70"/>
      <c r="F46" s="74">
        <f t="shared" si="0"/>
        <v>0</v>
      </c>
    </row>
    <row r="47" spans="1:6" ht="21" customHeight="1" x14ac:dyDescent="0.25">
      <c r="A47" s="69"/>
      <c r="B47" s="109" t="e">
        <f>INDEX(OfficialTeamList[Team Name],MATCH(RobotGameScores[[#This Row],[Team Number]], OfficialTeamList[Team Number],0))</f>
        <v>#N/A</v>
      </c>
      <c r="C47" s="70"/>
      <c r="D47" s="70"/>
      <c r="E47" s="70"/>
      <c r="F47" s="74">
        <f t="shared" si="0"/>
        <v>0</v>
      </c>
    </row>
    <row r="48" spans="1:6" ht="21" customHeight="1" x14ac:dyDescent="0.25">
      <c r="A48" s="69"/>
      <c r="B48" s="109" t="e">
        <f>INDEX(OfficialTeamList[Team Name],MATCH(RobotGameScores[[#This Row],[Team Number]], OfficialTeamList[Team Number],0))</f>
        <v>#N/A</v>
      </c>
      <c r="C48" s="70"/>
      <c r="D48" s="70"/>
      <c r="E48" s="70"/>
      <c r="F48" s="74">
        <f t="shared" si="0"/>
        <v>0</v>
      </c>
    </row>
    <row r="49" spans="1:6" ht="21" customHeight="1" x14ac:dyDescent="0.25">
      <c r="A49" s="69"/>
      <c r="B49" s="109" t="e">
        <f>INDEX(OfficialTeamList[Team Name],MATCH(RobotGameScores[[#This Row],[Team Number]], OfficialTeamList[Team Number],0))</f>
        <v>#N/A</v>
      </c>
      <c r="C49" s="70"/>
      <c r="D49" s="70"/>
      <c r="E49" s="70"/>
      <c r="F49" s="74">
        <f t="shared" si="0"/>
        <v>0</v>
      </c>
    </row>
    <row r="50" spans="1:6" ht="21" customHeight="1" x14ac:dyDescent="0.25">
      <c r="A50" s="69"/>
      <c r="B50" s="109" t="e">
        <f>INDEX(OfficialTeamList[Team Name],MATCH(RobotGameScores[[#This Row],[Team Number]], OfficialTeamList[Team Number],0))</f>
        <v>#N/A</v>
      </c>
      <c r="C50" s="70"/>
      <c r="D50" s="70"/>
      <c r="E50" s="70"/>
      <c r="F50" s="74">
        <f t="shared" si="0"/>
        <v>0</v>
      </c>
    </row>
    <row r="51" spans="1:6" ht="21" customHeight="1" x14ac:dyDescent="0.25">
      <c r="A51" s="69"/>
      <c r="B51" s="109" t="e">
        <f>INDEX(OfficialTeamList[Team Name],MATCH(RobotGameScores[[#This Row],[Team Number]], OfficialTeamList[Team Number],0))</f>
        <v>#N/A</v>
      </c>
      <c r="C51" s="70"/>
      <c r="D51" s="70"/>
      <c r="E51" s="70"/>
      <c r="F51" s="74">
        <f t="shared" si="0"/>
        <v>0</v>
      </c>
    </row>
    <row r="52" spans="1:6" ht="21" customHeight="1" x14ac:dyDescent="0.25">
      <c r="A52" s="69"/>
      <c r="B52" s="109" t="e">
        <f>INDEX(OfficialTeamList[Team Name],MATCH(RobotGameScores[[#This Row],[Team Number]], OfficialTeamList[Team Number],0))</f>
        <v>#N/A</v>
      </c>
      <c r="C52" s="70"/>
      <c r="D52" s="70"/>
      <c r="E52" s="70"/>
      <c r="F52" s="74">
        <f t="shared" si="0"/>
        <v>0</v>
      </c>
    </row>
    <row r="53" spans="1:6" ht="21" customHeight="1" x14ac:dyDescent="0.25">
      <c r="A53" s="69"/>
      <c r="B53" s="109" t="e">
        <f>INDEX(OfficialTeamList[Team Name],MATCH(RobotGameScores[[#This Row],[Team Number]], OfficialTeamList[Team Number],0))</f>
        <v>#N/A</v>
      </c>
      <c r="C53" s="70"/>
      <c r="D53" s="70"/>
      <c r="E53" s="70"/>
      <c r="F53" s="74">
        <f t="shared" si="0"/>
        <v>0</v>
      </c>
    </row>
    <row r="54" spans="1:6" ht="21" customHeight="1" x14ac:dyDescent="0.25">
      <c r="A54" s="69"/>
      <c r="B54" s="109" t="e">
        <f>INDEX(OfficialTeamList[Team Name],MATCH(RobotGameScores[[#This Row],[Team Number]], OfficialTeamList[Team Number],0))</f>
        <v>#N/A</v>
      </c>
      <c r="C54" s="70"/>
      <c r="D54" s="70"/>
      <c r="E54" s="70"/>
      <c r="F54" s="74">
        <f t="shared" si="0"/>
        <v>0</v>
      </c>
    </row>
    <row r="55" spans="1:6" ht="21" customHeight="1" x14ac:dyDescent="0.25">
      <c r="A55" s="69"/>
      <c r="B55" s="109" t="e">
        <f>INDEX(OfficialTeamList[Team Name],MATCH(RobotGameScores[[#This Row],[Team Number]], OfficialTeamList[Team Number],0))</f>
        <v>#N/A</v>
      </c>
      <c r="C55" s="70"/>
      <c r="D55" s="70"/>
      <c r="E55" s="70"/>
      <c r="F55" s="74">
        <f t="shared" si="0"/>
        <v>0</v>
      </c>
    </row>
    <row r="56" spans="1:6" ht="21" customHeight="1" x14ac:dyDescent="0.25">
      <c r="A56" s="69"/>
      <c r="B56" s="109" t="e">
        <f>INDEX(OfficialTeamList[Team Name],MATCH(RobotGameScores[[#This Row],[Team Number]], OfficialTeamList[Team Number],0))</f>
        <v>#N/A</v>
      </c>
      <c r="C56" s="70"/>
      <c r="D56" s="70"/>
      <c r="E56" s="70"/>
      <c r="F56" s="74">
        <f t="shared" si="0"/>
        <v>0</v>
      </c>
    </row>
    <row r="57" spans="1:6" ht="21" customHeight="1" x14ac:dyDescent="0.25">
      <c r="A57" s="69"/>
      <c r="B57" s="109" t="e">
        <f>INDEX(OfficialTeamList[Team Name],MATCH(RobotGameScores[[#This Row],[Team Number]], OfficialTeamList[Team Number],0))</f>
        <v>#N/A</v>
      </c>
      <c r="C57" s="70"/>
      <c r="D57" s="70"/>
      <c r="E57" s="70"/>
      <c r="F57" s="74">
        <f t="shared" si="0"/>
        <v>0</v>
      </c>
    </row>
    <row r="58" spans="1:6" ht="21" customHeight="1" x14ac:dyDescent="0.25">
      <c r="A58" s="69"/>
      <c r="B58" s="109" t="e">
        <f>INDEX(OfficialTeamList[Team Name],MATCH(RobotGameScores[[#This Row],[Team Number]], OfficialTeamList[Team Number],0))</f>
        <v>#N/A</v>
      </c>
      <c r="C58" s="70"/>
      <c r="D58" s="70"/>
      <c r="E58" s="70"/>
      <c r="F58" s="74">
        <f t="shared" si="0"/>
        <v>0</v>
      </c>
    </row>
    <row r="59" spans="1:6" ht="21" customHeight="1" x14ac:dyDescent="0.25">
      <c r="A59" s="69"/>
      <c r="B59" s="109" t="e">
        <f>INDEX(OfficialTeamList[Team Name],MATCH(RobotGameScores[[#This Row],[Team Number]], OfficialTeamList[Team Number],0))</f>
        <v>#N/A</v>
      </c>
      <c r="C59" s="70"/>
      <c r="D59" s="70"/>
      <c r="E59" s="70"/>
      <c r="F59" s="74">
        <f t="shared" si="0"/>
        <v>0</v>
      </c>
    </row>
    <row r="60" spans="1:6" ht="21" customHeight="1" x14ac:dyDescent="0.25">
      <c r="A60" s="69"/>
      <c r="B60" s="109" t="e">
        <f>INDEX(OfficialTeamList[Team Name],MATCH(RobotGameScores[[#This Row],[Team Number]], OfficialTeamList[Team Number],0))</f>
        <v>#N/A</v>
      </c>
      <c r="C60" s="70"/>
      <c r="D60" s="70"/>
      <c r="E60" s="70"/>
      <c r="F60" s="74">
        <f t="shared" si="0"/>
        <v>0</v>
      </c>
    </row>
    <row r="61" spans="1:6" ht="21" customHeight="1" x14ac:dyDescent="0.25">
      <c r="A61" s="69"/>
      <c r="B61" s="109" t="e">
        <f>INDEX(OfficialTeamList[Team Name],MATCH(RobotGameScores[[#This Row],[Team Number]], OfficialTeamList[Team Number],0))</f>
        <v>#N/A</v>
      </c>
      <c r="C61" s="70"/>
      <c r="D61" s="70"/>
      <c r="E61" s="70"/>
      <c r="F61" s="74">
        <f t="shared" si="0"/>
        <v>0</v>
      </c>
    </row>
    <row r="62" spans="1:6" ht="21" customHeight="1" x14ac:dyDescent="0.25">
      <c r="A62" s="69"/>
      <c r="B62" s="109" t="e">
        <f>INDEX(OfficialTeamList[Team Name],MATCH(RobotGameScores[[#This Row],[Team Number]], OfficialTeamList[Team Number],0))</f>
        <v>#N/A</v>
      </c>
      <c r="C62" s="70"/>
      <c r="D62" s="70"/>
      <c r="E62" s="70"/>
      <c r="F62" s="74">
        <f t="shared" si="0"/>
        <v>0</v>
      </c>
    </row>
    <row r="63" spans="1:6" ht="21" customHeight="1" x14ac:dyDescent="0.25">
      <c r="A63" s="69"/>
      <c r="B63" s="109" t="e">
        <f>INDEX(OfficialTeamList[Team Name],MATCH(RobotGameScores[[#This Row],[Team Number]], OfficialTeamList[Team Number],0))</f>
        <v>#N/A</v>
      </c>
      <c r="C63" s="70"/>
      <c r="D63" s="70"/>
      <c r="E63" s="70"/>
      <c r="F63" s="74">
        <f t="shared" si="0"/>
        <v>0</v>
      </c>
    </row>
    <row r="64" spans="1:6" ht="21" customHeight="1" x14ac:dyDescent="0.25">
      <c r="A64" s="69"/>
      <c r="B64" s="109" t="e">
        <f>INDEX(OfficialTeamList[Team Name],MATCH(RobotGameScores[[#This Row],[Team Number]], OfficialTeamList[Team Number],0))</f>
        <v>#N/A</v>
      </c>
      <c r="C64" s="70"/>
      <c r="D64" s="70"/>
      <c r="E64" s="70"/>
      <c r="F64" s="74">
        <f t="shared" si="0"/>
        <v>0</v>
      </c>
    </row>
    <row r="65" spans="1:6" ht="21" customHeight="1" x14ac:dyDescent="0.25">
      <c r="A65" s="69"/>
      <c r="B65" s="109" t="e">
        <f>INDEX(OfficialTeamList[Team Name],MATCH(RobotGameScores[[#This Row],[Team Number]], OfficialTeamList[Team Number],0))</f>
        <v>#N/A</v>
      </c>
      <c r="C65" s="70"/>
      <c r="D65" s="70"/>
      <c r="E65" s="70"/>
      <c r="F65" s="74">
        <f t="shared" si="0"/>
        <v>0</v>
      </c>
    </row>
    <row r="66" spans="1:6" ht="21" customHeight="1" x14ac:dyDescent="0.25">
      <c r="A66" s="69"/>
      <c r="B66" s="109" t="e">
        <f>INDEX(OfficialTeamList[Team Name],MATCH(RobotGameScores[[#This Row],[Team Number]], OfficialTeamList[Team Number],0))</f>
        <v>#N/A</v>
      </c>
      <c r="C66" s="70"/>
      <c r="D66" s="70"/>
      <c r="E66" s="70"/>
      <c r="F66" s="74">
        <f t="shared" si="0"/>
        <v>0</v>
      </c>
    </row>
    <row r="67" spans="1:6" ht="21" customHeight="1" x14ac:dyDescent="0.25">
      <c r="A67" s="69"/>
      <c r="B67" s="109" t="e">
        <f>INDEX(OfficialTeamList[Team Name],MATCH(RobotGameScores[[#This Row],[Team Number]], OfficialTeamList[Team Number],0))</f>
        <v>#N/A</v>
      </c>
      <c r="C67" s="70"/>
      <c r="D67" s="70"/>
      <c r="E67" s="70"/>
      <c r="F67" s="74">
        <f t="shared" si="0"/>
        <v>0</v>
      </c>
    </row>
    <row r="68" spans="1:6" ht="21" customHeight="1" x14ac:dyDescent="0.25">
      <c r="A68" s="69"/>
      <c r="B68" s="109" t="e">
        <f>INDEX(OfficialTeamList[Team Name],MATCH(RobotGameScores[[#This Row],[Team Number]], OfficialTeamList[Team Number],0))</f>
        <v>#N/A</v>
      </c>
      <c r="C68" s="70"/>
      <c r="D68" s="70"/>
      <c r="E68" s="70"/>
      <c r="F68" s="74">
        <f t="shared" ref="F68:F131" si="1">MAX(C68:E68)</f>
        <v>0</v>
      </c>
    </row>
    <row r="69" spans="1:6" ht="21" customHeight="1" x14ac:dyDescent="0.25">
      <c r="A69" s="69"/>
      <c r="B69" s="109" t="e">
        <f>INDEX(OfficialTeamList[Team Name],MATCH(RobotGameScores[[#This Row],[Team Number]], OfficialTeamList[Team Number],0))</f>
        <v>#N/A</v>
      </c>
      <c r="C69" s="70"/>
      <c r="D69" s="70"/>
      <c r="E69" s="70"/>
      <c r="F69" s="74">
        <f t="shared" si="1"/>
        <v>0</v>
      </c>
    </row>
    <row r="70" spans="1:6" ht="21" customHeight="1" x14ac:dyDescent="0.25">
      <c r="A70" s="69"/>
      <c r="B70" s="109" t="e">
        <f>INDEX(OfficialTeamList[Team Name],MATCH(RobotGameScores[[#This Row],[Team Number]], OfficialTeamList[Team Number],0))</f>
        <v>#N/A</v>
      </c>
      <c r="C70" s="70"/>
      <c r="D70" s="70"/>
      <c r="E70" s="70"/>
      <c r="F70" s="74">
        <f t="shared" si="1"/>
        <v>0</v>
      </c>
    </row>
    <row r="71" spans="1:6" ht="21" customHeight="1" x14ac:dyDescent="0.25">
      <c r="A71" s="69"/>
      <c r="B71" s="109" t="e">
        <f>INDEX(OfficialTeamList[Team Name],MATCH(RobotGameScores[[#This Row],[Team Number]], OfficialTeamList[Team Number],0))</f>
        <v>#N/A</v>
      </c>
      <c r="C71" s="70"/>
      <c r="D71" s="70"/>
      <c r="E71" s="70"/>
      <c r="F71" s="74">
        <f t="shared" si="1"/>
        <v>0</v>
      </c>
    </row>
    <row r="72" spans="1:6" ht="21" customHeight="1" x14ac:dyDescent="0.25">
      <c r="A72" s="69"/>
      <c r="B72" s="109" t="e">
        <f>INDEX(OfficialTeamList[Team Name],MATCH(RobotGameScores[[#This Row],[Team Number]], OfficialTeamList[Team Number],0))</f>
        <v>#N/A</v>
      </c>
      <c r="C72" s="70"/>
      <c r="D72" s="70"/>
      <c r="E72" s="70"/>
      <c r="F72" s="74">
        <f t="shared" si="1"/>
        <v>0</v>
      </c>
    </row>
    <row r="73" spans="1:6" ht="21" customHeight="1" x14ac:dyDescent="0.25">
      <c r="A73" s="69"/>
      <c r="B73" s="109" t="e">
        <f>INDEX(OfficialTeamList[Team Name],MATCH(RobotGameScores[[#This Row],[Team Number]], OfficialTeamList[Team Number],0))</f>
        <v>#N/A</v>
      </c>
      <c r="C73" s="70"/>
      <c r="D73" s="70"/>
      <c r="E73" s="70"/>
      <c r="F73" s="74">
        <f t="shared" si="1"/>
        <v>0</v>
      </c>
    </row>
    <row r="74" spans="1:6" ht="21" customHeight="1" x14ac:dyDescent="0.25">
      <c r="A74" s="69"/>
      <c r="B74" s="109" t="e">
        <f>INDEX(OfficialTeamList[Team Name],MATCH(RobotGameScores[[#This Row],[Team Number]], OfficialTeamList[Team Number],0))</f>
        <v>#N/A</v>
      </c>
      <c r="C74" s="70"/>
      <c r="D74" s="70"/>
      <c r="E74" s="70"/>
      <c r="F74" s="74">
        <f t="shared" si="1"/>
        <v>0</v>
      </c>
    </row>
    <row r="75" spans="1:6" ht="21" customHeight="1" x14ac:dyDescent="0.25">
      <c r="A75" s="69"/>
      <c r="B75" s="109" t="e">
        <f>INDEX(OfficialTeamList[Team Name],MATCH(RobotGameScores[[#This Row],[Team Number]], OfficialTeamList[Team Number],0))</f>
        <v>#N/A</v>
      </c>
      <c r="C75" s="70"/>
      <c r="D75" s="70"/>
      <c r="E75" s="70"/>
      <c r="F75" s="74">
        <f t="shared" si="1"/>
        <v>0</v>
      </c>
    </row>
    <row r="76" spans="1:6" ht="21" customHeight="1" x14ac:dyDescent="0.25">
      <c r="A76" s="69"/>
      <c r="B76" s="109" t="e">
        <f>INDEX(OfficialTeamList[Team Name],MATCH(RobotGameScores[[#This Row],[Team Number]], OfficialTeamList[Team Number],0))</f>
        <v>#N/A</v>
      </c>
      <c r="C76" s="70"/>
      <c r="D76" s="70"/>
      <c r="E76" s="70"/>
      <c r="F76" s="74">
        <f t="shared" si="1"/>
        <v>0</v>
      </c>
    </row>
    <row r="77" spans="1:6" ht="21" customHeight="1" x14ac:dyDescent="0.25">
      <c r="A77" s="69"/>
      <c r="B77" s="109" t="e">
        <f>INDEX(OfficialTeamList[Team Name],MATCH(RobotGameScores[[#This Row],[Team Number]], OfficialTeamList[Team Number],0))</f>
        <v>#N/A</v>
      </c>
      <c r="C77" s="70"/>
      <c r="D77" s="70"/>
      <c r="E77" s="70"/>
      <c r="F77" s="74">
        <f t="shared" si="1"/>
        <v>0</v>
      </c>
    </row>
    <row r="78" spans="1:6" ht="21" customHeight="1" x14ac:dyDescent="0.25">
      <c r="A78" s="69"/>
      <c r="B78" s="109" t="e">
        <f>INDEX(OfficialTeamList[Team Name],MATCH(RobotGameScores[[#This Row],[Team Number]], OfficialTeamList[Team Number],0))</f>
        <v>#N/A</v>
      </c>
      <c r="C78" s="70"/>
      <c r="D78" s="70"/>
      <c r="E78" s="70"/>
      <c r="F78" s="74">
        <f t="shared" si="1"/>
        <v>0</v>
      </c>
    </row>
    <row r="79" spans="1:6" ht="21" customHeight="1" x14ac:dyDescent="0.25">
      <c r="A79" s="69"/>
      <c r="B79" s="109" t="e">
        <f>INDEX(OfficialTeamList[Team Name],MATCH(RobotGameScores[[#This Row],[Team Number]], OfficialTeamList[Team Number],0))</f>
        <v>#N/A</v>
      </c>
      <c r="C79" s="70"/>
      <c r="D79" s="70"/>
      <c r="E79" s="70"/>
      <c r="F79" s="74">
        <f t="shared" si="1"/>
        <v>0</v>
      </c>
    </row>
    <row r="80" spans="1:6" ht="21" customHeight="1" x14ac:dyDescent="0.25">
      <c r="A80" s="69"/>
      <c r="B80" s="109" t="e">
        <f>INDEX(OfficialTeamList[Team Name],MATCH(RobotGameScores[[#This Row],[Team Number]], OfficialTeamList[Team Number],0))</f>
        <v>#N/A</v>
      </c>
      <c r="C80" s="70"/>
      <c r="D80" s="70"/>
      <c r="E80" s="70"/>
      <c r="F80" s="74">
        <f t="shared" si="1"/>
        <v>0</v>
      </c>
    </row>
    <row r="81" spans="1:6" ht="21" customHeight="1" x14ac:dyDescent="0.25">
      <c r="A81" s="69"/>
      <c r="B81" s="109" t="e">
        <f>INDEX(OfficialTeamList[Team Name],MATCH(RobotGameScores[[#This Row],[Team Number]], OfficialTeamList[Team Number],0))</f>
        <v>#N/A</v>
      </c>
      <c r="C81" s="70"/>
      <c r="D81" s="70"/>
      <c r="E81" s="70"/>
      <c r="F81" s="74">
        <f t="shared" si="1"/>
        <v>0</v>
      </c>
    </row>
    <row r="82" spans="1:6" ht="21" customHeight="1" x14ac:dyDescent="0.25">
      <c r="A82" s="69"/>
      <c r="B82" s="109" t="e">
        <f>INDEX(OfficialTeamList[Team Name],MATCH(RobotGameScores[[#This Row],[Team Number]], OfficialTeamList[Team Number],0))</f>
        <v>#N/A</v>
      </c>
      <c r="C82" s="70"/>
      <c r="D82" s="70"/>
      <c r="E82" s="70"/>
      <c r="F82" s="74">
        <f t="shared" si="1"/>
        <v>0</v>
      </c>
    </row>
    <row r="83" spans="1:6" ht="21" customHeight="1" x14ac:dyDescent="0.25">
      <c r="A83" s="69"/>
      <c r="B83" s="109" t="e">
        <f>INDEX(OfficialTeamList[Team Name],MATCH(RobotGameScores[[#This Row],[Team Number]], OfficialTeamList[Team Number],0))</f>
        <v>#N/A</v>
      </c>
      <c r="C83" s="70"/>
      <c r="D83" s="70"/>
      <c r="E83" s="70"/>
      <c r="F83" s="74">
        <f t="shared" si="1"/>
        <v>0</v>
      </c>
    </row>
    <row r="84" spans="1:6" ht="21" customHeight="1" x14ac:dyDescent="0.25">
      <c r="A84" s="69"/>
      <c r="B84" s="109" t="e">
        <f>INDEX(OfficialTeamList[Team Name],MATCH(RobotGameScores[[#This Row],[Team Number]], OfficialTeamList[Team Number],0))</f>
        <v>#N/A</v>
      </c>
      <c r="C84" s="70"/>
      <c r="D84" s="70"/>
      <c r="E84" s="70"/>
      <c r="F84" s="74">
        <f t="shared" si="1"/>
        <v>0</v>
      </c>
    </row>
    <row r="85" spans="1:6" ht="21" customHeight="1" x14ac:dyDescent="0.25">
      <c r="A85" s="69"/>
      <c r="B85" s="109" t="e">
        <f>INDEX(OfficialTeamList[Team Name],MATCH(RobotGameScores[[#This Row],[Team Number]], OfficialTeamList[Team Number],0))</f>
        <v>#N/A</v>
      </c>
      <c r="C85" s="70"/>
      <c r="D85" s="70"/>
      <c r="E85" s="70"/>
      <c r="F85" s="74">
        <f t="shared" si="1"/>
        <v>0</v>
      </c>
    </row>
    <row r="86" spans="1:6" ht="21" customHeight="1" x14ac:dyDescent="0.25">
      <c r="A86" s="69"/>
      <c r="B86" s="109" t="e">
        <f>INDEX(OfficialTeamList[Team Name],MATCH(RobotGameScores[[#This Row],[Team Number]], OfficialTeamList[Team Number],0))</f>
        <v>#N/A</v>
      </c>
      <c r="C86" s="70"/>
      <c r="D86" s="70"/>
      <c r="E86" s="70"/>
      <c r="F86" s="74">
        <f t="shared" si="1"/>
        <v>0</v>
      </c>
    </row>
    <row r="87" spans="1:6" ht="21" customHeight="1" x14ac:dyDescent="0.25">
      <c r="A87" s="69"/>
      <c r="B87" s="109" t="e">
        <f>INDEX(OfficialTeamList[Team Name],MATCH(RobotGameScores[[#This Row],[Team Number]], OfficialTeamList[Team Number],0))</f>
        <v>#N/A</v>
      </c>
      <c r="C87" s="70"/>
      <c r="D87" s="70"/>
      <c r="E87" s="70"/>
      <c r="F87" s="74">
        <f t="shared" si="1"/>
        <v>0</v>
      </c>
    </row>
    <row r="88" spans="1:6" ht="21" customHeight="1" x14ac:dyDescent="0.25">
      <c r="A88" s="69"/>
      <c r="B88" s="109" t="e">
        <f>INDEX(OfficialTeamList[Team Name],MATCH(RobotGameScores[[#This Row],[Team Number]], OfficialTeamList[Team Number],0))</f>
        <v>#N/A</v>
      </c>
      <c r="C88" s="70"/>
      <c r="D88" s="70"/>
      <c r="E88" s="70"/>
      <c r="F88" s="74">
        <f t="shared" si="1"/>
        <v>0</v>
      </c>
    </row>
    <row r="89" spans="1:6" ht="21" customHeight="1" x14ac:dyDescent="0.25">
      <c r="A89" s="69"/>
      <c r="B89" s="109" t="e">
        <f>INDEX(OfficialTeamList[Team Name],MATCH(RobotGameScores[[#This Row],[Team Number]], OfficialTeamList[Team Number],0))</f>
        <v>#N/A</v>
      </c>
      <c r="C89" s="70"/>
      <c r="D89" s="70"/>
      <c r="E89" s="70"/>
      <c r="F89" s="74">
        <f t="shared" si="1"/>
        <v>0</v>
      </c>
    </row>
    <row r="90" spans="1:6" ht="21" customHeight="1" x14ac:dyDescent="0.25">
      <c r="A90" s="69"/>
      <c r="B90" s="109" t="e">
        <f>INDEX(OfficialTeamList[Team Name],MATCH(RobotGameScores[[#This Row],[Team Number]], OfficialTeamList[Team Number],0))</f>
        <v>#N/A</v>
      </c>
      <c r="C90" s="70"/>
      <c r="D90" s="70"/>
      <c r="E90" s="70"/>
      <c r="F90" s="74">
        <f t="shared" si="1"/>
        <v>0</v>
      </c>
    </row>
    <row r="91" spans="1:6" ht="21" customHeight="1" x14ac:dyDescent="0.25">
      <c r="A91" s="69"/>
      <c r="B91" s="109" t="e">
        <f>INDEX(OfficialTeamList[Team Name],MATCH(RobotGameScores[[#This Row],[Team Number]], OfficialTeamList[Team Number],0))</f>
        <v>#N/A</v>
      </c>
      <c r="C91" s="70"/>
      <c r="D91" s="70"/>
      <c r="E91" s="70"/>
      <c r="F91" s="74">
        <f t="shared" si="1"/>
        <v>0</v>
      </c>
    </row>
    <row r="92" spans="1:6" ht="21" customHeight="1" x14ac:dyDescent="0.25">
      <c r="A92" s="69"/>
      <c r="B92" s="109" t="e">
        <f>INDEX(OfficialTeamList[Team Name],MATCH(RobotGameScores[[#This Row],[Team Number]], OfficialTeamList[Team Number],0))</f>
        <v>#N/A</v>
      </c>
      <c r="C92" s="70"/>
      <c r="D92" s="70"/>
      <c r="E92" s="70"/>
      <c r="F92" s="74">
        <f t="shared" si="1"/>
        <v>0</v>
      </c>
    </row>
    <row r="93" spans="1:6" ht="21" customHeight="1" x14ac:dyDescent="0.25">
      <c r="A93" s="69"/>
      <c r="B93" s="109" t="e">
        <f>INDEX(OfficialTeamList[Team Name],MATCH(RobotGameScores[[#This Row],[Team Number]], OfficialTeamList[Team Number],0))</f>
        <v>#N/A</v>
      </c>
      <c r="C93" s="70"/>
      <c r="D93" s="70"/>
      <c r="E93" s="70"/>
      <c r="F93" s="74">
        <f t="shared" si="1"/>
        <v>0</v>
      </c>
    </row>
    <row r="94" spans="1:6" ht="21" customHeight="1" x14ac:dyDescent="0.25">
      <c r="A94" s="69"/>
      <c r="B94" s="109" t="e">
        <f>INDEX(OfficialTeamList[Team Name],MATCH(RobotGameScores[[#This Row],[Team Number]], OfficialTeamList[Team Number],0))</f>
        <v>#N/A</v>
      </c>
      <c r="C94" s="70"/>
      <c r="D94" s="70"/>
      <c r="E94" s="70"/>
      <c r="F94" s="74">
        <f t="shared" si="1"/>
        <v>0</v>
      </c>
    </row>
    <row r="95" spans="1:6" ht="21" customHeight="1" x14ac:dyDescent="0.25">
      <c r="A95" s="69"/>
      <c r="B95" s="109" t="e">
        <f>INDEX(OfficialTeamList[Team Name],MATCH(RobotGameScores[[#This Row],[Team Number]], OfficialTeamList[Team Number],0))</f>
        <v>#N/A</v>
      </c>
      <c r="C95" s="70"/>
      <c r="D95" s="70"/>
      <c r="E95" s="70"/>
      <c r="F95" s="74">
        <f t="shared" si="1"/>
        <v>0</v>
      </c>
    </row>
    <row r="96" spans="1:6" ht="21" customHeight="1" x14ac:dyDescent="0.25">
      <c r="A96" s="69"/>
      <c r="B96" s="109" t="e">
        <f>INDEX(OfficialTeamList[Team Name],MATCH(RobotGameScores[[#This Row],[Team Number]], OfficialTeamList[Team Number],0))</f>
        <v>#N/A</v>
      </c>
      <c r="C96" s="70"/>
      <c r="D96" s="70"/>
      <c r="E96" s="70"/>
      <c r="F96" s="74">
        <f t="shared" si="1"/>
        <v>0</v>
      </c>
    </row>
    <row r="97" spans="1:6" ht="21" customHeight="1" x14ac:dyDescent="0.25">
      <c r="A97" s="69"/>
      <c r="B97" s="109" t="e">
        <f>INDEX(OfficialTeamList[Team Name],MATCH(RobotGameScores[[#This Row],[Team Number]], OfficialTeamList[Team Number],0))</f>
        <v>#N/A</v>
      </c>
      <c r="C97" s="70"/>
      <c r="D97" s="70"/>
      <c r="E97" s="70"/>
      <c r="F97" s="74">
        <f t="shared" si="1"/>
        <v>0</v>
      </c>
    </row>
    <row r="98" spans="1:6" ht="21" customHeight="1" x14ac:dyDescent="0.25">
      <c r="A98" s="69"/>
      <c r="B98" s="109" t="e">
        <f>INDEX(OfficialTeamList[Team Name],MATCH(RobotGameScores[[#This Row],[Team Number]], OfficialTeamList[Team Number],0))</f>
        <v>#N/A</v>
      </c>
      <c r="C98" s="70"/>
      <c r="D98" s="70"/>
      <c r="E98" s="70"/>
      <c r="F98" s="74">
        <f t="shared" si="1"/>
        <v>0</v>
      </c>
    </row>
    <row r="99" spans="1:6" ht="21" customHeight="1" x14ac:dyDescent="0.25">
      <c r="A99" s="69"/>
      <c r="B99" s="109" t="e">
        <f>INDEX(OfficialTeamList[Team Name],MATCH(RobotGameScores[[#This Row],[Team Number]], OfficialTeamList[Team Number],0))</f>
        <v>#N/A</v>
      </c>
      <c r="C99" s="70"/>
      <c r="D99" s="70"/>
      <c r="E99" s="70"/>
      <c r="F99" s="74">
        <f t="shared" si="1"/>
        <v>0</v>
      </c>
    </row>
    <row r="100" spans="1:6" ht="21" customHeight="1" x14ac:dyDescent="0.25">
      <c r="A100" s="69"/>
      <c r="B100" s="109" t="e">
        <f>INDEX(OfficialTeamList[Team Name],MATCH(RobotGameScores[[#This Row],[Team Number]], OfficialTeamList[Team Number],0))</f>
        <v>#N/A</v>
      </c>
      <c r="C100" s="70"/>
      <c r="D100" s="70"/>
      <c r="E100" s="70"/>
      <c r="F100" s="74">
        <f t="shared" si="1"/>
        <v>0</v>
      </c>
    </row>
    <row r="101" spans="1:6" ht="21" customHeight="1" x14ac:dyDescent="0.25">
      <c r="A101" s="69"/>
      <c r="B101" s="109" t="e">
        <f>INDEX(OfficialTeamList[Team Name],MATCH(RobotGameScores[[#This Row],[Team Number]], OfficialTeamList[Team Number],0))</f>
        <v>#N/A</v>
      </c>
      <c r="C101" s="70"/>
      <c r="D101" s="70"/>
      <c r="E101" s="70"/>
      <c r="F101" s="74">
        <f t="shared" si="1"/>
        <v>0</v>
      </c>
    </row>
    <row r="102" spans="1:6" ht="21" customHeight="1" x14ac:dyDescent="0.25">
      <c r="A102" s="69"/>
      <c r="B102" s="109" t="e">
        <f>INDEX(OfficialTeamList[Team Name],MATCH(RobotGameScores[[#This Row],[Team Number]], OfficialTeamList[Team Number],0))</f>
        <v>#N/A</v>
      </c>
      <c r="C102" s="70"/>
      <c r="D102" s="70"/>
      <c r="E102" s="70"/>
      <c r="F102" s="74">
        <f t="shared" si="1"/>
        <v>0</v>
      </c>
    </row>
    <row r="103" spans="1:6" ht="21" customHeight="1" x14ac:dyDescent="0.25">
      <c r="A103" s="69"/>
      <c r="B103" s="109" t="e">
        <f>INDEX(OfficialTeamList[Team Name],MATCH(RobotGameScores[[#This Row],[Team Number]], OfficialTeamList[Team Number],0))</f>
        <v>#N/A</v>
      </c>
      <c r="C103" s="70"/>
      <c r="D103" s="70"/>
      <c r="E103" s="70"/>
      <c r="F103" s="74">
        <f t="shared" si="1"/>
        <v>0</v>
      </c>
    </row>
    <row r="104" spans="1:6" ht="21" customHeight="1" x14ac:dyDescent="0.25">
      <c r="A104" s="69"/>
      <c r="B104" s="109" t="e">
        <f>INDEX(OfficialTeamList[Team Name],MATCH(RobotGameScores[[#This Row],[Team Number]], OfficialTeamList[Team Number],0))</f>
        <v>#N/A</v>
      </c>
      <c r="C104" s="70"/>
      <c r="D104" s="70"/>
      <c r="E104" s="70"/>
      <c r="F104" s="74">
        <f t="shared" si="1"/>
        <v>0</v>
      </c>
    </row>
    <row r="105" spans="1:6" ht="21" customHeight="1" x14ac:dyDescent="0.25">
      <c r="A105" s="69"/>
      <c r="B105" s="109" t="e">
        <f>INDEX(OfficialTeamList[Team Name],MATCH(RobotGameScores[[#This Row],[Team Number]], OfficialTeamList[Team Number],0))</f>
        <v>#N/A</v>
      </c>
      <c r="C105" s="70"/>
      <c r="D105" s="70"/>
      <c r="E105" s="70"/>
      <c r="F105" s="74">
        <f t="shared" si="1"/>
        <v>0</v>
      </c>
    </row>
    <row r="106" spans="1:6" ht="21" customHeight="1" x14ac:dyDescent="0.25">
      <c r="A106" s="69"/>
      <c r="B106" s="109" t="e">
        <f>INDEX(OfficialTeamList[Team Name],MATCH(RobotGameScores[[#This Row],[Team Number]], OfficialTeamList[Team Number],0))</f>
        <v>#N/A</v>
      </c>
      <c r="C106" s="70"/>
      <c r="D106" s="70"/>
      <c r="E106" s="70"/>
      <c r="F106" s="74">
        <f t="shared" si="1"/>
        <v>0</v>
      </c>
    </row>
    <row r="107" spans="1:6" ht="21" customHeight="1" x14ac:dyDescent="0.25">
      <c r="A107" s="69"/>
      <c r="B107" s="109" t="e">
        <f>INDEX(OfficialTeamList[Team Name],MATCH(RobotGameScores[[#This Row],[Team Number]], OfficialTeamList[Team Number],0))</f>
        <v>#N/A</v>
      </c>
      <c r="C107" s="70"/>
      <c r="D107" s="70"/>
      <c r="E107" s="70"/>
      <c r="F107" s="74">
        <f t="shared" si="1"/>
        <v>0</v>
      </c>
    </row>
    <row r="108" spans="1:6" ht="21" customHeight="1" x14ac:dyDescent="0.25">
      <c r="A108" s="69"/>
      <c r="B108" s="109" t="e">
        <f>INDEX(OfficialTeamList[Team Name],MATCH(RobotGameScores[[#This Row],[Team Number]], OfficialTeamList[Team Number],0))</f>
        <v>#N/A</v>
      </c>
      <c r="C108" s="70"/>
      <c r="D108" s="70"/>
      <c r="E108" s="70"/>
      <c r="F108" s="74">
        <f t="shared" si="1"/>
        <v>0</v>
      </c>
    </row>
    <row r="109" spans="1:6" ht="21" customHeight="1" x14ac:dyDescent="0.25">
      <c r="A109" s="69"/>
      <c r="B109" s="109" t="e">
        <f>INDEX(OfficialTeamList[Team Name],MATCH(RobotGameScores[[#This Row],[Team Number]], OfficialTeamList[Team Number],0))</f>
        <v>#N/A</v>
      </c>
      <c r="C109" s="70"/>
      <c r="D109" s="70"/>
      <c r="E109" s="70"/>
      <c r="F109" s="74">
        <f t="shared" si="1"/>
        <v>0</v>
      </c>
    </row>
    <row r="110" spans="1:6" ht="21" customHeight="1" x14ac:dyDescent="0.25">
      <c r="A110" s="69"/>
      <c r="B110" s="109" t="e">
        <f>INDEX(OfficialTeamList[Team Name],MATCH(RobotGameScores[[#This Row],[Team Number]], OfficialTeamList[Team Number],0))</f>
        <v>#N/A</v>
      </c>
      <c r="C110" s="70"/>
      <c r="D110" s="70"/>
      <c r="E110" s="70"/>
      <c r="F110" s="74">
        <f t="shared" si="1"/>
        <v>0</v>
      </c>
    </row>
    <row r="111" spans="1:6" ht="21" customHeight="1" x14ac:dyDescent="0.25">
      <c r="A111" s="69"/>
      <c r="B111" s="109" t="e">
        <f>INDEX(OfficialTeamList[Team Name],MATCH(RobotGameScores[[#This Row],[Team Number]], OfficialTeamList[Team Number],0))</f>
        <v>#N/A</v>
      </c>
      <c r="C111" s="70"/>
      <c r="D111" s="70"/>
      <c r="E111" s="70"/>
      <c r="F111" s="74">
        <f t="shared" si="1"/>
        <v>0</v>
      </c>
    </row>
    <row r="112" spans="1:6" ht="21" customHeight="1" x14ac:dyDescent="0.25">
      <c r="A112" s="69"/>
      <c r="B112" s="109" t="e">
        <f>INDEX(OfficialTeamList[Team Name],MATCH(RobotGameScores[[#This Row],[Team Number]], OfficialTeamList[Team Number],0))</f>
        <v>#N/A</v>
      </c>
      <c r="C112" s="70"/>
      <c r="D112" s="70"/>
      <c r="E112" s="70"/>
      <c r="F112" s="74">
        <f t="shared" si="1"/>
        <v>0</v>
      </c>
    </row>
    <row r="113" spans="1:6" ht="21" customHeight="1" x14ac:dyDescent="0.25">
      <c r="A113" s="69"/>
      <c r="B113" s="109" t="e">
        <f>INDEX(OfficialTeamList[Team Name],MATCH(RobotGameScores[[#This Row],[Team Number]], OfficialTeamList[Team Number],0))</f>
        <v>#N/A</v>
      </c>
      <c r="C113" s="70"/>
      <c r="D113" s="70"/>
      <c r="E113" s="70"/>
      <c r="F113" s="74">
        <f t="shared" si="1"/>
        <v>0</v>
      </c>
    </row>
    <row r="114" spans="1:6" ht="21" customHeight="1" x14ac:dyDescent="0.25">
      <c r="A114" s="69"/>
      <c r="B114" s="109" t="e">
        <f>INDEX(OfficialTeamList[Team Name],MATCH(RobotGameScores[[#This Row],[Team Number]], OfficialTeamList[Team Number],0))</f>
        <v>#N/A</v>
      </c>
      <c r="C114" s="70"/>
      <c r="D114" s="70"/>
      <c r="E114" s="70"/>
      <c r="F114" s="74">
        <f t="shared" si="1"/>
        <v>0</v>
      </c>
    </row>
    <row r="115" spans="1:6" ht="21" customHeight="1" x14ac:dyDescent="0.25">
      <c r="A115" s="69"/>
      <c r="B115" s="109" t="e">
        <f>INDEX(OfficialTeamList[Team Name],MATCH(RobotGameScores[[#This Row],[Team Number]], OfficialTeamList[Team Number],0))</f>
        <v>#N/A</v>
      </c>
      <c r="C115" s="70"/>
      <c r="D115" s="70"/>
      <c r="E115" s="70"/>
      <c r="F115" s="74">
        <f t="shared" si="1"/>
        <v>0</v>
      </c>
    </row>
    <row r="116" spans="1:6" ht="21" customHeight="1" x14ac:dyDescent="0.25">
      <c r="A116" s="69"/>
      <c r="B116" s="109" t="e">
        <f>INDEX(OfficialTeamList[Team Name],MATCH(RobotGameScores[[#This Row],[Team Number]], OfficialTeamList[Team Number],0))</f>
        <v>#N/A</v>
      </c>
      <c r="C116" s="70"/>
      <c r="D116" s="70"/>
      <c r="E116" s="70"/>
      <c r="F116" s="74">
        <f t="shared" si="1"/>
        <v>0</v>
      </c>
    </row>
    <row r="117" spans="1:6" ht="21" customHeight="1" x14ac:dyDescent="0.25">
      <c r="A117" s="69"/>
      <c r="B117" s="109" t="e">
        <f>INDEX(OfficialTeamList[Team Name],MATCH(RobotGameScores[[#This Row],[Team Number]], OfficialTeamList[Team Number],0))</f>
        <v>#N/A</v>
      </c>
      <c r="C117" s="70"/>
      <c r="D117" s="70"/>
      <c r="E117" s="70"/>
      <c r="F117" s="74">
        <f t="shared" si="1"/>
        <v>0</v>
      </c>
    </row>
    <row r="118" spans="1:6" ht="21" customHeight="1" x14ac:dyDescent="0.25">
      <c r="A118" s="69"/>
      <c r="B118" s="109" t="e">
        <f>INDEX(OfficialTeamList[Team Name],MATCH(RobotGameScores[[#This Row],[Team Number]], OfficialTeamList[Team Number],0))</f>
        <v>#N/A</v>
      </c>
      <c r="C118" s="70"/>
      <c r="D118" s="70"/>
      <c r="E118" s="70"/>
      <c r="F118" s="74">
        <f t="shared" si="1"/>
        <v>0</v>
      </c>
    </row>
    <row r="119" spans="1:6" ht="21" customHeight="1" x14ac:dyDescent="0.25">
      <c r="A119" s="69"/>
      <c r="B119" s="109" t="e">
        <f>INDEX(OfficialTeamList[Team Name],MATCH(RobotGameScores[[#This Row],[Team Number]], OfficialTeamList[Team Number],0))</f>
        <v>#N/A</v>
      </c>
      <c r="C119" s="70"/>
      <c r="D119" s="70"/>
      <c r="E119" s="70"/>
      <c r="F119" s="74">
        <f t="shared" si="1"/>
        <v>0</v>
      </c>
    </row>
    <row r="120" spans="1:6" ht="21" customHeight="1" x14ac:dyDescent="0.25">
      <c r="A120" s="69"/>
      <c r="B120" s="109" t="e">
        <f>INDEX(OfficialTeamList[Team Name],MATCH(RobotGameScores[[#This Row],[Team Number]], OfficialTeamList[Team Number],0))</f>
        <v>#N/A</v>
      </c>
      <c r="C120" s="70"/>
      <c r="D120" s="70"/>
      <c r="E120" s="70"/>
      <c r="F120" s="74">
        <f t="shared" si="1"/>
        <v>0</v>
      </c>
    </row>
    <row r="121" spans="1:6" ht="21" customHeight="1" x14ac:dyDescent="0.25">
      <c r="A121" s="69"/>
      <c r="B121" s="109" t="e">
        <f>INDEX(OfficialTeamList[Team Name],MATCH(RobotGameScores[[#This Row],[Team Number]], OfficialTeamList[Team Number],0))</f>
        <v>#N/A</v>
      </c>
      <c r="C121" s="70"/>
      <c r="D121" s="70"/>
      <c r="E121" s="70"/>
      <c r="F121" s="74">
        <f t="shared" si="1"/>
        <v>0</v>
      </c>
    </row>
    <row r="122" spans="1:6" ht="21" customHeight="1" x14ac:dyDescent="0.25">
      <c r="A122" s="69"/>
      <c r="B122" s="109" t="e">
        <f>INDEX(OfficialTeamList[Team Name],MATCH(RobotGameScores[[#This Row],[Team Number]], OfficialTeamList[Team Number],0))</f>
        <v>#N/A</v>
      </c>
      <c r="C122" s="70"/>
      <c r="D122" s="70"/>
      <c r="E122" s="70"/>
      <c r="F122" s="74">
        <f t="shared" si="1"/>
        <v>0</v>
      </c>
    </row>
    <row r="123" spans="1:6" ht="21" customHeight="1" x14ac:dyDescent="0.25">
      <c r="A123" s="69"/>
      <c r="B123" s="109" t="e">
        <f>INDEX(OfficialTeamList[Team Name],MATCH(RobotGameScores[[#This Row],[Team Number]], OfficialTeamList[Team Number],0))</f>
        <v>#N/A</v>
      </c>
      <c r="C123" s="70"/>
      <c r="D123" s="70"/>
      <c r="E123" s="70"/>
      <c r="F123" s="74">
        <f t="shared" si="1"/>
        <v>0</v>
      </c>
    </row>
    <row r="124" spans="1:6" ht="21" customHeight="1" x14ac:dyDescent="0.25">
      <c r="A124" s="69"/>
      <c r="B124" s="109" t="e">
        <f>INDEX(OfficialTeamList[Team Name],MATCH(RobotGameScores[[#This Row],[Team Number]], OfficialTeamList[Team Number],0))</f>
        <v>#N/A</v>
      </c>
      <c r="C124" s="70"/>
      <c r="D124" s="70"/>
      <c r="E124" s="70"/>
      <c r="F124" s="74">
        <f t="shared" si="1"/>
        <v>0</v>
      </c>
    </row>
    <row r="125" spans="1:6" ht="21" customHeight="1" x14ac:dyDescent="0.25">
      <c r="A125" s="69"/>
      <c r="B125" s="109" t="e">
        <f>INDEX(OfficialTeamList[Team Name],MATCH(RobotGameScores[[#This Row],[Team Number]], OfficialTeamList[Team Number],0))</f>
        <v>#N/A</v>
      </c>
      <c r="C125" s="70"/>
      <c r="D125" s="70"/>
      <c r="E125" s="70"/>
      <c r="F125" s="74">
        <f t="shared" si="1"/>
        <v>0</v>
      </c>
    </row>
    <row r="126" spans="1:6" ht="21" customHeight="1" x14ac:dyDescent="0.25">
      <c r="A126" s="69"/>
      <c r="B126" s="109" t="e">
        <f>INDEX(OfficialTeamList[Team Name],MATCH(RobotGameScores[[#This Row],[Team Number]], OfficialTeamList[Team Number],0))</f>
        <v>#N/A</v>
      </c>
      <c r="C126" s="70"/>
      <c r="D126" s="70"/>
      <c r="E126" s="70"/>
      <c r="F126" s="74">
        <f t="shared" si="1"/>
        <v>0</v>
      </c>
    </row>
    <row r="127" spans="1:6" ht="21" customHeight="1" x14ac:dyDescent="0.25">
      <c r="A127" s="69"/>
      <c r="B127" s="109" t="e">
        <f>INDEX(OfficialTeamList[Team Name],MATCH(RobotGameScores[[#This Row],[Team Number]], OfficialTeamList[Team Number],0))</f>
        <v>#N/A</v>
      </c>
      <c r="C127" s="70"/>
      <c r="D127" s="70"/>
      <c r="E127" s="70"/>
      <c r="F127" s="74">
        <f t="shared" si="1"/>
        <v>0</v>
      </c>
    </row>
    <row r="128" spans="1:6" ht="21" customHeight="1" x14ac:dyDescent="0.25">
      <c r="A128" s="69"/>
      <c r="B128" s="109" t="e">
        <f>INDEX(OfficialTeamList[Team Name],MATCH(RobotGameScores[[#This Row],[Team Number]], OfficialTeamList[Team Number],0))</f>
        <v>#N/A</v>
      </c>
      <c r="C128" s="70"/>
      <c r="D128" s="70"/>
      <c r="E128" s="70"/>
      <c r="F128" s="74">
        <f t="shared" si="1"/>
        <v>0</v>
      </c>
    </row>
    <row r="129" spans="1:6" ht="21" customHeight="1" x14ac:dyDescent="0.25">
      <c r="A129" s="69"/>
      <c r="B129" s="109" t="e">
        <f>INDEX(OfficialTeamList[Team Name],MATCH(RobotGameScores[[#This Row],[Team Number]], OfficialTeamList[Team Number],0))</f>
        <v>#N/A</v>
      </c>
      <c r="C129" s="70"/>
      <c r="D129" s="70"/>
      <c r="E129" s="70"/>
      <c r="F129" s="74">
        <f t="shared" si="1"/>
        <v>0</v>
      </c>
    </row>
    <row r="130" spans="1:6" ht="21" customHeight="1" x14ac:dyDescent="0.25">
      <c r="A130" s="69"/>
      <c r="B130" s="109" t="e">
        <f>INDEX(OfficialTeamList[Team Name],MATCH(RobotGameScores[[#This Row],[Team Number]], OfficialTeamList[Team Number],0))</f>
        <v>#N/A</v>
      </c>
      <c r="C130" s="70"/>
      <c r="D130" s="70"/>
      <c r="E130" s="70"/>
      <c r="F130" s="74">
        <f t="shared" si="1"/>
        <v>0</v>
      </c>
    </row>
    <row r="131" spans="1:6" ht="21" customHeight="1" x14ac:dyDescent="0.25">
      <c r="A131" s="69"/>
      <c r="B131" s="109" t="e">
        <f>INDEX(OfficialTeamList[Team Name],MATCH(RobotGameScores[[#This Row],[Team Number]], OfficialTeamList[Team Number],0))</f>
        <v>#N/A</v>
      </c>
      <c r="C131" s="70"/>
      <c r="D131" s="70"/>
      <c r="E131" s="70"/>
      <c r="F131" s="74">
        <f t="shared" si="1"/>
        <v>0</v>
      </c>
    </row>
    <row r="132" spans="1:6" ht="21" customHeight="1" x14ac:dyDescent="0.25">
      <c r="A132" s="69"/>
      <c r="B132" s="109"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9" t="e">
        <f>INDEX(OfficialTeamList[Team Name],MATCH(RobotGameScores[[#This Row],[Team Number]], OfficialTeamList[Team Number],0))</f>
        <v>#N/A</v>
      </c>
      <c r="C133" s="70"/>
      <c r="D133" s="70"/>
      <c r="E133" s="70"/>
      <c r="F133" s="74">
        <f t="shared" si="2"/>
        <v>0</v>
      </c>
    </row>
    <row r="134" spans="1:6" ht="21" customHeight="1" x14ac:dyDescent="0.25">
      <c r="A134" s="69"/>
      <c r="B134" s="109" t="e">
        <f>INDEX(OfficialTeamList[Team Name],MATCH(RobotGameScores[[#This Row],[Team Number]], OfficialTeamList[Team Number],0))</f>
        <v>#N/A</v>
      </c>
      <c r="C134" s="70"/>
      <c r="D134" s="70"/>
      <c r="E134" s="70"/>
      <c r="F134" s="74">
        <f t="shared" si="2"/>
        <v>0</v>
      </c>
    </row>
    <row r="135" spans="1:6" ht="21" customHeight="1" x14ac:dyDescent="0.25">
      <c r="A135" s="69"/>
      <c r="B135" s="109" t="e">
        <f>INDEX(OfficialTeamList[Team Name],MATCH(RobotGameScores[[#This Row],[Team Number]], OfficialTeamList[Team Number],0))</f>
        <v>#N/A</v>
      </c>
      <c r="C135" s="70"/>
      <c r="D135" s="70"/>
      <c r="E135" s="70"/>
      <c r="F135" s="74">
        <f t="shared" si="2"/>
        <v>0</v>
      </c>
    </row>
    <row r="136" spans="1:6" ht="21" customHeight="1" x14ac:dyDescent="0.25">
      <c r="A136" s="69"/>
      <c r="B136" s="109" t="e">
        <f>INDEX(OfficialTeamList[Team Name],MATCH(RobotGameScores[[#This Row],[Team Number]], OfficialTeamList[Team Number],0))</f>
        <v>#N/A</v>
      </c>
      <c r="C136" s="70"/>
      <c r="D136" s="70"/>
      <c r="E136" s="70"/>
      <c r="F136" s="74">
        <f t="shared" si="2"/>
        <v>0</v>
      </c>
    </row>
    <row r="137" spans="1:6" ht="21" customHeight="1" x14ac:dyDescent="0.25">
      <c r="A137" s="69"/>
      <c r="B137" s="109" t="e">
        <f>INDEX(OfficialTeamList[Team Name],MATCH(RobotGameScores[[#This Row],[Team Number]], OfficialTeamList[Team Number],0))</f>
        <v>#N/A</v>
      </c>
      <c r="C137" s="70"/>
      <c r="D137" s="70"/>
      <c r="E137" s="70"/>
      <c r="F137" s="74">
        <f t="shared" si="2"/>
        <v>0</v>
      </c>
    </row>
    <row r="138" spans="1:6" ht="21" customHeight="1" x14ac:dyDescent="0.25">
      <c r="A138" s="69"/>
      <c r="B138" s="109" t="e">
        <f>INDEX(OfficialTeamList[Team Name],MATCH(RobotGameScores[[#This Row],[Team Number]], OfficialTeamList[Team Number],0))</f>
        <v>#N/A</v>
      </c>
      <c r="C138" s="70"/>
      <c r="D138" s="70"/>
      <c r="E138" s="70"/>
      <c r="F138" s="74">
        <f t="shared" si="2"/>
        <v>0</v>
      </c>
    </row>
    <row r="139" spans="1:6" ht="21" customHeight="1" x14ac:dyDescent="0.25">
      <c r="A139" s="69"/>
      <c r="B139" s="109" t="e">
        <f>INDEX(OfficialTeamList[Team Name],MATCH(RobotGameScores[[#This Row],[Team Number]], OfficialTeamList[Team Number],0))</f>
        <v>#N/A</v>
      </c>
      <c r="C139" s="70"/>
      <c r="D139" s="70"/>
      <c r="E139" s="70"/>
      <c r="F139" s="74">
        <f t="shared" si="2"/>
        <v>0</v>
      </c>
    </row>
    <row r="140" spans="1:6" ht="21" customHeight="1" x14ac:dyDescent="0.25">
      <c r="A140" s="69"/>
      <c r="B140" s="109" t="e">
        <f>INDEX(OfficialTeamList[Team Name],MATCH(RobotGameScores[[#This Row],[Team Number]], OfficialTeamList[Team Number],0))</f>
        <v>#N/A</v>
      </c>
      <c r="C140" s="70"/>
      <c r="D140" s="70"/>
      <c r="E140" s="70"/>
      <c r="F140" s="74">
        <f t="shared" si="2"/>
        <v>0</v>
      </c>
    </row>
    <row r="141" spans="1:6" ht="21" customHeight="1" x14ac:dyDescent="0.25">
      <c r="A141" s="69"/>
      <c r="B141" s="109" t="e">
        <f>INDEX(OfficialTeamList[Team Name],MATCH(RobotGameScores[[#This Row],[Team Number]], OfficialTeamList[Team Number],0))</f>
        <v>#N/A</v>
      </c>
      <c r="C141" s="70"/>
      <c r="D141" s="70"/>
      <c r="E141" s="70"/>
      <c r="F141" s="74">
        <f t="shared" si="2"/>
        <v>0</v>
      </c>
    </row>
    <row r="142" spans="1:6" ht="21" customHeight="1" x14ac:dyDescent="0.25">
      <c r="A142" s="69"/>
      <c r="B142" s="109" t="e">
        <f>INDEX(OfficialTeamList[Team Name],MATCH(RobotGameScores[[#This Row],[Team Number]], OfficialTeamList[Team Number],0))</f>
        <v>#N/A</v>
      </c>
      <c r="C142" s="70"/>
      <c r="D142" s="70"/>
      <c r="E142" s="70"/>
      <c r="F142" s="74">
        <f t="shared" si="2"/>
        <v>0</v>
      </c>
    </row>
    <row r="143" spans="1:6" ht="21" customHeight="1" x14ac:dyDescent="0.25">
      <c r="A143" s="69"/>
      <c r="B143" s="109" t="e">
        <f>INDEX(OfficialTeamList[Team Name],MATCH(RobotGameScores[[#This Row],[Team Number]], OfficialTeamList[Team Number],0))</f>
        <v>#N/A</v>
      </c>
      <c r="C143" s="70"/>
      <c r="D143" s="70"/>
      <c r="E143" s="70"/>
      <c r="F143" s="74">
        <f t="shared" si="2"/>
        <v>0</v>
      </c>
    </row>
    <row r="144" spans="1:6" ht="21" customHeight="1" x14ac:dyDescent="0.25">
      <c r="A144" s="69"/>
      <c r="B144" s="109" t="e">
        <f>INDEX(OfficialTeamList[Team Name],MATCH(RobotGameScores[[#This Row],[Team Number]], OfficialTeamList[Team Number],0))</f>
        <v>#N/A</v>
      </c>
      <c r="C144" s="70"/>
      <c r="D144" s="70"/>
      <c r="E144" s="70"/>
      <c r="F144" s="74">
        <f t="shared" si="2"/>
        <v>0</v>
      </c>
    </row>
    <row r="145" spans="1:6" ht="21" customHeight="1" x14ac:dyDescent="0.25">
      <c r="A145" s="69"/>
      <c r="B145" s="109" t="e">
        <f>INDEX(OfficialTeamList[Team Name],MATCH(RobotGameScores[[#This Row],[Team Number]], OfficialTeamList[Team Number],0))</f>
        <v>#N/A</v>
      </c>
      <c r="C145" s="70"/>
      <c r="D145" s="70"/>
      <c r="E145" s="70"/>
      <c r="F145" s="74">
        <f t="shared" si="2"/>
        <v>0</v>
      </c>
    </row>
    <row r="146" spans="1:6" ht="21" customHeight="1" x14ac:dyDescent="0.25">
      <c r="A146" s="69"/>
      <c r="B146" s="109" t="e">
        <f>INDEX(OfficialTeamList[Team Name],MATCH(RobotGameScores[[#This Row],[Team Number]], OfficialTeamList[Team Number],0))</f>
        <v>#N/A</v>
      </c>
      <c r="C146" s="70"/>
      <c r="D146" s="70"/>
      <c r="E146" s="70"/>
      <c r="F146" s="74">
        <f t="shared" si="2"/>
        <v>0</v>
      </c>
    </row>
    <row r="147" spans="1:6" ht="21" customHeight="1" x14ac:dyDescent="0.25">
      <c r="A147" s="69"/>
      <c r="B147" s="109" t="e">
        <f>INDEX(OfficialTeamList[Team Name],MATCH(RobotGameScores[[#This Row],[Team Number]], OfficialTeamList[Team Number],0))</f>
        <v>#N/A</v>
      </c>
      <c r="C147" s="70"/>
      <c r="D147" s="70"/>
      <c r="E147" s="70"/>
      <c r="F147" s="74">
        <f t="shared" si="2"/>
        <v>0</v>
      </c>
    </row>
    <row r="148" spans="1:6" ht="21" customHeight="1" x14ac:dyDescent="0.25">
      <c r="A148" s="69"/>
      <c r="B148" s="109" t="e">
        <f>INDEX(OfficialTeamList[Team Name],MATCH(RobotGameScores[[#This Row],[Team Number]], OfficialTeamList[Team Number],0))</f>
        <v>#N/A</v>
      </c>
      <c r="C148" s="70"/>
      <c r="D148" s="70"/>
      <c r="E148" s="70"/>
      <c r="F148" s="74">
        <f t="shared" si="2"/>
        <v>0</v>
      </c>
    </row>
    <row r="149" spans="1:6" ht="21" customHeight="1" x14ac:dyDescent="0.25">
      <c r="A149" s="69"/>
      <c r="B149" s="109" t="e">
        <f>INDEX(OfficialTeamList[Team Name],MATCH(RobotGameScores[[#This Row],[Team Number]], OfficialTeamList[Team Number],0))</f>
        <v>#N/A</v>
      </c>
      <c r="C149" s="70"/>
      <c r="D149" s="70"/>
      <c r="E149" s="70"/>
      <c r="F149" s="74">
        <f t="shared" si="2"/>
        <v>0</v>
      </c>
    </row>
    <row r="150" spans="1:6" ht="21" customHeight="1" x14ac:dyDescent="0.25">
      <c r="A150" s="69"/>
      <c r="B150" s="109"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115</v>
      </c>
      <c r="C1" s="57" t="s">
        <v>13</v>
      </c>
      <c r="D1" s="64" t="s">
        <v>49</v>
      </c>
      <c r="E1" s="64" t="s">
        <v>50</v>
      </c>
      <c r="F1" s="64" t="s">
        <v>51</v>
      </c>
      <c r="G1" s="64" t="s">
        <v>52</v>
      </c>
      <c r="H1" s="64" t="s">
        <v>53</v>
      </c>
      <c r="I1" s="64" t="s">
        <v>54</v>
      </c>
      <c r="J1" s="64" t="s">
        <v>55</v>
      </c>
      <c r="K1" s="64" t="s">
        <v>56</v>
      </c>
      <c r="L1" s="64" t="s">
        <v>57</v>
      </c>
      <c r="M1" s="64" t="s">
        <v>58</v>
      </c>
      <c r="N1" s="103" t="s">
        <v>59</v>
      </c>
      <c r="O1" s="104" t="s">
        <v>34</v>
      </c>
    </row>
    <row r="2" spans="1:15" ht="21" customHeight="1" x14ac:dyDescent="0.25">
      <c r="A2" s="69"/>
      <c r="B2" s="69" t="e">
        <f>INDEX(OfficialTeamList[Pod Number],MATCH(InnovationProjectResults[[#This Row],[Team Number]], OfficialTeamList[Team Number],0))</f>
        <v>#N/A</v>
      </c>
      <c r="C2" s="109"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9"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9"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9"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9"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9"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9"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9"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9"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9"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9"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9"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9"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9"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9"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9"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9"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9"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9"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9"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9"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9"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9"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9"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9"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9"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9"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9"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9"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9"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9"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9"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9"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9"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9"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9"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9"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9"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9"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9"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9"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9"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9"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9"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9"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9"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9"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9"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9"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9"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9"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9"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9"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9"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9"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9"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9"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9"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9"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9"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9"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9"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9"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9"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9"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9"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9"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9"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9"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9"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9"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9"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9"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9"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9"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9"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9"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9"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9"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9"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9"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9"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9"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9"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9"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9"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9"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9"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9"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9"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9"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9"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9"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9"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9"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9"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9"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9"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9"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9"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9"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9"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9"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9"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9"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9"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9"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9"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9"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9"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9"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9"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9"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9"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9"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9"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9"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9"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9"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9"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9"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9"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9"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9"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9"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9"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9"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9"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9"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9"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9"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9"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9"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9"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9"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9"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9"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9"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9"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9"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9"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9"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9"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9"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9"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9"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9"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9"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9"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115</v>
      </c>
      <c r="C1" s="57" t="s">
        <v>13</v>
      </c>
      <c r="D1" s="63" t="s">
        <v>60</v>
      </c>
      <c r="E1" s="63" t="s">
        <v>50</v>
      </c>
      <c r="F1" s="63" t="s">
        <v>61</v>
      </c>
      <c r="G1" s="63" t="s">
        <v>62</v>
      </c>
      <c r="H1" s="63" t="s">
        <v>63</v>
      </c>
      <c r="I1" s="63" t="s">
        <v>64</v>
      </c>
      <c r="J1" s="63" t="s">
        <v>65</v>
      </c>
      <c r="K1" s="63" t="s">
        <v>66</v>
      </c>
      <c r="L1" s="63" t="s">
        <v>57</v>
      </c>
      <c r="M1" s="63" t="s">
        <v>58</v>
      </c>
      <c r="N1" s="61" t="s">
        <v>42</v>
      </c>
      <c r="O1" s="62" t="s">
        <v>35</v>
      </c>
    </row>
    <row r="2" spans="1:15" ht="21" customHeight="1" x14ac:dyDescent="0.25">
      <c r="A2" s="69"/>
      <c r="B2" s="69" t="e">
        <f>INDEX(OfficialTeamList[Pod Number],MATCH(RobotDesignResults[[#This Row],[Team Number]], OfficialTeamList[Team Number],0))</f>
        <v>#N/A</v>
      </c>
      <c r="C2" s="109"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9"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9"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9"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9"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9"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9"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9"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9"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9"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9"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9"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9"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9"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9"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9"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9"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9"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9"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9"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9"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9"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9"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9"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9"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9"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9"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9"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9"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9"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9"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9"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9"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9"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9"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9"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9"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9"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9"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9"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9"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9"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9"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9"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9"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9"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9"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9"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9"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9"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9"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9"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9"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9"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9"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9"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9"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9"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9"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9"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9"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9"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9"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9"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9"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9"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9"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9"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9"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9"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9"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9"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9"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9"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9"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9"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9"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9"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9"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9"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9"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9"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9"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9"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9"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9"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9"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9"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9"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9"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9"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9"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9"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9"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9"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9"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9"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9"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9"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9"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9"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9"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9"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9"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9"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9"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9"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9"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9"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9"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9"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9"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9"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9"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9"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9"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9"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9"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9"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9"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9"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9"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9"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9"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9"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9"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9"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9"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9"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9"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9"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9"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9"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9"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9"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9"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9"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9"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9"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9"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9"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9"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9"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9"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9"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9"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9"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9"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9"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showZeros="0" tabSelected="1"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115</v>
      </c>
      <c r="C1" s="57" t="s">
        <v>13</v>
      </c>
      <c r="D1" s="66" t="s">
        <v>67</v>
      </c>
      <c r="E1" s="66" t="s">
        <v>68</v>
      </c>
      <c r="F1" s="66" t="s">
        <v>69</v>
      </c>
      <c r="G1" s="66" t="s">
        <v>70</v>
      </c>
      <c r="H1" s="66" t="s">
        <v>71</v>
      </c>
      <c r="I1" s="66" t="s">
        <v>72</v>
      </c>
      <c r="J1" s="66" t="s">
        <v>73</v>
      </c>
      <c r="K1" s="66" t="s">
        <v>74</v>
      </c>
      <c r="L1" s="66" t="s">
        <v>75</v>
      </c>
      <c r="M1" s="66" t="s">
        <v>76</v>
      </c>
      <c r="N1" s="67" t="s">
        <v>77</v>
      </c>
      <c r="O1" s="67" t="s">
        <v>78</v>
      </c>
      <c r="P1" s="67" t="s">
        <v>79</v>
      </c>
      <c r="Q1" s="67" t="s">
        <v>80</v>
      </c>
      <c r="R1" s="68" t="s">
        <v>81</v>
      </c>
      <c r="S1" s="68" t="s">
        <v>40</v>
      </c>
      <c r="T1" s="68" t="s">
        <v>33</v>
      </c>
      <c r="Y1" s="33"/>
    </row>
    <row r="2" spans="1:25" ht="21" customHeight="1" x14ac:dyDescent="0.25">
      <c r="A2" s="69"/>
      <c r="B2" s="69" t="e">
        <f>INDEX(OfficialTeamList[Pod Number],MATCH(CoreValuesResults[[#This Row],[Team Number]], OfficialTeamList[Team Number],0))</f>
        <v>#N/A</v>
      </c>
      <c r="C2" s="109"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70"/>
      <c r="O2" s="70"/>
      <c r="P2" s="70"/>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9"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70"/>
      <c r="O3" s="70"/>
      <c r="P3" s="70"/>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9"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70"/>
      <c r="O4" s="70"/>
      <c r="P4" s="70"/>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9"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70"/>
      <c r="O5" s="70"/>
      <c r="P5" s="70"/>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9"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70"/>
      <c r="O6" s="70"/>
      <c r="P6" s="70"/>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9"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70"/>
      <c r="O7" s="70"/>
      <c r="P7" s="70"/>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9"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70"/>
      <c r="O8" s="70"/>
      <c r="P8" s="70"/>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9"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70"/>
      <c r="O9" s="70"/>
      <c r="P9" s="70"/>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9"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70"/>
      <c r="O10" s="70"/>
      <c r="P10" s="70"/>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9"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70"/>
      <c r="O11" s="70"/>
      <c r="P11" s="70"/>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9"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70"/>
      <c r="O12" s="70"/>
      <c r="P12" s="70"/>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9"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70"/>
      <c r="O13" s="70"/>
      <c r="P13" s="70"/>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9"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70"/>
      <c r="O14" s="70"/>
      <c r="P14" s="70"/>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9"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70"/>
      <c r="O15" s="70"/>
      <c r="P15" s="70"/>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9"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70"/>
      <c r="O16" s="70"/>
      <c r="P16" s="70"/>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9"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70"/>
      <c r="O17" s="70"/>
      <c r="P17" s="70"/>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9"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70"/>
      <c r="O18" s="70"/>
      <c r="P18" s="70"/>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9"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70"/>
      <c r="O19" s="70"/>
      <c r="P19" s="70"/>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9"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70"/>
      <c r="O20" s="70"/>
      <c r="P20" s="70"/>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9"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70"/>
      <c r="O21" s="70"/>
      <c r="P21" s="70"/>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9"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70"/>
      <c r="O22" s="70"/>
      <c r="P22" s="70"/>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9"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70"/>
      <c r="O23" s="70"/>
      <c r="P23" s="70"/>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9"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70"/>
      <c r="O24" s="70"/>
      <c r="P24" s="70"/>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9"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70"/>
      <c r="O25" s="70"/>
      <c r="P25" s="70"/>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9"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70"/>
      <c r="O26" s="70"/>
      <c r="P26" s="70"/>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9"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70"/>
      <c r="O27" s="70"/>
      <c r="P27" s="70"/>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9"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70"/>
      <c r="O28" s="70"/>
      <c r="P28" s="70"/>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9"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70"/>
      <c r="O29" s="70"/>
      <c r="P29" s="70"/>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9"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70"/>
      <c r="O30" s="70"/>
      <c r="P30" s="70"/>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9"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70"/>
      <c r="O31" s="70"/>
      <c r="P31" s="70"/>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9"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70"/>
      <c r="O32" s="70"/>
      <c r="P32" s="70"/>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9"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70"/>
      <c r="O33" s="70"/>
      <c r="P33" s="70"/>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9"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70"/>
      <c r="O34" s="70"/>
      <c r="P34" s="70"/>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9"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70"/>
      <c r="O35" s="70"/>
      <c r="P35" s="70"/>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9"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70"/>
      <c r="O36" s="70"/>
      <c r="P36" s="70"/>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9"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70"/>
      <c r="O37" s="70"/>
      <c r="P37" s="70"/>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9"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70"/>
      <c r="O38" s="70"/>
      <c r="P38" s="70"/>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9"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70"/>
      <c r="O39" s="70"/>
      <c r="P39" s="70"/>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9"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70"/>
      <c r="O40" s="70"/>
      <c r="P40" s="70"/>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9"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70"/>
      <c r="O41" s="70"/>
      <c r="P41" s="70"/>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9"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70"/>
      <c r="O42" s="70"/>
      <c r="P42" s="70"/>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9"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70"/>
      <c r="O43" s="70"/>
      <c r="P43" s="70"/>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9"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70"/>
      <c r="O44" s="70"/>
      <c r="P44" s="70"/>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9"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70"/>
      <c r="O45" s="70"/>
      <c r="P45" s="70"/>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9"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70"/>
      <c r="O46" s="70"/>
      <c r="P46" s="70"/>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9"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70"/>
      <c r="O47" s="70"/>
      <c r="P47" s="70"/>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9"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70"/>
      <c r="O48" s="70"/>
      <c r="P48" s="70"/>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9"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70"/>
      <c r="O49" s="70"/>
      <c r="P49" s="70"/>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9"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70"/>
      <c r="O50" s="70"/>
      <c r="P50" s="70"/>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9"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70"/>
      <c r="O51" s="70"/>
      <c r="P51" s="70"/>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9"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70"/>
      <c r="O52" s="70"/>
      <c r="P52" s="70"/>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9"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70"/>
      <c r="O53" s="70"/>
      <c r="P53" s="70"/>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9"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70"/>
      <c r="O54" s="70"/>
      <c r="P54" s="70"/>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9"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70"/>
      <c r="O55" s="70"/>
      <c r="P55" s="70"/>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9"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70"/>
      <c r="O56" s="70"/>
      <c r="P56" s="70"/>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9"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70"/>
      <c r="O57" s="70"/>
      <c r="P57" s="70"/>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9"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70"/>
      <c r="O58" s="70"/>
      <c r="P58" s="70"/>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9"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70"/>
      <c r="O59" s="70"/>
      <c r="P59" s="70"/>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9"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70"/>
      <c r="O60" s="70"/>
      <c r="P60" s="70"/>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9"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70"/>
      <c r="O61" s="70"/>
      <c r="P61" s="70"/>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9"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70"/>
      <c r="O62" s="70"/>
      <c r="P62" s="70"/>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9"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70"/>
      <c r="O63" s="70"/>
      <c r="P63" s="70"/>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9"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70"/>
      <c r="O64" s="70"/>
      <c r="P64" s="70"/>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9"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70"/>
      <c r="O65" s="70"/>
      <c r="P65" s="70"/>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9"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70"/>
      <c r="O66" s="70"/>
      <c r="P66" s="70"/>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9"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70"/>
      <c r="O67" s="70"/>
      <c r="P67" s="70"/>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9"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70"/>
      <c r="O68" s="70"/>
      <c r="P68" s="70"/>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9"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70"/>
      <c r="O69" s="70"/>
      <c r="P69" s="70"/>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9"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70"/>
      <c r="O70" s="70"/>
      <c r="P70" s="70"/>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9"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70"/>
      <c r="O71" s="70"/>
      <c r="P71" s="70"/>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9"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70"/>
      <c r="O72" s="70"/>
      <c r="P72" s="70"/>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9"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70"/>
      <c r="O73" s="70"/>
      <c r="P73" s="70"/>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9"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70"/>
      <c r="O74" s="70"/>
      <c r="P74" s="70"/>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9"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70"/>
      <c r="O75" s="70"/>
      <c r="P75" s="70"/>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9"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70"/>
      <c r="O76" s="70"/>
      <c r="P76" s="70"/>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9"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70"/>
      <c r="O77" s="70"/>
      <c r="P77" s="70"/>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9"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70"/>
      <c r="O78" s="70"/>
      <c r="P78" s="70"/>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9"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70"/>
      <c r="O79" s="70"/>
      <c r="P79" s="70"/>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9"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70"/>
      <c r="O80" s="70"/>
      <c r="P80" s="70"/>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9"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70"/>
      <c r="O81" s="70"/>
      <c r="P81" s="70"/>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9"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70"/>
      <c r="O82" s="70"/>
      <c r="P82" s="70"/>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9"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70"/>
      <c r="O83" s="70"/>
      <c r="P83" s="70"/>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9"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70"/>
      <c r="O84" s="70"/>
      <c r="P84" s="70"/>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9"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70"/>
      <c r="O85" s="70"/>
      <c r="P85" s="70"/>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9"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70"/>
      <c r="O86" s="70"/>
      <c r="P86" s="70"/>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9"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70"/>
      <c r="O87" s="70"/>
      <c r="P87" s="70"/>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9"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70"/>
      <c r="O88" s="70"/>
      <c r="P88" s="70"/>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9"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70"/>
      <c r="O89" s="70"/>
      <c r="P89" s="70"/>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9"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70"/>
      <c r="O90" s="70"/>
      <c r="P90" s="70"/>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9"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70"/>
      <c r="O91" s="70"/>
      <c r="P91" s="70"/>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9"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70"/>
      <c r="O92" s="70"/>
      <c r="P92" s="70"/>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9"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70"/>
      <c r="O93" s="70"/>
      <c r="P93" s="70"/>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9"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70"/>
      <c r="O94" s="70"/>
      <c r="P94" s="70"/>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9"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70"/>
      <c r="O95" s="70"/>
      <c r="P95" s="70"/>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9"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70"/>
      <c r="O96" s="70"/>
      <c r="P96" s="70"/>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9"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70"/>
      <c r="O97" s="70"/>
      <c r="P97" s="70"/>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9"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70"/>
      <c r="O98" s="70"/>
      <c r="P98" s="70"/>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9"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70"/>
      <c r="O99" s="70"/>
      <c r="P99" s="70"/>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9"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70"/>
      <c r="O100" s="70"/>
      <c r="P100" s="70"/>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9"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70"/>
      <c r="O101" s="70"/>
      <c r="P101" s="70"/>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9"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70"/>
      <c r="O102" s="70"/>
      <c r="P102" s="70"/>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9"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70"/>
      <c r="O103" s="70"/>
      <c r="P103" s="70"/>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9"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70"/>
      <c r="O104" s="70"/>
      <c r="P104" s="70"/>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9"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70"/>
      <c r="O105" s="70"/>
      <c r="P105" s="70"/>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9"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70"/>
      <c r="O106" s="70"/>
      <c r="P106" s="70"/>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9"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70"/>
      <c r="O107" s="70"/>
      <c r="P107" s="70"/>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9"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70"/>
      <c r="O108" s="70"/>
      <c r="P108" s="70"/>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9"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70"/>
      <c r="O109" s="70"/>
      <c r="P109" s="70"/>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9"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70"/>
      <c r="O110" s="70"/>
      <c r="P110" s="70"/>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9"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70"/>
      <c r="O111" s="70"/>
      <c r="P111" s="70"/>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9"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70"/>
      <c r="O112" s="70"/>
      <c r="P112" s="70"/>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9"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70"/>
      <c r="O113" s="70"/>
      <c r="P113" s="70"/>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9"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70"/>
      <c r="O114" s="70"/>
      <c r="P114" s="70"/>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9"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70"/>
      <c r="O115" s="70"/>
      <c r="P115" s="70"/>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9"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70"/>
      <c r="O116" s="70"/>
      <c r="P116" s="70"/>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9"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70"/>
      <c r="O117" s="70"/>
      <c r="P117" s="70"/>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9"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70"/>
      <c r="O118" s="70"/>
      <c r="P118" s="70"/>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9"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70"/>
      <c r="O119" s="70"/>
      <c r="P119" s="70"/>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9"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70"/>
      <c r="O120" s="70"/>
      <c r="P120" s="70"/>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9"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70"/>
      <c r="O121" s="70"/>
      <c r="P121" s="70"/>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9"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70"/>
      <c r="O122" s="70"/>
      <c r="P122" s="70"/>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9"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70"/>
      <c r="O123" s="70"/>
      <c r="P123" s="70"/>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9"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70"/>
      <c r="O124" s="70"/>
      <c r="P124" s="70"/>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9"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70"/>
      <c r="O125" s="70"/>
      <c r="P125" s="70"/>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9"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70"/>
      <c r="O126" s="70"/>
      <c r="P126" s="70"/>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9"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70"/>
      <c r="O127" s="70"/>
      <c r="P127" s="70"/>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9"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70"/>
      <c r="O128" s="70"/>
      <c r="P128" s="70"/>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9"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70"/>
      <c r="O129" s="70"/>
      <c r="P129" s="70"/>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9"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70"/>
      <c r="O130" s="70"/>
      <c r="P130" s="70"/>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9"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70"/>
      <c r="O131" s="70"/>
      <c r="P131" s="70"/>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9"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70"/>
      <c r="O132" s="70"/>
      <c r="P132" s="70"/>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9"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70"/>
      <c r="O133" s="70"/>
      <c r="P133" s="70"/>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9"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70"/>
      <c r="O134" s="70"/>
      <c r="P134" s="70"/>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9"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70"/>
      <c r="O135" s="70"/>
      <c r="P135" s="70"/>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9"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70"/>
      <c r="O136" s="70"/>
      <c r="P136" s="70"/>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9"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70"/>
      <c r="O137" s="70"/>
      <c r="P137" s="70"/>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9"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70"/>
      <c r="O138" s="70"/>
      <c r="P138" s="70"/>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9"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70"/>
      <c r="O139" s="70"/>
      <c r="P139" s="70"/>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9"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70"/>
      <c r="O140" s="70"/>
      <c r="P140" s="70"/>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9"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70"/>
      <c r="O141" s="70"/>
      <c r="P141" s="70"/>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9"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70"/>
      <c r="O142" s="70"/>
      <c r="P142" s="70"/>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9"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70"/>
      <c r="O143" s="70"/>
      <c r="P143" s="70"/>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9"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70"/>
      <c r="O144" s="70"/>
      <c r="P144" s="70"/>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9"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70"/>
      <c r="O145" s="70"/>
      <c r="P145" s="70"/>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9"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70"/>
      <c r="O146" s="70"/>
      <c r="P146" s="70"/>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9"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70"/>
      <c r="O147" s="70"/>
      <c r="P147" s="70"/>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9"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70"/>
      <c r="O148" s="70"/>
      <c r="P148" s="70"/>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9"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70"/>
      <c r="O149" s="70"/>
      <c r="P149" s="70"/>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9"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70"/>
      <c r="O150" s="70"/>
      <c r="P150" s="70"/>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82</v>
      </c>
      <c r="B1" s="26" t="s">
        <v>83</v>
      </c>
      <c r="C1" s="26" t="s">
        <v>84</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85</v>
      </c>
      <c r="G2" s="5" t="s">
        <v>86</v>
      </c>
    </row>
    <row r="3" spans="2:10" ht="39.950000000000003" customHeight="1" x14ac:dyDescent="0.25">
      <c r="B3" s="10" t="s">
        <v>12</v>
      </c>
      <c r="C3" s="10" t="s">
        <v>13</v>
      </c>
      <c r="D3" s="11" t="s">
        <v>37</v>
      </c>
      <c r="E3" s="11" t="s">
        <v>87</v>
      </c>
      <c r="G3" s="20" t="s">
        <v>12</v>
      </c>
      <c r="H3" s="20" t="s">
        <v>13</v>
      </c>
      <c r="I3" s="21" t="s">
        <v>37</v>
      </c>
      <c r="J3" s="21" t="s">
        <v>87</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88</v>
      </c>
      <c r="G20" s="5" t="s">
        <v>89</v>
      </c>
      <c r="L20" s="5" t="s">
        <v>90</v>
      </c>
    </row>
    <row r="21" spans="2:15" ht="39.950000000000003" customHeight="1" x14ac:dyDescent="0.25">
      <c r="B21" s="14" t="s">
        <v>12</v>
      </c>
      <c r="C21" s="14" t="s">
        <v>13</v>
      </c>
      <c r="D21" s="15" t="s">
        <v>33</v>
      </c>
      <c r="E21" s="15" t="s">
        <v>87</v>
      </c>
      <c r="G21" s="18" t="s">
        <v>12</v>
      </c>
      <c r="H21" s="18" t="s">
        <v>13</v>
      </c>
      <c r="I21" s="19" t="s">
        <v>35</v>
      </c>
      <c r="J21" s="19" t="s">
        <v>87</v>
      </c>
      <c r="L21" s="16" t="s">
        <v>12</v>
      </c>
      <c r="M21" s="16" t="s">
        <v>13</v>
      </c>
      <c r="N21" s="17" t="s">
        <v>34</v>
      </c>
      <c r="O21" s="17" t="s">
        <v>87</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91</v>
      </c>
      <c r="G38" s="5" t="s">
        <v>92</v>
      </c>
      <c r="L38" s="5" t="s">
        <v>93</v>
      </c>
    </row>
    <row r="39" spans="2:15" ht="39.950000000000003" customHeight="1" x14ac:dyDescent="0.25">
      <c r="B39" s="12" t="s">
        <v>12</v>
      </c>
      <c r="C39" s="12" t="s">
        <v>13</v>
      </c>
      <c r="D39" s="13" t="s">
        <v>37</v>
      </c>
      <c r="E39" s="13" t="s">
        <v>87</v>
      </c>
      <c r="G39" s="12" t="s">
        <v>12</v>
      </c>
      <c r="H39" s="12" t="s">
        <v>13</v>
      </c>
      <c r="I39" s="13" t="s">
        <v>37</v>
      </c>
      <c r="J39" s="13" t="s">
        <v>87</v>
      </c>
      <c r="L39" s="12" t="s">
        <v>12</v>
      </c>
      <c r="M39" s="12" t="s">
        <v>13</v>
      </c>
      <c r="N39" s="13" t="s">
        <v>37</v>
      </c>
      <c r="O39" s="13" t="s">
        <v>87</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button id="btnPodAnalysis" label="Pod Analysis" image="graph" onAction="cbPodAnalysi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2025-07-01T20:45:47Z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