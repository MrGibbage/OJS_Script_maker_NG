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4c5e48b804764c85"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A69EB4B5-5096-4FD4-BB0F-90EB77F513BE}" xr6:coauthVersionLast="47" xr6:coauthVersionMax="47" xr10:uidLastSave="{00000000-0000-0000-0000-000000000000}"/>
  <bookViews>
    <workbookView xWindow="-120" yWindow="-120" windowWidth="38640" windowHeight="21120" tabRatio="879" activeTab="5" xr2:uid="{00000000-000D-0000-FFFF-FFFF00000000}"/>
  </bookViews>
  <sheets>
    <sheet name="Instructions" sheetId="1" r:id="rId1"/>
    <sheet name="Team and Program Information" sheetId="2" r:id="rId2"/>
    <sheet name="Data Validation" sheetId="12"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F2" i="5"/>
  <c r="B3" i="5"/>
  <c r="B2" i="5"/>
  <c r="B3" i="8"/>
  <c r="C3" i="8"/>
  <c r="D3" i="8"/>
  <c r="E3" i="8"/>
  <c r="F3" i="8"/>
  <c r="G3" i="8"/>
  <c r="H3" i="8"/>
  <c r="I3" i="8"/>
  <c r="J3" i="8"/>
  <c r="K3" i="8"/>
  <c r="L3" i="8"/>
  <c r="P3" i="8"/>
  <c r="B3" i="7"/>
  <c r="M3" i="7"/>
  <c r="N3" i="7" s="1"/>
  <c r="B3" i="6"/>
  <c r="M3" i="6"/>
  <c r="B4" i="4"/>
  <c r="C4" i="4"/>
  <c r="D4" i="4"/>
  <c r="E4" i="4"/>
  <c r="F4" i="4"/>
  <c r="G4" i="4"/>
  <c r="P2" i="8"/>
  <c r="Q2" i="8" s="1"/>
  <c r="B2" i="8"/>
  <c r="C2" i="8"/>
  <c r="D2" i="8"/>
  <c r="E2" i="8"/>
  <c r="F2" i="8"/>
  <c r="G2" i="8"/>
  <c r="H2" i="8"/>
  <c r="I2" i="8"/>
  <c r="J2" i="8"/>
  <c r="K2" i="8"/>
  <c r="L2" i="8"/>
  <c r="B2" i="7"/>
  <c r="M2" i="7"/>
  <c r="S3" i="4" s="1"/>
  <c r="B2" i="6"/>
  <c r="M2" i="6"/>
  <c r="N2" i="6" s="1"/>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6" l="1"/>
  <c r="K4" i="4" s="1"/>
  <c r="N2" i="7"/>
  <c r="R3" i="8"/>
  <c r="Q3" i="8"/>
  <c r="H4" i="4"/>
  <c r="L4" i="4"/>
  <c r="S4" i="4"/>
  <c r="R4" i="4"/>
  <c r="R3" i="4"/>
  <c r="R2" i="8"/>
  <c r="K3" i="4"/>
  <c r="C3" i="4"/>
  <c r="H3" i="4" s="1"/>
  <c r="L3" i="4"/>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<sst xmlns="http://schemas.openxmlformats.org/spreadsheetml/2006/main" count="181" uniqueCount="124">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</sst>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6">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1" fillId="21" borderId="0" xfId="0" applyFont="1" applyFill="1" applyAlignment="1" applyProtection="1">
      <alignment horizontal="center" vertical="center"/>
      <protection locked="0"/>
    </xf>
    <xf numFmtId="165" fontId="1" fillId="0" borderId="0" xfId="0" applyNumberFormat="1" applyFont="1"/>
    <xf numFmtId="165" fontId="0" fillId="0" borderId="0" xfId="0" applyNumberFormat="1"/>
    <xf numFmtId="0" fontId="0" fillId="0" borderId="0" xfId="0" applyProtection="1">
      <protection locked="0"/>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xf numFmtId="1" fontId="1" fillId="0" borderId="0" xfId="0" applyNumberFormat="1" applyFont="1" applyProtection="1">
      <protection locked="0"/>
    </xf>
    <xf numFmtId="2" fontId="1" fillId="0" borderId="0" xfId="0" applyNumberFormat="1" applyFont="1" applyProtection="1">
      <protection locked="0"/>
    </xf>
    <xf numFmtId="1" fontId="0" fillId="0" borderId="0" xfId="0" applyNumberFormat="1" applyProtection="1">
      <protection locked="0"/>
    </xf>
    <xf numFmtId="2" fontId="0" fillId="0" borderId="0" xfId="0" applyNumberFormat="1" applyProtection="1">
      <protection locked="0"/>
    </xf>
  </cellXfs>
  <cellStyles count="1">
    <cellStyle name="Normal" xfId="0" builtinId="0"/>
  </cellStyles>
  <dxfs count="156">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5" dataDxfId="154">
  <autoFilter ref="C2:F3" xr:uid="{00000000-0009-0000-0100-000001000000}"/>
  <sortState xmlns:xlrd2="http://schemas.microsoft.com/office/spreadsheetml/2017/richdata2" ref="C3:F3">
    <sortCondition ref="C3"/>
  </sortState>
  <tableColumns count="4">
    <tableColumn id="1" xr3:uid="{00000000-0010-0000-0000-000001000000}" name="Team Number" dataDxfId="153"/>
    <tableColumn id="2" xr3:uid="{00000000-0010-0000-0000-000002000000}" name="Team Name" dataDxfId="152"/>
    <tableColumn id="3" xr3:uid="{00000000-0010-0000-0000-000003000000}" name="Coach" dataDxfId="151"/>
    <tableColumn id="4" xr3:uid="{00000000-0010-0000-0000-000004000000}" name="Pod Number" dataDxfId="15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DataValidation" displayName="DataValidation"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49" dataDxfId="148">
  <autoFilter ref="A1:C14" xr:uid="{00000000-0009-0000-0100-000002000000}"/>
  <tableColumns count="3">
    <tableColumn id="1" xr3:uid="{00000000-0010-0000-0100-000001000000}" name="Key" dataDxfId="147"/>
    <tableColumn id="2" xr3:uid="{00000000-0010-0000-0100-000002000000}" name="Value" dataDxfId="146"/>
    <tableColumn id="3" xr3:uid="{00000000-0010-0000-0100-000003000000}" name="Comment" dataDxfId="1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3" dataDxfId="131" headerRowBorderDxfId="132">
  <autoFilter ref="A2:V4" xr:uid="{00000000-0009-0000-0100-000003000000}"/>
  <sortState xmlns:xlrd2="http://schemas.microsoft.com/office/spreadsheetml/2017/richdata2" ref="A3:V3">
    <sortCondition ref="A3"/>
  </sortState>
  <tableColumns count="22">
    <tableColumn id="1" xr3:uid="{00000000-0010-0000-0200-000001000000}" name="Team Number" dataDxfId="130"/>
    <tableColumn id="2" xr3:uid="{00000000-0010-0000-0200-000002000000}" name="Team Name" dataDxfId="129">
      <calculatedColumnFormula>INDEX(OfficialTeamList[Team Name],MATCH(TournamentData[[#This Row],[Team Number]], OfficialTeamList[Team Number],0))</calculatedColumnFormula>
    </tableColumn>
    <tableColumn id="6" xr3:uid="{00000000-0010-0000-0200-000006000000}" name="Robot Game Score 1" dataDxfId="128">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7">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6">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4">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3">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2">
      <calculatedColumnFormula>_xlfn.RANK.EQ(TournamentData[[#This Row],[Max Robot Game Score]],TournamentData[Max Robot Game Score])</calculatedColumnFormula>
    </tableColumn>
    <tableColumn id="3" xr3:uid="{00000000-0010-0000-0200-000003000000}" name="Core Values Rank" dataDxfId="121">
      <calculatedColumnFormula>INDEX(CoreValuesResults[Core Values Rank],MATCH(TournamentData[[#This Row],[Team Number]],CoreValuesResults[Team Number],0))</calculatedColumnFormula>
    </tableColumn>
    <tableColumn id="4" xr3:uid="{00000000-0010-0000-0200-000004000000}" name="Innovation Project Rank" dataDxfId="120">
      <calculatedColumnFormula>INDEX(InnovationProjectResults[Innovation Project Rank],MATCH(TournamentData[[#This Row],[Team Number]],InnovationProjectResults[Team Number],0))</calculatedColumnFormula>
    </tableColumn>
    <tableColumn id="5" xr3:uid="{00000000-0010-0000-0200-000005000000}" name="Robot Design Rank" dataDxfId="119">
      <calculatedColumnFormula>INDEX(RobotDesignResults[Robot Design Rank],MATCH(TournamentData[[#This Row],[Team Number]],RobotDesignResults[Team Number],0))</calculatedColumnFormula>
    </tableColumn>
    <tableColumn id="14" xr3:uid="{00000000-0010-0000-0200-00000E000000}" name="Champion's Score" dataDxfId="118">
      <calculatedColumnFormula>SUM(TournamentData[[#This Row],[Robot Game Rank]:[Robot Design Rank]])</calculatedColumnFormula>
    </tableColumn>
    <tableColumn id="11" xr3:uid="{00000000-0010-0000-0200-00000B000000}" name="Champion's Rank" dataDxfId="117">
      <calculatedColumnFormula>RANK(TournamentData[[#This Row],[Champion''s Score]],TournamentData[Champion''s Score],1)</calculatedColumnFormula>
    </tableColumn>
    <tableColumn id="12" xr3:uid="{00000000-0010-0000-0200-00000C000000}" name="Award" dataDxfId="116"/>
    <tableColumn id="21" xr3:uid="{00000000-0010-0000-0200-000015000000}" name="Advance?" dataCellStyle="Normal"/>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5"/>
      <c r="B1" s="103"/>
      <c r="C1" s="103"/>
      <c r="D1" s="103"/>
      <c r="E1" s="103"/>
      <c r="F1" s="103"/>
      <c r="G1" s="103"/>
      <c r="H1" s="103"/>
      <c r="I1" s="103"/>
      <c r="J1" s="103"/>
      <c r="K1" s="103"/>
      <c r="W1" s="113" t="s">
        <v>0</v>
      </c>
      <c r="X1" s="103"/>
      <c r="Y1" s="103"/>
      <c r="Z1" s="103"/>
      <c r="AA1" s="103"/>
      <c r="AB1" s="103"/>
      <c r="AC1" s="103"/>
      <c r="AD1" s="103"/>
      <c r="AE1" s="103"/>
      <c r="AF1" s="103"/>
      <c r="AG1" s="103"/>
      <c r="AH1" s="103"/>
      <c r="AI1" s="103"/>
      <c r="AJ1" s="103"/>
      <c r="AK1" s="103"/>
      <c r="AL1" s="103"/>
      <c r="AM1" s="103"/>
      <c r="AN1" s="103"/>
    </row>
    <row r="2" spans="1:44" ht="45.6" customHeight="1" x14ac:dyDescent="0.25">
      <c r="A2" s="115"/>
      <c r="B2" s="103"/>
      <c r="C2" s="103"/>
      <c r="D2" s="103"/>
      <c r="E2" s="103"/>
      <c r="F2" s="103"/>
      <c r="G2" s="103"/>
      <c r="H2" s="103"/>
      <c r="I2" s="103"/>
      <c r="J2" s="103"/>
      <c r="K2" s="103"/>
      <c r="W2" s="103"/>
      <c r="X2" s="103"/>
      <c r="Y2" s="103"/>
      <c r="Z2" s="103"/>
      <c r="AA2" s="103"/>
      <c r="AB2" s="103"/>
      <c r="AC2" s="103"/>
      <c r="AD2" s="103"/>
      <c r="AE2" s="103"/>
      <c r="AF2" s="103"/>
      <c r="AG2" s="103"/>
      <c r="AH2" s="103"/>
      <c r="AI2" s="103"/>
      <c r="AJ2" s="103"/>
      <c r="AK2" s="103"/>
      <c r="AL2" s="103"/>
      <c r="AM2" s="103"/>
      <c r="AN2" s="103"/>
    </row>
    <row r="3" spans="1:44" ht="45.6" customHeight="1" x14ac:dyDescent="0.25">
      <c r="W3" s="103"/>
      <c r="X3" s="103"/>
      <c r="Y3" s="103"/>
      <c r="Z3" s="103"/>
      <c r="AA3" s="103"/>
      <c r="AB3" s="103"/>
      <c r="AC3" s="103"/>
      <c r="AD3" s="103"/>
      <c r="AE3" s="103"/>
      <c r="AF3" s="103"/>
      <c r="AG3" s="103"/>
      <c r="AH3" s="103"/>
      <c r="AI3" s="103"/>
      <c r="AJ3" s="103"/>
      <c r="AK3" s="103"/>
      <c r="AL3" s="103"/>
      <c r="AM3" s="103"/>
      <c r="AN3" s="103"/>
    </row>
    <row r="4" spans="1:44" ht="47.1" customHeight="1" x14ac:dyDescent="0.25">
      <c r="D4" s="41" t="s">
        <v>1</v>
      </c>
      <c r="E4" s="114" t="s">
        <v>2</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row>
    <row r="5" spans="1:44" ht="48" customHeight="1" x14ac:dyDescent="0.25">
      <c r="D5" s="40"/>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c r="AQ5" s="103"/>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4" t="s">
        <v>4</v>
      </c>
      <c r="F7" s="103"/>
      <c r="G7" s="103"/>
      <c r="H7" s="103"/>
      <c r="I7" s="103"/>
      <c r="J7" s="103"/>
      <c r="K7" s="103"/>
      <c r="L7" s="103"/>
      <c r="M7" s="103"/>
      <c r="N7" s="103"/>
      <c r="O7" s="103"/>
      <c r="P7" s="103"/>
      <c r="Q7" s="103"/>
      <c r="R7" s="103"/>
      <c r="S7" s="103"/>
      <c r="T7" s="103"/>
      <c r="U7" s="103"/>
      <c r="V7" s="103"/>
      <c r="W7" s="103"/>
      <c r="X7" s="103"/>
      <c r="Y7" s="103"/>
      <c r="Z7" s="103"/>
      <c r="AA7" s="103"/>
      <c r="AB7" s="103"/>
      <c r="AC7" s="103"/>
      <c r="AD7" s="103"/>
      <c r="AE7" s="103"/>
      <c r="AF7" s="103"/>
      <c r="AG7" s="103"/>
      <c r="AH7" s="103"/>
      <c r="AI7" s="103"/>
      <c r="AJ7" s="103"/>
      <c r="AK7" s="103"/>
      <c r="AL7" s="103"/>
      <c r="AM7" s="103"/>
      <c r="AN7" s="103"/>
      <c r="AO7" s="103"/>
      <c r="AP7" s="103"/>
      <c r="AQ7" s="103"/>
    </row>
    <row r="8" spans="1:44" ht="39.950000000000003" customHeight="1" x14ac:dyDescent="0.25">
      <c r="D8" s="38"/>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row>
    <row r="9" spans="1:44" ht="61.15" customHeight="1" x14ac:dyDescent="0.25">
      <c r="D9" s="38"/>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row>
    <row r="10" spans="1:44" s="46" customFormat="1" ht="61.9" customHeight="1" x14ac:dyDescent="0.25">
      <c r="A10" s="45"/>
      <c r="D10" s="47"/>
      <c r="F10" s="101" t="s">
        <v>5</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row>
    <row r="11" spans="1:44" s="46" customFormat="1" ht="20.45" customHeight="1" x14ac:dyDescent="0.25">
      <c r="A11" s="45"/>
      <c r="D11" s="47"/>
      <c r="F11" s="48"/>
    </row>
    <row r="12" spans="1:44" ht="46.35" customHeight="1" x14ac:dyDescent="0.25">
      <c r="D12" s="41" t="s">
        <v>6</v>
      </c>
      <c r="E12" s="114" t="s">
        <v>7</v>
      </c>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3"/>
      <c r="AH12" s="103"/>
      <c r="AI12" s="103"/>
      <c r="AJ12" s="103"/>
      <c r="AK12" s="103"/>
      <c r="AL12" s="103"/>
      <c r="AM12" s="103"/>
      <c r="AN12" s="103"/>
      <c r="AO12" s="103"/>
      <c r="AP12" s="103"/>
      <c r="AQ12" s="103"/>
    </row>
    <row r="13" spans="1:44" ht="52.9" customHeight="1" x14ac:dyDescent="0.25">
      <c r="D13" s="38"/>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c r="AI13" s="103"/>
      <c r="AJ13" s="103"/>
      <c r="AK13" s="103"/>
      <c r="AL13" s="103"/>
      <c r="AM13" s="103"/>
      <c r="AN13" s="103"/>
      <c r="AO13" s="103"/>
      <c r="AP13" s="103"/>
      <c r="AQ13" s="103"/>
    </row>
    <row r="14" spans="1:44" ht="60" customHeight="1" x14ac:dyDescent="0.25">
      <c r="D14" s="38"/>
      <c r="F14" s="101" t="s">
        <v>8</v>
      </c>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row>
    <row r="15" spans="1:44" ht="1.9" customHeight="1" x14ac:dyDescent="0.25">
      <c r="D15" s="38"/>
      <c r="F15" s="103"/>
      <c r="G15" s="103"/>
      <c r="H15" s="103"/>
      <c r="I15" s="103"/>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3"/>
      <c r="AO15" s="103"/>
      <c r="AP15" s="103"/>
      <c r="AQ15" s="103"/>
      <c r="AR15" s="103"/>
    </row>
    <row r="16" spans="1:44" ht="20.45" customHeight="1" x14ac:dyDescent="0.25">
      <c r="D16" s="38"/>
      <c r="F16" s="53"/>
    </row>
    <row r="17" spans="2:45" ht="47.45" customHeight="1" x14ac:dyDescent="0.25">
      <c r="D17" s="41" t="s">
        <v>9</v>
      </c>
      <c r="E17" s="104" t="s">
        <v>10</v>
      </c>
      <c r="F17" s="103"/>
      <c r="G17" s="103"/>
      <c r="H17" s="103"/>
      <c r="I17" s="103"/>
      <c r="J17" s="103"/>
      <c r="K17" s="103"/>
      <c r="L17" s="103"/>
      <c r="M17" s="103"/>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3"/>
      <c r="AL17" s="103"/>
      <c r="AM17" s="103"/>
      <c r="AN17" s="103"/>
      <c r="AO17" s="103"/>
      <c r="AP17" s="103"/>
      <c r="AQ17" s="103"/>
    </row>
    <row r="18" spans="2:45" ht="30" customHeight="1" x14ac:dyDescent="0.25">
      <c r="D18" s="38"/>
    </row>
    <row r="19" spans="2:45" ht="39.950000000000003" customHeight="1" x14ac:dyDescent="0.25">
      <c r="D19" s="41" t="s">
        <v>11</v>
      </c>
      <c r="E19" s="104" t="s">
        <v>12</v>
      </c>
      <c r="F19" s="103"/>
      <c r="G19" s="103"/>
      <c r="H19" s="103"/>
      <c r="I19" s="103"/>
      <c r="J19" s="103"/>
      <c r="K19" s="103"/>
      <c r="L19" s="103"/>
      <c r="M19" s="103"/>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3"/>
      <c r="AL19" s="103"/>
      <c r="AM19" s="103"/>
      <c r="AN19" s="103"/>
      <c r="AO19" s="103"/>
      <c r="AP19" s="103"/>
      <c r="AQ19" s="103"/>
      <c r="AR19" s="103"/>
      <c r="AS19" s="103"/>
    </row>
    <row r="20" spans="2:45" ht="30" customHeight="1" thickBot="1" x14ac:dyDescent="0.3">
      <c r="D20" s="41"/>
      <c r="E20" s="38"/>
    </row>
    <row r="21" spans="2:45" ht="39.950000000000003" customHeight="1" x14ac:dyDescent="0.25">
      <c r="B21" s="39" t="s">
        <v>13</v>
      </c>
      <c r="F21" s="117" t="s">
        <v>14</v>
      </c>
      <c r="G21" s="106"/>
      <c r="H21" s="106"/>
      <c r="I21" s="106"/>
      <c r="J21" s="106"/>
      <c r="K21" s="106"/>
      <c r="L21" s="106"/>
      <c r="M21" s="107"/>
      <c r="N21" s="49"/>
      <c r="O21" s="105" t="s">
        <v>15</v>
      </c>
      <c r="P21" s="106"/>
      <c r="Q21" s="106"/>
      <c r="R21" s="106"/>
      <c r="S21" s="106"/>
      <c r="T21" s="106"/>
      <c r="U21" s="106"/>
      <c r="V21" s="107"/>
      <c r="W21" s="49"/>
      <c r="X21" s="105" t="s">
        <v>16</v>
      </c>
      <c r="Y21" s="106"/>
      <c r="Z21" s="106"/>
      <c r="AA21" s="106"/>
      <c r="AB21" s="106"/>
      <c r="AC21" s="107"/>
      <c r="AD21" s="49"/>
      <c r="AE21" s="105" t="s">
        <v>17</v>
      </c>
      <c r="AF21" s="106"/>
      <c r="AG21" s="106"/>
      <c r="AH21" s="106"/>
      <c r="AI21" s="106"/>
      <c r="AJ21" s="106"/>
      <c r="AK21" s="106"/>
      <c r="AL21" s="106"/>
      <c r="AM21" s="106"/>
      <c r="AN21" s="106"/>
      <c r="AO21" s="106"/>
      <c r="AP21" s="106"/>
      <c r="AQ21" s="106"/>
      <c r="AR21" s="107"/>
    </row>
    <row r="22" spans="2:45" ht="49.35" customHeight="1" thickBot="1" x14ac:dyDescent="0.3">
      <c r="D22" s="38"/>
      <c r="F22" s="108"/>
      <c r="G22" s="103"/>
      <c r="H22" s="103"/>
      <c r="I22" s="103"/>
      <c r="J22" s="103"/>
      <c r="K22" s="103"/>
      <c r="L22" s="103"/>
      <c r="M22" s="109"/>
      <c r="N22" s="49"/>
      <c r="O22" s="108"/>
      <c r="P22" s="103"/>
      <c r="Q22" s="103"/>
      <c r="R22" s="103"/>
      <c r="S22" s="103"/>
      <c r="T22" s="103"/>
      <c r="U22" s="103"/>
      <c r="V22" s="109"/>
      <c r="W22" s="49"/>
      <c r="X22" s="108"/>
      <c r="Y22" s="103"/>
      <c r="Z22" s="103"/>
      <c r="AA22" s="103"/>
      <c r="AB22" s="103"/>
      <c r="AC22" s="109"/>
      <c r="AD22" s="49"/>
      <c r="AE22" s="110"/>
      <c r="AF22" s="111"/>
      <c r="AG22" s="111"/>
      <c r="AH22" s="111"/>
      <c r="AI22" s="111"/>
      <c r="AJ22" s="111"/>
      <c r="AK22" s="111"/>
      <c r="AL22" s="111"/>
      <c r="AM22" s="111"/>
      <c r="AN22" s="111"/>
      <c r="AO22" s="111"/>
      <c r="AP22" s="111"/>
      <c r="AQ22" s="111"/>
      <c r="AR22" s="112"/>
    </row>
    <row r="23" spans="2:45" ht="43.35" customHeight="1" x14ac:dyDescent="0.25">
      <c r="F23" s="116" t="s">
        <v>18</v>
      </c>
      <c r="G23" s="103"/>
      <c r="H23" s="103"/>
      <c r="I23" s="103"/>
      <c r="J23" s="103"/>
      <c r="K23" s="103"/>
      <c r="L23" s="103"/>
      <c r="M23" s="109"/>
      <c r="N23" s="49"/>
      <c r="O23" s="108"/>
      <c r="P23" s="103"/>
      <c r="Q23" s="103"/>
      <c r="R23" s="103"/>
      <c r="S23" s="103"/>
      <c r="T23" s="103"/>
      <c r="U23" s="103"/>
      <c r="V23" s="109"/>
      <c r="W23" s="49"/>
      <c r="X23" s="108"/>
      <c r="Y23" s="103"/>
      <c r="Z23" s="103"/>
      <c r="AA23" s="103"/>
      <c r="AB23" s="103"/>
      <c r="AC23" s="109"/>
      <c r="AD23" s="49"/>
      <c r="AE23" s="116" t="s">
        <v>19</v>
      </c>
      <c r="AF23" s="103"/>
      <c r="AG23" s="103"/>
      <c r="AH23" s="103"/>
      <c r="AI23" s="103"/>
      <c r="AJ23" s="103"/>
      <c r="AK23" s="103"/>
      <c r="AL23" s="103"/>
      <c r="AM23" s="103"/>
      <c r="AN23" s="103"/>
      <c r="AO23" s="103"/>
      <c r="AP23" s="103"/>
      <c r="AQ23" s="103"/>
      <c r="AR23" s="109"/>
    </row>
    <row r="24" spans="2:45" ht="39.6" customHeight="1" thickBot="1" x14ac:dyDescent="0.3">
      <c r="F24" s="110"/>
      <c r="G24" s="111"/>
      <c r="H24" s="111"/>
      <c r="I24" s="111"/>
      <c r="J24" s="111"/>
      <c r="K24" s="111"/>
      <c r="L24" s="111"/>
      <c r="M24" s="112"/>
      <c r="N24" s="49"/>
      <c r="O24" s="110"/>
      <c r="P24" s="111"/>
      <c r="Q24" s="111"/>
      <c r="R24" s="111"/>
      <c r="S24" s="111"/>
      <c r="T24" s="111"/>
      <c r="U24" s="111"/>
      <c r="V24" s="112"/>
      <c r="W24" s="49"/>
      <c r="X24" s="110"/>
      <c r="Y24" s="111"/>
      <c r="Z24" s="111"/>
      <c r="AA24" s="111"/>
      <c r="AB24" s="111"/>
      <c r="AC24" s="112"/>
      <c r="AD24" s="49"/>
      <c r="AE24" s="110"/>
      <c r="AF24" s="111"/>
      <c r="AG24" s="111"/>
      <c r="AH24" s="111"/>
      <c r="AI24" s="111"/>
      <c r="AJ24" s="111"/>
      <c r="AK24" s="111"/>
      <c r="AL24" s="111"/>
      <c r="AM24" s="111"/>
      <c r="AN24" s="111"/>
      <c r="AO24" s="111"/>
      <c r="AP24" s="111"/>
      <c r="AQ24" s="111"/>
      <c r="AR24" s="112"/>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zoomScaleNormal="100" workbookViewId="0">
      <selection activeCell="I3" sqref="I3"/>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8" t="s">
        <v>20</v>
      </c>
      <c r="D1" s="119"/>
      <c r="E1" s="119"/>
      <c r="F1" s="119"/>
      <c r="G1" s="50"/>
      <c r="H1" s="50"/>
      <c r="I1" s="97"/>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113</v>
      </c>
      <c r="E3" s="81" t="s">
        <v>114</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sqref="A1:A4"/>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2"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tabSelected="1" zoomScaleNormal="100" workbookViewId="0">
      <pane xSplit="2" ySplit="2" topLeftCell="C3" activePane="bottomRight" state="frozen"/>
      <selection pane="topRight" activeCell="C1" sqref="C1"/>
      <selection pane="bottomLeft" activeCell="A3" sqref="A3"/>
      <selection pane="bottomRight" activeCell="O3" sqref="O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0" t="s">
        <v>28</v>
      </c>
      <c r="B1" s="121"/>
      <c r="C1" s="120" t="s">
        <v>29</v>
      </c>
      <c r="D1" s="121"/>
      <c r="E1" s="121"/>
      <c r="F1" s="121"/>
      <c r="G1" s="121"/>
      <c r="H1" s="121"/>
      <c r="I1" s="121"/>
      <c r="J1" s="120" t="s">
        <v>30</v>
      </c>
      <c r="K1" s="121"/>
      <c r="L1" s="121"/>
      <c r="M1" s="120" t="s">
        <v>31</v>
      </c>
      <c r="N1" s="121"/>
      <c r="O1" s="120" t="s">
        <v>32</v>
      </c>
      <c r="P1" s="121"/>
      <c r="Q1" s="120" t="s">
        <v>33</v>
      </c>
      <c r="R1" s="121"/>
      <c r="S1" s="121"/>
      <c r="T1" s="121"/>
      <c r="U1" s="121"/>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row>
    <row r="3" spans="1:25" ht="21" customHeight="1" x14ac:dyDescent="0.25">
      <c r="A3" s="81">
        <v>1</v>
      </c>
      <c r="B3" s="91" t="e">
        <f>INDEX(OfficialTeamList[Team Name],MATCH(TournamentData[[#This Row],[Team Number]], OfficialTeamList[Team Number],0))</f>
        <v>#N/A</v>
      </c>
      <c r="C3" s="92">
        <f>IF(TournamentData[[#This Row],[Team Number]]="","",IF(ISNA(INDEX('Robot Game Scores'!C:C,MATCH(TournamentData[[#This Row],[Team Number]], 'Robot Game Scores'!$A:$A,0))),0,INDEX('Robot Game Scores'!C:C,MATCH(TournamentData[[#This Row],[Team Number]], 'Robot Game Scores'!$A:$A,0))))</f>
        <v>0</v>
      </c>
      <c r="D3" s="92">
        <f>IF(TournamentData[[#This Row],[Team Number]]="","",IF(ISNA(INDEX('Robot Game Scores'!D:D,MATCH(TournamentData[[#This Row],[Team Number]], 'Robot Game Scores'!$A:$A,0))),0,INDEX('Robot Game Scores'!D:D,MATCH(TournamentData[[#This Row],[Team Number]], 'Robot Game Scores'!$A:$A,0))))</f>
        <v>0</v>
      </c>
      <c r="E3" s="92">
        <f>IF(TournamentData[[#This Row],[Team Number]]="","",IF(ISNA(INDEX('Robot Game Scores'!E:E,MATCH(TournamentData[[#This Row],[Team Number]], 'Robot Game Scores'!$A:$A,0))),0,INDEX('Robot Game Scores'!E:E,MATCH(TournamentData[[#This Row],[Team Number]], 'Robot Game Scores'!$A:$A,0))))</f>
        <v>0</v>
      </c>
      <c r="F3" s="92" t="e">
        <f>IF(TournamentData[[#This Row],[Team Number]]="","",IF(ISNA(INDEX('Robot Game Scores'!#REF!,MATCH(TournamentData[[#This Row],[Team Number]], 'Robot Game Scores'!$A:$A,0))),0,INDEX('Robot Game Scores'!#REF!,MATCH(TournamentData[[#This Row],[Team Number]], 'Robot Game Scores'!$A:$A,0))))</f>
        <v>#REF!</v>
      </c>
      <c r="G3" s="92" t="e">
        <f>IF(TournamentData[[#This Row],[Team Number]]="","",IF(ISNA(INDEX('Robot Game Scores'!#REF!,MATCH(TournamentData[[#This Row],[Team Number]], 'Robot Game Scores'!$A:$A,0))),0,INDEX('Robot Game Scores'!#REF!,MATCH(TournamentData[[#This Row],[Team Number]], 'Robot Game Scores'!$A:$A,0))))</f>
        <v>#REF!</v>
      </c>
      <c r="H3" s="9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2">
        <f>_xlfn.RANK.EQ(TournamentData[[#This Row],[Max Robot Game Score]],TournamentData[Max Robot Game Score])</f>
        <v>1</v>
      </c>
      <c r="J3" s="92">
        <f>INDEX(CoreValuesResults[Core Values Rank],MATCH(TournamentData[[#This Row],[Team Number]],CoreValuesResults[Team Number],0))</f>
        <v>1</v>
      </c>
      <c r="K3" s="92">
        <f>INDEX(InnovationProjectResults[Innovation Project Rank],MATCH(TournamentData[[#This Row],[Team Number]],InnovationProjectResults[Team Number],0))</f>
        <v>1</v>
      </c>
      <c r="L3" s="92">
        <f>INDEX(RobotDesignResults[Robot Design Rank],MATCH(TournamentData[[#This Row],[Team Number]],RobotDesignResults[Team Number],0))</f>
        <v>1</v>
      </c>
      <c r="M3" s="92">
        <f>SUM(TournamentData[[#This Row],[Robot Game Rank]:[Robot Design Rank]])</f>
        <v>4</v>
      </c>
      <c r="N3" s="90">
        <f>RANK(TournamentData[[#This Row],[Champion''s Score]],TournamentData[Champion''s Score],1)</f>
        <v>1</v>
      </c>
      <c r="O3" s="93"/>
      <c r="P3" s="100" t="s">
        <v>122</v>
      </c>
      <c r="Q3" s="94">
        <f>IF(ISNA(INDEX(CoreValuesResults[Core Values Score],MATCH(TournamentData[[#This Row],[Team Number]],CoreValuesResults[Team Number],0))),0,INDEX(CoreValuesResults[Core Values Score],MATCH(TournamentData[[#This Row],[Team Number]],CoreValuesResults[Team Number],0)))</f>
        <v>0</v>
      </c>
      <c r="R3" s="94">
        <f>IF(ISNA(INDEX(InnovationProjectResults[Innovation Project Score],MATCH(TournamentData[[#This Row],[Team Number]],InnovationProjectResults[Team Number],0))),0,INDEX(InnovationProjectResults[Innovation Project Score],MATCH(TournamentData[[#This Row],[Team Number]],InnovationProjectResults[Team Number],0)))</f>
        <v>0</v>
      </c>
      <c r="S3" s="94">
        <f>IF(ISNA(INDEX(RobotDesignResults[Robot Design Score],MATCH(TournamentData[[#This Row],[Team Number]],RobotDesignResults[Team Number],0))),0,INDEX(RobotDesignResults[Robot Design Score],MATCH(TournamentData[[#This Row],[Team Number]],RobotDesignResults[Team Number],0)))</f>
        <v>0</v>
      </c>
      <c r="T3" s="9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3" t="e">
        <f>IF(T3,_xlfn.RANK.EQ(T3,T$3:T$5,0),NumberOfTeams)</f>
        <v>#REF!</v>
      </c>
      <c r="V3" s="93"/>
    </row>
    <row r="4" spans="1:25" ht="20.25" customHeight="1" x14ac:dyDescent="0.25">
      <c r="A4" s="92">
        <v>2</v>
      </c>
      <c r="B4" s="91" t="e">
        <f>INDEX(OfficialTeamList[Team Name],MATCH(TournamentData[[#This Row],[Team Number]], OfficialTeamList[Team Number],0))</f>
        <v>#N/A</v>
      </c>
      <c r="C4" s="92">
        <f>IF(TournamentData[[#This Row],[Team Number]]="","",IF(ISNA(INDEX('Robot Game Scores'!C:C,MATCH(TournamentData[[#This Row],[Team Number]], 'Robot Game Scores'!$A:$A,0))),0,INDEX('Robot Game Scores'!C:C,MATCH(TournamentData[[#This Row],[Team Number]], 'Robot Game Scores'!$A:$A,0))))</f>
        <v>0</v>
      </c>
      <c r="D4" s="92">
        <f>IF(TournamentData[[#This Row],[Team Number]]="","",IF(ISNA(INDEX('Robot Game Scores'!D:D,MATCH(TournamentData[[#This Row],[Team Number]], 'Robot Game Scores'!$A:$A,0))),0,INDEX('Robot Game Scores'!D:D,MATCH(TournamentData[[#This Row],[Team Number]], 'Robot Game Scores'!$A:$A,0))))</f>
        <v>0</v>
      </c>
      <c r="E4" s="92">
        <f>IF(TournamentData[[#This Row],[Team Number]]="","",IF(ISNA(INDEX('Robot Game Scores'!E:E,MATCH(TournamentData[[#This Row],[Team Number]], 'Robot Game Scores'!$A:$A,0))),0,INDEX('Robot Game Scores'!E:E,MATCH(TournamentData[[#This Row],[Team Number]], 'Robot Game Scores'!$A:$A,0))))</f>
        <v>0</v>
      </c>
      <c r="F4" s="92" t="e">
        <f>IF(TournamentData[[#This Row],[Team Number]]="","",IF(ISNA(INDEX('Robot Game Scores'!#REF!,MATCH(TournamentData[[#This Row],[Team Number]], 'Robot Game Scores'!$A:$A,0))),0,INDEX('Robot Game Scores'!#REF!,MATCH(TournamentData[[#This Row],[Team Number]], 'Robot Game Scores'!$A:$A,0))))</f>
        <v>#REF!</v>
      </c>
      <c r="G4" s="92" t="e">
        <f>IF(TournamentData[[#This Row],[Team Number]]="","",IF(ISNA(INDEX('Robot Game Scores'!#REF!,MATCH(TournamentData[[#This Row],[Team Number]], 'Robot Game Scores'!$A:$A,0))),0,INDEX('Robot Game Scores'!#REF!,MATCH(TournamentData[[#This Row],[Team Number]], 'Robot Game Scores'!$A:$A,0))))</f>
        <v>#REF!</v>
      </c>
      <c r="H4" s="9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2">
        <f>_xlfn.RANK.EQ(TournamentData[[#This Row],[Max Robot Game Score]],TournamentData[Max Robot Game Score])</f>
        <v>1</v>
      </c>
      <c r="J4" s="92">
        <f>INDEX(CoreValuesResults[Core Values Rank],MATCH(TournamentData[[#This Row],[Team Number]],CoreValuesResults[Team Number],0))</f>
        <v>1</v>
      </c>
      <c r="K4" s="92">
        <f>INDEX(InnovationProjectResults[Innovation Project Rank],MATCH(TournamentData[[#This Row],[Team Number]],InnovationProjectResults[Team Number],0))</f>
        <v>1</v>
      </c>
      <c r="L4" s="92">
        <f>INDEX(RobotDesignResults[Robot Design Rank],MATCH(TournamentData[[#This Row],[Team Number]],RobotDesignResults[Team Number],0))</f>
        <v>1</v>
      </c>
      <c r="M4" s="92">
        <f>SUM(TournamentData[[#This Row],[Robot Game Rank]:[Robot Design Rank]])</f>
        <v>4</v>
      </c>
      <c r="N4" s="92">
        <f>RANK(TournamentData[[#This Row],[Champion''s Score]],TournamentData[Champion''s Score],1)</f>
        <v>1</v>
      </c>
      <c r="O4" s="93"/>
      <c r="P4" s="100" t="s">
        <v>122</v>
      </c>
      <c r="Q4" s="94">
        <f>IF(ISNA(INDEX(CoreValuesResults[Core Values Score],MATCH(TournamentData[[#This Row],[Team Number]],CoreValuesResults[Team Number],0))),0,INDEX(CoreValuesResults[Core Values Score],MATCH(TournamentData[[#This Row],[Team Number]],CoreValuesResults[Team Number],0)))</f>
        <v>0</v>
      </c>
      <c r="R4" s="94">
        <f>IF(ISNA(INDEX(InnovationProjectResults[Innovation Project Score],MATCH(TournamentData[[#This Row],[Team Number]],InnovationProjectResults[Team Number],0))),0,INDEX(InnovationProjectResults[Innovation Project Score],MATCH(TournamentData[[#This Row],[Team Number]],InnovationProjectResults[Team Number],0)))</f>
        <v>0</v>
      </c>
      <c r="S4" s="94">
        <f>IF(ISNA(INDEX(RobotDesignResults[Robot Design Score],MATCH(TournamentData[[#This Row],[Team Number]],RobotDesignResults[Team Number],0))),0,INDEX(RobotDesignResults[Robot Design Score],MATCH(TournamentData[[#This Row],[Team Number]],RobotDesignResults[Team Number],0)))</f>
        <v>0</v>
      </c>
      <c r="T4" s="9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3" t="e">
        <f>IF(T4,_xlfn.RANK.EQ(T4,T$3:T$17,0),NumberOfTeams)</f>
        <v>#REF!</v>
      </c>
      <c r="V4" s="93"/>
    </row>
    <row r="5" spans="1:25" ht="20.25" customHeight="1" x14ac:dyDescent="0.25">
      <c r="A5" s="82"/>
      <c r="B5" s="81"/>
      <c r="C5" s="81"/>
      <c r="D5" s="81"/>
      <c r="E5" s="81"/>
      <c r="F5" s="81"/>
      <c r="G5" s="81"/>
      <c r="H5" s="81"/>
      <c r="I5" s="81"/>
      <c r="J5" s="81"/>
      <c r="K5" s="81"/>
      <c r="L5" s="81"/>
      <c r="M5" s="81"/>
      <c r="N5" s="81"/>
      <c r="O5" s="82"/>
      <c r="P5" s="100"/>
      <c r="Q5" s="122"/>
      <c r="R5" s="122"/>
      <c r="S5" s="122"/>
      <c r="T5" s="123"/>
      <c r="U5" s="82"/>
      <c r="V5" s="82"/>
    </row>
    <row r="6" spans="1:25" ht="20.25" customHeight="1" x14ac:dyDescent="0.25">
      <c r="A6" s="82"/>
      <c r="B6" s="81"/>
      <c r="C6" s="81"/>
      <c r="D6" s="81"/>
      <c r="E6" s="81"/>
      <c r="F6" s="81"/>
      <c r="G6" s="81"/>
      <c r="H6" s="81"/>
      <c r="I6" s="81"/>
      <c r="J6" s="81"/>
      <c r="K6" s="81"/>
      <c r="L6" s="81"/>
      <c r="M6" s="81"/>
      <c r="N6" s="81"/>
      <c r="O6" s="82"/>
      <c r="P6" s="100"/>
      <c r="Q6" s="122"/>
      <c r="R6" s="122"/>
      <c r="S6" s="122"/>
      <c r="T6" s="123"/>
      <c r="U6" s="82"/>
      <c r="V6" s="82"/>
    </row>
    <row r="7" spans="1:25" ht="20.25" customHeight="1" x14ac:dyDescent="0.25">
      <c r="A7" s="82"/>
      <c r="B7" s="81"/>
      <c r="C7" s="81"/>
      <c r="D7" s="81"/>
      <c r="E7" s="81"/>
      <c r="F7" s="81"/>
      <c r="G7" s="81"/>
      <c r="H7" s="81"/>
      <c r="I7" s="81"/>
      <c r="J7" s="81"/>
      <c r="K7" s="81"/>
      <c r="L7" s="81"/>
      <c r="M7" s="81"/>
      <c r="N7" s="81"/>
      <c r="O7" s="82"/>
      <c r="P7" s="100"/>
      <c r="Q7" s="122"/>
      <c r="R7" s="122"/>
      <c r="S7" s="122"/>
      <c r="T7" s="123"/>
      <c r="U7" s="82"/>
      <c r="V7" s="82"/>
    </row>
    <row r="8" spans="1:25" ht="20.25" customHeight="1" x14ac:dyDescent="0.25">
      <c r="A8" s="82"/>
      <c r="B8" s="81"/>
      <c r="C8" s="81"/>
      <c r="D8" s="81"/>
      <c r="E8" s="81"/>
      <c r="F8" s="81"/>
      <c r="G8" s="81"/>
      <c r="H8" s="81"/>
      <c r="I8" s="81"/>
      <c r="J8" s="81"/>
      <c r="K8" s="81"/>
      <c r="L8" s="81"/>
      <c r="M8" s="81"/>
      <c r="N8" s="81"/>
      <c r="O8" s="82"/>
      <c r="P8" s="100"/>
      <c r="Q8" s="122"/>
      <c r="R8" s="122"/>
      <c r="S8" s="122"/>
      <c r="T8" s="123"/>
      <c r="U8" s="82"/>
      <c r="V8" s="82"/>
    </row>
    <row r="9" spans="1:25" ht="20.25" customHeight="1" x14ac:dyDescent="0.25">
      <c r="A9" s="82"/>
      <c r="B9" s="81"/>
      <c r="C9" s="81"/>
      <c r="D9" s="81"/>
      <c r="E9" s="81"/>
      <c r="F9" s="81"/>
      <c r="G9" s="81"/>
      <c r="H9" s="81"/>
      <c r="I9" s="81"/>
      <c r="J9" s="81"/>
      <c r="K9" s="81"/>
      <c r="L9" s="81"/>
      <c r="M9" s="81"/>
      <c r="N9" s="81"/>
      <c r="O9" s="82"/>
      <c r="P9" s="100"/>
      <c r="Q9" s="122"/>
      <c r="R9" s="122"/>
      <c r="S9" s="122"/>
      <c r="T9" s="123"/>
      <c r="U9" s="82"/>
      <c r="V9" s="82"/>
    </row>
    <row r="10" spans="1:25" ht="20.25" customHeight="1" x14ac:dyDescent="0.25">
      <c r="A10" s="82"/>
      <c r="B10" s="81"/>
      <c r="C10" s="81"/>
      <c r="D10" s="81"/>
      <c r="E10" s="81"/>
      <c r="F10" s="81"/>
      <c r="G10" s="81"/>
      <c r="H10" s="81"/>
      <c r="I10" s="81"/>
      <c r="J10" s="81"/>
      <c r="K10" s="81"/>
      <c r="L10" s="81"/>
      <c r="M10" s="81"/>
      <c r="N10" s="81"/>
      <c r="O10" s="82"/>
      <c r="P10" s="100"/>
      <c r="Q10" s="122"/>
      <c r="R10" s="122"/>
      <c r="S10" s="122"/>
      <c r="T10" s="123"/>
      <c r="U10" s="82"/>
      <c r="V10" s="82"/>
    </row>
    <row r="11" spans="1:25" ht="20.25" customHeight="1" x14ac:dyDescent="0.25">
      <c r="A11" s="82"/>
      <c r="B11" s="81"/>
      <c r="C11" s="81"/>
      <c r="D11" s="81"/>
      <c r="E11" s="81"/>
      <c r="F11" s="81"/>
      <c r="G11" s="81"/>
      <c r="H11" s="81"/>
      <c r="I11" s="81"/>
      <c r="J11" s="81"/>
      <c r="K11" s="81"/>
      <c r="L11" s="81"/>
      <c r="M11" s="81"/>
      <c r="N11" s="81"/>
      <c r="O11" s="82"/>
      <c r="P11" s="100"/>
      <c r="Q11" s="122"/>
      <c r="R11" s="122"/>
      <c r="S11" s="122"/>
      <c r="T11" s="123"/>
      <c r="U11" s="82"/>
      <c r="V11" s="82"/>
    </row>
    <row r="12" spans="1:25" ht="20.25" customHeight="1" x14ac:dyDescent="0.25">
      <c r="A12" s="82"/>
      <c r="B12" s="81"/>
      <c r="C12" s="81"/>
      <c r="D12" s="81"/>
      <c r="E12" s="81"/>
      <c r="F12" s="81"/>
      <c r="G12" s="81"/>
      <c r="H12" s="81"/>
      <c r="I12" s="81"/>
      <c r="J12" s="81"/>
      <c r="K12" s="81"/>
      <c r="L12" s="81"/>
      <c r="M12" s="81"/>
      <c r="N12" s="81"/>
      <c r="O12" s="82"/>
      <c r="P12" s="100"/>
      <c r="Q12" s="122"/>
      <c r="R12" s="122"/>
      <c r="S12" s="122"/>
      <c r="T12" s="123"/>
      <c r="U12" s="82"/>
      <c r="V12" s="82"/>
    </row>
    <row r="13" spans="1:25" ht="20.25" customHeight="1" x14ac:dyDescent="0.25">
      <c r="A13" s="82"/>
      <c r="B13" s="81"/>
      <c r="C13" s="81"/>
      <c r="D13" s="81"/>
      <c r="E13" s="81"/>
      <c r="F13" s="81"/>
      <c r="G13" s="81"/>
      <c r="H13" s="81"/>
      <c r="I13" s="81"/>
      <c r="J13" s="81"/>
      <c r="K13" s="81"/>
      <c r="L13" s="81"/>
      <c r="M13" s="81"/>
      <c r="N13" s="81"/>
      <c r="O13" s="82"/>
      <c r="P13" s="100"/>
      <c r="Q13" s="122"/>
      <c r="R13" s="122"/>
      <c r="S13" s="122"/>
      <c r="T13" s="123"/>
      <c r="U13" s="82"/>
      <c r="V13" s="82"/>
    </row>
    <row r="14" spans="1:25" ht="20.25" customHeight="1" x14ac:dyDescent="0.25">
      <c r="A14" s="82"/>
      <c r="B14" s="81"/>
      <c r="C14" s="81"/>
      <c r="D14" s="81"/>
      <c r="E14" s="81"/>
      <c r="F14" s="81"/>
      <c r="G14" s="81"/>
      <c r="H14" s="81"/>
      <c r="I14" s="81"/>
      <c r="J14" s="81"/>
      <c r="K14" s="81"/>
      <c r="L14" s="81"/>
      <c r="M14" s="81"/>
      <c r="N14" s="81"/>
      <c r="O14" s="82"/>
      <c r="P14" s="100"/>
      <c r="Q14" s="122"/>
      <c r="R14" s="122"/>
      <c r="S14" s="122"/>
      <c r="T14" s="123"/>
      <c r="U14" s="82"/>
      <c r="V14" s="82"/>
    </row>
    <row r="15" spans="1:25" ht="20.25" customHeight="1" x14ac:dyDescent="0.25">
      <c r="A15" s="82"/>
      <c r="B15" s="81"/>
      <c r="C15" s="81"/>
      <c r="D15" s="81"/>
      <c r="E15" s="81"/>
      <c r="F15" s="81"/>
      <c r="G15" s="81"/>
      <c r="H15" s="81"/>
      <c r="I15" s="81"/>
      <c r="J15" s="81"/>
      <c r="K15" s="81"/>
      <c r="L15" s="81"/>
      <c r="M15" s="81"/>
      <c r="N15" s="81"/>
      <c r="O15" s="82"/>
      <c r="P15" s="100"/>
      <c r="Q15" s="122"/>
      <c r="R15" s="122"/>
      <c r="S15" s="122"/>
      <c r="T15" s="123"/>
      <c r="U15" s="82"/>
      <c r="V15" s="82"/>
    </row>
    <row r="16" spans="1:25" ht="20.25" customHeight="1" x14ac:dyDescent="0.25">
      <c r="A16" s="82"/>
      <c r="B16" s="81"/>
      <c r="C16" s="81"/>
      <c r="D16" s="81"/>
      <c r="E16" s="81"/>
      <c r="F16" s="81"/>
      <c r="G16" s="81"/>
      <c r="H16" s="81"/>
      <c r="I16" s="81"/>
      <c r="J16" s="81"/>
      <c r="K16" s="81"/>
      <c r="L16" s="81"/>
      <c r="M16" s="81"/>
      <c r="N16" s="81"/>
      <c r="O16" s="82"/>
      <c r="P16" s="100"/>
      <c r="Q16" s="122"/>
      <c r="R16" s="122"/>
      <c r="S16" s="122"/>
      <c r="T16" s="123"/>
      <c r="U16" s="82"/>
      <c r="V16" s="82"/>
    </row>
    <row r="17" spans="1:22" ht="20.25" customHeight="1" x14ac:dyDescent="0.25">
      <c r="A17" s="82"/>
      <c r="B17" s="81"/>
      <c r="C17" s="81"/>
      <c r="D17" s="81"/>
      <c r="E17" s="81"/>
      <c r="F17" s="81"/>
      <c r="G17" s="81"/>
      <c r="H17" s="81"/>
      <c r="I17" s="81"/>
      <c r="J17" s="81"/>
      <c r="K17" s="81"/>
      <c r="L17" s="81"/>
      <c r="M17" s="81"/>
      <c r="N17" s="81"/>
      <c r="O17" s="82"/>
      <c r="P17" s="100"/>
      <c r="Q17" s="122"/>
      <c r="R17" s="122"/>
      <c r="S17" s="122"/>
      <c r="T17" s="123"/>
      <c r="U17" s="82"/>
      <c r="V17" s="82"/>
    </row>
    <row r="18" spans="1:22" ht="20.25" customHeight="1" x14ac:dyDescent="0.25">
      <c r="A18" s="82"/>
      <c r="B18" s="81"/>
      <c r="C18" s="81"/>
      <c r="D18" s="81"/>
      <c r="E18" s="81"/>
      <c r="F18" s="81"/>
      <c r="G18" s="81"/>
      <c r="H18" s="81"/>
      <c r="I18" s="81"/>
      <c r="J18" s="81"/>
      <c r="K18" s="81"/>
      <c r="L18" s="81"/>
      <c r="M18" s="81"/>
      <c r="N18" s="81"/>
      <c r="O18" s="82"/>
      <c r="P18" s="100"/>
      <c r="Q18" s="122"/>
      <c r="R18" s="122"/>
      <c r="S18" s="122"/>
      <c r="T18" s="123"/>
      <c r="U18" s="82"/>
      <c r="V18" s="82"/>
    </row>
    <row r="19" spans="1:22" ht="20.25" customHeight="1" x14ac:dyDescent="0.25">
      <c r="A19" s="82"/>
      <c r="B19" s="81"/>
      <c r="C19" s="81"/>
      <c r="D19" s="81"/>
      <c r="E19" s="81"/>
      <c r="F19" s="81"/>
      <c r="G19" s="81"/>
      <c r="H19" s="81"/>
      <c r="I19" s="81"/>
      <c r="J19" s="81"/>
      <c r="K19" s="81"/>
      <c r="L19" s="81"/>
      <c r="M19" s="81"/>
      <c r="N19" s="81"/>
      <c r="O19" s="82"/>
      <c r="P19" s="100"/>
      <c r="Q19" s="122"/>
      <c r="R19" s="122"/>
      <c r="S19" s="122"/>
      <c r="T19" s="123"/>
      <c r="U19" s="82"/>
      <c r="V19" s="82"/>
    </row>
    <row r="20" spans="1:22" ht="20.25" customHeight="1" x14ac:dyDescent="0.25">
      <c r="A20" s="82"/>
      <c r="B20" s="82"/>
      <c r="C20" s="82"/>
      <c r="D20" s="82"/>
      <c r="E20" s="82"/>
      <c r="F20" s="82"/>
      <c r="G20" s="82"/>
      <c r="H20" s="82"/>
      <c r="I20" s="82"/>
      <c r="J20" s="82"/>
      <c r="K20" s="82"/>
      <c r="L20" s="82"/>
      <c r="M20" s="82"/>
      <c r="N20" s="82"/>
      <c r="O20" s="82"/>
      <c r="P20" s="100"/>
      <c r="Q20" s="122"/>
      <c r="R20" s="122"/>
      <c r="S20" s="122"/>
      <c r="T20" s="123"/>
      <c r="U20" s="82"/>
      <c r="V20" s="82"/>
    </row>
    <row r="21" spans="1:22" ht="20.25" customHeight="1" x14ac:dyDescent="0.25">
      <c r="A21" s="82"/>
      <c r="B21" s="82"/>
      <c r="C21" s="82"/>
      <c r="D21" s="82"/>
      <c r="E21" s="82"/>
      <c r="F21" s="82"/>
      <c r="G21" s="82"/>
      <c r="H21" s="82"/>
      <c r="I21" s="82"/>
      <c r="J21" s="82"/>
      <c r="K21" s="82"/>
      <c r="L21" s="82"/>
      <c r="M21" s="82"/>
      <c r="N21" s="82"/>
      <c r="O21" s="82"/>
      <c r="P21" s="100"/>
      <c r="Q21" s="122"/>
      <c r="R21" s="122"/>
      <c r="S21" s="122"/>
      <c r="T21" s="123"/>
      <c r="U21" s="82"/>
      <c r="V21" s="82"/>
    </row>
    <row r="22" spans="1:22" ht="20.25" customHeight="1" x14ac:dyDescent="0.25">
      <c r="A22" s="82"/>
      <c r="B22" s="82"/>
      <c r="C22" s="82"/>
      <c r="D22" s="82"/>
      <c r="E22" s="82"/>
      <c r="F22" s="82"/>
      <c r="G22" s="82"/>
      <c r="H22" s="82"/>
      <c r="I22" s="82"/>
      <c r="J22" s="82"/>
      <c r="K22" s="82"/>
      <c r="L22" s="82"/>
      <c r="M22" s="82"/>
      <c r="N22" s="82"/>
      <c r="O22" s="82"/>
      <c r="P22" s="100"/>
      <c r="Q22" s="122"/>
      <c r="R22" s="122"/>
      <c r="S22" s="122"/>
      <c r="T22" s="123"/>
      <c r="U22" s="82"/>
      <c r="V22" s="82"/>
    </row>
    <row r="23" spans="1:22" ht="20.25" customHeight="1" x14ac:dyDescent="0.25">
      <c r="A23" s="82"/>
      <c r="B23" s="82"/>
      <c r="C23" s="82"/>
      <c r="D23" s="82"/>
      <c r="E23" s="82"/>
      <c r="F23" s="82"/>
      <c r="G23" s="82"/>
      <c r="H23" s="82"/>
      <c r="I23" s="82"/>
      <c r="J23" s="82"/>
      <c r="K23" s="82"/>
      <c r="L23" s="82"/>
      <c r="M23" s="82"/>
      <c r="N23" s="82"/>
      <c r="O23" s="82"/>
      <c r="P23" s="100"/>
      <c r="Q23" s="122"/>
      <c r="R23" s="122"/>
      <c r="S23" s="122"/>
      <c r="T23" s="123"/>
      <c r="U23" s="82"/>
      <c r="V23" s="82"/>
    </row>
    <row r="24" spans="1:22" ht="20.25" customHeight="1" x14ac:dyDescent="0.25">
      <c r="A24" s="82"/>
      <c r="B24" s="82"/>
      <c r="C24" s="82"/>
      <c r="D24" s="82"/>
      <c r="E24" s="82"/>
      <c r="F24" s="82"/>
      <c r="G24" s="82"/>
      <c r="H24" s="82"/>
      <c r="I24" s="82"/>
      <c r="J24" s="82"/>
      <c r="K24" s="82"/>
      <c r="L24" s="82"/>
      <c r="M24" s="82"/>
      <c r="N24" s="82"/>
      <c r="O24" s="82"/>
      <c r="P24" s="100"/>
      <c r="Q24" s="122"/>
      <c r="R24" s="122"/>
      <c r="S24" s="122"/>
      <c r="T24" s="123"/>
      <c r="U24" s="82"/>
      <c r="V24" s="82"/>
    </row>
    <row r="25" spans="1:22" ht="20.25" customHeight="1" x14ac:dyDescent="0.25">
      <c r="A25" s="82"/>
      <c r="B25" s="82"/>
      <c r="C25" s="82"/>
      <c r="D25" s="82"/>
      <c r="E25" s="82"/>
      <c r="F25" s="82"/>
      <c r="G25" s="82"/>
      <c r="H25" s="82"/>
      <c r="I25" s="82"/>
      <c r="J25" s="82"/>
      <c r="K25" s="82"/>
      <c r="L25" s="82"/>
      <c r="M25" s="82"/>
      <c r="N25" s="82"/>
      <c r="O25" s="82"/>
      <c r="P25" s="100"/>
      <c r="Q25" s="122"/>
      <c r="R25" s="122"/>
      <c r="S25" s="122"/>
      <c r="T25" s="123"/>
      <c r="U25" s="82"/>
      <c r="V25" s="82"/>
    </row>
    <row r="26" spans="1:22" ht="20.25" customHeight="1" x14ac:dyDescent="0.25">
      <c r="A26" s="82"/>
      <c r="B26" s="82"/>
      <c r="C26" s="82"/>
      <c r="D26" s="82"/>
      <c r="E26" s="82"/>
      <c r="F26" s="82"/>
      <c r="G26" s="82"/>
      <c r="H26" s="82"/>
      <c r="I26" s="82"/>
      <c r="J26" s="82"/>
      <c r="K26" s="82"/>
      <c r="L26" s="82"/>
      <c r="M26" s="82"/>
      <c r="N26" s="82"/>
      <c r="O26" s="82"/>
      <c r="P26" s="100"/>
      <c r="Q26" s="122"/>
      <c r="R26" s="122"/>
      <c r="S26" s="122"/>
      <c r="T26" s="123"/>
      <c r="U26" s="82"/>
      <c r="V26" s="82"/>
    </row>
    <row r="27" spans="1:22" ht="20.25" customHeight="1" x14ac:dyDescent="0.25">
      <c r="A27" s="82"/>
      <c r="B27" s="82"/>
      <c r="C27" s="82"/>
      <c r="D27" s="82"/>
      <c r="E27" s="82"/>
      <c r="F27" s="82"/>
      <c r="G27" s="82"/>
      <c r="H27" s="82"/>
      <c r="I27" s="82"/>
      <c r="J27" s="82"/>
      <c r="K27" s="82"/>
      <c r="L27" s="82"/>
      <c r="M27" s="82"/>
      <c r="N27" s="82"/>
      <c r="O27" s="82"/>
      <c r="P27" s="100"/>
      <c r="Q27" s="122"/>
      <c r="R27" s="122"/>
      <c r="S27" s="122"/>
      <c r="T27" s="123"/>
      <c r="U27" s="82"/>
      <c r="V27" s="82"/>
    </row>
    <row r="28" spans="1:22" ht="20.25" customHeight="1" x14ac:dyDescent="0.25">
      <c r="A28" s="82"/>
      <c r="B28" s="82"/>
      <c r="C28" s="82"/>
      <c r="D28" s="82"/>
      <c r="E28" s="82"/>
      <c r="F28" s="82"/>
      <c r="G28" s="82"/>
      <c r="H28" s="82"/>
      <c r="I28" s="82"/>
      <c r="J28" s="82"/>
      <c r="K28" s="82"/>
      <c r="L28" s="82"/>
      <c r="M28" s="82"/>
      <c r="N28" s="82"/>
      <c r="O28" s="82"/>
      <c r="P28" s="100"/>
      <c r="Q28" s="122"/>
      <c r="R28" s="122"/>
      <c r="S28" s="122"/>
      <c r="T28" s="123"/>
      <c r="U28" s="82"/>
      <c r="V28" s="82"/>
    </row>
    <row r="29" spans="1:22" ht="20.25" customHeight="1" x14ac:dyDescent="0.25">
      <c r="A29" s="82"/>
      <c r="B29" s="82"/>
      <c r="C29" s="82"/>
      <c r="D29" s="82"/>
      <c r="E29" s="82"/>
      <c r="F29" s="82"/>
      <c r="G29" s="82"/>
      <c r="H29" s="82"/>
      <c r="I29" s="82"/>
      <c r="J29" s="82"/>
      <c r="K29" s="82"/>
      <c r="L29" s="82"/>
      <c r="M29" s="82"/>
      <c r="N29" s="82"/>
      <c r="O29" s="82"/>
      <c r="P29" s="100"/>
      <c r="Q29" s="122"/>
      <c r="R29" s="122"/>
      <c r="S29" s="122"/>
      <c r="T29" s="123"/>
      <c r="U29" s="82"/>
      <c r="V29" s="82"/>
    </row>
    <row r="30" spans="1:22" ht="20.25" customHeight="1" x14ac:dyDescent="0.25">
      <c r="A30" s="82"/>
      <c r="B30" s="82"/>
      <c r="C30" s="82"/>
      <c r="D30" s="82"/>
      <c r="E30" s="82"/>
      <c r="F30" s="82"/>
      <c r="G30" s="82"/>
      <c r="H30" s="82"/>
      <c r="I30" s="82"/>
      <c r="J30" s="82"/>
      <c r="K30" s="82"/>
      <c r="L30" s="82"/>
      <c r="M30" s="82"/>
      <c r="N30" s="82"/>
      <c r="O30" s="82"/>
      <c r="P30" s="100"/>
      <c r="Q30" s="122"/>
      <c r="R30" s="122"/>
      <c r="S30" s="122"/>
      <c r="T30" s="123"/>
      <c r="U30" s="82"/>
      <c r="V30" s="82"/>
    </row>
    <row r="31" spans="1:22" ht="20.25" customHeight="1" x14ac:dyDescent="0.25">
      <c r="A31" s="82"/>
      <c r="B31" s="81"/>
      <c r="C31" s="81"/>
      <c r="D31" s="81"/>
      <c r="E31" s="81"/>
      <c r="F31" s="81"/>
      <c r="G31" s="81"/>
      <c r="H31" s="81"/>
      <c r="I31" s="81"/>
      <c r="J31" s="81"/>
      <c r="K31" s="81"/>
      <c r="L31" s="81"/>
      <c r="M31" s="81"/>
      <c r="N31" s="81"/>
      <c r="O31" s="82"/>
      <c r="P31" s="100"/>
      <c r="Q31" s="122"/>
      <c r="R31" s="122"/>
      <c r="S31" s="122"/>
      <c r="T31" s="123"/>
      <c r="U31" s="82"/>
      <c r="V31" s="82"/>
    </row>
    <row r="32" spans="1:22" ht="20.25" customHeight="1" x14ac:dyDescent="0.25">
      <c r="A32" s="82"/>
      <c r="B32" s="81"/>
      <c r="C32" s="81"/>
      <c r="D32" s="81"/>
      <c r="E32" s="81"/>
      <c r="F32" s="81"/>
      <c r="G32" s="81"/>
      <c r="H32" s="81"/>
      <c r="I32" s="81"/>
      <c r="J32" s="81"/>
      <c r="K32" s="81"/>
      <c r="L32" s="81"/>
      <c r="M32" s="81"/>
      <c r="N32" s="81"/>
      <c r="O32" s="82"/>
      <c r="P32" s="100"/>
      <c r="Q32" s="122"/>
      <c r="R32" s="122"/>
      <c r="S32" s="122"/>
      <c r="T32" s="123"/>
      <c r="U32" s="82"/>
      <c r="V32" s="82"/>
    </row>
    <row r="33" spans="1:22" ht="20.25" customHeight="1" x14ac:dyDescent="0.25">
      <c r="A33" s="82"/>
      <c r="B33" s="81"/>
      <c r="C33" s="81"/>
      <c r="D33" s="81"/>
      <c r="E33" s="81"/>
      <c r="F33" s="81"/>
      <c r="G33" s="81"/>
      <c r="H33" s="81"/>
      <c r="I33" s="81"/>
      <c r="J33" s="81"/>
      <c r="K33" s="81"/>
      <c r="L33" s="81"/>
      <c r="M33" s="81"/>
      <c r="N33" s="81"/>
      <c r="O33" s="82"/>
      <c r="P33" s="100"/>
      <c r="Q33" s="122"/>
      <c r="R33" s="122"/>
      <c r="S33" s="122"/>
      <c r="T33" s="123"/>
      <c r="U33" s="82"/>
      <c r="V33" s="82"/>
    </row>
    <row r="34" spans="1:22" ht="20.25" customHeight="1" x14ac:dyDescent="0.25">
      <c r="A34" s="82"/>
      <c r="B34" s="81"/>
      <c r="C34" s="81"/>
      <c r="D34" s="81"/>
      <c r="E34" s="81"/>
      <c r="F34" s="81"/>
      <c r="G34" s="81"/>
      <c r="H34" s="81"/>
      <c r="I34" s="81"/>
      <c r="J34" s="81"/>
      <c r="K34" s="81"/>
      <c r="L34" s="81"/>
      <c r="M34" s="81"/>
      <c r="N34" s="81"/>
      <c r="O34" s="82"/>
      <c r="P34" s="100"/>
      <c r="Q34" s="122"/>
      <c r="R34" s="122"/>
      <c r="S34" s="122"/>
      <c r="T34" s="123"/>
      <c r="U34" s="82"/>
      <c r="V34" s="82"/>
    </row>
    <row r="35" spans="1:22" ht="20.25" customHeight="1" x14ac:dyDescent="0.25">
      <c r="A35" s="82"/>
      <c r="B35" s="81"/>
      <c r="C35" s="81"/>
      <c r="D35" s="81"/>
      <c r="E35" s="81"/>
      <c r="F35" s="81"/>
      <c r="G35" s="81"/>
      <c r="H35" s="81"/>
      <c r="I35" s="81"/>
      <c r="J35" s="81"/>
      <c r="K35" s="81"/>
      <c r="L35" s="81"/>
      <c r="M35" s="81"/>
      <c r="N35" s="81"/>
      <c r="O35" s="82"/>
      <c r="P35" s="100"/>
      <c r="Q35" s="122"/>
      <c r="R35" s="122"/>
      <c r="S35" s="122"/>
      <c r="T35" s="123"/>
      <c r="U35" s="82"/>
      <c r="V35" s="82"/>
    </row>
    <row r="36" spans="1:22" ht="20.25" customHeight="1" x14ac:dyDescent="0.25">
      <c r="A36" s="82"/>
      <c r="B36" s="81"/>
      <c r="C36" s="81"/>
      <c r="D36" s="81"/>
      <c r="E36" s="81"/>
      <c r="F36" s="81"/>
      <c r="G36" s="81"/>
      <c r="H36" s="81"/>
      <c r="I36" s="81"/>
      <c r="J36" s="81"/>
      <c r="K36" s="81"/>
      <c r="L36" s="81"/>
      <c r="M36" s="81"/>
      <c r="N36" s="81"/>
      <c r="O36" s="82"/>
      <c r="P36" s="100"/>
      <c r="Q36" s="122"/>
      <c r="R36" s="122"/>
      <c r="S36" s="122"/>
      <c r="T36" s="123"/>
      <c r="U36" s="82"/>
      <c r="V36" s="82"/>
    </row>
    <row r="37" spans="1:22" ht="20.25" customHeight="1" x14ac:dyDescent="0.25">
      <c r="A37" s="82"/>
      <c r="B37" s="81"/>
      <c r="C37" s="81"/>
      <c r="D37" s="81"/>
      <c r="E37" s="81"/>
      <c r="F37" s="81"/>
      <c r="G37" s="81"/>
      <c r="H37" s="81"/>
      <c r="I37" s="81"/>
      <c r="J37" s="81"/>
      <c r="K37" s="81"/>
      <c r="L37" s="81"/>
      <c r="M37" s="81"/>
      <c r="N37" s="81"/>
      <c r="O37" s="82"/>
      <c r="P37" s="100"/>
      <c r="Q37" s="122"/>
      <c r="R37" s="122"/>
      <c r="S37" s="122"/>
      <c r="T37" s="123"/>
      <c r="U37" s="82"/>
      <c r="V37" s="82"/>
    </row>
    <row r="38" spans="1:22" ht="20.25" customHeight="1" x14ac:dyDescent="0.25">
      <c r="A38" s="82"/>
      <c r="B38" s="81"/>
      <c r="C38" s="81"/>
      <c r="D38" s="81"/>
      <c r="E38" s="81"/>
      <c r="F38" s="81"/>
      <c r="G38" s="81"/>
      <c r="H38" s="81"/>
      <c r="I38" s="81"/>
      <c r="J38" s="81"/>
      <c r="K38" s="81"/>
      <c r="L38" s="81"/>
      <c r="M38" s="81"/>
      <c r="N38" s="81"/>
      <c r="O38" s="82"/>
      <c r="P38" s="100"/>
      <c r="Q38" s="122"/>
      <c r="R38" s="122"/>
      <c r="S38" s="122"/>
      <c r="T38" s="123"/>
      <c r="U38" s="82"/>
      <c r="V38" s="82"/>
    </row>
    <row r="39" spans="1:22" ht="20.25" customHeight="1" x14ac:dyDescent="0.25">
      <c r="A39" s="82"/>
      <c r="B39" s="81"/>
      <c r="C39" s="81"/>
      <c r="D39" s="81"/>
      <c r="E39" s="81"/>
      <c r="F39" s="81"/>
      <c r="G39" s="81"/>
      <c r="H39" s="81"/>
      <c r="I39" s="81"/>
      <c r="J39" s="81"/>
      <c r="K39" s="81"/>
      <c r="L39" s="81"/>
      <c r="M39" s="81"/>
      <c r="N39" s="81"/>
      <c r="O39" s="82"/>
      <c r="P39" s="100"/>
      <c r="Q39" s="122"/>
      <c r="R39" s="122"/>
      <c r="S39" s="122"/>
      <c r="T39" s="123"/>
      <c r="U39" s="82"/>
      <c r="V39" s="82"/>
    </row>
    <row r="40" spans="1:22" ht="20.25" customHeight="1" x14ac:dyDescent="0.25">
      <c r="A40" s="82"/>
      <c r="B40" s="81"/>
      <c r="C40" s="81"/>
      <c r="D40" s="81"/>
      <c r="E40" s="81"/>
      <c r="F40" s="81"/>
      <c r="G40" s="81"/>
      <c r="H40" s="81"/>
      <c r="I40" s="81"/>
      <c r="J40" s="81"/>
      <c r="K40" s="81"/>
      <c r="L40" s="81"/>
      <c r="M40" s="81"/>
      <c r="N40" s="81"/>
      <c r="O40" s="82"/>
      <c r="P40" s="100"/>
      <c r="Q40" s="122"/>
      <c r="R40" s="122"/>
      <c r="S40" s="122"/>
      <c r="T40" s="123"/>
      <c r="U40" s="82"/>
      <c r="V40" s="82"/>
    </row>
    <row r="41" spans="1:22" ht="20.25" customHeight="1" x14ac:dyDescent="0.25">
      <c r="A41" s="82"/>
      <c r="B41" s="81"/>
      <c r="C41" s="81"/>
      <c r="D41" s="81"/>
      <c r="E41" s="81"/>
      <c r="F41" s="81"/>
      <c r="G41" s="81"/>
      <c r="H41" s="81"/>
      <c r="I41" s="81"/>
      <c r="J41" s="81"/>
      <c r="K41" s="81"/>
      <c r="L41" s="81"/>
      <c r="M41" s="81"/>
      <c r="N41" s="81"/>
      <c r="O41" s="82"/>
      <c r="P41" s="100"/>
      <c r="Q41" s="122"/>
      <c r="R41" s="122"/>
      <c r="S41" s="122"/>
      <c r="T41" s="123"/>
      <c r="U41" s="82"/>
      <c r="V41" s="82"/>
    </row>
    <row r="42" spans="1:22" ht="20.25" customHeight="1" x14ac:dyDescent="0.25">
      <c r="A42" s="82"/>
      <c r="B42" s="81"/>
      <c r="C42" s="81"/>
      <c r="D42" s="81"/>
      <c r="E42" s="81"/>
      <c r="F42" s="81"/>
      <c r="G42" s="81"/>
      <c r="H42" s="81"/>
      <c r="I42" s="81"/>
      <c r="J42" s="81"/>
      <c r="K42" s="81"/>
      <c r="L42" s="81"/>
      <c r="M42" s="81"/>
      <c r="N42" s="81"/>
      <c r="O42" s="82"/>
      <c r="P42" s="100"/>
      <c r="Q42" s="122"/>
      <c r="R42" s="122"/>
      <c r="S42" s="122"/>
      <c r="T42" s="123"/>
      <c r="U42" s="82"/>
      <c r="V42" s="82"/>
    </row>
    <row r="43" spans="1:22" ht="20.25" customHeight="1" x14ac:dyDescent="0.25">
      <c r="A43" s="82"/>
      <c r="B43" s="81"/>
      <c r="C43" s="81"/>
      <c r="D43" s="81"/>
      <c r="E43" s="81"/>
      <c r="F43" s="81"/>
      <c r="G43" s="81"/>
      <c r="H43" s="81"/>
      <c r="I43" s="81"/>
      <c r="J43" s="81"/>
      <c r="K43" s="81"/>
      <c r="L43" s="81"/>
      <c r="M43" s="81"/>
      <c r="N43" s="81"/>
      <c r="O43" s="82"/>
      <c r="P43" s="100"/>
      <c r="Q43" s="122"/>
      <c r="R43" s="122"/>
      <c r="S43" s="122"/>
      <c r="T43" s="123"/>
      <c r="U43" s="82"/>
      <c r="V43" s="82"/>
    </row>
    <row r="44" spans="1:22" ht="20.25" customHeight="1" x14ac:dyDescent="0.25">
      <c r="A44" s="82"/>
      <c r="B44" s="81"/>
      <c r="C44" s="81"/>
      <c r="D44" s="81"/>
      <c r="E44" s="81"/>
      <c r="F44" s="81"/>
      <c r="G44" s="81"/>
      <c r="H44" s="81"/>
      <c r="I44" s="81"/>
      <c r="J44" s="81"/>
      <c r="K44" s="81"/>
      <c r="L44" s="81"/>
      <c r="M44" s="81"/>
      <c r="N44" s="81"/>
      <c r="O44" s="82"/>
      <c r="P44" s="100"/>
      <c r="Q44" s="122"/>
      <c r="R44" s="122"/>
      <c r="S44" s="122"/>
      <c r="T44" s="123"/>
      <c r="U44" s="82"/>
      <c r="V44" s="82"/>
    </row>
    <row r="45" spans="1:22" ht="20.25" customHeight="1" x14ac:dyDescent="0.25">
      <c r="A45" s="82"/>
      <c r="B45" s="81"/>
      <c r="C45" s="81"/>
      <c r="D45" s="81"/>
      <c r="E45" s="81"/>
      <c r="F45" s="81"/>
      <c r="G45" s="81"/>
      <c r="H45" s="81"/>
      <c r="I45" s="81"/>
      <c r="J45" s="81"/>
      <c r="K45" s="81"/>
      <c r="L45" s="81"/>
      <c r="M45" s="81"/>
      <c r="N45" s="81"/>
      <c r="O45" s="82"/>
      <c r="P45" s="100"/>
      <c r="Q45" s="122"/>
      <c r="R45" s="122"/>
      <c r="S45" s="122"/>
      <c r="T45" s="123"/>
      <c r="U45" s="82"/>
      <c r="V45" s="82"/>
    </row>
    <row r="46" spans="1:22" ht="20.25" customHeight="1" x14ac:dyDescent="0.25">
      <c r="A46" s="82"/>
      <c r="B46" s="81"/>
      <c r="C46" s="81"/>
      <c r="D46" s="81"/>
      <c r="E46" s="81"/>
      <c r="F46" s="81"/>
      <c r="G46" s="81"/>
      <c r="H46" s="81"/>
      <c r="I46" s="81"/>
      <c r="J46" s="81"/>
      <c r="K46" s="81"/>
      <c r="L46" s="81"/>
      <c r="M46" s="81"/>
      <c r="N46" s="81"/>
      <c r="O46" s="82"/>
      <c r="P46" s="100"/>
      <c r="Q46" s="122"/>
      <c r="R46" s="122"/>
      <c r="S46" s="122"/>
      <c r="T46" s="123"/>
      <c r="U46" s="82"/>
      <c r="V46" s="82"/>
    </row>
    <row r="47" spans="1:22" ht="20.25" customHeight="1" x14ac:dyDescent="0.25">
      <c r="A47" s="82"/>
      <c r="B47" s="81"/>
      <c r="C47" s="81"/>
      <c r="D47" s="81"/>
      <c r="E47" s="81"/>
      <c r="F47" s="81"/>
      <c r="G47" s="81"/>
      <c r="H47" s="81"/>
      <c r="I47" s="81"/>
      <c r="J47" s="81"/>
      <c r="K47" s="81"/>
      <c r="L47" s="81"/>
      <c r="M47" s="81"/>
      <c r="N47" s="81"/>
      <c r="O47" s="82"/>
      <c r="P47" s="100"/>
      <c r="Q47" s="122"/>
      <c r="R47" s="122"/>
      <c r="S47" s="122"/>
      <c r="T47" s="123"/>
      <c r="U47" s="82"/>
      <c r="V47" s="82"/>
    </row>
    <row r="48" spans="1:22" ht="20.25" customHeight="1" x14ac:dyDescent="0.25">
      <c r="A48" s="82"/>
      <c r="B48" s="81"/>
      <c r="C48" s="81"/>
      <c r="D48" s="81"/>
      <c r="E48" s="81"/>
      <c r="F48" s="81"/>
      <c r="G48" s="81"/>
      <c r="H48" s="81"/>
      <c r="I48" s="81"/>
      <c r="J48" s="81"/>
      <c r="K48" s="81"/>
      <c r="L48" s="81"/>
      <c r="M48" s="81"/>
      <c r="N48" s="81"/>
      <c r="O48" s="82"/>
      <c r="P48" s="100"/>
      <c r="Q48" s="122"/>
      <c r="R48" s="122"/>
      <c r="S48" s="122"/>
      <c r="T48" s="123"/>
      <c r="U48" s="82"/>
      <c r="V48" s="82"/>
    </row>
    <row r="49" spans="1:22" ht="20.25" customHeight="1" x14ac:dyDescent="0.25">
      <c r="A49" s="82"/>
      <c r="B49" s="81"/>
      <c r="C49" s="81"/>
      <c r="D49" s="81"/>
      <c r="E49" s="81"/>
      <c r="F49" s="81"/>
      <c r="G49" s="81"/>
      <c r="H49" s="81"/>
      <c r="I49" s="81"/>
      <c r="J49" s="81"/>
      <c r="K49" s="81"/>
      <c r="L49" s="81"/>
      <c r="M49" s="81"/>
      <c r="N49" s="81"/>
      <c r="O49" s="82"/>
      <c r="P49" s="100"/>
      <c r="Q49" s="122"/>
      <c r="R49" s="122"/>
      <c r="S49" s="122"/>
      <c r="T49" s="123"/>
      <c r="U49" s="82"/>
      <c r="V49" s="82"/>
    </row>
    <row r="50" spans="1:22" ht="20.25" customHeight="1" x14ac:dyDescent="0.25">
      <c r="A50" s="82"/>
      <c r="B50" s="81"/>
      <c r="C50" s="81"/>
      <c r="D50" s="81"/>
      <c r="E50" s="81"/>
      <c r="F50" s="81"/>
      <c r="G50" s="81"/>
      <c r="H50" s="81"/>
      <c r="I50" s="81"/>
      <c r="J50" s="81"/>
      <c r="K50" s="81"/>
      <c r="L50" s="81"/>
      <c r="M50" s="81"/>
      <c r="N50" s="81"/>
      <c r="O50" s="82"/>
      <c r="P50" s="100"/>
      <c r="Q50" s="122"/>
      <c r="R50" s="122"/>
      <c r="S50" s="122"/>
      <c r="T50" s="123"/>
      <c r="U50" s="82"/>
      <c r="V50" s="82"/>
    </row>
    <row r="51" spans="1:22" ht="20.25" customHeight="1" x14ac:dyDescent="0.25">
      <c r="A51" s="82"/>
      <c r="B51" s="81"/>
      <c r="C51" s="81"/>
      <c r="D51" s="81"/>
      <c r="E51" s="81"/>
      <c r="F51" s="81"/>
      <c r="G51" s="81"/>
      <c r="H51" s="81"/>
      <c r="I51" s="81"/>
      <c r="J51" s="81"/>
      <c r="K51" s="81"/>
      <c r="L51" s="81"/>
      <c r="M51" s="81"/>
      <c r="N51" s="81"/>
      <c r="O51" s="82"/>
      <c r="P51" s="100"/>
      <c r="Q51" s="122"/>
      <c r="R51" s="122"/>
      <c r="S51" s="122"/>
      <c r="T51" s="123"/>
      <c r="U51" s="82"/>
      <c r="V51" s="82"/>
    </row>
    <row r="52" spans="1:22" ht="20.25" customHeight="1" x14ac:dyDescent="0.25">
      <c r="A52" s="82"/>
      <c r="B52" s="81"/>
      <c r="C52" s="81"/>
      <c r="D52" s="81"/>
      <c r="E52" s="81"/>
      <c r="F52" s="81"/>
      <c r="G52" s="81"/>
      <c r="H52" s="81"/>
      <c r="I52" s="81"/>
      <c r="J52" s="81"/>
      <c r="K52" s="81"/>
      <c r="L52" s="81"/>
      <c r="M52" s="81"/>
      <c r="N52" s="81"/>
      <c r="O52" s="82"/>
      <c r="P52" s="100"/>
      <c r="Q52" s="122"/>
      <c r="R52" s="122"/>
      <c r="S52" s="122"/>
      <c r="T52" s="123"/>
      <c r="U52" s="82"/>
      <c r="V52" s="82"/>
    </row>
    <row r="53" spans="1:22" ht="20.25" customHeight="1" x14ac:dyDescent="0.25">
      <c r="A53" s="82"/>
      <c r="B53" s="81"/>
      <c r="C53" s="81"/>
      <c r="D53" s="81"/>
      <c r="E53" s="81"/>
      <c r="F53" s="81"/>
      <c r="G53" s="81"/>
      <c r="H53" s="81"/>
      <c r="I53" s="81"/>
      <c r="J53" s="81"/>
      <c r="K53" s="81"/>
      <c r="L53" s="81"/>
      <c r="M53" s="81"/>
      <c r="N53" s="81"/>
      <c r="O53" s="82"/>
      <c r="P53" s="100"/>
      <c r="Q53" s="122"/>
      <c r="R53" s="122"/>
      <c r="S53" s="122"/>
      <c r="T53" s="123"/>
      <c r="U53" s="82"/>
      <c r="V53" s="82"/>
    </row>
    <row r="54" spans="1:22" ht="20.25" customHeight="1" x14ac:dyDescent="0.25">
      <c r="A54" s="82"/>
      <c r="B54" s="81"/>
      <c r="C54" s="81"/>
      <c r="D54" s="81"/>
      <c r="E54" s="81"/>
      <c r="F54" s="81"/>
      <c r="G54" s="81"/>
      <c r="H54" s="81"/>
      <c r="I54" s="81"/>
      <c r="J54" s="81"/>
      <c r="K54" s="81"/>
      <c r="L54" s="81"/>
      <c r="M54" s="81"/>
      <c r="N54" s="81"/>
      <c r="O54" s="82"/>
      <c r="P54" s="100"/>
      <c r="Q54" s="122"/>
      <c r="R54" s="122"/>
      <c r="S54" s="122"/>
      <c r="T54" s="123"/>
      <c r="U54" s="82"/>
      <c r="V54" s="82"/>
    </row>
    <row r="55" spans="1:22" ht="20.25" customHeight="1" x14ac:dyDescent="0.25">
      <c r="A55" s="82"/>
      <c r="B55" s="81"/>
      <c r="C55" s="81"/>
      <c r="D55" s="81"/>
      <c r="E55" s="81"/>
      <c r="F55" s="81"/>
      <c r="G55" s="81"/>
      <c r="H55" s="81"/>
      <c r="I55" s="81"/>
      <c r="J55" s="81"/>
      <c r="K55" s="81"/>
      <c r="L55" s="81"/>
      <c r="M55" s="81"/>
      <c r="N55" s="81"/>
      <c r="O55" s="82"/>
      <c r="P55" s="100"/>
      <c r="Q55" s="122"/>
      <c r="R55" s="122"/>
      <c r="S55" s="122"/>
      <c r="T55" s="123"/>
      <c r="U55" s="82"/>
      <c r="V55" s="82"/>
    </row>
    <row r="56" spans="1:22" ht="20.25" customHeight="1" x14ac:dyDescent="0.25">
      <c r="A56" s="82"/>
      <c r="B56" s="81"/>
      <c r="C56" s="81"/>
      <c r="D56" s="81"/>
      <c r="E56" s="81"/>
      <c r="F56" s="81"/>
      <c r="G56" s="81"/>
      <c r="H56" s="81"/>
      <c r="I56" s="81"/>
      <c r="J56" s="81"/>
      <c r="K56" s="81"/>
      <c r="L56" s="81"/>
      <c r="M56" s="81"/>
      <c r="N56" s="81"/>
      <c r="O56" s="82"/>
      <c r="P56" s="100"/>
      <c r="Q56" s="122"/>
      <c r="R56" s="122"/>
      <c r="S56" s="122"/>
      <c r="T56" s="123"/>
      <c r="U56" s="82"/>
      <c r="V56" s="82"/>
    </row>
    <row r="57" spans="1:22" ht="20.25" customHeight="1" x14ac:dyDescent="0.25">
      <c r="A57" s="82"/>
      <c r="B57" s="81"/>
      <c r="C57" s="81"/>
      <c r="D57" s="81"/>
      <c r="E57" s="81"/>
      <c r="F57" s="81"/>
      <c r="G57" s="81"/>
      <c r="H57" s="81"/>
      <c r="I57" s="81"/>
      <c r="J57" s="81"/>
      <c r="K57" s="81"/>
      <c r="L57" s="81"/>
      <c r="M57" s="81"/>
      <c r="N57" s="81"/>
      <c r="O57" s="82"/>
      <c r="P57" s="100"/>
      <c r="Q57" s="122"/>
      <c r="R57" s="122"/>
      <c r="S57" s="122"/>
      <c r="T57" s="123"/>
      <c r="U57" s="82"/>
      <c r="V57" s="82"/>
    </row>
    <row r="58" spans="1:22" ht="20.25" customHeight="1" x14ac:dyDescent="0.25">
      <c r="A58" s="82"/>
      <c r="B58" s="81"/>
      <c r="C58" s="81"/>
      <c r="D58" s="81"/>
      <c r="E58" s="81"/>
      <c r="F58" s="81"/>
      <c r="G58" s="81"/>
      <c r="H58" s="81"/>
      <c r="I58" s="81"/>
      <c r="J58" s="81"/>
      <c r="K58" s="81"/>
      <c r="L58" s="81"/>
      <c r="M58" s="81"/>
      <c r="N58" s="81"/>
      <c r="O58" s="82"/>
      <c r="P58" s="100"/>
      <c r="Q58" s="122"/>
      <c r="R58" s="122"/>
      <c r="S58" s="122"/>
      <c r="T58" s="123"/>
      <c r="U58" s="82"/>
      <c r="V58" s="82"/>
    </row>
    <row r="59" spans="1:22" ht="20.25" customHeight="1" x14ac:dyDescent="0.25">
      <c r="A59" s="82"/>
      <c r="B59" s="81"/>
      <c r="C59" s="81"/>
      <c r="D59" s="81"/>
      <c r="E59" s="81"/>
      <c r="F59" s="81"/>
      <c r="G59" s="81"/>
      <c r="H59" s="81"/>
      <c r="I59" s="81"/>
      <c r="J59" s="81"/>
      <c r="K59" s="81"/>
      <c r="L59" s="81"/>
      <c r="M59" s="81"/>
      <c r="N59" s="81"/>
      <c r="O59" s="82"/>
      <c r="P59" s="100"/>
      <c r="Q59" s="122"/>
      <c r="R59" s="122"/>
      <c r="S59" s="122"/>
      <c r="T59" s="123"/>
      <c r="U59" s="82"/>
      <c r="V59" s="82"/>
    </row>
    <row r="60" spans="1:22" ht="20.25" customHeight="1" x14ac:dyDescent="0.25">
      <c r="A60" s="82"/>
      <c r="B60" s="81"/>
      <c r="C60" s="81"/>
      <c r="D60" s="81"/>
      <c r="E60" s="81"/>
      <c r="F60" s="81"/>
      <c r="G60" s="81"/>
      <c r="H60" s="81"/>
      <c r="I60" s="81"/>
      <c r="J60" s="81"/>
      <c r="K60" s="81"/>
      <c r="L60" s="81"/>
      <c r="M60" s="81"/>
      <c r="N60" s="81"/>
      <c r="O60" s="82"/>
      <c r="P60" s="100"/>
      <c r="Q60" s="122"/>
      <c r="R60" s="122"/>
      <c r="S60" s="122"/>
      <c r="T60" s="123"/>
      <c r="U60" s="82"/>
      <c r="V60" s="82"/>
    </row>
    <row r="61" spans="1:22" ht="20.25" customHeight="1" x14ac:dyDescent="0.25">
      <c r="A61" s="82"/>
      <c r="B61" s="81"/>
      <c r="C61" s="81"/>
      <c r="D61" s="81"/>
      <c r="E61" s="81"/>
      <c r="F61" s="81"/>
      <c r="G61" s="81"/>
      <c r="H61" s="81"/>
      <c r="I61" s="81"/>
      <c r="J61" s="81"/>
      <c r="K61" s="81"/>
      <c r="L61" s="81"/>
      <c r="M61" s="81"/>
      <c r="N61" s="81"/>
      <c r="O61" s="82"/>
      <c r="P61" s="100"/>
      <c r="Q61" s="122"/>
      <c r="R61" s="122"/>
      <c r="S61" s="122"/>
      <c r="T61" s="123"/>
      <c r="U61" s="82"/>
      <c r="V61" s="82"/>
    </row>
    <row r="62" spans="1:22" ht="20.25" customHeight="1" x14ac:dyDescent="0.25">
      <c r="A62" s="82"/>
      <c r="B62" s="81"/>
      <c r="C62" s="81"/>
      <c r="D62" s="81"/>
      <c r="E62" s="81"/>
      <c r="F62" s="81"/>
      <c r="G62" s="81"/>
      <c r="H62" s="81"/>
      <c r="I62" s="81"/>
      <c r="J62" s="81"/>
      <c r="K62" s="81"/>
      <c r="L62" s="81"/>
      <c r="M62" s="81"/>
      <c r="N62" s="81"/>
      <c r="O62" s="82"/>
      <c r="P62" s="100"/>
      <c r="Q62" s="122"/>
      <c r="R62" s="122"/>
      <c r="S62" s="122"/>
      <c r="T62" s="123"/>
      <c r="U62" s="82"/>
      <c r="V62" s="82"/>
    </row>
    <row r="63" spans="1:22" ht="20.25" customHeight="1" x14ac:dyDescent="0.25">
      <c r="A63" s="82"/>
      <c r="B63" s="81"/>
      <c r="C63" s="81"/>
      <c r="D63" s="81"/>
      <c r="E63" s="81"/>
      <c r="F63" s="81"/>
      <c r="G63" s="81"/>
      <c r="H63" s="81"/>
      <c r="I63" s="81"/>
      <c r="J63" s="81"/>
      <c r="K63" s="81"/>
      <c r="L63" s="81"/>
      <c r="M63" s="81"/>
      <c r="N63" s="81"/>
      <c r="O63" s="82"/>
      <c r="P63" s="100"/>
      <c r="Q63" s="122"/>
      <c r="R63" s="122"/>
      <c r="S63" s="122"/>
      <c r="T63" s="123"/>
      <c r="U63" s="82"/>
      <c r="V63" s="82"/>
    </row>
    <row r="64" spans="1:22" ht="20.25" customHeight="1" x14ac:dyDescent="0.25">
      <c r="A64" s="82"/>
      <c r="B64" s="81"/>
      <c r="C64" s="81"/>
      <c r="D64" s="81"/>
      <c r="E64" s="81"/>
      <c r="F64" s="81"/>
      <c r="G64" s="81"/>
      <c r="H64" s="81"/>
      <c r="I64" s="81"/>
      <c r="J64" s="81"/>
      <c r="K64" s="81"/>
      <c r="L64" s="81"/>
      <c r="M64" s="81"/>
      <c r="N64" s="81"/>
      <c r="O64" s="82"/>
      <c r="P64" s="100"/>
      <c r="Q64" s="122"/>
      <c r="R64" s="122"/>
      <c r="S64" s="122"/>
      <c r="T64" s="123"/>
      <c r="U64" s="82"/>
      <c r="V64" s="82"/>
    </row>
    <row r="65" spans="1:22" ht="20.25" customHeight="1" x14ac:dyDescent="0.25">
      <c r="A65" s="82"/>
      <c r="B65" s="81"/>
      <c r="C65" s="81"/>
      <c r="D65" s="81"/>
      <c r="E65" s="81"/>
      <c r="F65" s="81"/>
      <c r="G65" s="81"/>
      <c r="H65" s="81"/>
      <c r="I65" s="81"/>
      <c r="J65" s="81"/>
      <c r="K65" s="81"/>
      <c r="L65" s="81"/>
      <c r="M65" s="81"/>
      <c r="N65" s="81"/>
      <c r="O65" s="82"/>
      <c r="P65" s="100"/>
      <c r="Q65" s="122"/>
      <c r="R65" s="122"/>
      <c r="S65" s="122"/>
      <c r="T65" s="123"/>
      <c r="U65" s="82"/>
      <c r="V65" s="82"/>
    </row>
    <row r="66" spans="1:22" ht="20.25" customHeight="1" x14ac:dyDescent="0.25">
      <c r="A66" s="82"/>
      <c r="B66" s="81"/>
      <c r="C66" s="81"/>
      <c r="D66" s="81"/>
      <c r="E66" s="81"/>
      <c r="F66" s="81"/>
      <c r="G66" s="81"/>
      <c r="H66" s="81"/>
      <c r="I66" s="81"/>
      <c r="J66" s="81"/>
      <c r="K66" s="81"/>
      <c r="L66" s="81"/>
      <c r="M66" s="81"/>
      <c r="N66" s="81"/>
      <c r="O66" s="82"/>
      <c r="P66" s="100"/>
      <c r="Q66" s="122"/>
      <c r="R66" s="122"/>
      <c r="S66" s="122"/>
      <c r="T66" s="123"/>
      <c r="U66" s="82"/>
      <c r="V66" s="82"/>
    </row>
    <row r="67" spans="1:22" ht="20.25" customHeight="1" x14ac:dyDescent="0.25">
      <c r="A67" s="82"/>
      <c r="B67" s="81"/>
      <c r="C67" s="81"/>
      <c r="D67" s="81"/>
      <c r="E67" s="81"/>
      <c r="F67" s="81"/>
      <c r="G67" s="81"/>
      <c r="H67" s="81"/>
      <c r="I67" s="81"/>
      <c r="J67" s="81"/>
      <c r="K67" s="81"/>
      <c r="L67" s="81"/>
      <c r="M67" s="81"/>
      <c r="N67" s="81"/>
      <c r="O67" s="82"/>
      <c r="P67" s="100"/>
      <c r="Q67" s="122"/>
      <c r="R67" s="122"/>
      <c r="S67" s="122"/>
      <c r="T67" s="123"/>
      <c r="U67" s="82"/>
      <c r="V67" s="82"/>
    </row>
    <row r="68" spans="1:22" ht="20.25" customHeight="1" x14ac:dyDescent="0.25">
      <c r="A68" s="82"/>
      <c r="B68" s="81"/>
      <c r="C68" s="81"/>
      <c r="D68" s="81"/>
      <c r="E68" s="81"/>
      <c r="F68" s="81"/>
      <c r="G68" s="81"/>
      <c r="H68" s="81"/>
      <c r="I68" s="81"/>
      <c r="J68" s="81"/>
      <c r="K68" s="81"/>
      <c r="L68" s="81"/>
      <c r="M68" s="81"/>
      <c r="N68" s="81"/>
      <c r="O68" s="82"/>
      <c r="P68" s="100"/>
      <c r="Q68" s="122"/>
      <c r="R68" s="122"/>
      <c r="S68" s="122"/>
      <c r="T68" s="123"/>
      <c r="U68" s="82"/>
      <c r="V68" s="82"/>
    </row>
    <row r="69" spans="1:22" ht="20.25" customHeight="1" x14ac:dyDescent="0.25">
      <c r="A69" s="82"/>
      <c r="B69" s="81"/>
      <c r="C69" s="81"/>
      <c r="D69" s="81"/>
      <c r="E69" s="81"/>
      <c r="F69" s="81"/>
      <c r="G69" s="81"/>
      <c r="H69" s="81"/>
      <c r="I69" s="81"/>
      <c r="J69" s="81"/>
      <c r="K69" s="81"/>
      <c r="L69" s="81"/>
      <c r="M69" s="81"/>
      <c r="N69" s="81"/>
      <c r="O69" s="82"/>
      <c r="P69" s="100"/>
      <c r="Q69" s="122"/>
      <c r="R69" s="122"/>
      <c r="S69" s="122"/>
      <c r="T69" s="123"/>
      <c r="U69" s="82"/>
      <c r="V69" s="82"/>
    </row>
    <row r="70" spans="1:22" ht="20.25" customHeight="1" x14ac:dyDescent="0.25">
      <c r="A70" s="82"/>
      <c r="B70" s="81"/>
      <c r="C70" s="81"/>
      <c r="D70" s="81"/>
      <c r="E70" s="81"/>
      <c r="F70" s="81"/>
      <c r="G70" s="81"/>
      <c r="H70" s="81"/>
      <c r="I70" s="81"/>
      <c r="J70" s="81"/>
      <c r="K70" s="81"/>
      <c r="L70" s="81"/>
      <c r="M70" s="81"/>
      <c r="N70" s="81"/>
      <c r="O70" s="82"/>
      <c r="P70" s="100"/>
      <c r="Q70" s="122"/>
      <c r="R70" s="122"/>
      <c r="S70" s="122"/>
      <c r="T70" s="123"/>
      <c r="U70" s="82"/>
      <c r="V70" s="82"/>
    </row>
    <row r="71" spans="1:22" ht="20.25" customHeight="1" x14ac:dyDescent="0.25">
      <c r="A71" s="82"/>
      <c r="B71" s="81"/>
      <c r="C71" s="81"/>
      <c r="D71" s="81"/>
      <c r="E71" s="81"/>
      <c r="F71" s="81"/>
      <c r="G71" s="81"/>
      <c r="H71" s="81"/>
      <c r="I71" s="81"/>
      <c r="J71" s="81"/>
      <c r="K71" s="81"/>
      <c r="L71" s="81"/>
      <c r="M71" s="81"/>
      <c r="N71" s="81"/>
      <c r="O71" s="82"/>
      <c r="P71" s="100"/>
      <c r="Q71" s="122"/>
      <c r="R71" s="122"/>
      <c r="S71" s="122"/>
      <c r="T71" s="123"/>
      <c r="U71" s="82"/>
      <c r="V71" s="82"/>
    </row>
    <row r="72" spans="1:22" ht="20.25" customHeight="1" x14ac:dyDescent="0.25">
      <c r="A72" s="82"/>
      <c r="B72" s="81"/>
      <c r="C72" s="81"/>
      <c r="D72" s="81"/>
      <c r="E72" s="81"/>
      <c r="F72" s="81"/>
      <c r="G72" s="81"/>
      <c r="H72" s="81"/>
      <c r="I72" s="81"/>
      <c r="J72" s="81"/>
      <c r="K72" s="81"/>
      <c r="L72" s="81"/>
      <c r="M72" s="81"/>
      <c r="N72" s="81"/>
      <c r="O72" s="82"/>
      <c r="P72" s="100"/>
      <c r="Q72" s="122"/>
      <c r="R72" s="122"/>
      <c r="S72" s="122"/>
      <c r="T72" s="123"/>
      <c r="U72" s="82"/>
      <c r="V72" s="82"/>
    </row>
    <row r="73" spans="1:22" ht="20.25" customHeight="1" x14ac:dyDescent="0.25">
      <c r="A73" s="82"/>
      <c r="B73" s="81"/>
      <c r="C73" s="81"/>
      <c r="D73" s="81"/>
      <c r="E73" s="81"/>
      <c r="F73" s="81"/>
      <c r="G73" s="81"/>
      <c r="H73" s="81"/>
      <c r="I73" s="81"/>
      <c r="J73" s="81"/>
      <c r="K73" s="81"/>
      <c r="L73" s="81"/>
      <c r="M73" s="81"/>
      <c r="N73" s="81"/>
      <c r="O73" s="82"/>
      <c r="P73" s="100"/>
      <c r="Q73" s="122"/>
      <c r="R73" s="122"/>
      <c r="S73" s="122"/>
      <c r="T73" s="123"/>
      <c r="U73" s="82"/>
      <c r="V73" s="82"/>
    </row>
    <row r="74" spans="1:22" ht="20.25" customHeight="1" x14ac:dyDescent="0.25">
      <c r="A74" s="82"/>
      <c r="B74" s="81"/>
      <c r="C74" s="81"/>
      <c r="D74" s="81"/>
      <c r="E74" s="81"/>
      <c r="F74" s="81"/>
      <c r="G74" s="81"/>
      <c r="H74" s="81"/>
      <c r="I74" s="81"/>
      <c r="J74" s="81"/>
      <c r="K74" s="81"/>
      <c r="L74" s="81"/>
      <c r="M74" s="81"/>
      <c r="N74" s="81"/>
      <c r="O74" s="82"/>
      <c r="P74" s="100"/>
      <c r="Q74" s="122"/>
      <c r="R74" s="122"/>
      <c r="S74" s="122"/>
      <c r="T74" s="123"/>
      <c r="U74" s="82"/>
      <c r="V74" s="82"/>
    </row>
    <row r="75" spans="1:22" ht="20.25" customHeight="1" x14ac:dyDescent="0.25">
      <c r="A75" s="82"/>
      <c r="B75" s="81"/>
      <c r="C75" s="81"/>
      <c r="D75" s="81"/>
      <c r="E75" s="81"/>
      <c r="F75" s="81"/>
      <c r="G75" s="81"/>
      <c r="H75" s="81"/>
      <c r="I75" s="81"/>
      <c r="J75" s="81"/>
      <c r="K75" s="81"/>
      <c r="L75" s="81"/>
      <c r="M75" s="81"/>
      <c r="N75" s="81"/>
      <c r="O75" s="82"/>
      <c r="P75" s="100"/>
      <c r="Q75" s="122"/>
      <c r="R75" s="122"/>
      <c r="S75" s="122"/>
      <c r="T75" s="123"/>
      <c r="U75" s="82"/>
      <c r="V75" s="82"/>
    </row>
    <row r="76" spans="1:22" ht="20.25" customHeight="1" x14ac:dyDescent="0.25">
      <c r="A76" s="82"/>
      <c r="B76" s="81"/>
      <c r="C76" s="81"/>
      <c r="D76" s="81"/>
      <c r="E76" s="81"/>
      <c r="F76" s="81"/>
      <c r="G76" s="81"/>
      <c r="H76" s="81"/>
      <c r="I76" s="81"/>
      <c r="J76" s="81"/>
      <c r="K76" s="81"/>
      <c r="L76" s="81"/>
      <c r="M76" s="81"/>
      <c r="N76" s="81"/>
      <c r="O76" s="82"/>
      <c r="P76" s="100"/>
      <c r="Q76" s="122"/>
      <c r="R76" s="122"/>
      <c r="S76" s="122"/>
      <c r="T76" s="123"/>
      <c r="U76" s="82"/>
      <c r="V76" s="82"/>
    </row>
    <row r="77" spans="1:22" ht="20.25" customHeight="1" x14ac:dyDescent="0.25">
      <c r="A77" s="82"/>
      <c r="B77" s="81"/>
      <c r="C77" s="81"/>
      <c r="D77" s="81"/>
      <c r="E77" s="81"/>
      <c r="F77" s="81"/>
      <c r="G77" s="81"/>
      <c r="H77" s="81"/>
      <c r="I77" s="81"/>
      <c r="J77" s="81"/>
      <c r="K77" s="81"/>
      <c r="L77" s="81"/>
      <c r="M77" s="81"/>
      <c r="N77" s="81"/>
      <c r="O77" s="82"/>
      <c r="P77" s="100"/>
      <c r="Q77" s="122"/>
      <c r="R77" s="122"/>
      <c r="S77" s="122"/>
      <c r="T77" s="123"/>
      <c r="U77" s="82"/>
      <c r="V77" s="82"/>
    </row>
    <row r="78" spans="1:22" ht="20.25" customHeight="1" x14ac:dyDescent="0.25">
      <c r="A78" s="82"/>
      <c r="B78" s="81"/>
      <c r="C78" s="81"/>
      <c r="D78" s="81"/>
      <c r="E78" s="81"/>
      <c r="F78" s="81"/>
      <c r="G78" s="81"/>
      <c r="H78" s="81"/>
      <c r="I78" s="81"/>
      <c r="J78" s="81"/>
      <c r="K78" s="81"/>
      <c r="L78" s="81"/>
      <c r="M78" s="81"/>
      <c r="N78" s="81"/>
      <c r="O78" s="82"/>
      <c r="P78" s="100"/>
      <c r="Q78" s="122"/>
      <c r="R78" s="122"/>
      <c r="S78" s="122"/>
      <c r="T78" s="123"/>
      <c r="U78" s="82"/>
      <c r="V78" s="82"/>
    </row>
    <row r="79" spans="1:22" ht="20.25" customHeight="1" x14ac:dyDescent="0.25">
      <c r="A79" s="82"/>
      <c r="B79" s="81"/>
      <c r="C79" s="81"/>
      <c r="D79" s="81"/>
      <c r="E79" s="81"/>
      <c r="F79" s="81"/>
      <c r="G79" s="81"/>
      <c r="H79" s="81"/>
      <c r="I79" s="81"/>
      <c r="J79" s="81"/>
      <c r="K79" s="81"/>
      <c r="L79" s="81"/>
      <c r="M79" s="81"/>
      <c r="N79" s="81"/>
      <c r="O79" s="82"/>
      <c r="P79" s="100"/>
      <c r="Q79" s="122"/>
      <c r="R79" s="122"/>
      <c r="S79" s="122"/>
      <c r="T79" s="123"/>
      <c r="U79" s="82"/>
      <c r="V79" s="82"/>
    </row>
    <row r="80" spans="1:22" ht="20.25" customHeight="1" x14ac:dyDescent="0.25">
      <c r="A80" s="82"/>
      <c r="B80" s="81"/>
      <c r="C80" s="81"/>
      <c r="D80" s="81"/>
      <c r="E80" s="81"/>
      <c r="F80" s="81"/>
      <c r="G80" s="81"/>
      <c r="H80" s="81"/>
      <c r="I80" s="81"/>
      <c r="J80" s="81"/>
      <c r="K80" s="81"/>
      <c r="L80" s="81"/>
      <c r="M80" s="81"/>
      <c r="N80" s="81"/>
      <c r="O80" s="82"/>
      <c r="P80" s="100"/>
      <c r="Q80" s="122"/>
      <c r="R80" s="122"/>
      <c r="S80" s="122"/>
      <c r="T80" s="123"/>
      <c r="U80" s="82"/>
      <c r="V80" s="82"/>
    </row>
    <row r="81" spans="1:22" ht="20.25" customHeight="1" x14ac:dyDescent="0.25">
      <c r="A81" s="82"/>
      <c r="B81" s="81"/>
      <c r="C81" s="81"/>
      <c r="D81" s="81"/>
      <c r="E81" s="81"/>
      <c r="F81" s="81"/>
      <c r="G81" s="81"/>
      <c r="H81" s="81"/>
      <c r="I81" s="81"/>
      <c r="J81" s="81"/>
      <c r="K81" s="81"/>
      <c r="L81" s="81"/>
      <c r="M81" s="81"/>
      <c r="N81" s="81"/>
      <c r="O81" s="82"/>
      <c r="P81" s="100"/>
      <c r="Q81" s="122"/>
      <c r="R81" s="122"/>
      <c r="S81" s="122"/>
      <c r="T81" s="123"/>
      <c r="U81" s="82"/>
      <c r="V81" s="82"/>
    </row>
    <row r="82" spans="1:22" ht="20.25" customHeight="1" x14ac:dyDescent="0.25">
      <c r="A82" s="82"/>
      <c r="B82" s="81"/>
      <c r="C82" s="81"/>
      <c r="D82" s="81"/>
      <c r="E82" s="81"/>
      <c r="F82" s="81"/>
      <c r="G82" s="81"/>
      <c r="H82" s="81"/>
      <c r="I82" s="81"/>
      <c r="J82" s="81"/>
      <c r="K82" s="81"/>
      <c r="L82" s="81"/>
      <c r="M82" s="81"/>
      <c r="N82" s="81"/>
      <c r="O82" s="82"/>
      <c r="P82" s="100"/>
      <c r="Q82" s="122"/>
      <c r="R82" s="122"/>
      <c r="S82" s="122"/>
      <c r="T82" s="123"/>
      <c r="U82" s="82"/>
      <c r="V82" s="82"/>
    </row>
    <row r="83" spans="1:22" ht="20.25" customHeight="1" x14ac:dyDescent="0.25">
      <c r="A83" s="82"/>
      <c r="B83" s="81"/>
      <c r="C83" s="81"/>
      <c r="D83" s="81"/>
      <c r="E83" s="81"/>
      <c r="F83" s="81"/>
      <c r="G83" s="81"/>
      <c r="H83" s="81"/>
      <c r="I83" s="81"/>
      <c r="J83" s="81"/>
      <c r="K83" s="81"/>
      <c r="L83" s="81"/>
      <c r="M83" s="81"/>
      <c r="N83" s="81"/>
      <c r="O83" s="82"/>
      <c r="P83" s="100"/>
      <c r="Q83" s="122"/>
      <c r="R83" s="122"/>
      <c r="S83" s="122"/>
      <c r="T83" s="123"/>
      <c r="U83" s="82"/>
      <c r="V83" s="82"/>
    </row>
    <row r="84" spans="1:22" ht="20.25" customHeight="1" x14ac:dyDescent="0.25">
      <c r="A84" s="82"/>
      <c r="B84" s="81"/>
      <c r="C84" s="81"/>
      <c r="D84" s="81"/>
      <c r="E84" s="81"/>
      <c r="F84" s="81"/>
      <c r="G84" s="81"/>
      <c r="H84" s="81"/>
      <c r="I84" s="81"/>
      <c r="J84" s="81"/>
      <c r="K84" s="81"/>
      <c r="L84" s="81"/>
      <c r="M84" s="81"/>
      <c r="N84" s="81"/>
      <c r="O84" s="82"/>
      <c r="P84" s="100"/>
      <c r="Q84" s="122"/>
      <c r="R84" s="122"/>
      <c r="S84" s="122"/>
      <c r="T84" s="123"/>
      <c r="U84" s="82"/>
      <c r="V84" s="82"/>
    </row>
    <row r="85" spans="1:22" ht="20.25" customHeight="1" x14ac:dyDescent="0.25">
      <c r="A85" s="82"/>
      <c r="B85" s="81"/>
      <c r="C85" s="81"/>
      <c r="D85" s="81"/>
      <c r="E85" s="81"/>
      <c r="F85" s="81"/>
      <c r="G85" s="81"/>
      <c r="H85" s="81"/>
      <c r="I85" s="81"/>
      <c r="J85" s="81"/>
      <c r="K85" s="81"/>
      <c r="L85" s="81"/>
      <c r="M85" s="81"/>
      <c r="N85" s="81"/>
      <c r="O85" s="82"/>
      <c r="P85" s="100"/>
      <c r="Q85" s="122"/>
      <c r="R85" s="122"/>
      <c r="S85" s="122"/>
      <c r="T85" s="123"/>
      <c r="U85" s="82"/>
      <c r="V85" s="82"/>
    </row>
    <row r="86" spans="1:22" ht="20.25" customHeight="1" x14ac:dyDescent="0.25">
      <c r="A86" s="82"/>
      <c r="B86" s="81"/>
      <c r="C86" s="81"/>
      <c r="D86" s="81"/>
      <c r="E86" s="81"/>
      <c r="F86" s="81"/>
      <c r="G86" s="81"/>
      <c r="H86" s="81"/>
      <c r="I86" s="81"/>
      <c r="J86" s="81"/>
      <c r="K86" s="81"/>
      <c r="L86" s="81"/>
      <c r="M86" s="81"/>
      <c r="N86" s="81"/>
      <c r="O86" s="82"/>
      <c r="P86" s="100"/>
      <c r="Q86" s="122"/>
      <c r="R86" s="122"/>
      <c r="S86" s="122"/>
      <c r="T86" s="123"/>
      <c r="U86" s="82"/>
      <c r="V86" s="82"/>
    </row>
    <row r="87" spans="1:22" ht="20.25" customHeight="1" x14ac:dyDescent="0.25">
      <c r="A87" s="82"/>
      <c r="B87" s="81"/>
      <c r="C87" s="81"/>
      <c r="D87" s="81"/>
      <c r="E87" s="81"/>
      <c r="F87" s="81"/>
      <c r="G87" s="81"/>
      <c r="H87" s="81"/>
      <c r="I87" s="81"/>
      <c r="J87" s="81"/>
      <c r="K87" s="81"/>
      <c r="L87" s="81"/>
      <c r="M87" s="81"/>
      <c r="N87" s="81"/>
      <c r="O87" s="82"/>
      <c r="P87" s="100"/>
      <c r="Q87" s="122"/>
      <c r="R87" s="122"/>
      <c r="S87" s="122"/>
      <c r="T87" s="123"/>
      <c r="U87" s="82"/>
      <c r="V87" s="82"/>
    </row>
    <row r="88" spans="1:22" ht="20.25" customHeight="1" x14ac:dyDescent="0.25">
      <c r="A88" s="82"/>
      <c r="B88" s="81"/>
      <c r="C88" s="81"/>
      <c r="D88" s="81"/>
      <c r="E88" s="81"/>
      <c r="F88" s="81"/>
      <c r="G88" s="81"/>
      <c r="H88" s="81"/>
      <c r="I88" s="81"/>
      <c r="J88" s="81"/>
      <c r="K88" s="81"/>
      <c r="L88" s="81"/>
      <c r="M88" s="81"/>
      <c r="N88" s="81"/>
      <c r="O88" s="82"/>
      <c r="P88" s="100"/>
      <c r="Q88" s="122"/>
      <c r="R88" s="122"/>
      <c r="S88" s="122"/>
      <c r="T88" s="123"/>
      <c r="U88" s="82"/>
      <c r="V88" s="82"/>
    </row>
    <row r="89" spans="1:22" ht="20.25" customHeight="1" x14ac:dyDescent="0.25">
      <c r="A89" s="82"/>
      <c r="B89" s="81"/>
      <c r="C89" s="81"/>
      <c r="D89" s="81"/>
      <c r="E89" s="81"/>
      <c r="F89" s="81"/>
      <c r="G89" s="81"/>
      <c r="H89" s="81"/>
      <c r="I89" s="81"/>
      <c r="J89" s="81"/>
      <c r="K89" s="81"/>
      <c r="L89" s="81"/>
      <c r="M89" s="81"/>
      <c r="N89" s="81"/>
      <c r="O89" s="82"/>
      <c r="P89" s="100"/>
      <c r="Q89" s="122"/>
      <c r="R89" s="122"/>
      <c r="S89" s="122"/>
      <c r="T89" s="123"/>
      <c r="U89" s="82"/>
      <c r="V89" s="82"/>
    </row>
    <row r="90" spans="1:22" ht="20.25" customHeight="1" x14ac:dyDescent="0.25">
      <c r="A90" s="82"/>
      <c r="B90" s="81"/>
      <c r="C90" s="81"/>
      <c r="D90" s="81"/>
      <c r="E90" s="81"/>
      <c r="F90" s="81"/>
      <c r="G90" s="81"/>
      <c r="H90" s="81"/>
      <c r="I90" s="81"/>
      <c r="J90" s="81"/>
      <c r="K90" s="81"/>
      <c r="L90" s="81"/>
      <c r="M90" s="81"/>
      <c r="N90" s="81"/>
      <c r="O90" s="82"/>
      <c r="P90" s="100"/>
      <c r="Q90" s="122"/>
      <c r="R90" s="122"/>
      <c r="S90" s="122"/>
      <c r="T90" s="123"/>
      <c r="U90" s="82"/>
      <c r="V90" s="82"/>
    </row>
    <row r="91" spans="1:22" ht="20.25" customHeight="1" x14ac:dyDescent="0.25">
      <c r="A91" s="83"/>
      <c r="B91" s="84"/>
      <c r="F91" s="84"/>
      <c r="G91" s="84"/>
      <c r="H91" s="84"/>
      <c r="I91" s="84"/>
      <c r="J91" s="84"/>
      <c r="K91" s="84"/>
      <c r="L91" s="84"/>
      <c r="M91" s="84"/>
      <c r="N91" s="84"/>
      <c r="O91" s="83"/>
      <c r="P91" s="100"/>
      <c r="Q91" s="124"/>
      <c r="R91" s="124"/>
      <c r="S91" s="124"/>
      <c r="T91" s="125"/>
      <c r="U91" s="100"/>
      <c r="V91" s="83"/>
    </row>
    <row r="92" spans="1:22" ht="20.25" customHeight="1" x14ac:dyDescent="0.25">
      <c r="A92" s="83"/>
      <c r="B92" s="84"/>
      <c r="F92" s="84"/>
      <c r="G92" s="84"/>
      <c r="H92" s="84"/>
      <c r="I92" s="84"/>
      <c r="J92" s="84"/>
      <c r="K92" s="84"/>
      <c r="L92" s="84"/>
      <c r="M92" s="84"/>
      <c r="N92" s="84"/>
      <c r="O92" s="83"/>
      <c r="P92" s="100"/>
      <c r="Q92" s="124"/>
      <c r="R92" s="124"/>
      <c r="S92" s="124"/>
      <c r="T92" s="125"/>
      <c r="U92" s="100"/>
      <c r="V92" s="83"/>
    </row>
    <row r="93" spans="1:22" ht="20.25" customHeight="1" x14ac:dyDescent="0.25">
      <c r="A93" s="83"/>
      <c r="B93" s="84"/>
      <c r="F93" s="84"/>
      <c r="G93" s="84"/>
      <c r="H93" s="84"/>
      <c r="I93" s="84"/>
      <c r="J93" s="84"/>
      <c r="K93" s="84"/>
      <c r="L93" s="84"/>
      <c r="M93" s="84"/>
      <c r="N93" s="84"/>
      <c r="O93" s="83"/>
      <c r="P93" s="100"/>
      <c r="Q93" s="124"/>
      <c r="R93" s="124"/>
      <c r="S93" s="124"/>
      <c r="T93" s="125"/>
      <c r="U93" s="100"/>
      <c r="V93" s="83"/>
    </row>
    <row r="94" spans="1:22" ht="20.25" customHeight="1" x14ac:dyDescent="0.25">
      <c r="A94" s="83"/>
      <c r="B94" s="84"/>
      <c r="F94" s="84"/>
      <c r="G94" s="84"/>
      <c r="H94" s="84"/>
      <c r="I94" s="84"/>
      <c r="J94" s="84"/>
      <c r="K94" s="84"/>
      <c r="L94" s="84"/>
      <c r="M94" s="84"/>
      <c r="N94" s="84"/>
      <c r="O94" s="83"/>
      <c r="P94" s="100"/>
      <c r="Q94" s="124"/>
      <c r="R94" s="124"/>
      <c r="S94" s="124"/>
      <c r="T94" s="125"/>
      <c r="U94" s="100"/>
      <c r="V94" s="83"/>
    </row>
    <row r="95" spans="1:22" ht="20.25" customHeight="1" x14ac:dyDescent="0.25">
      <c r="A95" s="83"/>
      <c r="B95" s="84"/>
      <c r="F95" s="84"/>
      <c r="G95" s="84"/>
      <c r="H95" s="84"/>
      <c r="I95" s="84"/>
      <c r="J95" s="84"/>
      <c r="K95" s="84"/>
      <c r="L95" s="84"/>
      <c r="M95" s="84"/>
      <c r="N95" s="84"/>
      <c r="O95" s="83"/>
      <c r="P95" s="100"/>
      <c r="Q95" s="124"/>
      <c r="R95" s="124"/>
      <c r="S95" s="124"/>
      <c r="T95" s="125"/>
      <c r="U95" s="100"/>
      <c r="V95" s="83"/>
    </row>
    <row r="96" spans="1:22" ht="20.25" customHeight="1" x14ac:dyDescent="0.25">
      <c r="A96" s="83"/>
      <c r="B96" s="84"/>
      <c r="F96" s="84"/>
      <c r="G96" s="84"/>
      <c r="H96" s="84"/>
      <c r="I96" s="84"/>
      <c r="J96" s="84"/>
      <c r="K96" s="84"/>
      <c r="L96" s="84"/>
      <c r="M96" s="84"/>
      <c r="N96" s="84"/>
      <c r="O96" s="83"/>
      <c r="P96" s="100"/>
      <c r="Q96" s="124"/>
      <c r="R96" s="124"/>
      <c r="S96" s="124"/>
      <c r="T96" s="125"/>
      <c r="U96" s="100"/>
      <c r="V96" s="83"/>
    </row>
    <row r="97" spans="1:22" ht="20.25" customHeight="1" x14ac:dyDescent="0.25">
      <c r="A97" s="83"/>
      <c r="B97" s="84"/>
      <c r="F97" s="84"/>
      <c r="G97" s="84"/>
      <c r="H97" s="84"/>
      <c r="I97" s="84"/>
      <c r="J97" s="84"/>
      <c r="K97" s="84"/>
      <c r="L97" s="84"/>
      <c r="M97" s="84"/>
      <c r="N97" s="84"/>
      <c r="O97" s="83"/>
      <c r="P97" s="100"/>
      <c r="Q97" s="124"/>
      <c r="R97" s="124"/>
      <c r="S97" s="124"/>
      <c r="T97" s="125"/>
      <c r="U97" s="100"/>
      <c r="V97" s="83"/>
    </row>
    <row r="98" spans="1:22" ht="20.25" customHeight="1" x14ac:dyDescent="0.25">
      <c r="A98" s="83"/>
      <c r="B98" s="84"/>
      <c r="F98" s="84"/>
      <c r="G98" s="84"/>
      <c r="H98" s="84"/>
      <c r="I98" s="84"/>
      <c r="J98" s="84"/>
      <c r="K98" s="84"/>
      <c r="L98" s="84"/>
      <c r="M98" s="84"/>
      <c r="N98" s="84"/>
      <c r="O98" s="83"/>
      <c r="P98" s="100"/>
      <c r="Q98" s="124"/>
      <c r="R98" s="124"/>
      <c r="S98" s="124"/>
      <c r="T98" s="125"/>
      <c r="U98" s="100"/>
      <c r="V98" s="83"/>
    </row>
    <row r="99" spans="1:22" ht="20.25" customHeight="1" x14ac:dyDescent="0.25">
      <c r="A99" s="83"/>
      <c r="B99" s="84"/>
      <c r="F99" s="84"/>
      <c r="G99" s="84"/>
      <c r="H99" s="84"/>
      <c r="I99" s="84"/>
      <c r="J99" s="84"/>
      <c r="K99" s="84"/>
      <c r="L99" s="84"/>
      <c r="M99" s="84"/>
      <c r="N99" s="84"/>
      <c r="O99" s="83"/>
      <c r="P99" s="100"/>
      <c r="Q99" s="124"/>
      <c r="R99" s="124"/>
      <c r="S99" s="124"/>
      <c r="T99" s="125"/>
      <c r="U99" s="100"/>
      <c r="V99" s="83"/>
    </row>
    <row r="100" spans="1:22" ht="20.25" customHeight="1" x14ac:dyDescent="0.25">
      <c r="A100" s="83"/>
      <c r="B100" s="84"/>
      <c r="F100" s="84"/>
      <c r="G100" s="84"/>
      <c r="H100" s="84"/>
      <c r="I100" s="84"/>
      <c r="J100" s="84"/>
      <c r="K100" s="84"/>
      <c r="L100" s="84"/>
      <c r="M100" s="84"/>
      <c r="N100" s="84"/>
      <c r="O100" s="83"/>
      <c r="P100" s="100"/>
      <c r="Q100" s="124"/>
      <c r="R100" s="124"/>
      <c r="S100" s="124"/>
      <c r="T100" s="125"/>
      <c r="U100" s="100"/>
      <c r="V100" s="83"/>
    </row>
    <row r="101" spans="1:22" ht="20.25" customHeight="1" x14ac:dyDescent="0.25">
      <c r="A101" s="83"/>
      <c r="B101" s="84"/>
      <c r="F101" s="84"/>
      <c r="G101" s="84"/>
      <c r="H101" s="84"/>
      <c r="I101" s="84"/>
      <c r="J101" s="84"/>
      <c r="K101" s="84"/>
      <c r="L101" s="84"/>
      <c r="M101" s="84"/>
      <c r="N101" s="84"/>
      <c r="O101" s="83"/>
      <c r="P101" s="100"/>
      <c r="Q101" s="124"/>
      <c r="R101" s="124"/>
      <c r="S101" s="124"/>
      <c r="T101" s="125"/>
      <c r="U101" s="100"/>
      <c r="V101" s="83"/>
    </row>
    <row r="102" spans="1:22" ht="20.25" customHeight="1" x14ac:dyDescent="0.25">
      <c r="A102" s="83"/>
      <c r="B102" s="84"/>
      <c r="F102" s="84"/>
      <c r="G102" s="84"/>
      <c r="H102" s="84"/>
      <c r="I102" s="84"/>
      <c r="J102" s="84"/>
      <c r="K102" s="84"/>
      <c r="L102" s="84"/>
      <c r="M102" s="84"/>
      <c r="N102" s="84"/>
      <c r="O102" s="83"/>
      <c r="P102" s="100"/>
      <c r="Q102" s="124"/>
      <c r="R102" s="124"/>
      <c r="S102" s="124"/>
      <c r="T102" s="125"/>
      <c r="U102" s="100"/>
      <c r="V102" s="83"/>
    </row>
    <row r="103" spans="1:22" ht="20.25" customHeight="1" x14ac:dyDescent="0.25">
      <c r="A103" s="83"/>
      <c r="B103" s="84"/>
      <c r="F103" s="84"/>
      <c r="G103" s="84"/>
      <c r="H103" s="84"/>
      <c r="I103" s="84"/>
      <c r="J103" s="84"/>
      <c r="K103" s="84"/>
      <c r="L103" s="84"/>
      <c r="M103" s="84"/>
      <c r="N103" s="84"/>
      <c r="O103" s="83"/>
      <c r="P103" s="100"/>
      <c r="Q103" s="124"/>
      <c r="R103" s="124"/>
      <c r="S103" s="124"/>
      <c r="T103" s="125"/>
      <c r="U103" s="100"/>
      <c r="V103" s="83"/>
    </row>
    <row r="104" spans="1:22" ht="20.25" customHeight="1" x14ac:dyDescent="0.25">
      <c r="A104" s="83"/>
      <c r="B104" s="84"/>
      <c r="F104" s="84"/>
      <c r="G104" s="84"/>
      <c r="H104" s="84"/>
      <c r="I104" s="84"/>
      <c r="J104" s="84"/>
      <c r="K104" s="84"/>
      <c r="L104" s="84"/>
      <c r="M104" s="84"/>
      <c r="N104" s="84"/>
      <c r="O104" s="83"/>
      <c r="P104" s="100"/>
      <c r="Q104" s="124"/>
      <c r="R104" s="124"/>
      <c r="S104" s="124"/>
      <c r="T104" s="125"/>
      <c r="U104" s="100"/>
      <c r="V104" s="83"/>
    </row>
    <row r="105" spans="1:22" ht="20.25" customHeight="1" x14ac:dyDescent="0.25">
      <c r="A105" s="83"/>
      <c r="B105" s="84"/>
      <c r="F105" s="84"/>
      <c r="G105" s="84"/>
      <c r="H105" s="84"/>
      <c r="I105" s="84"/>
      <c r="J105" s="84"/>
      <c r="K105" s="84"/>
      <c r="L105" s="84"/>
      <c r="M105" s="84"/>
      <c r="N105" s="84"/>
      <c r="O105" s="83"/>
      <c r="P105" s="100"/>
      <c r="Q105" s="124"/>
      <c r="R105" s="124"/>
      <c r="S105" s="124"/>
      <c r="T105" s="125"/>
      <c r="U105" s="100"/>
      <c r="V105" s="83"/>
    </row>
    <row r="106" spans="1:22" ht="20.25" customHeight="1" x14ac:dyDescent="0.25">
      <c r="A106" s="83"/>
      <c r="B106" s="84"/>
      <c r="F106" s="84"/>
      <c r="G106" s="84"/>
      <c r="H106" s="84"/>
      <c r="I106" s="84"/>
      <c r="J106" s="84"/>
      <c r="K106" s="84"/>
      <c r="L106" s="84"/>
      <c r="M106" s="84"/>
      <c r="N106" s="84"/>
      <c r="O106" s="83"/>
      <c r="P106" s="100"/>
      <c r="Q106" s="124"/>
      <c r="R106" s="124"/>
      <c r="S106" s="124"/>
      <c r="T106" s="125"/>
      <c r="U106" s="100"/>
      <c r="V106" s="83"/>
    </row>
    <row r="107" spans="1:22" ht="20.25" customHeight="1" x14ac:dyDescent="0.25">
      <c r="A107" s="83"/>
      <c r="B107" s="84"/>
      <c r="F107" s="84"/>
      <c r="G107" s="84"/>
      <c r="H107" s="84"/>
      <c r="I107" s="84"/>
      <c r="J107" s="84"/>
      <c r="K107" s="84"/>
      <c r="L107" s="84"/>
      <c r="M107" s="84"/>
      <c r="N107" s="84"/>
      <c r="O107" s="83"/>
      <c r="P107" s="100"/>
      <c r="Q107" s="124"/>
      <c r="R107" s="124"/>
      <c r="S107" s="124"/>
      <c r="T107" s="125"/>
      <c r="U107" s="100"/>
      <c r="V107" s="83"/>
    </row>
    <row r="108" spans="1:22" ht="20.25" customHeight="1" x14ac:dyDescent="0.25">
      <c r="A108" s="83"/>
      <c r="B108" s="84"/>
      <c r="F108" s="84"/>
      <c r="G108" s="84"/>
      <c r="H108" s="84"/>
      <c r="I108" s="84"/>
      <c r="J108" s="84"/>
      <c r="K108" s="84"/>
      <c r="L108" s="84"/>
      <c r="M108" s="84"/>
      <c r="N108" s="84"/>
      <c r="O108" s="83"/>
      <c r="P108" s="100"/>
      <c r="Q108" s="124"/>
      <c r="R108" s="124"/>
      <c r="S108" s="124"/>
      <c r="T108" s="125"/>
      <c r="U108" s="100"/>
      <c r="V108" s="83"/>
    </row>
    <row r="109" spans="1:22" ht="20.25" customHeight="1" x14ac:dyDescent="0.25">
      <c r="A109" s="83"/>
      <c r="B109" s="84"/>
      <c r="F109" s="84"/>
      <c r="G109" s="84"/>
      <c r="H109" s="84"/>
      <c r="I109" s="84"/>
      <c r="J109" s="84"/>
      <c r="K109" s="84"/>
      <c r="L109" s="84"/>
      <c r="M109" s="84"/>
      <c r="N109" s="84"/>
      <c r="O109" s="83"/>
      <c r="P109" s="100"/>
      <c r="Q109" s="124"/>
      <c r="R109" s="124"/>
      <c r="S109" s="124"/>
      <c r="T109" s="125"/>
      <c r="U109" s="100"/>
      <c r="V109" s="83"/>
    </row>
    <row r="110" spans="1:22" ht="20.25" customHeight="1" x14ac:dyDescent="0.25">
      <c r="A110" s="83"/>
      <c r="B110" s="84"/>
      <c r="F110" s="84"/>
      <c r="G110" s="84"/>
      <c r="H110" s="84"/>
      <c r="I110" s="84"/>
      <c r="J110" s="84"/>
      <c r="K110" s="84"/>
      <c r="L110" s="84"/>
      <c r="M110" s="84"/>
      <c r="N110" s="84"/>
      <c r="O110" s="83"/>
      <c r="P110" s="100"/>
      <c r="Q110" s="124"/>
      <c r="R110" s="124"/>
      <c r="S110" s="124"/>
      <c r="T110" s="125"/>
      <c r="U110" s="100"/>
      <c r="V110" s="83"/>
    </row>
    <row r="111" spans="1:22" ht="20.25" customHeight="1" x14ac:dyDescent="0.25">
      <c r="A111" s="83"/>
      <c r="B111" s="84"/>
      <c r="F111" s="84"/>
      <c r="G111" s="84"/>
      <c r="H111" s="84"/>
      <c r="I111" s="84"/>
      <c r="J111" s="84"/>
      <c r="K111" s="84"/>
      <c r="L111" s="84"/>
      <c r="M111" s="84"/>
      <c r="N111" s="84"/>
      <c r="O111" s="83"/>
      <c r="P111" s="100"/>
      <c r="Q111" s="124"/>
      <c r="R111" s="124"/>
      <c r="S111" s="124"/>
      <c r="T111" s="125"/>
      <c r="U111" s="100"/>
      <c r="V111" s="83"/>
    </row>
    <row r="112" spans="1:22" ht="20.25" customHeight="1" x14ac:dyDescent="0.25">
      <c r="A112" s="83"/>
      <c r="B112" s="84"/>
      <c r="F112" s="84"/>
      <c r="G112" s="84"/>
      <c r="H112" s="84"/>
      <c r="I112" s="84"/>
      <c r="J112" s="84"/>
      <c r="K112" s="84"/>
      <c r="L112" s="84"/>
      <c r="M112" s="84"/>
      <c r="N112" s="84"/>
      <c r="O112" s="83"/>
      <c r="P112" s="100"/>
      <c r="Q112" s="124"/>
      <c r="R112" s="124"/>
      <c r="S112" s="124"/>
      <c r="T112" s="125"/>
      <c r="U112" s="100"/>
      <c r="V112" s="83"/>
    </row>
    <row r="113" spans="1:22" ht="20.25" customHeight="1" x14ac:dyDescent="0.25">
      <c r="A113" s="83"/>
      <c r="B113" s="84"/>
      <c r="F113" s="84"/>
      <c r="G113" s="84"/>
      <c r="H113" s="84"/>
      <c r="I113" s="84"/>
      <c r="J113" s="84"/>
      <c r="K113" s="84"/>
      <c r="L113" s="84"/>
      <c r="M113" s="84"/>
      <c r="N113" s="84"/>
      <c r="O113" s="83"/>
      <c r="P113" s="100"/>
      <c r="Q113" s="124"/>
      <c r="R113" s="124"/>
      <c r="S113" s="124"/>
      <c r="T113" s="125"/>
      <c r="U113" s="100"/>
      <c r="V113" s="83"/>
    </row>
    <row r="114" spans="1:22" ht="20.25" customHeight="1" x14ac:dyDescent="0.25">
      <c r="A114" s="83"/>
      <c r="B114" s="84"/>
      <c r="F114" s="84"/>
      <c r="G114" s="84"/>
      <c r="H114" s="84"/>
      <c r="I114" s="84"/>
      <c r="J114" s="84"/>
      <c r="K114" s="84"/>
      <c r="L114" s="84"/>
      <c r="M114" s="84"/>
      <c r="N114" s="84"/>
      <c r="O114" s="83"/>
      <c r="P114" s="100"/>
      <c r="Q114" s="124"/>
      <c r="R114" s="124"/>
      <c r="S114" s="124"/>
      <c r="T114" s="125"/>
      <c r="U114" s="100"/>
      <c r="V114" s="83"/>
    </row>
    <row r="115" spans="1:22" ht="20.25" customHeight="1" x14ac:dyDescent="0.25">
      <c r="A115" s="83"/>
      <c r="B115" s="84"/>
      <c r="F115" s="84"/>
      <c r="G115" s="84"/>
      <c r="H115" s="84"/>
      <c r="I115" s="84"/>
      <c r="J115" s="84"/>
      <c r="K115" s="84"/>
      <c r="L115" s="84"/>
      <c r="M115" s="84"/>
      <c r="N115" s="84"/>
      <c r="O115" s="83"/>
      <c r="P115" s="100"/>
      <c r="Q115" s="124"/>
      <c r="R115" s="124"/>
      <c r="S115" s="124"/>
      <c r="T115" s="125"/>
      <c r="U115" s="100"/>
      <c r="V115" s="83"/>
    </row>
    <row r="116" spans="1:22" ht="20.25" customHeight="1" x14ac:dyDescent="0.25">
      <c r="A116" s="83"/>
      <c r="B116" s="84"/>
      <c r="F116" s="84"/>
      <c r="G116" s="84"/>
      <c r="H116" s="84"/>
      <c r="I116" s="84"/>
      <c r="J116" s="84"/>
      <c r="K116" s="84"/>
      <c r="L116" s="84"/>
      <c r="M116" s="84"/>
      <c r="N116" s="84"/>
      <c r="O116" s="83"/>
      <c r="P116" s="100"/>
      <c r="Q116" s="124"/>
      <c r="R116" s="124"/>
      <c r="S116" s="124"/>
      <c r="T116" s="125"/>
      <c r="U116" s="100"/>
      <c r="V116" s="83"/>
    </row>
    <row r="117" spans="1:22" ht="20.25" customHeight="1" x14ac:dyDescent="0.25">
      <c r="A117" s="83"/>
      <c r="B117" s="84"/>
      <c r="F117" s="84"/>
      <c r="G117" s="84"/>
      <c r="H117" s="84"/>
      <c r="I117" s="84"/>
      <c r="J117" s="84"/>
      <c r="K117" s="84"/>
      <c r="L117" s="84"/>
      <c r="M117" s="84"/>
      <c r="N117" s="84"/>
      <c r="O117" s="83"/>
      <c r="P117" s="100"/>
      <c r="Q117" s="124"/>
      <c r="R117" s="124"/>
      <c r="S117" s="124"/>
      <c r="T117" s="125"/>
      <c r="U117" s="100"/>
      <c r="V117" s="83"/>
    </row>
    <row r="118" spans="1:22" ht="20.25" customHeight="1" x14ac:dyDescent="0.25">
      <c r="A118" s="83"/>
      <c r="B118" s="84"/>
      <c r="F118" s="84"/>
      <c r="G118" s="84"/>
      <c r="H118" s="84"/>
      <c r="I118" s="84"/>
      <c r="J118" s="84"/>
      <c r="K118" s="84"/>
      <c r="L118" s="84"/>
      <c r="M118" s="84"/>
      <c r="N118" s="84"/>
      <c r="O118" s="83"/>
      <c r="P118" s="100"/>
      <c r="Q118" s="124"/>
      <c r="R118" s="124"/>
      <c r="S118" s="124"/>
      <c r="T118" s="125"/>
      <c r="U118" s="100"/>
      <c r="V118" s="83"/>
    </row>
    <row r="119" spans="1:22" ht="20.25" customHeight="1" x14ac:dyDescent="0.25">
      <c r="A119" s="83"/>
      <c r="B119" s="84"/>
      <c r="F119" s="84"/>
      <c r="G119" s="84"/>
      <c r="H119" s="84"/>
      <c r="I119" s="84"/>
      <c r="J119" s="84"/>
      <c r="K119" s="84"/>
      <c r="L119" s="84"/>
      <c r="M119" s="84"/>
      <c r="N119" s="84"/>
      <c r="O119" s="83"/>
      <c r="P119" s="100"/>
      <c r="Q119" s="124"/>
      <c r="R119" s="124"/>
      <c r="S119" s="124"/>
      <c r="T119" s="125"/>
      <c r="U119" s="100"/>
      <c r="V119" s="83"/>
    </row>
    <row r="120" spans="1:22" ht="20.25" customHeight="1" x14ac:dyDescent="0.25">
      <c r="A120" s="83"/>
      <c r="B120" s="84"/>
      <c r="F120" s="84"/>
      <c r="G120" s="84"/>
      <c r="H120" s="84"/>
      <c r="I120" s="84"/>
      <c r="J120" s="84"/>
      <c r="K120" s="84"/>
      <c r="L120" s="84"/>
      <c r="M120" s="84"/>
      <c r="N120" s="84"/>
      <c r="O120" s="83"/>
      <c r="P120" s="100"/>
      <c r="Q120" s="124"/>
      <c r="R120" s="124"/>
      <c r="S120" s="124"/>
      <c r="T120" s="125"/>
      <c r="U120" s="100"/>
      <c r="V120" s="83"/>
    </row>
    <row r="121" spans="1:22" ht="20.25" customHeight="1" x14ac:dyDescent="0.25">
      <c r="A121" s="83"/>
      <c r="B121" s="84"/>
      <c r="F121" s="84"/>
      <c r="G121" s="84"/>
      <c r="H121" s="84"/>
      <c r="I121" s="84"/>
      <c r="J121" s="84"/>
      <c r="K121" s="84"/>
      <c r="L121" s="84"/>
      <c r="M121" s="84"/>
      <c r="N121" s="84"/>
      <c r="O121" s="83"/>
      <c r="P121" s="100"/>
      <c r="Q121" s="124"/>
      <c r="R121" s="124"/>
      <c r="S121" s="124"/>
      <c r="T121" s="125"/>
      <c r="U121" s="100"/>
      <c r="V121" s="83"/>
    </row>
    <row r="122" spans="1:22" ht="20.25" customHeight="1" x14ac:dyDescent="0.25">
      <c r="A122" s="83"/>
      <c r="B122" s="84"/>
      <c r="F122" s="84"/>
      <c r="G122" s="84"/>
      <c r="H122" s="84"/>
      <c r="I122" s="84"/>
      <c r="J122" s="84"/>
      <c r="K122" s="84"/>
      <c r="L122" s="84"/>
      <c r="M122" s="84"/>
      <c r="N122" s="84"/>
      <c r="O122" s="83"/>
      <c r="P122" s="100"/>
      <c r="Q122" s="124"/>
      <c r="R122" s="124"/>
      <c r="S122" s="124"/>
      <c r="T122" s="125"/>
      <c r="U122" s="100"/>
      <c r="V122" s="83"/>
    </row>
    <row r="123" spans="1:22" ht="20.25" customHeight="1" x14ac:dyDescent="0.25">
      <c r="A123" s="83"/>
      <c r="B123" s="84"/>
      <c r="F123" s="84"/>
      <c r="G123" s="84"/>
      <c r="H123" s="84"/>
      <c r="I123" s="84"/>
      <c r="J123" s="84"/>
      <c r="K123" s="84"/>
      <c r="L123" s="84"/>
      <c r="M123" s="84"/>
      <c r="N123" s="84"/>
      <c r="O123" s="83"/>
      <c r="P123" s="100"/>
      <c r="Q123" s="124"/>
      <c r="R123" s="124"/>
      <c r="S123" s="124"/>
      <c r="T123" s="125"/>
      <c r="U123" s="100"/>
      <c r="V123" s="83"/>
    </row>
    <row r="124" spans="1:22" ht="20.25" customHeight="1" x14ac:dyDescent="0.25">
      <c r="A124" s="83"/>
      <c r="B124" s="84"/>
      <c r="F124" s="84"/>
      <c r="G124" s="84"/>
      <c r="H124" s="84"/>
      <c r="I124" s="84"/>
      <c r="J124" s="84"/>
      <c r="K124" s="84"/>
      <c r="L124" s="84"/>
      <c r="M124" s="84"/>
      <c r="N124" s="84"/>
      <c r="O124" s="83"/>
      <c r="P124" s="100"/>
      <c r="Q124" s="124"/>
      <c r="R124" s="124"/>
      <c r="S124" s="124"/>
      <c r="T124" s="125"/>
      <c r="U124" s="100"/>
      <c r="V124" s="83"/>
    </row>
    <row r="125" spans="1:22" ht="20.25" customHeight="1" x14ac:dyDescent="0.25">
      <c r="A125" s="83"/>
      <c r="B125" s="84"/>
      <c r="F125" s="84"/>
      <c r="G125" s="84"/>
      <c r="H125" s="84"/>
      <c r="I125" s="84"/>
      <c r="J125" s="84"/>
      <c r="K125" s="84"/>
      <c r="L125" s="84"/>
      <c r="M125" s="84"/>
      <c r="N125" s="84"/>
      <c r="O125" s="83"/>
      <c r="P125" s="100"/>
      <c r="Q125" s="124"/>
      <c r="R125" s="124"/>
      <c r="S125" s="124"/>
      <c r="T125" s="125"/>
      <c r="U125" s="100"/>
      <c r="V125" s="83"/>
    </row>
    <row r="126" spans="1:22" ht="20.25" customHeight="1" x14ac:dyDescent="0.25">
      <c r="A126" s="83"/>
      <c r="B126" s="84"/>
      <c r="F126" s="84"/>
      <c r="G126" s="84"/>
      <c r="H126" s="84"/>
      <c r="I126" s="84"/>
      <c r="J126" s="84"/>
      <c r="K126" s="84"/>
      <c r="L126" s="84"/>
      <c r="M126" s="84"/>
      <c r="N126" s="84"/>
      <c r="O126" s="83"/>
      <c r="P126" s="100"/>
      <c r="Q126" s="124"/>
      <c r="R126" s="124"/>
      <c r="S126" s="124"/>
      <c r="T126" s="125"/>
      <c r="U126" s="100"/>
      <c r="V126" s="83"/>
    </row>
    <row r="127" spans="1:22" ht="20.25" customHeight="1" x14ac:dyDescent="0.25">
      <c r="A127" s="83"/>
      <c r="B127" s="84"/>
      <c r="F127" s="84"/>
      <c r="G127" s="84"/>
      <c r="H127" s="84"/>
      <c r="I127" s="84"/>
      <c r="J127" s="84"/>
      <c r="K127" s="84"/>
      <c r="L127" s="84"/>
      <c r="M127" s="84"/>
      <c r="N127" s="84"/>
      <c r="O127" s="83"/>
      <c r="P127" s="100"/>
      <c r="Q127" s="124"/>
      <c r="R127" s="124"/>
      <c r="S127" s="124"/>
      <c r="T127" s="125"/>
      <c r="U127" s="100"/>
      <c r="V127" s="83"/>
    </row>
    <row r="128" spans="1:22" ht="20.25" customHeight="1" x14ac:dyDescent="0.25">
      <c r="A128" s="83"/>
      <c r="B128" s="84"/>
      <c r="F128" s="84"/>
      <c r="G128" s="84"/>
      <c r="H128" s="84"/>
      <c r="I128" s="84"/>
      <c r="J128" s="84"/>
      <c r="K128" s="84"/>
      <c r="L128" s="84"/>
      <c r="M128" s="84"/>
      <c r="N128" s="84"/>
      <c r="O128" s="83"/>
      <c r="P128" s="100"/>
      <c r="Q128" s="124"/>
      <c r="R128" s="124"/>
      <c r="S128" s="124"/>
      <c r="T128" s="125"/>
      <c r="U128" s="100"/>
      <c r="V128" s="83"/>
    </row>
    <row r="129" spans="1:22" ht="20.25" customHeight="1" x14ac:dyDescent="0.25">
      <c r="A129" s="83"/>
      <c r="B129" s="84"/>
      <c r="F129" s="84"/>
      <c r="G129" s="84"/>
      <c r="H129" s="84"/>
      <c r="I129" s="84"/>
      <c r="J129" s="84"/>
      <c r="K129" s="84"/>
      <c r="L129" s="84"/>
      <c r="M129" s="84"/>
      <c r="N129" s="84"/>
      <c r="O129" s="83"/>
      <c r="P129" s="100"/>
      <c r="Q129" s="124"/>
      <c r="R129" s="124"/>
      <c r="S129" s="124"/>
      <c r="T129" s="125"/>
      <c r="U129" s="100"/>
      <c r="V129" s="83"/>
    </row>
    <row r="130" spans="1:22" ht="20.25" customHeight="1" x14ac:dyDescent="0.25">
      <c r="A130" s="83"/>
      <c r="B130" s="84"/>
      <c r="F130" s="84"/>
      <c r="G130" s="84"/>
      <c r="H130" s="84"/>
      <c r="I130" s="84"/>
      <c r="J130" s="84"/>
      <c r="K130" s="84"/>
      <c r="L130" s="84"/>
      <c r="M130" s="84"/>
      <c r="N130" s="84"/>
      <c r="O130" s="83"/>
      <c r="P130" s="100"/>
      <c r="Q130" s="124"/>
      <c r="R130" s="124"/>
      <c r="S130" s="124"/>
      <c r="T130" s="125"/>
      <c r="U130" s="100"/>
      <c r="V130" s="83"/>
    </row>
    <row r="131" spans="1:22" ht="20.25" customHeight="1" x14ac:dyDescent="0.25">
      <c r="A131" s="83"/>
      <c r="B131" s="84"/>
      <c r="F131" s="84"/>
      <c r="G131" s="84"/>
      <c r="H131" s="84"/>
      <c r="I131" s="84"/>
      <c r="J131" s="84"/>
      <c r="K131" s="84"/>
      <c r="L131" s="84"/>
      <c r="M131" s="84"/>
      <c r="N131" s="84"/>
      <c r="O131" s="83"/>
      <c r="P131" s="100"/>
      <c r="Q131" s="124"/>
      <c r="R131" s="124"/>
      <c r="S131" s="124"/>
      <c r="T131" s="125"/>
      <c r="U131" s="100"/>
      <c r="V131" s="83"/>
    </row>
    <row r="132" spans="1:22" ht="20.25" customHeight="1" x14ac:dyDescent="0.25">
      <c r="A132" s="83"/>
      <c r="B132" s="84"/>
      <c r="F132" s="84"/>
      <c r="G132" s="84"/>
      <c r="H132" s="84"/>
      <c r="I132" s="84"/>
      <c r="J132" s="84"/>
      <c r="K132" s="84"/>
      <c r="L132" s="84"/>
      <c r="M132" s="84"/>
      <c r="N132" s="84"/>
      <c r="O132" s="83"/>
      <c r="P132" s="100"/>
      <c r="Q132" s="124"/>
      <c r="R132" s="124"/>
      <c r="S132" s="124"/>
      <c r="T132" s="125"/>
      <c r="U132" s="100"/>
      <c r="V132" s="83"/>
    </row>
    <row r="133" spans="1:22" ht="20.25" customHeight="1" x14ac:dyDescent="0.25">
      <c r="A133" s="83"/>
      <c r="B133" s="84"/>
      <c r="F133" s="84"/>
      <c r="G133" s="84"/>
      <c r="H133" s="84"/>
      <c r="I133" s="84"/>
      <c r="J133" s="84"/>
      <c r="K133" s="84"/>
      <c r="L133" s="84"/>
      <c r="M133" s="84"/>
      <c r="N133" s="84"/>
      <c r="O133" s="83"/>
      <c r="P133" s="100"/>
      <c r="Q133" s="124"/>
      <c r="R133" s="124"/>
      <c r="S133" s="124"/>
      <c r="T133" s="125"/>
      <c r="U133" s="100"/>
      <c r="V133" s="83"/>
    </row>
    <row r="134" spans="1:22" ht="20.25" customHeight="1" x14ac:dyDescent="0.25">
      <c r="A134" s="83"/>
      <c r="B134" s="84"/>
      <c r="F134" s="84"/>
      <c r="G134" s="84"/>
      <c r="H134" s="84"/>
      <c r="I134" s="84"/>
      <c r="J134" s="84"/>
      <c r="K134" s="84"/>
      <c r="L134" s="84"/>
      <c r="M134" s="84"/>
      <c r="N134" s="84"/>
      <c r="O134" s="83"/>
      <c r="P134" s="100"/>
      <c r="Q134" s="124"/>
      <c r="R134" s="124"/>
      <c r="S134" s="124"/>
      <c r="T134" s="125"/>
      <c r="U134" s="100"/>
      <c r="V134" s="83"/>
    </row>
    <row r="135" spans="1:22" ht="20.25" customHeight="1" x14ac:dyDescent="0.25">
      <c r="A135" s="83"/>
      <c r="B135" s="84"/>
      <c r="F135" s="84"/>
      <c r="G135" s="84"/>
      <c r="H135" s="84"/>
      <c r="I135" s="84"/>
      <c r="J135" s="84"/>
      <c r="K135" s="84"/>
      <c r="L135" s="84"/>
      <c r="M135" s="84"/>
      <c r="N135" s="84"/>
      <c r="O135" s="83"/>
      <c r="P135" s="100"/>
      <c r="Q135" s="124"/>
      <c r="R135" s="124"/>
      <c r="S135" s="124"/>
      <c r="T135" s="125"/>
      <c r="U135" s="100"/>
      <c r="V135" s="83"/>
    </row>
    <row r="136" spans="1:22" ht="20.25" customHeight="1" x14ac:dyDescent="0.25">
      <c r="A136" s="83"/>
      <c r="B136" s="84"/>
      <c r="F136" s="84"/>
      <c r="G136" s="84"/>
      <c r="H136" s="84"/>
      <c r="I136" s="84"/>
      <c r="J136" s="84"/>
      <c r="K136" s="84"/>
      <c r="L136" s="84"/>
      <c r="M136" s="84"/>
      <c r="N136" s="84"/>
      <c r="O136" s="83"/>
      <c r="P136" s="100"/>
      <c r="Q136" s="124"/>
      <c r="R136" s="124"/>
      <c r="S136" s="124"/>
      <c r="T136" s="125"/>
      <c r="U136" s="100"/>
      <c r="V136" s="83"/>
    </row>
    <row r="137" spans="1:22" ht="20.25" customHeight="1" x14ac:dyDescent="0.25">
      <c r="A137" s="83"/>
      <c r="B137" s="84"/>
      <c r="F137" s="84"/>
      <c r="G137" s="84"/>
      <c r="H137" s="84"/>
      <c r="I137" s="84"/>
      <c r="J137" s="84"/>
      <c r="K137" s="84"/>
      <c r="L137" s="84"/>
      <c r="M137" s="84"/>
      <c r="N137" s="84"/>
      <c r="O137" s="83"/>
      <c r="P137" s="100"/>
      <c r="Q137" s="124"/>
      <c r="R137" s="124"/>
      <c r="S137" s="124"/>
      <c r="T137" s="125"/>
      <c r="U137" s="100"/>
      <c r="V137" s="83"/>
    </row>
    <row r="138" spans="1:22" ht="20.25" customHeight="1" x14ac:dyDescent="0.25">
      <c r="A138" s="83"/>
      <c r="B138" s="84"/>
      <c r="F138" s="84"/>
      <c r="G138" s="84"/>
      <c r="H138" s="84"/>
      <c r="I138" s="84"/>
      <c r="J138" s="84"/>
      <c r="K138" s="84"/>
      <c r="L138" s="84"/>
      <c r="M138" s="84"/>
      <c r="N138" s="84"/>
      <c r="O138" s="83"/>
      <c r="P138" s="100"/>
      <c r="Q138" s="124"/>
      <c r="R138" s="124"/>
      <c r="S138" s="124"/>
      <c r="T138" s="125"/>
      <c r="U138" s="100"/>
      <c r="V138" s="83"/>
    </row>
    <row r="139" spans="1:22" ht="20.25" customHeight="1" x14ac:dyDescent="0.25">
      <c r="A139" s="83"/>
      <c r="B139" s="84"/>
      <c r="F139" s="84"/>
      <c r="G139" s="84"/>
      <c r="H139" s="84"/>
      <c r="I139" s="84"/>
      <c r="J139" s="84"/>
      <c r="K139" s="84"/>
      <c r="L139" s="84"/>
      <c r="M139" s="84"/>
      <c r="N139" s="84"/>
      <c r="O139" s="83"/>
      <c r="P139" s="100"/>
      <c r="Q139" s="124"/>
      <c r="R139" s="124"/>
      <c r="S139" s="124"/>
      <c r="T139" s="125"/>
      <c r="U139" s="100"/>
      <c r="V139" s="83"/>
    </row>
    <row r="140" spans="1:22" ht="20.25" customHeight="1" x14ac:dyDescent="0.25">
      <c r="A140" s="83"/>
      <c r="B140" s="84"/>
      <c r="F140" s="84"/>
      <c r="G140" s="84"/>
      <c r="H140" s="84"/>
      <c r="I140" s="84"/>
      <c r="J140" s="84"/>
      <c r="K140" s="84"/>
      <c r="L140" s="84"/>
      <c r="M140" s="84"/>
      <c r="N140" s="84"/>
      <c r="O140" s="83"/>
      <c r="P140" s="100"/>
      <c r="Q140" s="124"/>
      <c r="R140" s="124"/>
      <c r="S140" s="124"/>
      <c r="T140" s="125"/>
      <c r="U140" s="100"/>
      <c r="V140" s="83"/>
    </row>
    <row r="141" spans="1:22" ht="20.25" customHeight="1" x14ac:dyDescent="0.25">
      <c r="A141" s="83"/>
      <c r="B141" s="84"/>
      <c r="F141" s="84"/>
      <c r="G141" s="84"/>
      <c r="H141" s="84"/>
      <c r="I141" s="84"/>
      <c r="J141" s="84"/>
      <c r="K141" s="84"/>
      <c r="L141" s="84"/>
      <c r="M141" s="84"/>
      <c r="N141" s="84"/>
      <c r="O141" s="83"/>
      <c r="P141" s="100"/>
      <c r="Q141" s="124"/>
      <c r="R141" s="124"/>
      <c r="S141" s="124"/>
      <c r="T141" s="125"/>
      <c r="U141" s="100"/>
      <c r="V141" s="83"/>
    </row>
    <row r="142" spans="1:22" ht="20.25" customHeight="1" x14ac:dyDescent="0.25">
      <c r="A142" s="83"/>
      <c r="B142" s="84"/>
      <c r="F142" s="84"/>
      <c r="G142" s="84"/>
      <c r="H142" s="84"/>
      <c r="I142" s="84"/>
      <c r="J142" s="84"/>
      <c r="K142" s="84"/>
      <c r="L142" s="84"/>
      <c r="M142" s="84"/>
      <c r="N142" s="84"/>
      <c r="O142" s="83"/>
      <c r="P142" s="100"/>
      <c r="Q142" s="124"/>
      <c r="R142" s="124"/>
      <c r="S142" s="124"/>
      <c r="T142" s="125"/>
      <c r="U142" s="100"/>
      <c r="V142" s="83"/>
    </row>
    <row r="143" spans="1:22" ht="20.25" customHeight="1" x14ac:dyDescent="0.25">
      <c r="A143" s="83"/>
      <c r="B143" s="84"/>
      <c r="F143" s="84"/>
      <c r="G143" s="84"/>
      <c r="H143" s="84"/>
      <c r="I143" s="84"/>
      <c r="J143" s="84"/>
      <c r="K143" s="84"/>
      <c r="L143" s="84"/>
      <c r="M143" s="84"/>
      <c r="N143" s="84"/>
      <c r="O143" s="83"/>
      <c r="P143" s="100"/>
      <c r="Q143" s="124"/>
      <c r="R143" s="124"/>
      <c r="S143" s="124"/>
      <c r="T143" s="125"/>
      <c r="U143" s="100"/>
      <c r="V143" s="83"/>
    </row>
    <row r="144" spans="1:22" ht="20.25" customHeight="1" x14ac:dyDescent="0.25">
      <c r="A144" s="83"/>
      <c r="B144" s="84"/>
      <c r="F144" s="84"/>
      <c r="G144" s="84"/>
      <c r="H144" s="84"/>
      <c r="I144" s="84"/>
      <c r="J144" s="84"/>
      <c r="K144" s="84"/>
      <c r="L144" s="84"/>
      <c r="M144" s="84"/>
      <c r="N144" s="84"/>
      <c r="O144" s="83"/>
      <c r="P144" s="100"/>
      <c r="Q144" s="124"/>
      <c r="R144" s="124"/>
      <c r="S144" s="124"/>
      <c r="T144" s="125"/>
      <c r="U144" s="100"/>
      <c r="V144" s="83"/>
    </row>
    <row r="145" spans="1:22" ht="20.25" customHeight="1" x14ac:dyDescent="0.25">
      <c r="A145" s="83"/>
      <c r="B145" s="84"/>
      <c r="F145" s="84"/>
      <c r="G145" s="84"/>
      <c r="H145" s="84"/>
      <c r="I145" s="84"/>
      <c r="J145" s="84"/>
      <c r="K145" s="84"/>
      <c r="L145" s="84"/>
      <c r="M145" s="84"/>
      <c r="N145" s="84"/>
      <c r="O145" s="83"/>
      <c r="P145" s="100"/>
      <c r="Q145" s="124"/>
      <c r="R145" s="124"/>
      <c r="S145" s="124"/>
      <c r="T145" s="125"/>
      <c r="U145" s="100"/>
      <c r="V145" s="83"/>
    </row>
    <row r="146" spans="1:22" ht="20.25" customHeight="1" x14ac:dyDescent="0.25">
      <c r="A146" s="83"/>
      <c r="B146" s="84"/>
      <c r="F146" s="84"/>
      <c r="G146" s="84"/>
      <c r="H146" s="84"/>
      <c r="I146" s="84"/>
      <c r="J146" s="84"/>
      <c r="K146" s="84"/>
      <c r="L146" s="84"/>
      <c r="M146" s="84"/>
      <c r="N146" s="84"/>
      <c r="O146" s="83"/>
      <c r="P146" s="100"/>
      <c r="Q146" s="124"/>
      <c r="R146" s="124"/>
      <c r="S146" s="124"/>
      <c r="T146" s="125"/>
      <c r="U146" s="100"/>
      <c r="V146" s="83"/>
    </row>
    <row r="147" spans="1:22" ht="20.25" customHeight="1" x14ac:dyDescent="0.25">
      <c r="A147" s="83"/>
      <c r="B147" s="84"/>
      <c r="F147" s="84"/>
      <c r="G147" s="84"/>
      <c r="H147" s="84"/>
      <c r="I147" s="84"/>
      <c r="J147" s="84"/>
      <c r="K147" s="84"/>
      <c r="L147" s="84"/>
      <c r="M147" s="84"/>
      <c r="N147" s="84"/>
      <c r="O147" s="83"/>
      <c r="P147" s="100"/>
      <c r="Q147" s="124"/>
      <c r="R147" s="124"/>
      <c r="S147" s="124"/>
      <c r="T147" s="125"/>
      <c r="U147" s="100"/>
      <c r="V147" s="83"/>
    </row>
    <row r="148" spans="1:22" ht="20.25" customHeight="1" x14ac:dyDescent="0.25">
      <c r="A148" s="83"/>
      <c r="B148" s="84"/>
      <c r="F148" s="84"/>
      <c r="G148" s="84"/>
      <c r="H148" s="84"/>
      <c r="I148" s="84"/>
      <c r="J148" s="84"/>
      <c r="K148" s="84"/>
      <c r="L148" s="84"/>
      <c r="M148" s="84"/>
      <c r="N148" s="84"/>
      <c r="O148" s="83"/>
      <c r="P148" s="100"/>
      <c r="Q148" s="124"/>
      <c r="R148" s="124"/>
      <c r="S148" s="124"/>
      <c r="T148" s="125"/>
      <c r="U148" s="100"/>
      <c r="V148" s="83"/>
    </row>
    <row r="149" spans="1:22" ht="20.25" customHeight="1" x14ac:dyDescent="0.25">
      <c r="A149" s="83"/>
      <c r="B149" s="84"/>
      <c r="F149" s="84"/>
      <c r="G149" s="84"/>
      <c r="H149" s="84"/>
      <c r="I149" s="84"/>
      <c r="J149" s="84"/>
      <c r="K149" s="84"/>
      <c r="L149" s="84"/>
      <c r="M149" s="84"/>
      <c r="N149" s="84"/>
      <c r="O149" s="83"/>
      <c r="P149" s="100"/>
      <c r="Q149" s="124"/>
      <c r="R149" s="124"/>
      <c r="S149" s="124"/>
      <c r="T149" s="125"/>
      <c r="U149" s="100"/>
      <c r="V149" s="83"/>
    </row>
    <row r="150" spans="1:22" ht="20.25" customHeight="1" x14ac:dyDescent="0.25">
      <c r="A150" s="83"/>
      <c r="B150" s="84"/>
      <c r="F150" s="84"/>
      <c r="G150" s="84"/>
      <c r="H150" s="84"/>
      <c r="I150" s="84"/>
      <c r="J150" s="84"/>
      <c r="K150" s="84"/>
      <c r="L150" s="84"/>
      <c r="M150" s="84"/>
      <c r="N150" s="84"/>
      <c r="O150" s="83"/>
      <c r="P150" s="100"/>
      <c r="Q150" s="124"/>
      <c r="R150" s="124"/>
      <c r="S150" s="124"/>
      <c r="T150" s="125"/>
      <c r="U150" s="100"/>
      <c r="V150" s="83"/>
    </row>
    <row r="151" spans="1:22" ht="20.25" customHeight="1" x14ac:dyDescent="0.25">
      <c r="A151" s="83"/>
      <c r="B151" s="84"/>
      <c r="F151" s="84"/>
      <c r="G151" s="84"/>
      <c r="H151" s="84"/>
      <c r="I151" s="84"/>
      <c r="J151" s="84"/>
      <c r="K151" s="84"/>
      <c r="L151" s="84"/>
      <c r="M151" s="84"/>
      <c r="N151" s="84"/>
      <c r="O151" s="83"/>
      <c r="P151" s="100"/>
      <c r="Q151" s="124"/>
      <c r="R151" s="124"/>
      <c r="S151" s="124"/>
      <c r="T151" s="125"/>
      <c r="U151" s="100"/>
      <c r="V151" s="83"/>
    </row>
    <row r="152" spans="1:22" ht="20.25" customHeight="1" x14ac:dyDescent="0.25">
      <c r="A152" s="83"/>
      <c r="B152" s="84"/>
      <c r="F152" s="84"/>
      <c r="G152" s="84"/>
      <c r="H152" s="84"/>
      <c r="I152" s="84"/>
      <c r="J152" s="84"/>
      <c r="K152" s="84"/>
      <c r="L152" s="84"/>
      <c r="M152" s="84"/>
      <c r="N152" s="84"/>
      <c r="O152" s="83"/>
      <c r="P152" s="100"/>
      <c r="Q152" s="124"/>
      <c r="R152" s="124"/>
      <c r="S152" s="124"/>
      <c r="T152" s="125"/>
      <c r="U152" s="100"/>
      <c r="V152" s="83"/>
    </row>
    <row r="153" spans="1:22" ht="20.25" customHeight="1" x14ac:dyDescent="0.25">
      <c r="A153" s="83"/>
      <c r="B153" s="84"/>
      <c r="F153" s="84"/>
      <c r="G153" s="84"/>
      <c r="H153" s="84"/>
      <c r="I153" s="84"/>
      <c r="J153" s="84"/>
      <c r="K153" s="84"/>
      <c r="L153" s="84"/>
      <c r="M153" s="84"/>
      <c r="N153" s="84"/>
      <c r="O153" s="83"/>
      <c r="P153" s="100"/>
      <c r="Q153" s="124"/>
      <c r="R153" s="124"/>
      <c r="S153" s="124"/>
      <c r="T153" s="125"/>
      <c r="U153" s="100"/>
      <c r="V153" s="83"/>
    </row>
    <row r="154" spans="1:22" ht="20.25" customHeight="1" x14ac:dyDescent="0.25">
      <c r="A154" s="83"/>
      <c r="B154" s="84"/>
      <c r="F154" s="84"/>
      <c r="G154" s="84"/>
      <c r="H154" s="84"/>
      <c r="I154" s="84"/>
      <c r="J154" s="84"/>
      <c r="K154" s="84"/>
      <c r="L154" s="84"/>
      <c r="M154" s="84"/>
      <c r="N154" s="84"/>
      <c r="O154" s="83"/>
      <c r="P154" s="100"/>
      <c r="Q154" s="124"/>
      <c r="R154" s="124"/>
      <c r="S154" s="124"/>
      <c r="T154" s="125"/>
      <c r="U154" s="100"/>
      <c r="V154" s="83"/>
    </row>
    <row r="155" spans="1:22" ht="20.25" customHeight="1" x14ac:dyDescent="0.25">
      <c r="A155" s="83"/>
      <c r="B155" s="84"/>
      <c r="F155" s="84"/>
      <c r="G155" s="84"/>
      <c r="H155" s="84"/>
      <c r="I155" s="84"/>
      <c r="J155" s="84"/>
      <c r="K155" s="84"/>
      <c r="L155" s="84"/>
      <c r="M155" s="84"/>
      <c r="N155" s="84"/>
      <c r="O155" s="83"/>
      <c r="P155" s="100"/>
      <c r="Q155" s="124"/>
      <c r="R155" s="124"/>
      <c r="S155" s="124"/>
      <c r="T155" s="125"/>
      <c r="U155" s="100"/>
      <c r="V155" s="83"/>
    </row>
    <row r="156" spans="1:22" ht="20.25" customHeight="1" x14ac:dyDescent="0.25">
      <c r="A156" s="83"/>
      <c r="B156" s="84"/>
      <c r="F156" s="84"/>
      <c r="G156" s="84"/>
      <c r="H156" s="84"/>
      <c r="I156" s="84"/>
      <c r="J156" s="84"/>
      <c r="K156" s="84"/>
      <c r="L156" s="84"/>
      <c r="M156" s="84"/>
      <c r="N156" s="84"/>
      <c r="O156" s="83"/>
      <c r="P156" s="100"/>
      <c r="Q156" s="124"/>
      <c r="R156" s="124"/>
      <c r="S156" s="124"/>
      <c r="T156" s="125"/>
      <c r="U156" s="100"/>
      <c r="V156" s="83"/>
    </row>
    <row r="157" spans="1:22" ht="20.25" customHeight="1" x14ac:dyDescent="0.25">
      <c r="A157" s="83"/>
      <c r="B157" s="84"/>
      <c r="F157" s="84"/>
      <c r="G157" s="84"/>
      <c r="H157" s="84"/>
      <c r="I157" s="84"/>
      <c r="J157" s="84"/>
      <c r="K157" s="84"/>
      <c r="L157" s="84"/>
      <c r="M157" s="84"/>
      <c r="N157" s="84"/>
      <c r="O157" s="83"/>
      <c r="P157" s="100"/>
      <c r="Q157" s="124"/>
      <c r="R157" s="124"/>
      <c r="S157" s="124"/>
      <c r="T157" s="125"/>
      <c r="U157" s="100"/>
      <c r="V157" s="83"/>
    </row>
    <row r="158" spans="1:22" ht="20.25" customHeight="1" x14ac:dyDescent="0.25">
      <c r="A158" s="83"/>
      <c r="B158" s="84"/>
      <c r="F158" s="84"/>
      <c r="G158" s="84"/>
      <c r="H158" s="84"/>
      <c r="I158" s="84"/>
      <c r="J158" s="84"/>
      <c r="K158" s="84"/>
      <c r="L158" s="84"/>
      <c r="M158" s="84"/>
      <c r="N158" s="84"/>
      <c r="O158" s="83"/>
      <c r="P158" s="100"/>
      <c r="Q158" s="124"/>
      <c r="R158" s="124"/>
      <c r="S158" s="124"/>
      <c r="T158" s="125"/>
      <c r="U158" s="100"/>
      <c r="V158" s="83"/>
    </row>
    <row r="159" spans="1:22" ht="20.25" customHeight="1" x14ac:dyDescent="0.25">
      <c r="A159" s="83"/>
      <c r="B159" s="84"/>
      <c r="F159" s="84"/>
      <c r="G159" s="84"/>
      <c r="H159" s="84"/>
      <c r="I159" s="84"/>
      <c r="J159" s="84"/>
      <c r="K159" s="84"/>
      <c r="L159" s="84"/>
      <c r="M159" s="84"/>
      <c r="N159" s="84"/>
      <c r="O159" s="83"/>
      <c r="P159" s="100"/>
      <c r="Q159" s="124"/>
      <c r="R159" s="124"/>
      <c r="S159" s="124"/>
      <c r="T159" s="125"/>
      <c r="U159" s="100"/>
      <c r="V159" s="83"/>
    </row>
    <row r="160" spans="1:22" ht="20.25" customHeight="1" x14ac:dyDescent="0.25">
      <c r="A160" s="83"/>
      <c r="B160" s="84"/>
      <c r="F160" s="84"/>
      <c r="G160" s="84"/>
      <c r="H160" s="84"/>
      <c r="I160" s="84"/>
      <c r="J160" s="84"/>
      <c r="K160" s="84"/>
      <c r="L160" s="84"/>
      <c r="M160" s="84"/>
      <c r="N160" s="84"/>
      <c r="O160" s="83"/>
      <c r="P160" s="100"/>
      <c r="Q160" s="124"/>
      <c r="R160" s="124"/>
      <c r="S160" s="124"/>
      <c r="T160" s="125"/>
      <c r="U160" s="100"/>
      <c r="V160" s="83"/>
    </row>
    <row r="161" spans="1:22" ht="20.25" customHeight="1" x14ac:dyDescent="0.25">
      <c r="A161" s="83"/>
      <c r="B161" s="84"/>
      <c r="F161" s="84"/>
      <c r="G161" s="84"/>
      <c r="H161" s="84"/>
      <c r="I161" s="84"/>
      <c r="J161" s="84"/>
      <c r="K161" s="84"/>
      <c r="L161" s="84"/>
      <c r="M161" s="84"/>
      <c r="N161" s="84"/>
      <c r="O161" s="83"/>
      <c r="P161" s="100"/>
      <c r="Q161" s="124"/>
      <c r="R161" s="124"/>
      <c r="S161" s="124"/>
      <c r="T161" s="125"/>
      <c r="U161" s="100"/>
      <c r="V161" s="83"/>
    </row>
    <row r="162" spans="1:22" ht="20.25" customHeight="1" x14ac:dyDescent="0.25">
      <c r="A162" s="83"/>
      <c r="B162" s="84"/>
      <c r="F162" s="84"/>
      <c r="G162" s="84"/>
      <c r="H162" s="84"/>
      <c r="I162" s="84"/>
      <c r="J162" s="84"/>
      <c r="K162" s="84"/>
      <c r="L162" s="84"/>
      <c r="M162" s="84"/>
      <c r="N162" s="84"/>
      <c r="O162" s="83"/>
      <c r="P162" s="100"/>
      <c r="Q162" s="124"/>
      <c r="R162" s="124"/>
      <c r="S162" s="124"/>
      <c r="T162" s="125"/>
      <c r="U162" s="100"/>
      <c r="V162" s="83"/>
    </row>
    <row r="163" spans="1:22" ht="20.25" customHeight="1" x14ac:dyDescent="0.25">
      <c r="A163" s="83"/>
      <c r="B163" s="84"/>
      <c r="F163" s="84"/>
      <c r="G163" s="84"/>
      <c r="H163" s="84"/>
      <c r="I163" s="84"/>
      <c r="J163" s="84"/>
      <c r="K163" s="84"/>
      <c r="L163" s="84"/>
      <c r="M163" s="84"/>
      <c r="N163" s="84"/>
      <c r="O163" s="83"/>
      <c r="P163" s="100"/>
      <c r="Q163" s="124"/>
      <c r="R163" s="124"/>
      <c r="S163" s="124"/>
      <c r="T163" s="125"/>
      <c r="U163" s="100"/>
      <c r="V163" s="83"/>
    </row>
    <row r="164" spans="1:22" ht="20.25" customHeight="1" x14ac:dyDescent="0.25">
      <c r="A164" s="83"/>
      <c r="B164" s="84"/>
      <c r="F164" s="84"/>
      <c r="G164" s="84"/>
      <c r="H164" s="84"/>
      <c r="I164" s="84"/>
      <c r="J164" s="84"/>
      <c r="K164" s="84"/>
      <c r="L164" s="84"/>
      <c r="M164" s="84"/>
      <c r="N164" s="84"/>
      <c r="O164" s="83"/>
      <c r="P164" s="100"/>
      <c r="Q164" s="124"/>
      <c r="R164" s="124"/>
      <c r="S164" s="124"/>
      <c r="T164" s="125"/>
      <c r="U164" s="100"/>
      <c r="V164" s="83"/>
    </row>
    <row r="165" spans="1:22" ht="20.25" customHeight="1" x14ac:dyDescent="0.25">
      <c r="A165" s="83"/>
      <c r="B165" s="84"/>
      <c r="F165" s="84"/>
      <c r="G165" s="84"/>
      <c r="H165" s="84"/>
      <c r="I165" s="84"/>
      <c r="J165" s="84"/>
      <c r="K165" s="84"/>
      <c r="L165" s="84"/>
      <c r="M165" s="84"/>
      <c r="N165" s="84"/>
      <c r="O165" s="83"/>
      <c r="P165" s="100"/>
      <c r="Q165" s="124"/>
      <c r="R165" s="124"/>
      <c r="S165" s="124"/>
      <c r="T165" s="125"/>
      <c r="U165" s="100"/>
      <c r="V165" s="83"/>
    </row>
    <row r="166" spans="1:22" ht="20.25" customHeight="1" x14ac:dyDescent="0.25">
      <c r="A166" s="83"/>
      <c r="B166" s="84"/>
      <c r="F166" s="84"/>
      <c r="G166" s="84"/>
      <c r="H166" s="84"/>
      <c r="I166" s="84"/>
      <c r="J166" s="84"/>
      <c r="K166" s="84"/>
      <c r="L166" s="84"/>
      <c r="M166" s="84"/>
      <c r="N166" s="84"/>
      <c r="O166" s="83"/>
      <c r="P166" s="100"/>
      <c r="Q166" s="124"/>
      <c r="R166" s="124"/>
      <c r="S166" s="124"/>
      <c r="T166" s="125"/>
      <c r="U166" s="100"/>
      <c r="V166" s="83"/>
    </row>
    <row r="167" spans="1:22" ht="20.25" customHeight="1" x14ac:dyDescent="0.25">
      <c r="A167" s="83"/>
      <c r="B167" s="84"/>
      <c r="F167" s="84"/>
      <c r="G167" s="84"/>
      <c r="H167" s="84"/>
      <c r="I167" s="84"/>
      <c r="J167" s="84"/>
      <c r="K167" s="84"/>
      <c r="L167" s="84"/>
      <c r="M167" s="84"/>
      <c r="N167" s="84"/>
      <c r="O167" s="83"/>
      <c r="P167" s="100"/>
      <c r="Q167" s="124"/>
      <c r="R167" s="124"/>
      <c r="S167" s="124"/>
      <c r="T167" s="125"/>
      <c r="U167" s="100"/>
      <c r="V167" s="83"/>
    </row>
    <row r="168" spans="1:22" ht="20.25" customHeight="1" x14ac:dyDescent="0.25">
      <c r="A168" s="83"/>
      <c r="B168" s="84"/>
      <c r="F168" s="84"/>
      <c r="G168" s="84"/>
      <c r="H168" s="84"/>
      <c r="I168" s="84"/>
      <c r="J168" s="84"/>
      <c r="K168" s="84"/>
      <c r="L168" s="84"/>
      <c r="M168" s="84"/>
      <c r="N168" s="84"/>
      <c r="O168" s="83"/>
      <c r="P168" s="100"/>
      <c r="Q168" s="124"/>
      <c r="R168" s="124"/>
      <c r="S168" s="124"/>
      <c r="T168" s="125"/>
      <c r="U168" s="100"/>
      <c r="V168" s="83"/>
    </row>
    <row r="169" spans="1:22" ht="20.25" customHeight="1" x14ac:dyDescent="0.25">
      <c r="A169" s="83"/>
      <c r="B169" s="84"/>
      <c r="F169" s="84"/>
      <c r="G169" s="84"/>
      <c r="H169" s="84"/>
      <c r="I169" s="84"/>
      <c r="J169" s="84"/>
      <c r="K169" s="84"/>
      <c r="L169" s="84"/>
      <c r="M169" s="84"/>
      <c r="N169" s="84"/>
      <c r="O169" s="83"/>
      <c r="P169" s="100"/>
      <c r="Q169" s="124"/>
      <c r="R169" s="124"/>
      <c r="S169" s="124"/>
      <c r="T169" s="125"/>
      <c r="U169" s="100"/>
      <c r="V169" s="83"/>
    </row>
    <row r="170" spans="1:22" ht="20.25" customHeight="1" x14ac:dyDescent="0.25">
      <c r="A170" s="83"/>
      <c r="B170" s="84"/>
      <c r="F170" s="84"/>
      <c r="G170" s="84"/>
      <c r="H170" s="84"/>
      <c r="I170" s="84"/>
      <c r="J170" s="84"/>
      <c r="K170" s="84"/>
      <c r="L170" s="84"/>
      <c r="M170" s="84"/>
      <c r="N170" s="84"/>
      <c r="O170" s="83"/>
      <c r="P170" s="100"/>
      <c r="Q170" s="124"/>
      <c r="R170" s="124"/>
      <c r="S170" s="124"/>
      <c r="T170" s="125"/>
      <c r="U170" s="100"/>
      <c r="V170" s="83"/>
    </row>
    <row r="171" spans="1:22" ht="20.25" customHeight="1" x14ac:dyDescent="0.25">
      <c r="A171" s="83"/>
      <c r="B171" s="84"/>
      <c r="F171" s="84"/>
      <c r="G171" s="84"/>
      <c r="H171" s="84"/>
      <c r="I171" s="84"/>
      <c r="J171" s="84"/>
      <c r="K171" s="84"/>
      <c r="L171" s="84"/>
      <c r="M171" s="84"/>
      <c r="N171" s="84"/>
      <c r="O171" s="83"/>
      <c r="P171" s="100"/>
      <c r="Q171" s="124"/>
      <c r="R171" s="124"/>
      <c r="S171" s="124"/>
      <c r="T171" s="125"/>
      <c r="U171" s="100"/>
      <c r="V171" s="83"/>
    </row>
    <row r="172" spans="1:22" ht="20.25" customHeight="1" x14ac:dyDescent="0.25">
      <c r="A172" s="83"/>
      <c r="B172" s="84"/>
      <c r="F172" s="84"/>
      <c r="G172" s="84"/>
      <c r="H172" s="84"/>
      <c r="I172" s="84"/>
      <c r="J172" s="84"/>
      <c r="K172" s="84"/>
      <c r="L172" s="84"/>
      <c r="M172" s="84"/>
      <c r="N172" s="84"/>
      <c r="O172" s="83"/>
      <c r="P172" s="100"/>
      <c r="Q172" s="124"/>
      <c r="R172" s="124"/>
      <c r="S172" s="124"/>
      <c r="T172" s="125"/>
      <c r="U172" s="100"/>
      <c r="V172" s="83"/>
    </row>
    <row r="173" spans="1:22" ht="20.25" customHeight="1" x14ac:dyDescent="0.25">
      <c r="A173" s="83"/>
      <c r="B173" s="84"/>
      <c r="F173" s="84"/>
      <c r="G173" s="84"/>
      <c r="H173" s="84"/>
      <c r="I173" s="84"/>
      <c r="J173" s="84"/>
      <c r="K173" s="84"/>
      <c r="L173" s="84"/>
      <c r="M173" s="84"/>
      <c r="N173" s="84"/>
      <c r="O173" s="83"/>
      <c r="P173" s="100"/>
      <c r="Q173" s="124"/>
      <c r="R173" s="124"/>
      <c r="S173" s="124"/>
      <c r="T173" s="125"/>
      <c r="U173" s="100"/>
      <c r="V173" s="83"/>
    </row>
    <row r="174" spans="1:22" ht="20.25" customHeight="1" x14ac:dyDescent="0.25">
      <c r="A174" s="83"/>
      <c r="B174" s="84"/>
      <c r="F174" s="84"/>
      <c r="G174" s="84"/>
      <c r="H174" s="84"/>
      <c r="I174" s="84"/>
      <c r="J174" s="84"/>
      <c r="K174" s="84"/>
      <c r="L174" s="84"/>
      <c r="M174" s="84"/>
      <c r="N174" s="84"/>
      <c r="O174" s="83"/>
      <c r="P174" s="100"/>
      <c r="Q174" s="124"/>
      <c r="R174" s="124"/>
      <c r="S174" s="124"/>
      <c r="T174" s="125"/>
      <c r="U174" s="100"/>
      <c r="V174" s="83"/>
    </row>
    <row r="175" spans="1:22" ht="20.25" customHeight="1" x14ac:dyDescent="0.25">
      <c r="A175" s="83"/>
      <c r="B175" s="84"/>
      <c r="F175" s="84"/>
      <c r="G175" s="84"/>
      <c r="H175" s="84"/>
      <c r="I175" s="84"/>
      <c r="J175" s="84"/>
      <c r="K175" s="84"/>
      <c r="L175" s="84"/>
      <c r="M175" s="84"/>
      <c r="N175" s="84"/>
      <c r="O175" s="83"/>
      <c r="P175" s="100"/>
      <c r="Q175" s="124"/>
      <c r="R175" s="124"/>
      <c r="S175" s="124"/>
      <c r="T175" s="125"/>
      <c r="U175" s="100"/>
      <c r="V175" s="83"/>
    </row>
    <row r="176" spans="1:22" ht="20.25" customHeight="1" x14ac:dyDescent="0.25">
      <c r="A176" s="83"/>
      <c r="B176" s="84"/>
      <c r="F176" s="84"/>
      <c r="G176" s="84"/>
      <c r="H176" s="84"/>
      <c r="I176" s="84"/>
      <c r="J176" s="84"/>
      <c r="K176" s="84"/>
      <c r="L176" s="84"/>
      <c r="M176" s="84"/>
      <c r="N176" s="84"/>
      <c r="O176" s="83"/>
      <c r="P176" s="100"/>
      <c r="Q176" s="124"/>
      <c r="R176" s="124"/>
      <c r="S176" s="124"/>
      <c r="T176" s="125"/>
      <c r="U176" s="100"/>
      <c r="V176" s="83"/>
    </row>
    <row r="177" spans="1:22" ht="20.25" customHeight="1" x14ac:dyDescent="0.25">
      <c r="A177" s="83"/>
      <c r="B177" s="84"/>
      <c r="F177" s="84"/>
      <c r="G177" s="84"/>
      <c r="H177" s="84"/>
      <c r="I177" s="84"/>
      <c r="J177" s="84"/>
      <c r="K177" s="84"/>
      <c r="L177" s="84"/>
      <c r="M177" s="84"/>
      <c r="N177" s="84"/>
      <c r="O177" s="83"/>
      <c r="P177" s="100"/>
      <c r="Q177" s="124"/>
      <c r="R177" s="124"/>
      <c r="S177" s="124"/>
      <c r="T177" s="125"/>
      <c r="U177" s="100"/>
      <c r="V177" s="83"/>
    </row>
    <row r="178" spans="1:22" ht="20.25" customHeight="1" x14ac:dyDescent="0.25">
      <c r="A178" s="83"/>
      <c r="B178" s="84"/>
      <c r="F178" s="84"/>
      <c r="G178" s="84"/>
      <c r="H178" s="84"/>
      <c r="I178" s="84"/>
      <c r="J178" s="84"/>
      <c r="K178" s="84"/>
      <c r="L178" s="84"/>
      <c r="M178" s="84"/>
      <c r="N178" s="84"/>
      <c r="O178" s="83"/>
      <c r="P178" s="100"/>
      <c r="Q178" s="124"/>
      <c r="R178" s="124"/>
      <c r="S178" s="124"/>
      <c r="T178" s="125"/>
      <c r="U178" s="100"/>
      <c r="V178" s="83"/>
    </row>
    <row r="179" spans="1:22" ht="20.25" customHeight="1" x14ac:dyDescent="0.25">
      <c r="A179" s="83"/>
      <c r="B179" s="84"/>
      <c r="F179" s="84"/>
      <c r="G179" s="84"/>
      <c r="H179" s="84"/>
      <c r="I179" s="84"/>
      <c r="J179" s="84"/>
      <c r="K179" s="84"/>
      <c r="L179" s="84"/>
      <c r="M179" s="84"/>
      <c r="N179" s="84"/>
      <c r="O179" s="83"/>
      <c r="P179" s="100"/>
      <c r="Q179" s="124"/>
      <c r="R179" s="124"/>
      <c r="S179" s="124"/>
      <c r="T179" s="125"/>
      <c r="U179" s="100"/>
      <c r="V179" s="83"/>
    </row>
    <row r="180" spans="1:22" ht="20.25" customHeight="1" x14ac:dyDescent="0.25">
      <c r="A180" s="83"/>
      <c r="B180" s="84"/>
      <c r="F180" s="84"/>
      <c r="G180" s="84"/>
      <c r="H180" s="84"/>
      <c r="I180" s="84"/>
      <c r="J180" s="84"/>
      <c r="K180" s="84"/>
      <c r="L180" s="84"/>
      <c r="M180" s="84"/>
      <c r="N180" s="84"/>
      <c r="O180" s="83"/>
      <c r="P180" s="100"/>
      <c r="Q180" s="124"/>
      <c r="R180" s="124"/>
      <c r="S180" s="124"/>
      <c r="T180" s="125"/>
      <c r="U180" s="100"/>
      <c r="V180" s="83"/>
    </row>
    <row r="181" spans="1:22" ht="20.25" customHeight="1" x14ac:dyDescent="0.25">
      <c r="A181" s="83"/>
      <c r="B181" s="84"/>
      <c r="F181" s="84"/>
      <c r="G181" s="84"/>
      <c r="H181" s="84"/>
      <c r="I181" s="84"/>
      <c r="J181" s="84"/>
      <c r="K181" s="84"/>
      <c r="L181" s="84"/>
      <c r="M181" s="84"/>
      <c r="N181" s="84"/>
      <c r="O181" s="83"/>
      <c r="P181" s="100"/>
      <c r="Q181" s="124"/>
      <c r="R181" s="124"/>
      <c r="S181" s="124"/>
      <c r="T181" s="125"/>
      <c r="U181" s="100"/>
      <c r="V181" s="83"/>
    </row>
    <row r="182" spans="1:22" ht="20.25" customHeight="1" x14ac:dyDescent="0.25">
      <c r="A182" s="83"/>
      <c r="B182" s="84"/>
      <c r="F182" s="84"/>
      <c r="G182" s="84"/>
      <c r="H182" s="84"/>
      <c r="I182" s="84"/>
      <c r="J182" s="84"/>
      <c r="K182" s="84"/>
      <c r="L182" s="84"/>
      <c r="M182" s="84"/>
      <c r="N182" s="84"/>
      <c r="O182" s="83"/>
      <c r="P182" s="100"/>
      <c r="Q182" s="124"/>
      <c r="R182" s="124"/>
      <c r="S182" s="124"/>
      <c r="T182" s="125"/>
      <c r="U182" s="100"/>
      <c r="V182" s="83"/>
    </row>
    <row r="183" spans="1:22" ht="20.25" customHeight="1" x14ac:dyDescent="0.25">
      <c r="A183" s="83"/>
      <c r="B183" s="84"/>
      <c r="F183" s="84"/>
      <c r="G183" s="84"/>
      <c r="H183" s="84"/>
      <c r="I183" s="84"/>
      <c r="J183" s="84"/>
      <c r="K183" s="84"/>
      <c r="L183" s="84"/>
      <c r="M183" s="84"/>
      <c r="N183" s="84"/>
      <c r="O183" s="83"/>
      <c r="P183" s="100"/>
      <c r="Q183" s="124"/>
      <c r="R183" s="124"/>
      <c r="S183" s="124"/>
      <c r="T183" s="125"/>
      <c r="U183" s="100"/>
      <c r="V183" s="83"/>
    </row>
    <row r="184" spans="1:22" ht="20.25" customHeight="1" x14ac:dyDescent="0.25">
      <c r="A184" s="83"/>
      <c r="B184" s="84"/>
      <c r="F184" s="84"/>
      <c r="G184" s="84"/>
      <c r="H184" s="84"/>
      <c r="I184" s="84"/>
      <c r="J184" s="84"/>
      <c r="K184" s="84"/>
      <c r="L184" s="84"/>
      <c r="M184" s="84"/>
      <c r="N184" s="84"/>
      <c r="O184" s="83"/>
      <c r="P184" s="100"/>
      <c r="Q184" s="124"/>
      <c r="R184" s="124"/>
      <c r="S184" s="124"/>
      <c r="T184" s="125"/>
      <c r="U184" s="100"/>
      <c r="V184" s="83"/>
    </row>
    <row r="185" spans="1:22" ht="20.25" customHeight="1" x14ac:dyDescent="0.25">
      <c r="A185" s="83"/>
      <c r="B185" s="84"/>
      <c r="F185" s="84"/>
      <c r="G185" s="84"/>
      <c r="H185" s="84"/>
      <c r="I185" s="84"/>
      <c r="J185" s="84"/>
      <c r="K185" s="84"/>
      <c r="L185" s="84"/>
      <c r="M185" s="84"/>
      <c r="N185" s="84"/>
      <c r="O185" s="83"/>
      <c r="P185" s="100"/>
      <c r="Q185" s="124"/>
      <c r="R185" s="124"/>
      <c r="S185" s="124"/>
      <c r="T185" s="125"/>
      <c r="U185" s="100"/>
      <c r="V185" s="83"/>
    </row>
    <row r="186" spans="1:22" ht="20.25" customHeight="1" x14ac:dyDescent="0.25">
      <c r="A186" s="83"/>
      <c r="B186" s="84"/>
      <c r="F186" s="84"/>
      <c r="G186" s="84"/>
      <c r="H186" s="84"/>
      <c r="I186" s="84"/>
      <c r="J186" s="84"/>
      <c r="K186" s="84"/>
      <c r="L186" s="84"/>
      <c r="M186" s="84"/>
      <c r="N186" s="84"/>
      <c r="O186" s="83"/>
      <c r="P186" s="100"/>
      <c r="Q186" s="124"/>
      <c r="R186" s="124"/>
      <c r="S186" s="124"/>
      <c r="T186" s="125"/>
      <c r="U186" s="100"/>
      <c r="V186" s="83"/>
    </row>
    <row r="187" spans="1:22" ht="20.25" customHeight="1" x14ac:dyDescent="0.25">
      <c r="A187" s="83"/>
      <c r="B187" s="84"/>
      <c r="F187" s="84"/>
      <c r="G187" s="84"/>
      <c r="H187" s="84"/>
      <c r="I187" s="84"/>
      <c r="J187" s="84"/>
      <c r="K187" s="84"/>
      <c r="L187" s="84"/>
      <c r="M187" s="84"/>
      <c r="N187" s="84"/>
      <c r="O187" s="83"/>
      <c r="P187" s="100"/>
      <c r="Q187" s="124"/>
      <c r="R187" s="124"/>
      <c r="S187" s="124"/>
      <c r="T187" s="125"/>
      <c r="U187" s="100"/>
      <c r="V187" s="83"/>
    </row>
    <row r="188" spans="1:22" ht="20.25" customHeight="1" x14ac:dyDescent="0.25">
      <c r="A188" s="83"/>
      <c r="B188" s="84"/>
      <c r="F188" s="84"/>
      <c r="G188" s="84"/>
      <c r="H188" s="84"/>
      <c r="I188" s="84"/>
      <c r="J188" s="84"/>
      <c r="K188" s="84"/>
      <c r="L188" s="84"/>
      <c r="M188" s="84"/>
      <c r="N188" s="84"/>
      <c r="O188" s="83"/>
      <c r="P188" s="100"/>
      <c r="Q188" s="124"/>
      <c r="R188" s="124"/>
      <c r="S188" s="124"/>
      <c r="T188" s="125"/>
      <c r="U188" s="100"/>
      <c r="V188" s="83"/>
    </row>
    <row r="189" spans="1:22" ht="20.25" customHeight="1" x14ac:dyDescent="0.25">
      <c r="A189" s="83"/>
      <c r="B189" s="84"/>
      <c r="F189" s="84"/>
      <c r="G189" s="84"/>
      <c r="H189" s="84"/>
      <c r="I189" s="84"/>
      <c r="J189" s="84"/>
      <c r="K189" s="84"/>
      <c r="L189" s="84"/>
      <c r="M189" s="84"/>
      <c r="N189" s="84"/>
      <c r="O189" s="83"/>
      <c r="P189" s="100"/>
      <c r="Q189" s="124"/>
      <c r="R189" s="124"/>
      <c r="S189" s="124"/>
      <c r="T189" s="125"/>
      <c r="U189" s="100"/>
      <c r="V189" s="83"/>
    </row>
    <row r="190" spans="1:22" ht="20.25" customHeight="1" x14ac:dyDescent="0.25">
      <c r="A190" s="83"/>
      <c r="B190" s="84"/>
      <c r="F190" s="84"/>
      <c r="G190" s="84"/>
      <c r="H190" s="84"/>
      <c r="I190" s="84"/>
      <c r="J190" s="84"/>
      <c r="K190" s="84"/>
      <c r="L190" s="84"/>
      <c r="M190" s="84"/>
      <c r="N190" s="84"/>
      <c r="O190" s="83"/>
      <c r="P190" s="100"/>
      <c r="Q190" s="124"/>
      <c r="R190" s="124"/>
      <c r="S190" s="124"/>
      <c r="T190" s="125"/>
      <c r="U190" s="100"/>
      <c r="V190" s="83"/>
    </row>
    <row r="191" spans="1:22" ht="20.25" customHeight="1" x14ac:dyDescent="0.25">
      <c r="A191" s="83"/>
      <c r="B191" s="84"/>
      <c r="F191" s="84"/>
      <c r="G191" s="84"/>
      <c r="H191" s="84"/>
      <c r="I191" s="84"/>
      <c r="J191" s="84"/>
      <c r="K191" s="84"/>
      <c r="L191" s="84"/>
      <c r="M191" s="84"/>
      <c r="N191" s="84"/>
      <c r="O191" s="83"/>
      <c r="P191" s="100"/>
      <c r="Q191" s="124"/>
      <c r="R191" s="124"/>
      <c r="S191" s="124"/>
      <c r="T191" s="125"/>
      <c r="U191" s="100"/>
      <c r="V191" s="83"/>
    </row>
    <row r="192" spans="1:22" ht="20.25" customHeight="1" x14ac:dyDescent="0.25">
      <c r="A192" s="83"/>
      <c r="B192" s="84"/>
      <c r="F192" s="84"/>
      <c r="G192" s="84"/>
      <c r="H192" s="84"/>
      <c r="I192" s="84"/>
      <c r="J192" s="84"/>
      <c r="K192" s="84"/>
      <c r="L192" s="84"/>
      <c r="M192" s="84"/>
      <c r="N192" s="84"/>
      <c r="O192" s="83"/>
      <c r="P192" s="100"/>
      <c r="Q192" s="124"/>
      <c r="R192" s="124"/>
      <c r="S192" s="124"/>
      <c r="T192" s="125"/>
      <c r="U192" s="100"/>
      <c r="V192" s="83"/>
    </row>
    <row r="193" spans="1:22" ht="20.25" customHeight="1" x14ac:dyDescent="0.25">
      <c r="A193" s="83"/>
      <c r="B193" s="84"/>
      <c r="F193" s="84"/>
      <c r="G193" s="84"/>
      <c r="H193" s="84"/>
      <c r="I193" s="84"/>
      <c r="J193" s="84"/>
      <c r="K193" s="84"/>
      <c r="L193" s="84"/>
      <c r="M193" s="84"/>
      <c r="N193" s="84"/>
      <c r="O193" s="83"/>
      <c r="P193" s="100"/>
      <c r="Q193" s="124"/>
      <c r="R193" s="124"/>
      <c r="S193" s="124"/>
      <c r="T193" s="125"/>
      <c r="U193" s="100"/>
      <c r="V193" s="83"/>
    </row>
    <row r="194" spans="1:22" ht="20.25" customHeight="1" x14ac:dyDescent="0.25">
      <c r="A194" s="83"/>
      <c r="B194" s="84"/>
      <c r="F194" s="84"/>
      <c r="G194" s="84"/>
      <c r="H194" s="84"/>
      <c r="I194" s="84"/>
      <c r="J194" s="84"/>
      <c r="K194" s="84"/>
      <c r="L194" s="84"/>
      <c r="M194" s="84"/>
      <c r="N194" s="84"/>
      <c r="O194" s="83"/>
      <c r="P194" s="100"/>
      <c r="Q194" s="124"/>
      <c r="R194" s="124"/>
      <c r="S194" s="124"/>
      <c r="T194" s="125"/>
      <c r="U194" s="100"/>
      <c r="V194" s="83"/>
    </row>
    <row r="195" spans="1:22" ht="20.25" customHeight="1" x14ac:dyDescent="0.25">
      <c r="A195" s="83"/>
      <c r="B195" s="84"/>
      <c r="F195" s="84"/>
      <c r="G195" s="84"/>
      <c r="H195" s="84"/>
      <c r="I195" s="84"/>
      <c r="J195" s="84"/>
      <c r="K195" s="84"/>
      <c r="L195" s="84"/>
      <c r="M195" s="84"/>
      <c r="N195" s="84"/>
      <c r="O195" s="83"/>
      <c r="P195" s="100"/>
      <c r="Q195" s="124"/>
      <c r="R195" s="124"/>
      <c r="S195" s="124"/>
      <c r="T195" s="125"/>
      <c r="U195" s="100"/>
      <c r="V195" s="83"/>
    </row>
    <row r="196" spans="1:22" ht="20.25" customHeight="1" x14ac:dyDescent="0.25">
      <c r="A196" s="83"/>
      <c r="B196" s="84"/>
      <c r="F196" s="84"/>
      <c r="G196" s="84"/>
      <c r="H196" s="84"/>
      <c r="I196" s="84"/>
      <c r="J196" s="84"/>
      <c r="K196" s="84"/>
      <c r="L196" s="84"/>
      <c r="M196" s="84"/>
      <c r="N196" s="84"/>
      <c r="O196" s="83"/>
      <c r="P196" s="100"/>
      <c r="Q196" s="124"/>
      <c r="R196" s="124"/>
      <c r="S196" s="124"/>
      <c r="T196" s="125"/>
      <c r="U196" s="100"/>
      <c r="V196" s="83"/>
    </row>
    <row r="197" spans="1:22" ht="20.25" customHeight="1" x14ac:dyDescent="0.25">
      <c r="A197" s="83"/>
      <c r="B197" s="84"/>
      <c r="F197" s="84"/>
      <c r="G197" s="84"/>
      <c r="H197" s="84"/>
      <c r="I197" s="84"/>
      <c r="J197" s="84"/>
      <c r="K197" s="84"/>
      <c r="L197" s="84"/>
      <c r="M197" s="84"/>
      <c r="N197" s="84"/>
      <c r="O197" s="83"/>
      <c r="P197" s="100"/>
      <c r="Q197" s="124"/>
      <c r="R197" s="124"/>
      <c r="S197" s="124"/>
      <c r="T197" s="125"/>
      <c r="U197" s="100"/>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O4 Q3:V4">
    <cfRule type="expression" dxfId="144" priority="17">
      <formula>ROW()-NumberOfTeams=2</formula>
    </cfRule>
  </conditionalFormatting>
  <conditionalFormatting sqref="A3:A4">
    <cfRule type="expression" dxfId="143" priority="11">
      <formula>IF($N3 &lt;= NumberofTeamsAdvancing,TRUE,FALSE)</formula>
    </cfRule>
  </conditionalFormatting>
  <conditionalFormatting sqref="B3:O4 Q3:V4">
    <cfRule type="expression" dxfId="142" priority="21">
      <formula>IF($O3&lt;&gt;"",TRUE,FALSE)</formula>
    </cfRule>
  </conditionalFormatting>
  <conditionalFormatting sqref="O3:O4">
    <cfRule type="duplicateValues" dxfId="141" priority="309"/>
  </conditionalFormatting>
  <conditionalFormatting sqref="P3:P4">
    <cfRule type="cellIs" dxfId="140" priority="322" stopIfTrue="1" operator="equal">
      <formula>"Yes"</formula>
    </cfRule>
    <cfRule type="cellIs" dxfId="139" priority="323" stopIfTrue="1" operator="equal">
      <formula>"Alt"</formula>
    </cfRule>
  </conditionalFormatting>
  <dataValidations count="2">
    <dataValidation type="list" allowBlank="1" showInputMessage="1" showErrorMessage="1" sqref="O3:O4" xr:uid="{00000000-0002-0000-0300-000001000000}">
      <formula1>Awards</formula1>
    </dataValidation>
    <dataValidation type="list" allowBlank="1" showInputMessage="1" showErrorMessage="1" sqref="P2" xr:uid="{3A459719-D978-423B-A9AB-D20C3A0A99CB}">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2099C3-6EB6-4930-811F-FE6BE23CA489}">
          <x14:formula1>
            <xm:f>'Data Validation'!$A$2:$A$4</xm:f>
          </x14:formula1>
          <xm:sqref>P3:P4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54</v>
      </c>
      <c r="D1" s="77" t="s">
        <v>55</v>
      </c>
      <c r="E1" s="77" t="s">
        <v>56</v>
      </c>
      <c r="F1" s="69" t="s">
        <v>57</v>
      </c>
    </row>
    <row r="2" spans="1:6" ht="21" customHeight="1" x14ac:dyDescent="0.25">
      <c r="A2" s="81">
        <v>1</v>
      </c>
      <c r="B2" s="81" t="e">
        <f>INDEX(OfficialTeamList[Team Name],MATCH(RobotGameScores[[#This Row],[Team Number]], OfficialTeamList[Team Number],0))</f>
        <v>#N/A</v>
      </c>
      <c r="C2" s="82"/>
      <c r="D2" s="82"/>
      <c r="E2" s="82"/>
      <c r="F2" s="86">
        <f>MAX(C2:E2)</f>
        <v>0</v>
      </c>
    </row>
    <row r="3" spans="1:6" ht="21" customHeight="1" x14ac:dyDescent="0.25">
      <c r="A3" s="81">
        <v>2</v>
      </c>
      <c r="B3" s="81" t="e">
        <f>INDEX(OfficialTeamList[Team Name],MATCH(RobotGameScores[[#This Row],[Team Number]], OfficialTeamList[Team Number],0))</f>
        <v>#N/A</v>
      </c>
      <c r="C3" s="82"/>
      <c r="D3" s="82"/>
      <c r="E3" s="82"/>
      <c r="F3" s="86">
        <f>MAX(C3:E3)</f>
        <v>0</v>
      </c>
    </row>
    <row r="4" spans="1:6" ht="21" customHeight="1" x14ac:dyDescent="0.25">
      <c r="A4" s="81"/>
      <c r="B4" s="81"/>
      <c r="C4" s="81"/>
      <c r="D4" s="81"/>
      <c r="E4" s="81"/>
      <c r="F4" s="98"/>
    </row>
    <row r="5" spans="1:6" ht="21" customHeight="1" x14ac:dyDescent="0.25">
      <c r="A5" s="81"/>
      <c r="B5" s="81"/>
      <c r="C5" s="81"/>
      <c r="D5" s="81"/>
      <c r="E5" s="81"/>
      <c r="F5" s="98"/>
    </row>
    <row r="6" spans="1:6" ht="21" customHeight="1" x14ac:dyDescent="0.25">
      <c r="A6" s="81"/>
      <c r="B6" s="81"/>
      <c r="C6" s="81"/>
      <c r="D6" s="81"/>
      <c r="E6" s="81"/>
      <c r="F6" s="98"/>
    </row>
    <row r="7" spans="1:6" ht="21" customHeight="1" x14ac:dyDescent="0.25">
      <c r="A7" s="81"/>
      <c r="B7" s="81"/>
      <c r="C7" s="81"/>
      <c r="D7" s="81"/>
      <c r="E7" s="81"/>
      <c r="F7" s="98"/>
    </row>
    <row r="8" spans="1:6" ht="21" customHeight="1" x14ac:dyDescent="0.25">
      <c r="A8" s="81"/>
      <c r="B8" s="81"/>
      <c r="C8" s="81"/>
      <c r="D8" s="81"/>
      <c r="E8" s="81"/>
      <c r="F8" s="98"/>
    </row>
    <row r="9" spans="1:6" ht="21" customHeight="1" x14ac:dyDescent="0.25">
      <c r="A9" s="81"/>
      <c r="B9" s="81"/>
      <c r="C9" s="81"/>
      <c r="D9" s="81"/>
      <c r="E9" s="81"/>
      <c r="F9" s="98"/>
    </row>
    <row r="10" spans="1:6" ht="21" customHeight="1" x14ac:dyDescent="0.25">
      <c r="A10" s="81"/>
      <c r="B10" s="81"/>
      <c r="C10" s="81"/>
      <c r="D10" s="81"/>
      <c r="E10" s="81"/>
      <c r="F10" s="98"/>
    </row>
    <row r="11" spans="1:6" ht="21" customHeight="1" x14ac:dyDescent="0.25">
      <c r="A11" s="81"/>
      <c r="B11" s="81"/>
      <c r="C11" s="81"/>
      <c r="D11" s="81"/>
      <c r="E11" s="81"/>
      <c r="F11" s="98"/>
    </row>
    <row r="12" spans="1:6" ht="21" customHeight="1" x14ac:dyDescent="0.25">
      <c r="A12" s="81"/>
      <c r="B12" s="81"/>
      <c r="C12" s="81"/>
      <c r="D12" s="81"/>
      <c r="E12" s="81"/>
      <c r="F12" s="98"/>
    </row>
    <row r="13" spans="1:6" ht="21" customHeight="1" x14ac:dyDescent="0.25">
      <c r="A13" s="81"/>
      <c r="B13" s="81"/>
      <c r="C13" s="81"/>
      <c r="D13" s="81"/>
      <c r="E13" s="81"/>
      <c r="F13" s="98"/>
    </row>
    <row r="14" spans="1:6" ht="21" customHeight="1" x14ac:dyDescent="0.25">
      <c r="A14" s="81"/>
      <c r="B14" s="81"/>
      <c r="C14" s="81"/>
      <c r="D14" s="81"/>
      <c r="E14" s="81"/>
      <c r="F14" s="98"/>
    </row>
    <row r="15" spans="1:6" ht="21" customHeight="1" x14ac:dyDescent="0.25">
      <c r="A15" s="81"/>
      <c r="B15" s="81"/>
      <c r="C15" s="81"/>
      <c r="D15" s="81"/>
      <c r="E15" s="81"/>
      <c r="F15" s="98"/>
    </row>
    <row r="16" spans="1:6" ht="21" customHeight="1" x14ac:dyDescent="0.25">
      <c r="A16" s="81"/>
      <c r="B16" s="81"/>
      <c r="C16" s="81"/>
      <c r="D16" s="81"/>
      <c r="E16" s="81"/>
      <c r="F16" s="98"/>
    </row>
    <row r="17" spans="1:6" ht="21" customHeight="1" x14ac:dyDescent="0.25">
      <c r="A17" s="81"/>
      <c r="B17" s="81"/>
      <c r="C17" s="81"/>
      <c r="D17" s="81"/>
      <c r="E17" s="81"/>
      <c r="F17" s="98"/>
    </row>
    <row r="18" spans="1:6" ht="21" customHeight="1" x14ac:dyDescent="0.25">
      <c r="A18" s="81"/>
      <c r="B18" s="81"/>
      <c r="C18" s="81"/>
      <c r="D18" s="81"/>
      <c r="E18" s="81"/>
      <c r="F18" s="98"/>
    </row>
    <row r="19" spans="1:6" ht="21" customHeight="1" x14ac:dyDescent="0.25">
      <c r="A19" s="81"/>
      <c r="B19" s="81"/>
      <c r="C19" s="81"/>
      <c r="D19" s="81"/>
      <c r="E19" s="81"/>
      <c r="F19" s="98"/>
    </row>
    <row r="20" spans="1:6" ht="21" customHeight="1" x14ac:dyDescent="0.25">
      <c r="A20" s="81"/>
      <c r="B20" s="81"/>
      <c r="C20" s="81"/>
      <c r="D20" s="81"/>
      <c r="E20" s="81"/>
      <c r="F20" s="98"/>
    </row>
    <row r="21" spans="1:6" ht="21" customHeight="1" x14ac:dyDescent="0.25">
      <c r="A21" s="81"/>
      <c r="B21" s="81"/>
      <c r="C21" s="81"/>
      <c r="D21" s="81"/>
      <c r="E21" s="81"/>
      <c r="F21" s="98"/>
    </row>
    <row r="22" spans="1:6" ht="21" customHeight="1" x14ac:dyDescent="0.25">
      <c r="A22" s="81"/>
      <c r="B22" s="81"/>
      <c r="C22" s="81"/>
      <c r="D22" s="81"/>
      <c r="E22" s="81"/>
      <c r="F22" s="98"/>
    </row>
    <row r="23" spans="1:6" ht="21" customHeight="1" x14ac:dyDescent="0.25">
      <c r="A23" s="81"/>
      <c r="B23" s="81"/>
      <c r="C23" s="81"/>
      <c r="D23" s="81"/>
      <c r="E23" s="81"/>
      <c r="F23" s="98"/>
    </row>
    <row r="24" spans="1:6" ht="21" customHeight="1" x14ac:dyDescent="0.25">
      <c r="A24" s="81"/>
      <c r="B24" s="81"/>
      <c r="C24" s="81"/>
      <c r="D24" s="81"/>
      <c r="E24" s="81"/>
      <c r="F24" s="98"/>
    </row>
    <row r="25" spans="1:6" ht="21" customHeight="1" x14ac:dyDescent="0.25">
      <c r="A25" s="81"/>
      <c r="B25" s="81"/>
      <c r="C25" s="81"/>
      <c r="D25" s="81"/>
      <c r="E25" s="81"/>
      <c r="F25" s="98"/>
    </row>
    <row r="26" spans="1:6" ht="21" customHeight="1" x14ac:dyDescent="0.25">
      <c r="A26" s="81"/>
      <c r="B26" s="81"/>
      <c r="C26" s="81"/>
      <c r="D26" s="81"/>
      <c r="E26" s="81"/>
      <c r="F26" s="98"/>
    </row>
    <row r="27" spans="1:6" ht="21" customHeight="1" x14ac:dyDescent="0.25">
      <c r="A27" s="81"/>
      <c r="B27" s="81"/>
      <c r="C27" s="81"/>
      <c r="D27" s="81"/>
      <c r="E27" s="81"/>
      <c r="F27" s="98"/>
    </row>
    <row r="28" spans="1:6" ht="21" customHeight="1" x14ac:dyDescent="0.25">
      <c r="A28" s="81"/>
      <c r="B28" s="81"/>
      <c r="C28" s="81"/>
      <c r="D28" s="81"/>
      <c r="E28" s="81"/>
      <c r="F28" s="98"/>
    </row>
    <row r="29" spans="1:6" ht="21" customHeight="1" x14ac:dyDescent="0.25">
      <c r="A29" s="81"/>
      <c r="B29" s="81"/>
      <c r="C29" s="81"/>
      <c r="D29" s="81"/>
      <c r="E29" s="81"/>
      <c r="F29" s="98"/>
    </row>
    <row r="30" spans="1:6" ht="21" customHeight="1" x14ac:dyDescent="0.25">
      <c r="A30" s="81"/>
      <c r="B30" s="81"/>
      <c r="C30" s="81"/>
      <c r="D30" s="81"/>
      <c r="E30" s="81"/>
      <c r="F30" s="98"/>
    </row>
    <row r="31" spans="1:6" ht="21" customHeight="1" x14ac:dyDescent="0.25">
      <c r="A31" s="81"/>
      <c r="B31" s="81"/>
      <c r="C31" s="81"/>
      <c r="D31" s="81"/>
      <c r="E31" s="81"/>
      <c r="F31" s="98"/>
    </row>
    <row r="32" spans="1:6" ht="21" customHeight="1" x14ac:dyDescent="0.25">
      <c r="A32" s="81"/>
      <c r="B32" s="81"/>
      <c r="C32" s="81"/>
      <c r="D32" s="81"/>
      <c r="E32" s="81"/>
      <c r="F32" s="98"/>
    </row>
    <row r="33" spans="1:6" ht="21" customHeight="1" x14ac:dyDescent="0.25">
      <c r="A33" s="81"/>
      <c r="B33" s="81"/>
      <c r="C33" s="81"/>
      <c r="D33" s="81"/>
      <c r="E33" s="81"/>
      <c r="F33" s="98"/>
    </row>
    <row r="34" spans="1:6" ht="21" customHeight="1" x14ac:dyDescent="0.25">
      <c r="A34" s="81"/>
      <c r="B34" s="81"/>
      <c r="C34" s="81"/>
      <c r="D34" s="81"/>
      <c r="E34" s="81"/>
      <c r="F34" s="98"/>
    </row>
    <row r="35" spans="1:6" ht="21" customHeight="1" x14ac:dyDescent="0.25">
      <c r="A35" s="81"/>
      <c r="B35" s="81"/>
      <c r="C35" s="81"/>
      <c r="D35" s="81"/>
      <c r="E35" s="81"/>
      <c r="F35" s="98"/>
    </row>
    <row r="36" spans="1:6" ht="21" customHeight="1" x14ac:dyDescent="0.25">
      <c r="A36" s="81"/>
      <c r="B36" s="81"/>
      <c r="C36" s="81"/>
      <c r="D36" s="81"/>
      <c r="E36" s="81"/>
      <c r="F36" s="98"/>
    </row>
    <row r="37" spans="1:6" ht="21" customHeight="1" x14ac:dyDescent="0.25">
      <c r="A37" s="81"/>
      <c r="B37" s="81"/>
      <c r="C37" s="81"/>
      <c r="D37" s="81"/>
      <c r="E37" s="81"/>
      <c r="F37" s="98"/>
    </row>
    <row r="38" spans="1:6" ht="21" customHeight="1" x14ac:dyDescent="0.25">
      <c r="A38" s="81"/>
      <c r="B38" s="81"/>
      <c r="C38" s="81"/>
      <c r="D38" s="81"/>
      <c r="E38" s="81"/>
      <c r="F38" s="98"/>
    </row>
    <row r="39" spans="1:6" ht="21" customHeight="1" x14ac:dyDescent="0.25">
      <c r="A39" s="81"/>
      <c r="B39" s="81"/>
      <c r="C39" s="81"/>
      <c r="D39" s="81"/>
      <c r="E39" s="81"/>
      <c r="F39" s="98"/>
    </row>
    <row r="40" spans="1:6" ht="21" customHeight="1" x14ac:dyDescent="0.25">
      <c r="A40" s="81"/>
      <c r="B40" s="81"/>
      <c r="C40" s="81"/>
      <c r="D40" s="81"/>
      <c r="E40" s="81"/>
      <c r="F40" s="98"/>
    </row>
    <row r="41" spans="1:6" ht="21" customHeight="1" x14ac:dyDescent="0.25">
      <c r="A41" s="81"/>
      <c r="B41" s="81"/>
      <c r="C41" s="81"/>
      <c r="D41" s="81"/>
      <c r="E41" s="81"/>
      <c r="F41" s="98"/>
    </row>
    <row r="42" spans="1:6" ht="21" customHeight="1" x14ac:dyDescent="0.25">
      <c r="A42" s="81"/>
      <c r="B42" s="81"/>
      <c r="C42" s="81"/>
      <c r="D42" s="81"/>
      <c r="E42" s="81"/>
      <c r="F42" s="98"/>
    </row>
    <row r="43" spans="1:6" ht="21" customHeight="1" x14ac:dyDescent="0.25">
      <c r="A43" s="81"/>
      <c r="B43" s="81"/>
      <c r="C43" s="81"/>
      <c r="D43" s="81"/>
      <c r="E43" s="81"/>
      <c r="F43" s="98"/>
    </row>
    <row r="44" spans="1:6" ht="21" customHeight="1" x14ac:dyDescent="0.25">
      <c r="A44" s="81"/>
      <c r="B44" s="81"/>
      <c r="C44" s="81"/>
      <c r="D44" s="81"/>
      <c r="E44" s="81"/>
      <c r="F44" s="98"/>
    </row>
    <row r="45" spans="1:6" ht="21" customHeight="1" x14ac:dyDescent="0.25">
      <c r="A45" s="81"/>
      <c r="B45" s="81"/>
      <c r="C45" s="81"/>
      <c r="D45" s="81"/>
      <c r="E45" s="81"/>
      <c r="F45" s="98"/>
    </row>
    <row r="46" spans="1:6" ht="21" customHeight="1" x14ac:dyDescent="0.25">
      <c r="A46" s="81"/>
      <c r="B46" s="81"/>
      <c r="C46" s="81"/>
      <c r="D46" s="81"/>
      <c r="E46" s="81"/>
      <c r="F46" s="98"/>
    </row>
    <row r="47" spans="1:6" ht="21" customHeight="1" x14ac:dyDescent="0.25">
      <c r="A47" s="81"/>
      <c r="B47" s="81"/>
      <c r="C47" s="81"/>
      <c r="D47" s="81"/>
      <c r="E47" s="81"/>
      <c r="F47" s="98"/>
    </row>
    <row r="48" spans="1:6" ht="21" customHeight="1" x14ac:dyDescent="0.25">
      <c r="A48" s="81"/>
      <c r="B48" s="81"/>
      <c r="C48" s="81"/>
      <c r="D48" s="81"/>
      <c r="E48" s="81"/>
      <c r="F48" s="98"/>
    </row>
    <row r="49" spans="1:6" ht="21" customHeight="1" x14ac:dyDescent="0.25">
      <c r="A49" s="81"/>
      <c r="B49" s="81"/>
      <c r="C49" s="81"/>
      <c r="D49" s="81"/>
      <c r="E49" s="81"/>
      <c r="F49" s="98"/>
    </row>
    <row r="50" spans="1:6" ht="21" customHeight="1" x14ac:dyDescent="0.25">
      <c r="A50" s="81"/>
      <c r="B50" s="81"/>
      <c r="C50" s="81"/>
      <c r="D50" s="81"/>
      <c r="E50" s="81"/>
      <c r="F50" s="98"/>
    </row>
    <row r="51" spans="1:6" ht="21" customHeight="1" x14ac:dyDescent="0.25">
      <c r="A51" s="81"/>
      <c r="B51" s="81"/>
      <c r="C51" s="81"/>
      <c r="D51" s="81"/>
      <c r="E51" s="81"/>
      <c r="F51" s="98"/>
    </row>
    <row r="52" spans="1:6" ht="21" customHeight="1" x14ac:dyDescent="0.25">
      <c r="A52" s="81"/>
      <c r="B52" s="81"/>
      <c r="C52" s="81"/>
      <c r="D52" s="81"/>
      <c r="E52" s="81"/>
      <c r="F52" s="98"/>
    </row>
    <row r="53" spans="1:6" ht="21" customHeight="1" x14ac:dyDescent="0.25">
      <c r="A53" s="81"/>
      <c r="B53" s="81"/>
      <c r="C53" s="81"/>
      <c r="D53" s="81"/>
      <c r="E53" s="81"/>
      <c r="F53" s="98"/>
    </row>
    <row r="54" spans="1:6" ht="21" customHeight="1" x14ac:dyDescent="0.25">
      <c r="A54" s="81"/>
      <c r="B54" s="81"/>
      <c r="C54" s="81"/>
      <c r="D54" s="81"/>
      <c r="E54" s="81"/>
      <c r="F54" s="98"/>
    </row>
    <row r="55" spans="1:6" ht="21" customHeight="1" x14ac:dyDescent="0.25">
      <c r="A55" s="81"/>
      <c r="B55" s="81"/>
      <c r="C55" s="81"/>
      <c r="D55" s="81"/>
      <c r="E55" s="81"/>
      <c r="F55" s="98"/>
    </row>
    <row r="56" spans="1:6" ht="21" customHeight="1" x14ac:dyDescent="0.25">
      <c r="A56" s="81"/>
      <c r="B56" s="81"/>
      <c r="C56" s="81"/>
      <c r="D56" s="81"/>
      <c r="E56" s="81"/>
      <c r="F56" s="98"/>
    </row>
    <row r="57" spans="1:6" ht="21" customHeight="1" x14ac:dyDescent="0.25">
      <c r="A57" s="81"/>
      <c r="B57" s="81"/>
      <c r="C57" s="81"/>
      <c r="D57" s="81"/>
      <c r="E57" s="81"/>
      <c r="F57" s="98"/>
    </row>
    <row r="58" spans="1:6" ht="21" customHeight="1" x14ac:dyDescent="0.25">
      <c r="A58" s="81"/>
      <c r="B58" s="81"/>
      <c r="C58" s="81"/>
      <c r="D58" s="81"/>
      <c r="E58" s="81"/>
      <c r="F58" s="98"/>
    </row>
    <row r="59" spans="1:6" ht="21" customHeight="1" x14ac:dyDescent="0.25">
      <c r="A59" s="81"/>
      <c r="B59" s="81"/>
      <c r="C59" s="81"/>
      <c r="D59" s="81"/>
      <c r="E59" s="81"/>
      <c r="F59" s="98"/>
    </row>
    <row r="60" spans="1:6" ht="21" customHeight="1" x14ac:dyDescent="0.25">
      <c r="A60" s="81"/>
      <c r="B60" s="81"/>
      <c r="C60" s="81"/>
      <c r="D60" s="81"/>
      <c r="E60" s="81"/>
      <c r="F60" s="98"/>
    </row>
    <row r="61" spans="1:6" ht="21" customHeight="1" x14ac:dyDescent="0.25">
      <c r="A61" s="81"/>
      <c r="B61" s="81"/>
      <c r="C61" s="81"/>
      <c r="D61" s="81"/>
      <c r="E61" s="81"/>
      <c r="F61" s="98"/>
    </row>
    <row r="62" spans="1:6" ht="21" customHeight="1" x14ac:dyDescent="0.25">
      <c r="A62" s="81"/>
      <c r="B62" s="81"/>
      <c r="C62" s="81"/>
      <c r="D62" s="81"/>
      <c r="E62" s="81"/>
      <c r="F62" s="98"/>
    </row>
    <row r="63" spans="1:6" ht="21" customHeight="1" x14ac:dyDescent="0.25">
      <c r="A63" s="81"/>
      <c r="B63" s="81"/>
      <c r="C63" s="81"/>
      <c r="D63" s="81"/>
      <c r="E63" s="81"/>
      <c r="F63" s="98"/>
    </row>
    <row r="64" spans="1:6" ht="21" customHeight="1" x14ac:dyDescent="0.25">
      <c r="A64" s="81"/>
      <c r="B64" s="81"/>
      <c r="C64" s="81"/>
      <c r="D64" s="81"/>
      <c r="E64" s="81"/>
      <c r="F64" s="98"/>
    </row>
    <row r="65" spans="1:6" ht="21" customHeight="1" x14ac:dyDescent="0.25">
      <c r="A65" s="81"/>
      <c r="B65" s="81"/>
      <c r="C65" s="81"/>
      <c r="D65" s="81"/>
      <c r="E65" s="81"/>
      <c r="F65" s="98"/>
    </row>
    <row r="66" spans="1:6" ht="21" customHeight="1" x14ac:dyDescent="0.25">
      <c r="A66" s="81"/>
      <c r="B66" s="81"/>
      <c r="C66" s="81"/>
      <c r="D66" s="81"/>
      <c r="E66" s="81"/>
      <c r="F66" s="98"/>
    </row>
    <row r="67" spans="1:6" ht="21" customHeight="1" x14ac:dyDescent="0.25">
      <c r="A67" s="81"/>
      <c r="B67" s="81"/>
      <c r="C67" s="81"/>
      <c r="D67" s="81"/>
      <c r="E67" s="81"/>
      <c r="F67" s="98"/>
    </row>
    <row r="68" spans="1:6" ht="21" customHeight="1" x14ac:dyDescent="0.25">
      <c r="A68" s="81"/>
      <c r="B68" s="81"/>
      <c r="C68" s="81"/>
      <c r="D68" s="81"/>
      <c r="E68" s="81"/>
      <c r="F68" s="98"/>
    </row>
    <row r="69" spans="1:6" ht="21" customHeight="1" x14ac:dyDescent="0.25">
      <c r="A69" s="81"/>
      <c r="B69" s="81"/>
      <c r="C69" s="81"/>
      <c r="D69" s="81"/>
      <c r="E69" s="81"/>
      <c r="F69" s="98"/>
    </row>
    <row r="70" spans="1:6" ht="21" customHeight="1" x14ac:dyDescent="0.25">
      <c r="A70" s="81"/>
      <c r="B70" s="81"/>
      <c r="C70" s="81"/>
      <c r="D70" s="81"/>
      <c r="E70" s="81"/>
      <c r="F70" s="98"/>
    </row>
    <row r="71" spans="1:6" ht="21" customHeight="1" x14ac:dyDescent="0.25">
      <c r="A71" s="81"/>
      <c r="B71" s="81"/>
      <c r="C71" s="81"/>
      <c r="D71" s="81"/>
      <c r="E71" s="81"/>
      <c r="F71" s="98"/>
    </row>
    <row r="72" spans="1:6" ht="21" customHeight="1" x14ac:dyDescent="0.25">
      <c r="A72" s="81"/>
      <c r="B72" s="81"/>
      <c r="C72" s="81"/>
      <c r="D72" s="81"/>
      <c r="E72" s="81"/>
      <c r="F72" s="98"/>
    </row>
    <row r="73" spans="1:6" ht="21" customHeight="1" x14ac:dyDescent="0.25">
      <c r="A73" s="81"/>
      <c r="B73" s="81"/>
      <c r="C73" s="81"/>
      <c r="D73" s="81"/>
      <c r="E73" s="81"/>
      <c r="F73" s="98"/>
    </row>
    <row r="74" spans="1:6" ht="21" customHeight="1" x14ac:dyDescent="0.25">
      <c r="A74" s="81"/>
      <c r="B74" s="81"/>
      <c r="C74" s="81"/>
      <c r="D74" s="81"/>
      <c r="E74" s="81"/>
      <c r="F74" s="98"/>
    </row>
    <row r="75" spans="1:6" ht="21" customHeight="1" x14ac:dyDescent="0.25">
      <c r="A75" s="81"/>
      <c r="B75" s="81"/>
      <c r="C75" s="81"/>
      <c r="D75" s="81"/>
      <c r="E75" s="81"/>
      <c r="F75" s="98"/>
    </row>
    <row r="76" spans="1:6" ht="21" customHeight="1" x14ac:dyDescent="0.25">
      <c r="A76" s="81"/>
      <c r="B76" s="81"/>
      <c r="C76" s="81"/>
      <c r="D76" s="81"/>
      <c r="E76" s="81"/>
      <c r="F76" s="98"/>
    </row>
    <row r="77" spans="1:6" ht="21" customHeight="1" x14ac:dyDescent="0.25">
      <c r="A77" s="81"/>
      <c r="B77" s="81"/>
      <c r="C77" s="81"/>
      <c r="D77" s="81"/>
      <c r="E77" s="81"/>
      <c r="F77" s="98"/>
    </row>
    <row r="78" spans="1:6" ht="21" customHeight="1" x14ac:dyDescent="0.25">
      <c r="A78" s="81"/>
      <c r="B78" s="81"/>
      <c r="C78" s="81"/>
      <c r="D78" s="81"/>
      <c r="E78" s="81"/>
      <c r="F78" s="98"/>
    </row>
    <row r="79" spans="1:6" ht="21" customHeight="1" x14ac:dyDescent="0.25">
      <c r="A79" s="81"/>
      <c r="B79" s="81"/>
      <c r="C79" s="81"/>
      <c r="D79" s="81"/>
      <c r="E79" s="81"/>
      <c r="F79" s="98"/>
    </row>
    <row r="80" spans="1:6" ht="21" customHeight="1" x14ac:dyDescent="0.25">
      <c r="A80" s="81"/>
      <c r="B80" s="81"/>
      <c r="C80" s="81"/>
      <c r="D80" s="81"/>
      <c r="E80" s="81"/>
      <c r="F80" s="98"/>
    </row>
    <row r="81" spans="1:6" ht="21" customHeight="1" x14ac:dyDescent="0.25">
      <c r="A81" s="81"/>
      <c r="B81" s="81"/>
      <c r="C81" s="81"/>
      <c r="D81" s="81"/>
      <c r="E81" s="81"/>
      <c r="F81" s="98"/>
    </row>
    <row r="82" spans="1:6" ht="21" customHeight="1" x14ac:dyDescent="0.25">
      <c r="A82" s="81"/>
      <c r="B82" s="81"/>
      <c r="C82" s="81"/>
      <c r="D82" s="81"/>
      <c r="E82" s="81"/>
      <c r="F82" s="98"/>
    </row>
    <row r="83" spans="1:6" ht="21" customHeight="1" x14ac:dyDescent="0.25">
      <c r="A83" s="81"/>
      <c r="B83" s="81"/>
      <c r="C83" s="81"/>
      <c r="D83" s="81"/>
      <c r="E83" s="81"/>
      <c r="F83" s="98"/>
    </row>
    <row r="84" spans="1:6" ht="21" customHeight="1" x14ac:dyDescent="0.25">
      <c r="A84" s="81"/>
      <c r="B84" s="81"/>
      <c r="C84" s="81"/>
      <c r="D84" s="81"/>
      <c r="E84" s="81"/>
      <c r="F84" s="98"/>
    </row>
    <row r="85" spans="1:6" ht="21" customHeight="1" x14ac:dyDescent="0.25">
      <c r="A85" s="81"/>
      <c r="B85" s="81"/>
      <c r="C85" s="81"/>
      <c r="D85" s="81"/>
      <c r="E85" s="81"/>
      <c r="F85" s="98"/>
    </row>
    <row r="86" spans="1:6" ht="21" customHeight="1" x14ac:dyDescent="0.25">
      <c r="A86" s="81"/>
      <c r="B86" s="81"/>
      <c r="C86" s="81"/>
      <c r="D86" s="81"/>
      <c r="E86" s="81"/>
      <c r="F86" s="98"/>
    </row>
    <row r="87" spans="1:6" ht="21" customHeight="1" x14ac:dyDescent="0.25">
      <c r="A87" s="81"/>
      <c r="B87" s="81"/>
      <c r="C87" s="81"/>
      <c r="D87" s="81"/>
      <c r="E87" s="81"/>
      <c r="F87" s="98"/>
    </row>
    <row r="88" spans="1:6" ht="21" customHeight="1" x14ac:dyDescent="0.25">
      <c r="A88" s="81"/>
      <c r="B88" s="81"/>
      <c r="C88" s="81"/>
      <c r="D88" s="81"/>
      <c r="E88" s="81"/>
      <c r="F88" s="98"/>
    </row>
    <row r="89" spans="1:6" ht="21" customHeight="1" x14ac:dyDescent="0.25">
      <c r="A89" s="81"/>
      <c r="B89" s="81"/>
      <c r="C89" s="81"/>
      <c r="D89" s="81"/>
      <c r="E89" s="81"/>
      <c r="F89" s="98"/>
    </row>
    <row r="90" spans="1:6" ht="21" customHeight="1" x14ac:dyDescent="0.25">
      <c r="A90"/>
      <c r="B90"/>
      <c r="C90"/>
      <c r="D90"/>
      <c r="E90"/>
      <c r="F90" s="99"/>
    </row>
    <row r="91" spans="1:6" ht="21" customHeight="1" x14ac:dyDescent="0.25">
      <c r="A91"/>
      <c r="B91"/>
      <c r="C91"/>
      <c r="D91"/>
      <c r="E91"/>
      <c r="F91" s="99"/>
    </row>
    <row r="92" spans="1:6" ht="21" customHeight="1" x14ac:dyDescent="0.25">
      <c r="A92"/>
      <c r="B92"/>
      <c r="C92"/>
      <c r="D92"/>
      <c r="E92"/>
      <c r="F92" s="99"/>
    </row>
    <row r="93" spans="1:6" ht="21" customHeight="1" x14ac:dyDescent="0.25">
      <c r="A93"/>
      <c r="B93"/>
      <c r="C93"/>
      <c r="D93"/>
      <c r="E93"/>
      <c r="F93" s="99"/>
    </row>
    <row r="94" spans="1:6" ht="21" customHeight="1" x14ac:dyDescent="0.25">
      <c r="A94"/>
      <c r="B94"/>
      <c r="C94"/>
      <c r="D94"/>
      <c r="E94"/>
      <c r="F94" s="99"/>
    </row>
    <row r="95" spans="1:6" ht="21" customHeight="1" x14ac:dyDescent="0.25">
      <c r="A95"/>
      <c r="B95"/>
      <c r="C95"/>
      <c r="D95"/>
      <c r="E95"/>
      <c r="F95" s="99"/>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58</v>
      </c>
      <c r="D1" s="76" t="s">
        <v>59</v>
      </c>
      <c r="E1" s="76" t="s">
        <v>60</v>
      </c>
      <c r="F1" s="76" t="s">
        <v>61</v>
      </c>
      <c r="G1" s="76" t="s">
        <v>62</v>
      </c>
      <c r="H1" s="76" t="s">
        <v>63</v>
      </c>
      <c r="I1" s="76" t="s">
        <v>64</v>
      </c>
      <c r="J1" s="76" t="s">
        <v>65</v>
      </c>
      <c r="K1" s="76" t="s">
        <v>66</v>
      </c>
      <c r="L1" s="76" t="s">
        <v>67</v>
      </c>
      <c r="M1" s="70" t="s">
        <v>68</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6">
        <f>SUM(InnovationProjectResults[[#This Row],[Identify - Define]:[Communicate - Fun (CV)]])</f>
        <v>0</v>
      </c>
      <c r="N2" s="85">
        <f>_xlfn.RANK.EQ(InnovationProjectResults[[#This Row],[Innovation Project Score]],InnovationProjectResults[Innovation Project Score],0)</f>
        <v>1</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6">
        <f>SUM(InnovationProjectResults[[#This Row],[Identify - Define]:[Communicate - Fun (CV)]])</f>
        <v>0</v>
      </c>
      <c r="N3" s="85">
        <f>_xlfn.RANK.EQ(InnovationProjectResults[[#This Row],[Innovation Project Score]],InnovationProjectResults[Innovation Project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69</v>
      </c>
      <c r="D1" s="75" t="s">
        <v>59</v>
      </c>
      <c r="E1" s="75" t="s">
        <v>70</v>
      </c>
      <c r="F1" s="75" t="s">
        <v>71</v>
      </c>
      <c r="G1" s="75" t="s">
        <v>72</v>
      </c>
      <c r="H1" s="75" t="s">
        <v>73</v>
      </c>
      <c r="I1" s="75" t="s">
        <v>74</v>
      </c>
      <c r="J1" s="75" t="s">
        <v>75</v>
      </c>
      <c r="K1" s="75" t="s">
        <v>66</v>
      </c>
      <c r="L1" s="75" t="s">
        <v>67</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6">
        <f>SUM(RobotDesignResults[[#This Row],[Identify - Strategy]:[Communicate - Fun (CV)]])</f>
        <v>0</v>
      </c>
      <c r="N2" s="85">
        <f>_xlfn.RANK.EQ(RobotDesignResults[[#This Row],[Robot Design Score]],RobotDesignResults[Robot Design Score],0)</f>
        <v>1</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6">
        <f>SUM(RobotDesignResults[[#This Row],[Identify - Strategy]:[Communicate - Fun (CV)]])</f>
        <v>0</v>
      </c>
      <c r="N3" s="85">
        <f>_xlfn.RANK.EQ(RobotDesignResults[[#This Row],[Robot Design Score]],RobotDesignResults[Robot Design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S2" sqref="S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76</v>
      </c>
      <c r="D1" s="78" t="s">
        <v>77</v>
      </c>
      <c r="E1" s="78" t="s">
        <v>78</v>
      </c>
      <c r="F1" s="78" t="s">
        <v>79</v>
      </c>
      <c r="G1" s="78" t="s">
        <v>80</v>
      </c>
      <c r="H1" s="78" t="s">
        <v>81</v>
      </c>
      <c r="I1" s="78" t="s">
        <v>82</v>
      </c>
      <c r="J1" s="78" t="s">
        <v>83</v>
      </c>
      <c r="K1" s="78" t="s">
        <v>84</v>
      </c>
      <c r="L1" s="78" t="s">
        <v>85</v>
      </c>
      <c r="M1" s="79" t="s">
        <v>86</v>
      </c>
      <c r="N1" s="79" t="s">
        <v>87</v>
      </c>
      <c r="O1" s="79" t="s">
        <v>88</v>
      </c>
      <c r="P1" s="79" t="s">
        <v>89</v>
      </c>
      <c r="Q1" s="80" t="s">
        <v>90</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f t="shared" ref="Q2:Q3" si="0">SUM(M2:P2)</f>
        <v>0</v>
      </c>
      <c r="R2" s="96">
        <f>SUM(CoreValuesResults[[#This Row],[Identify - Research (CV-IP)]:[Communicate - Fun (CV-RD)]],CoreValuesResults[[#This Row],[Gracious Professionalism Score]])</f>
        <v>0</v>
      </c>
      <c r="S2" s="85">
        <f>_xlfn.RANK.EQ(CoreValuesResults[[#This Row],[Core Values Score]],CoreValuesResults[Core Values Score],0)</f>
        <v>1</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f t="shared" si="0"/>
        <v>0</v>
      </c>
      <c r="R3" s="96">
        <f>SUM(CoreValuesResults[[#This Row],[Identify - Research (CV-IP)]:[Communicate - Fun (CV-RD)]],CoreValuesResults[[#This Row],[Gracious Professionalism Score]])</f>
        <v>0</v>
      </c>
      <c r="S3" s="85">
        <f>_xlfn.RANK.EQ(CoreValuesResults[[#This Row],[Core Values Score]],CoreValuesResults[Core Values Score],0)</f>
        <v>1</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91</v>
      </c>
      <c r="B1" s="28" t="s">
        <v>92</v>
      </c>
      <c r="C1" s="28" t="s">
        <v>93</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94</v>
      </c>
      <c r="G2" s="6" t="s">
        <v>95</v>
      </c>
    </row>
    <row r="3" spans="2:10" ht="39.950000000000003" customHeight="1" x14ac:dyDescent="0.25">
      <c r="B3" s="11" t="s">
        <v>21</v>
      </c>
      <c r="C3" s="11" t="s">
        <v>22</v>
      </c>
      <c r="D3" s="12" t="s">
        <v>46</v>
      </c>
      <c r="E3" s="12" t="s">
        <v>96</v>
      </c>
      <c r="G3" s="21" t="s">
        <v>21</v>
      </c>
      <c r="H3" s="21" t="s">
        <v>22</v>
      </c>
      <c r="I3" s="22" t="s">
        <v>46</v>
      </c>
      <c r="J3" s="22" t="s">
        <v>96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97</v>
      </c>
      <c r="G20" s="6" t="s">
        <v>98</v>
      </c>
      <c r="L20" s="6" t="s">
        <v>99</v>
      </c>
    </row>
    <row r="21" spans="2:15" ht="39.950000000000003" customHeight="1" x14ac:dyDescent="0.25">
      <c r="B21" s="15" t="s">
        <v>21</v>
      </c>
      <c r="C21" s="15" t="s">
        <v>22</v>
      </c>
      <c r="D21" s="16" t="s">
        <v>42</v>
      </c>
      <c r="E21" s="16" t="s">
        <v>96</v>
      </c>
      <c r="G21" s="19" t="s">
        <v>21</v>
      </c>
      <c r="H21" s="19" t="s">
        <v>22</v>
      </c>
      <c r="I21" s="20" t="s">
        <v>44</v>
      </c>
      <c r="J21" s="20" t="s">
        <v>96</v>
      </c>
      <c r="L21" s="17" t="s">
        <v>21</v>
      </c>
      <c r="M21" s="17" t="s">
        <v>22</v>
      </c>
      <c r="N21" s="18" t="s">
        <v>43</v>
      </c>
      <c r="O21" s="18" t="s">
        <v>96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100</v>
      </c>
      <c r="G38" s="6" t="s">
        <v>101</v>
      </c>
      <c r="L38" s="6" t="s">
        <v>102</v>
      </c>
    </row>
    <row r="39" spans="2:15" ht="39.950000000000003" customHeight="1" x14ac:dyDescent="0.25">
      <c r="B39" s="13" t="s">
        <v>21</v>
      </c>
      <c r="C39" s="13" t="s">
        <v>22</v>
      </c>
      <c r="D39" s="14" t="s">
        <v>46</v>
      </c>
      <c r="E39" s="14" t="s">
        <v>96</v>
      </c>
      <c r="G39" s="13" t="s">
        <v>21</v>
      </c>
      <c r="H39" s="13" t="s">
        <v>22</v>
      </c>
      <c r="I39" s="14" t="s">
        <v>46</v>
      </c>
      <c r="J39" s="14" t="s">
        <v>96</v>
      </c>
      <c r="L39" s="13" t="s">
        <v>21</v>
      </c>
      <c r="M39" s="13" t="s">
        <v>22</v>
      </c>
      <c r="N39" s="14" t="s">
        <v>46</v>
      </c>
      <c r="O39" s="14" t="s">
        <v>96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c3380a25-e35a-4506-a776-b21f251d178e.png"/><Relationship Id="unlock" Type="http://schemas.openxmlformats.org/officeDocument/2006/relationships/image" Target="images/34f36c54-b5b3-4f26-8066-e877fb977e01.png"/><Relationship Id="dice" Type="http://schemas.openxmlformats.org/officeDocument/2006/relationships/image" Target="images/97d530b3-2f6a-469f-bca7-ecb0480bdfc3.png"/><Relationship Id="team" Type="http://schemas.openxmlformats.org/officeDocument/2006/relationships/image" Target="images/6fccd0e8-041e-45e3-a6c0-bd9f95f82191.png"/><Relationship Id="lock" Type="http://schemas.openxmlformats.org/officeDocument/2006/relationships/image" Target="images/a673d30d-3ad9-436c-9a73-2dc27d51ffbe.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2025-01-04T21:25:33Z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