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076274fd126433c"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FD73C542-49A0-4473-AA8B-B1EEBB81B308}"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Meta" sheetId="3" r:id="rId3"/>
    <sheet name="AwardList" sheetId="11" r:id="rId4"/>
    <sheet name="Results and Rankings" sheetId="4" r:id="rId5"/>
    <sheet name="Robot Game Scores" sheetId="5" r:id="rId6"/>
    <sheet name="Innovation Project Input" sheetId="6" r:id="rId7"/>
    <sheet name="Robot Design Input" sheetId="7" r:id="rId8"/>
    <sheet name="Core Values Input" sheetId="8" r:id="rId9"/>
    <sheet name="GP Scores" sheetId="9" state="hidden" r:id="rId10"/>
    <sheet name="Area Deliberations" sheetId="10" state="hidden" r:id="rId11"/>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4">'Results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7" i="4" l="1" a="1"/>
  <c r="V7" i="4" s="1"/>
  <c r="F3" i="5"/>
  <c r="F2" i="5"/>
  <c r="B3" i="5"/>
  <c r="B2" i="5"/>
  <c r="B3" i="8"/>
  <c r="C3" i="8"/>
  <c r="D3" i="8"/>
  <c r="E3" i="8"/>
  <c r="F3" i="8"/>
  <c r="G3" i="8"/>
  <c r="H3" i="8"/>
  <c r="I3" i="8"/>
  <c r="J3" i="8"/>
  <c r="K3" i="8"/>
  <c r="L3" i="8"/>
  <c r="P3" i="8"/>
  <c r="B3" i="7"/>
  <c r="M3" i="7"/>
  <c r="N3" i="7" s="1"/>
  <c r="B3" i="6"/>
  <c r="M3" i="6"/>
  <c r="B4" i="4"/>
  <c r="C4" i="4"/>
  <c r="D4" i="4"/>
  <c r="E4" i="4"/>
  <c r="F4" i="4"/>
  <c r="G4" i="4"/>
  <c r="P2" i="8"/>
  <c r="Q2" i="8" s="1"/>
  <c r="B2" i="8"/>
  <c r="C2" i="8"/>
  <c r="D2" i="8"/>
  <c r="E2" i="8"/>
  <c r="F2" i="8"/>
  <c r="G2" i="8"/>
  <c r="H2" i="8"/>
  <c r="I2" i="8"/>
  <c r="J2" i="8"/>
  <c r="K2" i="8"/>
  <c r="L2" i="8"/>
  <c r="B2" i="7"/>
  <c r="M2" i="7"/>
  <c r="S3" i="4" s="1"/>
  <c r="B2" i="6"/>
  <c r="M2" i="6"/>
  <c r="N2" i="6" s="1"/>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N3" i="6" l="1"/>
  <c r="K4" i="4" s="1"/>
  <c r="N2" i="7"/>
  <c r="R3" i="8"/>
  <c r="Q3" i="8"/>
  <c r="H4" i="4"/>
  <c r="L4" i="4"/>
  <c r="S4" i="4"/>
  <c r="R4" i="4"/>
  <c r="R3" i="4"/>
  <c r="R2" i="8"/>
  <c r="K3" i="4"/>
  <c r="C3" i="4"/>
  <c r="H3" i="4" s="1"/>
  <c r="L3" i="4"/>
  <c r="Q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S2" i="8" l="1"/>
  <c r="Q4" i="4"/>
  <c r="T4" i="4" s="1"/>
  <c r="U4" i="4" s="1"/>
  <c r="S3" i="8"/>
  <c r="J4" i="4" s="1"/>
  <c r="I4" i="4"/>
  <c r="I3" i="4"/>
  <c r="J3" i="4"/>
  <c r="T3" i="4"/>
  <c r="U3" i="4" s="1"/>
  <c r="M4" i="4" l="1"/>
  <c r="M3" i="4"/>
  <c r="N3" i="4" s="1"/>
  <c r="N4"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<sst xmlns="http://schemas.openxmlformats.org/spreadsheetml/2006/main" count="175" uniqueCount="120">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</sst>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2"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64" fontId="12" fillId="0" borderId="0" xfId="0" applyNumberFormat="1"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0" fontId="1" fillId="21" borderId="0" xfId="0" applyFont="1" applyFill="1" applyAlignment="1" applyProtection="1">
      <alignment horizontal="center" vertical="center"/>
      <protection locked="0"/>
    </xf>
    <xf numFmtId="165" fontId="1" fillId="0" borderId="0" xfId="0" applyNumberFormat="1" applyFont="1"/>
    <xf numFmtId="165" fontId="0" fillId="0" borderId="0" xfId="0" applyNumberFormat="1"/>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cellXfs>
  <cellStyles count="1">
    <cellStyle name="Normal" xfId="0" builtinId="0"/>
  </cellStyles>
  <dxfs count="157">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64" formatCode=";;;"/>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00B0F0"/>
        </patternFill>
      </fill>
    </dxf>
    <dxf>
      <fill>
        <patternFill>
          <bgColor theme="9" tint="0.59996337778862885"/>
        </patternFill>
      </fill>
    </dxf>
    <dxf>
      <fill>
        <patternFill>
          <bgColor rgb="FFFFFF99"/>
        </patternFill>
      </fill>
    </dxf>
    <dxf>
      <fill>
        <patternFill patternType="darkHorizontal">
          <fgColor theme="0"/>
          <bgColor rgb="FFFFC000"/>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3" totalsRowShown="0" headerRowDxfId="156" dataDxfId="155">
  <autoFilter ref="C2:F3" xr:uid="{00000000-0009-0000-0100-000001000000}"/>
  <sortState xmlns:xlrd2="http://schemas.microsoft.com/office/spreadsheetml/2017/richdata2" ref="C3:F3">
    <sortCondition ref="C3"/>
  </sortState>
  <tableColumns count="4">
    <tableColumn id="1" xr3:uid="{00000000-0010-0000-0000-000001000000}" name="Team Number" dataDxfId="154"/>
    <tableColumn id="2" xr3:uid="{00000000-0010-0000-0000-000002000000}" name="Team Name" dataDxfId="153"/>
    <tableColumn id="3" xr3:uid="{00000000-0010-0000-0000-000003000000}" name="Coach" dataDxfId="152"/>
    <tableColumn id="4" xr3:uid="{00000000-0010-0000-0000-000004000000}" name="Pod Number" dataDxfId="1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0" dataDxfId="149">
  <autoFilter ref="A1:C14" xr:uid="{00000000-0009-0000-0100-000002000000}"/>
  <tableColumns count="3">
    <tableColumn id="1" xr3:uid="{00000000-0010-0000-0100-000001000000}" name="Key" dataDxfId="148"/>
    <tableColumn id="2" xr3:uid="{00000000-0010-0000-0100-000002000000}" name="Value" dataDxfId="147"/>
    <tableColumn id="3" xr3:uid="{00000000-0010-0000-0100-000003000000}" name="Comment" dataDxfId="1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4" totalsRowShown="0" headerRowDxfId="134" dataDxfId="132" headerRowBorderDxfId="133">
  <autoFilter ref="A2:V4" xr:uid="{00000000-0009-0000-0100-000003000000}"/>
  <sortState xmlns:xlrd2="http://schemas.microsoft.com/office/spreadsheetml/2017/richdata2" ref="A3:V3">
    <sortCondition ref="A3"/>
  </sortState>
  <tableColumns count="22">
    <tableColumn id="1" xr3:uid="{00000000-0010-0000-0200-000001000000}" name="Team Number" dataDxfId="131"/>
    <tableColumn id="2" xr3:uid="{00000000-0010-0000-0200-000002000000}" name="Team Name" dataDxfId="130">
      <calculatedColumnFormula>INDEX(OfficialTeamList[Team Name],MATCH(TournamentData[[#This Row],[Team Number]], OfficialTeamList[Team Number],0))</calculatedColumnFormula>
    </tableColumn>
    <tableColumn id="6" xr3:uid="{00000000-0010-0000-0200-000006000000}" name="Robot Game Score 1" dataDxfId="12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3">
      <calculatedColumnFormula>_xlfn.RANK.EQ(TournamentData[[#This Row],[Max Robot Game Score]],TournamentData[Max Robot Game Score])</calculatedColumnFormula>
    </tableColumn>
    <tableColumn id="3" xr3:uid="{00000000-0010-0000-0200-000003000000}" name="Core Values Rank" dataDxfId="122">
      <calculatedColumnFormula>INDEX(CoreValuesResults[Core Values Rank],MATCH(TournamentData[[#This Row],[Team Number]],CoreValuesResults[Team Number],0))</calculatedColumnFormula>
    </tableColumn>
    <tableColumn id="4" xr3:uid="{00000000-0010-0000-0200-000004000000}" name="Innovation Project Rank" dataDxfId="121">
      <calculatedColumnFormula>INDEX(InnovationProjectResults[Innovation Project Rank],MATCH(TournamentData[[#This Row],[Team Number]],InnovationProjectResults[Team Number],0))</calculatedColumnFormula>
    </tableColumn>
    <tableColumn id="5" xr3:uid="{00000000-0010-0000-0200-000005000000}" name="Robot Design Rank" dataDxfId="120">
      <calculatedColumnFormula>INDEX(RobotDesignResults[Robot Design Rank],MATCH(TournamentData[[#This Row],[Team Number]],RobotDesignResults[Team Number],0))</calculatedColumnFormula>
    </tableColumn>
    <tableColumn id="14" xr3:uid="{00000000-0010-0000-0200-00000E000000}" name="Champion's Score" dataDxfId="119">
      <calculatedColumnFormula>SUM(TournamentData[[#This Row],[Robot Game Rank]:[Robot Design Rank]])</calculatedColumnFormula>
    </tableColumn>
    <tableColumn id="11" xr3:uid="{00000000-0010-0000-0200-00000B000000}" name="Champion's Rank" dataDxfId="118">
      <calculatedColumnFormula>RANK(TournamentData[[#This Row],[Champion''s Score]],TournamentData[Champion''s Score],1)</calculatedColumnFormula>
    </tableColumn>
    <tableColumn id="12" xr3:uid="{00000000-0010-0000-0200-00000C000000}" name="Award" dataDxfId="117"/>
    <tableColumn id="21" xr3:uid="{00000000-0010-0000-0200-000015000000}" name="Advance?" dataDxfId="116"/>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3" totalsRowShown="0" headerRowDxfId="109" dataDxfId="107" headerRowBorderDxfId="108">
  <autoFilter ref="A1:F3"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3" totalsRowShown="0" headerRowDxfId="100" dataDxfId="99">
  <autoFilter ref="A1:N3"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3" totalsRowShown="0" headerRowDxfId="84" dataDxfId="83">
  <autoFilter ref="A1:N3"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3" totalsRowShown="0" headerRowDxfId="68" dataDxfId="67">
  <autoFilter ref="A1:S3"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SUM(M2:P2)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table" Target="../tables/table11.xml"/><Relationship Id="rId1" Type="http://schemas.openxmlformats.org/officeDocument/2006/relationships/table" Target="../tables/table10.xml"/><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6"/>
      <c r="B1" s="104"/>
      <c r="C1" s="104"/>
      <c r="D1" s="104"/>
      <c r="E1" s="104"/>
      <c r="F1" s="104"/>
      <c r="G1" s="104"/>
      <c r="H1" s="104"/>
      <c r="I1" s="104"/>
      <c r="J1" s="104"/>
      <c r="K1" s="104"/>
      <c r="W1" s="114" t="s">
        <v>0</v>
      </c>
      <c r="X1" s="104"/>
      <c r="Y1" s="104"/>
      <c r="Z1" s="104"/>
      <c r="AA1" s="104"/>
      <c r="AB1" s="104"/>
      <c r="AC1" s="104"/>
      <c r="AD1" s="104"/>
      <c r="AE1" s="104"/>
      <c r="AF1" s="104"/>
      <c r="AG1" s="104"/>
      <c r="AH1" s="104"/>
      <c r="AI1" s="104"/>
      <c r="AJ1" s="104"/>
      <c r="AK1" s="104"/>
      <c r="AL1" s="104"/>
      <c r="AM1" s="104"/>
      <c r="AN1" s="104"/>
    </row>
    <row r="2" spans="1:44" ht="45.6" customHeight="1" x14ac:dyDescent="0.25">
      <c r="A2" s="116"/>
      <c r="B2" s="104"/>
      <c r="C2" s="104"/>
      <c r="D2" s="104"/>
      <c r="E2" s="104"/>
      <c r="F2" s="104"/>
      <c r="G2" s="104"/>
      <c r="H2" s="104"/>
      <c r="I2" s="104"/>
      <c r="J2" s="104"/>
      <c r="K2" s="104"/>
      <c r="W2" s="104"/>
      <c r="X2" s="104"/>
      <c r="Y2" s="104"/>
      <c r="Z2" s="104"/>
      <c r="AA2" s="104"/>
      <c r="AB2" s="104"/>
      <c r="AC2" s="104"/>
      <c r="AD2" s="104"/>
      <c r="AE2" s="104"/>
      <c r="AF2" s="104"/>
      <c r="AG2" s="104"/>
      <c r="AH2" s="104"/>
      <c r="AI2" s="104"/>
      <c r="AJ2" s="104"/>
      <c r="AK2" s="104"/>
      <c r="AL2" s="104"/>
      <c r="AM2" s="104"/>
      <c r="AN2" s="104"/>
    </row>
    <row r="3" spans="1:44" ht="45.6" customHeight="1" x14ac:dyDescent="0.25">
      <c r="W3" s="104"/>
      <c r="X3" s="104"/>
      <c r="Y3" s="104"/>
      <c r="Z3" s="104"/>
      <c r="AA3" s="104"/>
      <c r="AB3" s="104"/>
      <c r="AC3" s="104"/>
      <c r="AD3" s="104"/>
      <c r="AE3" s="104"/>
      <c r="AF3" s="104"/>
      <c r="AG3" s="104"/>
      <c r="AH3" s="104"/>
      <c r="AI3" s="104"/>
      <c r="AJ3" s="104"/>
      <c r="AK3" s="104"/>
      <c r="AL3" s="104"/>
      <c r="AM3" s="104"/>
      <c r="AN3" s="104"/>
    </row>
    <row r="4" spans="1:44" ht="47.1" customHeight="1" x14ac:dyDescent="0.25">
      <c r="D4" s="41" t="s">
        <v>1</v>
      </c>
      <c r="E4" s="115" t="s">
        <v>2</v>
      </c>
      <c r="F4" s="104"/>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c r="AM4" s="104"/>
      <c r="AN4" s="104"/>
      <c r="AO4" s="104"/>
      <c r="AP4" s="104"/>
      <c r="AQ4" s="104"/>
    </row>
    <row r="5" spans="1:44" ht="48" customHeight="1" x14ac:dyDescent="0.25">
      <c r="D5" s="40"/>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5" t="s">
        <v>4</v>
      </c>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row>
    <row r="8" spans="1:44" ht="39.950000000000003" customHeight="1" x14ac:dyDescent="0.25">
      <c r="D8" s="38"/>
      <c r="E8" s="10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row>
    <row r="9" spans="1:44" ht="61.15" customHeight="1" x14ac:dyDescent="0.25">
      <c r="D9" s="38"/>
      <c r="E9" s="10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row>
    <row r="10" spans="1:44" s="46" customFormat="1" ht="61.9" customHeight="1" x14ac:dyDescent="0.25">
      <c r="A10" s="45"/>
      <c r="D10" s="47"/>
      <c r="F10" s="102" t="s">
        <v>5</v>
      </c>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row>
    <row r="11" spans="1:44" s="46" customFormat="1" ht="20.45" customHeight="1" x14ac:dyDescent="0.25">
      <c r="A11" s="45"/>
      <c r="D11" s="47"/>
      <c r="F11" s="48"/>
    </row>
    <row r="12" spans="1:44" ht="46.35" customHeight="1" x14ac:dyDescent="0.25">
      <c r="D12" s="41" t="s">
        <v>6</v>
      </c>
      <c r="E12" s="115" t="s">
        <v>7</v>
      </c>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row>
    <row r="13" spans="1:44" ht="52.9" customHeight="1" x14ac:dyDescent="0.25">
      <c r="D13" s="38"/>
      <c r="E13" s="10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row>
    <row r="14" spans="1:44" ht="60" customHeight="1" x14ac:dyDescent="0.25">
      <c r="D14" s="38"/>
      <c r="F14" s="102" t="s">
        <v>8</v>
      </c>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row>
    <row r="15" spans="1:44" ht="1.9" customHeight="1" x14ac:dyDescent="0.25">
      <c r="D15" s="38"/>
      <c r="F15" s="104"/>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row>
    <row r="16" spans="1:44" ht="20.45" customHeight="1" x14ac:dyDescent="0.25">
      <c r="D16" s="38"/>
      <c r="F16" s="53"/>
    </row>
    <row r="17" spans="2:45" ht="47.45" customHeight="1" x14ac:dyDescent="0.25">
      <c r="D17" s="41" t="s">
        <v>9</v>
      </c>
      <c r="E17" s="105" t="s">
        <v>10</v>
      </c>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row>
    <row r="18" spans="2:45" ht="30" customHeight="1" x14ac:dyDescent="0.25">
      <c r="D18" s="38"/>
    </row>
    <row r="19" spans="2:45" ht="39.950000000000003" customHeight="1" x14ac:dyDescent="0.25">
      <c r="D19" s="41" t="s">
        <v>11</v>
      </c>
      <c r="E19" s="105" t="s">
        <v>12</v>
      </c>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row>
    <row r="20" spans="2:45" ht="30" customHeight="1" thickBot="1" x14ac:dyDescent="0.3">
      <c r="D20" s="41"/>
      <c r="E20" s="38"/>
    </row>
    <row r="21" spans="2:45" ht="39.950000000000003" customHeight="1" x14ac:dyDescent="0.25">
      <c r="B21" s="39" t="s">
        <v>13</v>
      </c>
      <c r="F21" s="118" t="s">
        <v>14</v>
      </c>
      <c r="G21" s="107"/>
      <c r="H21" s="107"/>
      <c r="I21" s="107"/>
      <c r="J21" s="107"/>
      <c r="K21" s="107"/>
      <c r="L21" s="107"/>
      <c r="M21" s="108"/>
      <c r="N21" s="49"/>
      <c r="O21" s="106" t="s">
        <v>15</v>
      </c>
      <c r="P21" s="107"/>
      <c r="Q21" s="107"/>
      <c r="R21" s="107"/>
      <c r="S21" s="107"/>
      <c r="T21" s="107"/>
      <c r="U21" s="107"/>
      <c r="V21" s="108"/>
      <c r="W21" s="49"/>
      <c r="X21" s="106" t="s">
        <v>16</v>
      </c>
      <c r="Y21" s="107"/>
      <c r="Z21" s="107"/>
      <c r="AA21" s="107"/>
      <c r="AB21" s="107"/>
      <c r="AC21" s="108"/>
      <c r="AD21" s="49"/>
      <c r="AE21" s="106" t="s">
        <v>17</v>
      </c>
      <c r="AF21" s="107"/>
      <c r="AG21" s="107"/>
      <c r="AH21" s="107"/>
      <c r="AI21" s="107"/>
      <c r="AJ21" s="107"/>
      <c r="AK21" s="107"/>
      <c r="AL21" s="107"/>
      <c r="AM21" s="107"/>
      <c r="AN21" s="107"/>
      <c r="AO21" s="107"/>
      <c r="AP21" s="107"/>
      <c r="AQ21" s="107"/>
      <c r="AR21" s="108"/>
    </row>
    <row r="22" spans="2:45" ht="49.35" customHeight="1" thickBot="1" x14ac:dyDescent="0.3">
      <c r="D22" s="38"/>
      <c r="F22" s="109"/>
      <c r="G22" s="104"/>
      <c r="H22" s="104"/>
      <c r="I22" s="104"/>
      <c r="J22" s="104"/>
      <c r="K22" s="104"/>
      <c r="L22" s="104"/>
      <c r="M22" s="110"/>
      <c r="N22" s="49"/>
      <c r="O22" s="109"/>
      <c r="P22" s="104"/>
      <c r="Q22" s="104"/>
      <c r="R22" s="104"/>
      <c r="S22" s="104"/>
      <c r="T22" s="104"/>
      <c r="U22" s="104"/>
      <c r="V22" s="110"/>
      <c r="W22" s="49"/>
      <c r="X22" s="109"/>
      <c r="Y22" s="104"/>
      <c r="Z22" s="104"/>
      <c r="AA22" s="104"/>
      <c r="AB22" s="104"/>
      <c r="AC22" s="110"/>
      <c r="AD22" s="49"/>
      <c r="AE22" s="111"/>
      <c r="AF22" s="112"/>
      <c r="AG22" s="112"/>
      <c r="AH22" s="112"/>
      <c r="AI22" s="112"/>
      <c r="AJ22" s="112"/>
      <c r="AK22" s="112"/>
      <c r="AL22" s="112"/>
      <c r="AM22" s="112"/>
      <c r="AN22" s="112"/>
      <c r="AO22" s="112"/>
      <c r="AP22" s="112"/>
      <c r="AQ22" s="112"/>
      <c r="AR22" s="113"/>
    </row>
    <row r="23" spans="2:45" ht="43.35" customHeight="1" x14ac:dyDescent="0.25">
      <c r="F23" s="117" t="s">
        <v>18</v>
      </c>
      <c r="G23" s="104"/>
      <c r="H23" s="104"/>
      <c r="I23" s="104"/>
      <c r="J23" s="104"/>
      <c r="K23" s="104"/>
      <c r="L23" s="104"/>
      <c r="M23" s="110"/>
      <c r="N23" s="49"/>
      <c r="O23" s="109"/>
      <c r="P23" s="104"/>
      <c r="Q23" s="104"/>
      <c r="R23" s="104"/>
      <c r="S23" s="104"/>
      <c r="T23" s="104"/>
      <c r="U23" s="104"/>
      <c r="V23" s="110"/>
      <c r="W23" s="49"/>
      <c r="X23" s="109"/>
      <c r="Y23" s="104"/>
      <c r="Z23" s="104"/>
      <c r="AA23" s="104"/>
      <c r="AB23" s="104"/>
      <c r="AC23" s="110"/>
      <c r="AD23" s="49"/>
      <c r="AE23" s="117" t="s">
        <v>19</v>
      </c>
      <c r="AF23" s="104"/>
      <c r="AG23" s="104"/>
      <c r="AH23" s="104"/>
      <c r="AI23" s="104"/>
      <c r="AJ23" s="104"/>
      <c r="AK23" s="104"/>
      <c r="AL23" s="104"/>
      <c r="AM23" s="104"/>
      <c r="AN23" s="104"/>
      <c r="AO23" s="104"/>
      <c r="AP23" s="104"/>
      <c r="AQ23" s="104"/>
      <c r="AR23" s="110"/>
    </row>
    <row r="24" spans="2:45" ht="39.6" customHeight="1" thickBot="1" x14ac:dyDescent="0.3">
      <c r="F24" s="111"/>
      <c r="G24" s="112"/>
      <c r="H24" s="112"/>
      <c r="I24" s="112"/>
      <c r="J24" s="112"/>
      <c r="K24" s="112"/>
      <c r="L24" s="112"/>
      <c r="M24" s="113"/>
      <c r="N24" s="49"/>
      <c r="O24" s="111"/>
      <c r="P24" s="112"/>
      <c r="Q24" s="112"/>
      <c r="R24" s="112"/>
      <c r="S24" s="112"/>
      <c r="T24" s="112"/>
      <c r="U24" s="112"/>
      <c r="V24" s="113"/>
      <c r="W24" s="49"/>
      <c r="X24" s="111"/>
      <c r="Y24" s="112"/>
      <c r="Z24" s="112"/>
      <c r="AA24" s="112"/>
      <c r="AB24" s="112"/>
      <c r="AC24" s="113"/>
      <c r="AD24" s="49"/>
      <c r="AE24" s="111"/>
      <c r="AF24" s="112"/>
      <c r="AG24" s="112"/>
      <c r="AH24" s="112"/>
      <c r="AI24" s="112"/>
      <c r="AJ24" s="112"/>
      <c r="AK24" s="112"/>
      <c r="AL24" s="112"/>
      <c r="AM24" s="112"/>
      <c r="AN24" s="112"/>
      <c r="AO24" s="112"/>
      <c r="AP24" s="112"/>
      <c r="AQ24" s="112"/>
      <c r="AR24" s="113"/>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J607"/>
  <sheetViews>
    <sheetView tabSelected="1" zoomScaleNormal="100" workbookViewId="0">
      <selection activeCell="G12" sqref="G12"/>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0" s="1" customFormat="1" ht="61.5" customHeight="1" x14ac:dyDescent="0.25">
      <c r="A1" s="7"/>
      <c r="B1" s="50"/>
      <c r="C1" s="119" t="s">
        <v>20</v>
      </c>
      <c r="D1" s="120"/>
      <c r="E1" s="120"/>
      <c r="F1" s="120"/>
      <c r="G1" s="50"/>
      <c r="H1" s="50"/>
      <c r="I1" s="99"/>
      <c r="J1" s="4"/>
    </row>
    <row r="2" spans="1:10" s="2" customFormat="1" ht="21" customHeight="1" x14ac:dyDescent="0.25">
      <c r="A2" s="7"/>
      <c r="B2" s="5"/>
      <c r="C2" s="8" t="s">
        <v>21</v>
      </c>
      <c r="D2" s="8" t="s">
        <v>22</v>
      </c>
      <c r="E2" s="7" t="s">
        <v>23</v>
      </c>
      <c r="F2" s="7" t="s">
        <v>24</v>
      </c>
      <c r="J2" s="4"/>
    </row>
    <row r="3" spans="1:10" s="2" customFormat="1" ht="21" customHeight="1" x14ac:dyDescent="0.25">
      <c r="A3" s="50"/>
      <c r="B3" s="3"/>
      <c r="C3" s="81">
        <v>10</v>
      </c>
      <c r="D3" s="81" t="s">
        <v>113</v>
      </c>
      <c r="E3" s="81" t="s">
        <v>114</v>
      </c>
      <c r="F3" s="81"/>
      <c r="J3" s="4"/>
    </row>
    <row r="4" spans="1:10" ht="21" customHeight="1" x14ac:dyDescent="0.25">
      <c r="C4" s="81"/>
      <c r="D4" s="81"/>
      <c r="E4" s="81"/>
      <c r="F4" s="81"/>
    </row>
    <row r="5" spans="1:10" ht="21" customHeight="1" x14ac:dyDescent="0.25">
      <c r="C5" s="81"/>
      <c r="D5" s="81"/>
      <c r="E5" s="81"/>
      <c r="F5" s="81"/>
    </row>
    <row r="6" spans="1:10" ht="21" customHeight="1" x14ac:dyDescent="0.25">
      <c r="C6" s="81"/>
      <c r="D6" s="81"/>
      <c r="E6" s="81"/>
      <c r="F6" s="81"/>
    </row>
    <row r="7" spans="1:10" ht="21" customHeight="1" x14ac:dyDescent="0.25">
      <c r="C7" s="81"/>
      <c r="D7" s="81"/>
      <c r="E7" s="81"/>
      <c r="F7" s="81"/>
    </row>
    <row r="8" spans="1:10" ht="21" customHeight="1" x14ac:dyDescent="0.25">
      <c r="C8" s="81"/>
      <c r="D8" s="81"/>
      <c r="E8" s="81"/>
      <c r="F8" s="81"/>
    </row>
    <row r="9" spans="1:10" ht="21" customHeight="1" x14ac:dyDescent="0.25">
      <c r="C9" s="81"/>
      <c r="D9" s="81"/>
      <c r="E9" s="81"/>
      <c r="F9" s="81"/>
    </row>
    <row r="10" spans="1:10" ht="21" customHeight="1" x14ac:dyDescent="0.25">
      <c r="C10" s="81"/>
      <c r="D10" s="81"/>
      <c r="E10" s="81"/>
      <c r="F10" s="81"/>
    </row>
    <row r="11" spans="1:10" ht="21" customHeight="1" x14ac:dyDescent="0.25">
      <c r="C11" s="81"/>
      <c r="D11" s="81"/>
      <c r="E11" s="81"/>
      <c r="F11" s="81"/>
    </row>
    <row r="12" spans="1:10" ht="21" customHeight="1" x14ac:dyDescent="0.25">
      <c r="C12" s="81"/>
      <c r="D12" s="81"/>
      <c r="E12" s="81"/>
      <c r="F12" s="81"/>
    </row>
    <row r="13" spans="1:10" ht="21" customHeight="1" x14ac:dyDescent="0.25">
      <c r="C13" s="81"/>
      <c r="D13" s="81"/>
      <c r="E13" s="81"/>
      <c r="F13" s="81"/>
    </row>
    <row r="14" spans="1:10" ht="21" customHeight="1" x14ac:dyDescent="0.25">
      <c r="C14" s="81"/>
      <c r="D14" s="81"/>
      <c r="E14" s="81"/>
      <c r="F14" s="81"/>
    </row>
    <row r="15" spans="1:10" ht="21" customHeight="1" x14ac:dyDescent="0.25">
      <c r="C15" s="81"/>
      <c r="D15" s="81"/>
      <c r="E15" s="81"/>
      <c r="F15" s="81"/>
    </row>
    <row r="16" spans="1:10" ht="21" customHeight="1" x14ac:dyDescent="0.25">
      <c r="C16" s="81"/>
      <c r="D16" s="81"/>
      <c r="E16" s="81"/>
      <c r="F16" s="81"/>
    </row>
    <row r="17" spans="3:6" ht="21" customHeight="1" x14ac:dyDescent="0.25">
      <c r="C17" s="81"/>
      <c r="D17" s="81"/>
      <c r="E17" s="81"/>
      <c r="F17" s="81"/>
    </row>
    <row r="18" spans="3:6" ht="21" customHeight="1" x14ac:dyDescent="0.25">
      <c r="C18" s="81"/>
      <c r="D18" s="81"/>
      <c r="E18" s="81"/>
      <c r="F18" s="81"/>
    </row>
    <row r="19" spans="3:6" ht="21" customHeight="1" x14ac:dyDescent="0.25">
      <c r="C19" s="81"/>
      <c r="D19" s="81"/>
      <c r="E19" s="81"/>
      <c r="F19" s="81"/>
    </row>
    <row r="20" spans="3:6" ht="21" customHeight="1" x14ac:dyDescent="0.25">
      <c r="C20" s="81"/>
      <c r="D20" s="81"/>
      <c r="E20" s="81"/>
      <c r="F20" s="81"/>
    </row>
    <row r="21" spans="3:6" ht="21" customHeight="1" x14ac:dyDescent="0.25">
      <c r="C21" s="81"/>
      <c r="D21" s="81"/>
      <c r="E21" s="81"/>
      <c r="F21" s="81"/>
    </row>
    <row r="22" spans="3:6" ht="21" customHeight="1" x14ac:dyDescent="0.25">
      <c r="C22" s="81"/>
      <c r="D22" s="81"/>
      <c r="E22" s="81"/>
      <c r="F22" s="81"/>
    </row>
    <row r="23" spans="3:6" ht="21" customHeight="1" x14ac:dyDescent="0.25">
      <c r="C23" s="81"/>
      <c r="D23" s="81"/>
      <c r="E23" s="81"/>
      <c r="F23" s="81"/>
    </row>
    <row r="24" spans="3:6" ht="21" customHeight="1" x14ac:dyDescent="0.25">
      <c r="C24" s="81"/>
      <c r="D24" s="81"/>
      <c r="E24" s="81"/>
      <c r="F24" s="81"/>
    </row>
    <row r="25" spans="3:6" ht="21" customHeight="1" x14ac:dyDescent="0.25">
      <c r="C25" s="81"/>
      <c r="D25" s="81"/>
      <c r="E25" s="81"/>
      <c r="F25" s="81"/>
    </row>
    <row r="26" spans="3:6" ht="21" customHeight="1" x14ac:dyDescent="0.25">
      <c r="C26" s="81"/>
      <c r="D26" s="81"/>
      <c r="E26" s="81"/>
      <c r="F26" s="81"/>
    </row>
    <row r="27" spans="3:6" ht="21" customHeight="1" x14ac:dyDescent="0.25">
      <c r="C27" s="81"/>
      <c r="D27" s="81"/>
      <c r="E27" s="81"/>
      <c r="F27" s="81"/>
    </row>
    <row r="28" spans="3:6" ht="21" customHeight="1" x14ac:dyDescent="0.25">
      <c r="C28" s="81"/>
      <c r="D28" s="81"/>
      <c r="E28" s="81"/>
      <c r="F28" s="81"/>
    </row>
    <row r="29" spans="3:6" ht="21" customHeight="1" x14ac:dyDescent="0.25">
      <c r="C29" s="81"/>
      <c r="D29" s="81"/>
      <c r="E29" s="81"/>
      <c r="F29" s="81"/>
    </row>
    <row r="30" spans="3:6" ht="21" customHeight="1" x14ac:dyDescent="0.25">
      <c r="C30" s="81"/>
      <c r="D30" s="81"/>
      <c r="E30" s="81"/>
      <c r="F30" s="81"/>
    </row>
    <row r="31" spans="3:6" ht="21" customHeight="1" x14ac:dyDescent="0.25">
      <c r="C31" s="81"/>
      <c r="D31" s="81"/>
      <c r="E31" s="81"/>
      <c r="F31" s="81"/>
    </row>
    <row r="32" spans="3:6" ht="21" customHeight="1" x14ac:dyDescent="0.25">
      <c r="C32" s="81"/>
      <c r="D32" s="81"/>
      <c r="E32" s="81"/>
      <c r="F32" s="81"/>
    </row>
    <row r="33" spans="3:6" ht="21" customHeight="1" x14ac:dyDescent="0.25">
      <c r="C33" s="81"/>
      <c r="D33" s="81"/>
      <c r="E33" s="81"/>
      <c r="F33" s="81"/>
    </row>
    <row r="34" spans="3:6" ht="21" customHeight="1" x14ac:dyDescent="0.25">
      <c r="C34" s="81"/>
      <c r="D34" s="81"/>
      <c r="E34" s="81"/>
      <c r="F34" s="81"/>
    </row>
    <row r="35" spans="3:6" ht="21" customHeight="1" x14ac:dyDescent="0.25">
      <c r="C35" s="81"/>
      <c r="D35" s="81"/>
      <c r="E35" s="81"/>
      <c r="F35" s="81"/>
    </row>
    <row r="36" spans="3:6" ht="21" customHeight="1" x14ac:dyDescent="0.25">
      <c r="C36" s="81"/>
      <c r="D36" s="81"/>
      <c r="E36" s="81"/>
      <c r="F36" s="81"/>
    </row>
    <row r="37" spans="3:6" ht="21" customHeight="1" x14ac:dyDescent="0.25">
      <c r="C37" s="81"/>
      <c r="D37" s="81"/>
      <c r="E37" s="81"/>
      <c r="F37" s="81"/>
    </row>
    <row r="38" spans="3:6" ht="21" customHeight="1" x14ac:dyDescent="0.25">
      <c r="C38" s="81"/>
      <c r="D38" s="81"/>
      <c r="E38" s="81"/>
      <c r="F38" s="81"/>
    </row>
    <row r="39" spans="3:6" ht="21" customHeight="1" x14ac:dyDescent="0.25">
      <c r="C39" s="81"/>
      <c r="D39" s="81"/>
      <c r="E39" s="81"/>
      <c r="F39" s="81"/>
    </row>
    <row r="40" spans="3:6" ht="21" customHeight="1" x14ac:dyDescent="0.25">
      <c r="C40" s="81"/>
      <c r="D40" s="81"/>
      <c r="E40" s="81"/>
      <c r="F40" s="81"/>
    </row>
    <row r="41" spans="3:6" ht="21" customHeight="1" x14ac:dyDescent="0.25">
      <c r="C41" s="81"/>
      <c r="D41" s="81"/>
      <c r="E41" s="81"/>
      <c r="F41" s="81"/>
    </row>
    <row r="42" spans="3:6" ht="21" customHeight="1" x14ac:dyDescent="0.25">
      <c r="C42" s="81"/>
      <c r="D42" s="81"/>
      <c r="E42" s="81"/>
      <c r="F42" s="81"/>
    </row>
    <row r="43" spans="3:6" ht="21" customHeight="1" x14ac:dyDescent="0.25">
      <c r="C43" s="81"/>
      <c r="D43" s="81"/>
      <c r="E43" s="81"/>
      <c r="F43" s="81"/>
    </row>
    <row r="44" spans="3:6" ht="21" customHeight="1" x14ac:dyDescent="0.25">
      <c r="C44" s="81"/>
      <c r="D44" s="81"/>
      <c r="E44" s="81"/>
      <c r="F44" s="81"/>
    </row>
    <row r="45" spans="3:6" ht="21" customHeight="1" x14ac:dyDescent="0.25">
      <c r="C45" s="81"/>
      <c r="D45" s="81"/>
      <c r="E45" s="81"/>
      <c r="F45" s="81"/>
    </row>
    <row r="46" spans="3:6" ht="21" customHeight="1" x14ac:dyDescent="0.25">
      <c r="C46" s="81"/>
      <c r="D46" s="81"/>
      <c r="E46" s="81"/>
      <c r="F46" s="81"/>
    </row>
    <row r="47" spans="3:6" ht="21" customHeight="1" x14ac:dyDescent="0.25">
      <c r="C47" s="81"/>
      <c r="D47" s="81"/>
      <c r="E47" s="81"/>
      <c r="F47" s="81"/>
    </row>
    <row r="48" spans="3:6" ht="21" customHeight="1" x14ac:dyDescent="0.25">
      <c r="C48" s="81"/>
      <c r="D48" s="81"/>
      <c r="E48" s="81"/>
      <c r="F48" s="81"/>
    </row>
    <row r="49" spans="3:6" ht="21" customHeight="1" x14ac:dyDescent="0.25">
      <c r="C49" s="81"/>
      <c r="D49" s="81"/>
      <c r="E49" s="81"/>
      <c r="F49" s="81"/>
    </row>
    <row r="50" spans="3:6" ht="21" customHeight="1" x14ac:dyDescent="0.25">
      <c r="C50" s="81"/>
      <c r="D50" s="81"/>
      <c r="E50" s="81"/>
      <c r="F50" s="81"/>
    </row>
    <row r="51" spans="3:6" ht="21" customHeight="1" x14ac:dyDescent="0.25">
      <c r="C51" s="81"/>
      <c r="D51" s="81"/>
      <c r="E51" s="81"/>
      <c r="F51" s="81"/>
    </row>
    <row r="52" spans="3:6" ht="21" customHeight="1" x14ac:dyDescent="0.25">
      <c r="C52" s="81"/>
      <c r="D52" s="81"/>
      <c r="E52" s="81"/>
      <c r="F52" s="81"/>
    </row>
    <row r="53" spans="3:6" ht="21" customHeight="1" x14ac:dyDescent="0.25">
      <c r="C53" s="81"/>
      <c r="D53" s="81"/>
      <c r="E53" s="81"/>
      <c r="F53" s="81"/>
    </row>
    <row r="54" spans="3:6" ht="21" customHeight="1" x14ac:dyDescent="0.25">
      <c r="C54" s="81"/>
      <c r="D54" s="81"/>
      <c r="E54" s="81"/>
      <c r="F54" s="81"/>
    </row>
    <row r="55" spans="3:6" ht="21" customHeight="1" x14ac:dyDescent="0.25">
      <c r="C55" s="81"/>
      <c r="D55" s="81"/>
      <c r="E55" s="81"/>
      <c r="F55" s="81"/>
    </row>
    <row r="56" spans="3:6" ht="21" customHeight="1" x14ac:dyDescent="0.25">
      <c r="C56" s="81"/>
      <c r="D56" s="81"/>
      <c r="E56" s="81"/>
      <c r="F56" s="81"/>
    </row>
    <row r="57" spans="3:6" ht="21" customHeight="1" x14ac:dyDescent="0.25">
      <c r="C57" s="81"/>
      <c r="D57" s="81"/>
      <c r="E57" s="81"/>
      <c r="F57" s="81"/>
    </row>
    <row r="58" spans="3:6" ht="21" customHeight="1" x14ac:dyDescent="0.25">
      <c r="C58" s="81"/>
      <c r="D58" s="81"/>
      <c r="E58" s="81"/>
      <c r="F58" s="81"/>
    </row>
    <row r="59" spans="3:6" ht="21" customHeight="1" x14ac:dyDescent="0.25">
      <c r="C59" s="81"/>
      <c r="D59" s="81"/>
      <c r="E59" s="81"/>
      <c r="F59" s="81"/>
    </row>
    <row r="60" spans="3:6" ht="21" customHeight="1" x14ac:dyDescent="0.25">
      <c r="C60" s="81"/>
      <c r="D60" s="81"/>
      <c r="E60" s="81"/>
      <c r="F60" s="81"/>
    </row>
    <row r="61" spans="3:6" ht="21" customHeight="1" x14ac:dyDescent="0.25">
      <c r="C61" s="81"/>
      <c r="D61" s="81"/>
      <c r="E61" s="81"/>
      <c r="F61" s="81"/>
    </row>
    <row r="62" spans="3:6" ht="21" customHeight="1" x14ac:dyDescent="0.25">
      <c r="C62" s="81"/>
      <c r="D62" s="81"/>
      <c r="E62" s="81"/>
      <c r="F62" s="81"/>
    </row>
    <row r="63" spans="3:6" ht="21" customHeight="1" x14ac:dyDescent="0.25">
      <c r="C63" s="81"/>
      <c r="D63" s="81"/>
      <c r="E63" s="81"/>
      <c r="F63" s="81"/>
    </row>
    <row r="64" spans="3:6" ht="21" customHeight="1" x14ac:dyDescent="0.25">
      <c r="C64" s="81"/>
      <c r="D64" s="81"/>
      <c r="E64" s="81"/>
      <c r="F64" s="81"/>
    </row>
    <row r="65" spans="3:6" ht="21" customHeight="1" x14ac:dyDescent="0.25">
      <c r="C65" s="81"/>
      <c r="D65" s="81"/>
      <c r="E65" s="81"/>
      <c r="F65" s="81"/>
    </row>
    <row r="66" spans="3:6" ht="21" customHeight="1" x14ac:dyDescent="0.25">
      <c r="C66" s="81"/>
      <c r="D66" s="81"/>
      <c r="E66" s="81"/>
      <c r="F66" s="81"/>
    </row>
    <row r="67" spans="3:6" ht="21" customHeight="1" x14ac:dyDescent="0.25">
      <c r="C67" s="81"/>
      <c r="D67" s="81"/>
      <c r="E67" s="81"/>
      <c r="F67" s="81"/>
    </row>
    <row r="68" spans="3:6" ht="21" customHeight="1" x14ac:dyDescent="0.25">
      <c r="C68" s="81"/>
      <c r="D68" s="81"/>
      <c r="E68" s="81"/>
      <c r="F68" s="81"/>
    </row>
    <row r="69" spans="3:6" ht="21" customHeight="1" x14ac:dyDescent="0.25">
      <c r="C69" s="81"/>
      <c r="D69" s="81"/>
      <c r="E69" s="81"/>
      <c r="F69" s="81"/>
    </row>
    <row r="70" spans="3:6" ht="21" customHeight="1" x14ac:dyDescent="0.25">
      <c r="C70" s="81"/>
      <c r="D70" s="81"/>
      <c r="E70" s="81"/>
      <c r="F70" s="81"/>
    </row>
    <row r="71" spans="3:6" ht="21" customHeight="1" x14ac:dyDescent="0.25">
      <c r="C71" s="81"/>
      <c r="D71" s="81"/>
      <c r="E71" s="81"/>
      <c r="F71" s="81"/>
    </row>
    <row r="72" spans="3:6" ht="21" customHeight="1" x14ac:dyDescent="0.25">
      <c r="C72" s="81"/>
      <c r="D72" s="81"/>
      <c r="E72" s="81"/>
      <c r="F72" s="81"/>
    </row>
    <row r="73" spans="3:6" ht="21" customHeight="1" x14ac:dyDescent="0.25">
      <c r="C73" s="81"/>
      <c r="D73" s="81"/>
      <c r="E73" s="81"/>
      <c r="F73" s="81"/>
    </row>
    <row r="74" spans="3:6" ht="21" customHeight="1" x14ac:dyDescent="0.25">
      <c r="C74" s="81"/>
      <c r="D74" s="81"/>
      <c r="E74" s="81"/>
      <c r="F74" s="81"/>
    </row>
    <row r="75" spans="3:6" ht="21" customHeight="1" x14ac:dyDescent="0.25">
      <c r="C75" s="81"/>
      <c r="D75" s="81"/>
      <c r="E75" s="81"/>
      <c r="F75" s="81"/>
    </row>
    <row r="76" spans="3:6" ht="21" customHeight="1" x14ac:dyDescent="0.25">
      <c r="C76" s="81"/>
      <c r="D76" s="81"/>
      <c r="E76" s="81"/>
      <c r="F76" s="81"/>
    </row>
    <row r="77" spans="3:6" ht="21" customHeight="1" x14ac:dyDescent="0.25">
      <c r="C77" s="81"/>
      <c r="D77" s="81"/>
      <c r="E77" s="81"/>
      <c r="F77" s="81"/>
    </row>
    <row r="78" spans="3:6" ht="21" customHeight="1" x14ac:dyDescent="0.25">
      <c r="C78" s="81"/>
      <c r="D78" s="81"/>
      <c r="E78" s="81"/>
      <c r="F78" s="81"/>
    </row>
    <row r="79" spans="3:6" ht="21" customHeight="1" x14ac:dyDescent="0.25">
      <c r="C79" s="81"/>
      <c r="D79" s="81"/>
      <c r="E79" s="81"/>
      <c r="F79" s="81"/>
    </row>
    <row r="80" spans="3:6" ht="21" customHeight="1" x14ac:dyDescent="0.25">
      <c r="C80" s="81"/>
      <c r="D80" s="81"/>
      <c r="E80" s="81"/>
      <c r="F80" s="81"/>
    </row>
    <row r="81" spans="3:6" ht="21" customHeight="1" x14ac:dyDescent="0.25">
      <c r="C81" s="81"/>
      <c r="D81" s="81"/>
      <c r="E81" s="81"/>
      <c r="F81" s="81"/>
    </row>
    <row r="82" spans="3:6" ht="21" customHeight="1" x14ac:dyDescent="0.25">
      <c r="C82" s="81"/>
      <c r="D82" s="81"/>
      <c r="E82" s="81"/>
      <c r="F82" s="81"/>
    </row>
    <row r="83" spans="3:6" ht="21" customHeight="1" x14ac:dyDescent="0.25">
      <c r="C83" s="81"/>
      <c r="D83" s="81"/>
      <c r="E83" s="81"/>
      <c r="F83" s="81"/>
    </row>
    <row r="84" spans="3:6" ht="21" customHeight="1" x14ac:dyDescent="0.25">
      <c r="C84" s="81"/>
      <c r="D84" s="81"/>
      <c r="E84" s="81"/>
      <c r="F84" s="81"/>
    </row>
    <row r="85" spans="3:6" ht="21" customHeight="1" x14ac:dyDescent="0.25">
      <c r="C85" s="81"/>
      <c r="D85" s="81"/>
      <c r="E85" s="81"/>
      <c r="F85" s="81"/>
    </row>
    <row r="86" spans="3:6" ht="21" customHeight="1" x14ac:dyDescent="0.25">
      <c r="C86" s="81"/>
      <c r="D86" s="81"/>
      <c r="E86" s="81"/>
      <c r="F86" s="81"/>
    </row>
    <row r="87" spans="3:6" ht="21" customHeight="1" x14ac:dyDescent="0.25">
      <c r="C87" s="81"/>
      <c r="D87" s="81"/>
      <c r="E87" s="81"/>
      <c r="F87" s="81"/>
    </row>
    <row r="88" spans="3:6" ht="21" customHeight="1" x14ac:dyDescent="0.25">
      <c r="C88" s="81"/>
      <c r="D88" s="81"/>
      <c r="E88" s="81"/>
      <c r="F88" s="81"/>
    </row>
    <row r="89" spans="3:6" ht="21" customHeight="1" x14ac:dyDescent="0.25">
      <c r="C89" s="81"/>
      <c r="D89" s="81"/>
      <c r="E89" s="81"/>
      <c r="F89" s="81"/>
    </row>
    <row r="90" spans="3:6" ht="21" customHeight="1" x14ac:dyDescent="0.25">
      <c r="C90" s="81"/>
      <c r="D90" s="81"/>
      <c r="E90" s="81"/>
      <c r="F90" s="81"/>
    </row>
    <row r="91" spans="3:6" ht="21" customHeight="1" x14ac:dyDescent="0.25">
      <c r="C91" s="81"/>
      <c r="D91" s="81"/>
      <c r="E91" s="81"/>
      <c r="F91" s="81"/>
    </row>
    <row r="92" spans="3:6" ht="21" customHeight="1" x14ac:dyDescent="0.25">
      <c r="C92" s="81"/>
      <c r="D92" s="81"/>
      <c r="E92" s="81"/>
      <c r="F92" s="81"/>
    </row>
    <row r="93" spans="3:6" ht="21" customHeight="1" x14ac:dyDescent="0.25">
      <c r="C93" s="81"/>
      <c r="D93" s="81"/>
      <c r="E93" s="81"/>
      <c r="F93" s="81"/>
    </row>
    <row r="94" spans="3:6" ht="21" customHeight="1" x14ac:dyDescent="0.25">
      <c r="C94" s="81"/>
      <c r="D94" s="81"/>
      <c r="E94" s="81"/>
      <c r="F94" s="81"/>
    </row>
    <row r="95" spans="3:6" ht="21" customHeight="1" x14ac:dyDescent="0.25">
      <c r="C95" s="81"/>
      <c r="D95" s="81"/>
      <c r="E95" s="81"/>
      <c r="F95" s="81"/>
    </row>
    <row r="96" spans="3:6" ht="21" customHeight="1" x14ac:dyDescent="0.25">
      <c r="C96" s="81"/>
      <c r="D96" s="81"/>
      <c r="E96" s="81"/>
      <c r="F96" s="81"/>
    </row>
    <row r="97" spans="3:6" ht="21" customHeight="1" x14ac:dyDescent="0.25">
      <c r="C97" s="81"/>
      <c r="D97" s="81"/>
      <c r="E97" s="81"/>
      <c r="F97" s="81"/>
    </row>
    <row r="98" spans="3:6" ht="21" customHeight="1" x14ac:dyDescent="0.25">
      <c r="C98" s="81"/>
      <c r="D98" s="81"/>
      <c r="E98" s="81"/>
      <c r="F98" s="81"/>
    </row>
    <row r="99" spans="3:6" ht="21" customHeight="1" x14ac:dyDescent="0.25">
      <c r="C99" s="81"/>
      <c r="D99" s="81"/>
      <c r="E99" s="81"/>
      <c r="F99" s="81"/>
    </row>
    <row r="100" spans="3:6" ht="21" customHeight="1" x14ac:dyDescent="0.25">
      <c r="C100" s="81"/>
      <c r="D100" s="81"/>
      <c r="E100" s="81"/>
      <c r="F100" s="81"/>
    </row>
    <row r="101" spans="3:6" ht="21" customHeight="1" x14ac:dyDescent="0.25">
      <c r="C101"/>
      <c r="D101"/>
      <c r="E101"/>
      <c r="F101"/>
    </row>
    <row r="102" spans="3:6" ht="21" customHeight="1" x14ac:dyDescent="0.25">
      <c r="C102"/>
      <c r="D102"/>
      <c r="E102"/>
      <c r="F102"/>
    </row>
    <row r="103" spans="3:6" ht="21" customHeight="1" x14ac:dyDescent="0.25">
      <c r="C103"/>
      <c r="D103"/>
      <c r="E103"/>
      <c r="F103"/>
    </row>
    <row r="104" spans="3:6" ht="21" customHeight="1" x14ac:dyDescent="0.25">
      <c r="C104"/>
      <c r="D104"/>
      <c r="E104"/>
      <c r="F104"/>
    </row>
    <row r="105" spans="3:6" ht="21" customHeight="1" x14ac:dyDescent="0.25">
      <c r="C105"/>
      <c r="D105"/>
      <c r="E105"/>
      <c r="F105"/>
    </row>
    <row r="106" spans="3:6" ht="21" customHeight="1" x14ac:dyDescent="0.25">
      <c r="C106"/>
      <c r="D106"/>
      <c r="E106"/>
      <c r="F106"/>
    </row>
    <row r="107" spans="3:6" ht="21" customHeight="1" x14ac:dyDescent="0.25">
      <c r="C107"/>
      <c r="D107"/>
      <c r="E107"/>
      <c r="F107"/>
    </row>
    <row r="108" spans="3:6" ht="21" customHeight="1" x14ac:dyDescent="0.25">
      <c r="C108"/>
      <c r="D108"/>
      <c r="E108"/>
      <c r="F108"/>
    </row>
    <row r="109" spans="3:6" ht="21" customHeight="1" x14ac:dyDescent="0.25">
      <c r="C109"/>
      <c r="D109"/>
      <c r="E109"/>
      <c r="F109"/>
    </row>
    <row r="110" spans="3:6" ht="21" customHeight="1" x14ac:dyDescent="0.25">
      <c r="C110"/>
      <c r="D110"/>
      <c r="E110"/>
      <c r="F110"/>
    </row>
    <row r="111" spans="3:6" ht="21" customHeight="1" x14ac:dyDescent="0.25">
      <c r="C111"/>
      <c r="D111"/>
      <c r="E111"/>
      <c r="F111"/>
    </row>
    <row r="112" spans="3:6" ht="21" customHeight="1" x14ac:dyDescent="0.25">
      <c r="C112"/>
      <c r="D112"/>
      <c r="E112"/>
      <c r="F112"/>
    </row>
    <row r="113" spans="3:6" ht="21" customHeight="1" x14ac:dyDescent="0.25">
      <c r="C113"/>
      <c r="D113"/>
      <c r="E113"/>
      <c r="F113"/>
    </row>
    <row r="114" spans="3:6" ht="21" customHeight="1" x14ac:dyDescent="0.25">
      <c r="C114"/>
      <c r="D114"/>
      <c r="E114"/>
      <c r="F114"/>
    </row>
    <row r="115" spans="3:6" ht="21" customHeight="1" x14ac:dyDescent="0.25">
      <c r="C115"/>
      <c r="D115"/>
      <c r="E115"/>
      <c r="F115"/>
    </row>
    <row r="116" spans="3:6" ht="21" customHeight="1" x14ac:dyDescent="0.25">
      <c r="C116"/>
      <c r="D116"/>
      <c r="E116"/>
      <c r="F116"/>
    </row>
    <row r="117" spans="3:6" ht="21" customHeight="1" x14ac:dyDescent="0.25">
      <c r="C117"/>
      <c r="D117"/>
      <c r="E117"/>
      <c r="F117"/>
    </row>
    <row r="118" spans="3:6" ht="21" customHeight="1" x14ac:dyDescent="0.25">
      <c r="C118"/>
      <c r="D118"/>
      <c r="E118"/>
      <c r="F118"/>
    </row>
    <row r="119" spans="3:6" ht="21" customHeight="1" x14ac:dyDescent="0.25">
      <c r="C119"/>
      <c r="D119"/>
      <c r="E119"/>
      <c r="F119"/>
    </row>
    <row r="120" spans="3:6" ht="21" customHeight="1" x14ac:dyDescent="0.25">
      <c r="C120"/>
      <c r="D120"/>
      <c r="E120"/>
      <c r="F120"/>
    </row>
    <row r="121" spans="3:6" ht="21" customHeight="1" x14ac:dyDescent="0.25">
      <c r="C121"/>
      <c r="D121"/>
      <c r="E121"/>
      <c r="F121"/>
    </row>
    <row r="122" spans="3:6" ht="21" customHeight="1" x14ac:dyDescent="0.25">
      <c r="C122"/>
      <c r="D122"/>
      <c r="E122"/>
      <c r="F122"/>
    </row>
    <row r="123" spans="3:6" ht="21" customHeight="1" x14ac:dyDescent="0.25">
      <c r="C123"/>
      <c r="D123"/>
      <c r="E123"/>
      <c r="F123"/>
    </row>
    <row r="124" spans="3:6" ht="21" customHeight="1" x14ac:dyDescent="0.25">
      <c r="C124"/>
      <c r="D124"/>
      <c r="E124"/>
      <c r="F124"/>
    </row>
    <row r="125" spans="3:6" ht="21" customHeight="1" x14ac:dyDescent="0.25">
      <c r="C125"/>
      <c r="D125"/>
      <c r="E125"/>
      <c r="F125"/>
    </row>
    <row r="126" spans="3:6" ht="21" customHeight="1" x14ac:dyDescent="0.25">
      <c r="C126"/>
      <c r="D126"/>
      <c r="E126"/>
      <c r="F126"/>
    </row>
    <row r="127" spans="3:6" ht="21" customHeight="1" x14ac:dyDescent="0.25">
      <c r="C127"/>
      <c r="D127"/>
      <c r="E127"/>
      <c r="F127"/>
    </row>
    <row r="128" spans="3:6" ht="21" customHeight="1" x14ac:dyDescent="0.25">
      <c r="C128"/>
      <c r="D128"/>
      <c r="E128"/>
      <c r="F128"/>
    </row>
    <row r="129" spans="3:6" ht="21" customHeight="1" x14ac:dyDescent="0.25">
      <c r="C129"/>
      <c r="D129"/>
      <c r="E129"/>
      <c r="F129"/>
    </row>
    <row r="130" spans="3:6" ht="21" customHeight="1" x14ac:dyDescent="0.25">
      <c r="C130"/>
      <c r="D130"/>
      <c r="E130"/>
      <c r="F130"/>
    </row>
    <row r="131" spans="3:6" ht="21" customHeight="1" x14ac:dyDescent="0.25">
      <c r="C131"/>
      <c r="D131"/>
      <c r="E131"/>
      <c r="F131"/>
    </row>
    <row r="132" spans="3:6" ht="21" customHeight="1" x14ac:dyDescent="0.25">
      <c r="C132"/>
      <c r="D132"/>
      <c r="E132"/>
      <c r="F132"/>
    </row>
    <row r="133" spans="3:6" ht="21" customHeight="1" x14ac:dyDescent="0.25">
      <c r="C133"/>
      <c r="D133"/>
      <c r="E133"/>
      <c r="F133"/>
    </row>
    <row r="134" spans="3:6" ht="21" customHeight="1" x14ac:dyDescent="0.25">
      <c r="C134"/>
      <c r="D134"/>
      <c r="E134"/>
      <c r="F134"/>
    </row>
    <row r="135" spans="3:6" ht="21" customHeight="1" x14ac:dyDescent="0.25">
      <c r="C135"/>
      <c r="D135"/>
      <c r="E135"/>
      <c r="F135"/>
    </row>
    <row r="136" spans="3:6" ht="21" customHeight="1" x14ac:dyDescent="0.25">
      <c r="C136"/>
      <c r="D136"/>
      <c r="E136"/>
      <c r="F136"/>
    </row>
    <row r="137" spans="3:6" ht="21" customHeight="1" x14ac:dyDescent="0.25">
      <c r="C137"/>
      <c r="D137"/>
      <c r="E137"/>
      <c r="F137"/>
    </row>
    <row r="138" spans="3:6" ht="21" customHeight="1" x14ac:dyDescent="0.25">
      <c r="C138"/>
      <c r="D138"/>
      <c r="E138"/>
      <c r="F138"/>
    </row>
    <row r="139" spans="3:6" ht="21" customHeight="1" x14ac:dyDescent="0.25">
      <c r="C139"/>
      <c r="D139"/>
      <c r="E139"/>
      <c r="F139"/>
    </row>
    <row r="140" spans="3:6" ht="21" customHeight="1" x14ac:dyDescent="0.25">
      <c r="C140"/>
      <c r="D140"/>
      <c r="E140"/>
      <c r="F140"/>
    </row>
    <row r="141" spans="3:6" ht="21" customHeight="1" x14ac:dyDescent="0.25">
      <c r="C141"/>
      <c r="D141"/>
      <c r="E141"/>
      <c r="F141"/>
    </row>
    <row r="142" spans="3:6" ht="21" customHeight="1" x14ac:dyDescent="0.25">
      <c r="C142"/>
      <c r="D142"/>
      <c r="E142"/>
      <c r="F142"/>
    </row>
    <row r="143" spans="3:6" ht="21" customHeight="1" x14ac:dyDescent="0.25">
      <c r="C143"/>
      <c r="D143"/>
      <c r="E143"/>
      <c r="F143"/>
    </row>
    <row r="144" spans="3:6" ht="21" customHeight="1" x14ac:dyDescent="0.25">
      <c r="C144"/>
      <c r="D144"/>
      <c r="E144"/>
      <c r="F144"/>
    </row>
    <row r="145" spans="3:6" ht="21" customHeight="1" x14ac:dyDescent="0.25">
      <c r="C145"/>
      <c r="D145"/>
      <c r="E145"/>
      <c r="F145"/>
    </row>
    <row r="146" spans="3:6" ht="21" customHeight="1" x14ac:dyDescent="0.25">
      <c r="C146"/>
      <c r="D146"/>
      <c r="E146"/>
      <c r="F146"/>
    </row>
    <row r="147" spans="3:6" ht="21" customHeight="1" x14ac:dyDescent="0.25">
      <c r="C147"/>
      <c r="D147"/>
      <c r="E147"/>
      <c r="F147"/>
    </row>
    <row r="148" spans="3:6" ht="21" customHeight="1" x14ac:dyDescent="0.25">
      <c r="C148"/>
      <c r="D148"/>
      <c r="E148"/>
      <c r="F148"/>
    </row>
    <row r="149" spans="3:6" ht="21" customHeight="1" x14ac:dyDescent="0.25">
      <c r="C149"/>
      <c r="D149"/>
      <c r="E149"/>
      <c r="F149"/>
    </row>
    <row r="150" spans="3:6" ht="21" customHeight="1" x14ac:dyDescent="0.25">
      <c r="C150"/>
      <c r="D150"/>
      <c r="E150"/>
      <c r="F150"/>
    </row>
    <row r="151" spans="3:6" ht="21" customHeight="1" x14ac:dyDescent="0.25">
      <c r="C151"/>
      <c r="D151"/>
      <c r="E151"/>
      <c r="F151"/>
    </row>
    <row r="152" spans="3:6" ht="21" customHeight="1" x14ac:dyDescent="0.25">
      <c r="C152"/>
      <c r="D152"/>
      <c r="E152"/>
      <c r="F152"/>
    </row>
    <row r="153" spans="3:6" ht="21" customHeight="1" x14ac:dyDescent="0.25">
      <c r="C153"/>
      <c r="D153"/>
      <c r="E153"/>
      <c r="F153"/>
    </row>
    <row r="154" spans="3:6" ht="21" customHeight="1" x14ac:dyDescent="0.25">
      <c r="C154"/>
      <c r="D154"/>
      <c r="E154"/>
      <c r="F154"/>
    </row>
    <row r="155" spans="3:6" ht="21" customHeight="1" x14ac:dyDescent="0.25">
      <c r="C155"/>
      <c r="D155"/>
      <c r="E155"/>
      <c r="F155"/>
    </row>
    <row r="156" spans="3:6" ht="21" customHeight="1" x14ac:dyDescent="0.25">
      <c r="C156"/>
      <c r="D156"/>
      <c r="E156"/>
      <c r="F156"/>
    </row>
    <row r="157" spans="3:6" ht="21" customHeight="1" x14ac:dyDescent="0.25">
      <c r="C157"/>
      <c r="D157"/>
      <c r="E157"/>
      <c r="F157"/>
    </row>
    <row r="158" spans="3:6" ht="21" customHeight="1" x14ac:dyDescent="0.25">
      <c r="C158"/>
      <c r="D158"/>
      <c r="E158"/>
      <c r="F158"/>
    </row>
    <row r="159" spans="3:6" ht="21" customHeight="1" x14ac:dyDescent="0.25">
      <c r="C159"/>
      <c r="D159"/>
      <c r="E159"/>
      <c r="F159"/>
    </row>
    <row r="160" spans="3:6" ht="21" customHeight="1" x14ac:dyDescent="0.25">
      <c r="C160"/>
      <c r="D160"/>
      <c r="E160"/>
      <c r="F160"/>
    </row>
    <row r="161" spans="3:6" ht="21" customHeight="1" x14ac:dyDescent="0.25">
      <c r="C161"/>
      <c r="D161"/>
      <c r="E161"/>
      <c r="F161"/>
    </row>
    <row r="162" spans="3:6" ht="21" customHeight="1" x14ac:dyDescent="0.25">
      <c r="C162"/>
      <c r="D162"/>
      <c r="E162"/>
      <c r="F162"/>
    </row>
    <row r="163" spans="3:6" ht="21" customHeight="1" x14ac:dyDescent="0.25">
      <c r="C163"/>
      <c r="D163"/>
      <c r="E163"/>
      <c r="F163"/>
    </row>
    <row r="164" spans="3:6" ht="21" customHeight="1" x14ac:dyDescent="0.25">
      <c r="C164"/>
      <c r="D164"/>
      <c r="E164"/>
      <c r="F164"/>
    </row>
    <row r="165" spans="3:6" ht="21" customHeight="1" x14ac:dyDescent="0.25">
      <c r="C165"/>
      <c r="D165"/>
      <c r="E165"/>
      <c r="F165"/>
    </row>
    <row r="166" spans="3:6" ht="21" customHeight="1" x14ac:dyDescent="0.25">
      <c r="C166"/>
      <c r="D166"/>
      <c r="E166"/>
      <c r="F166"/>
    </row>
    <row r="167" spans="3:6" ht="21" customHeight="1" x14ac:dyDescent="0.25">
      <c r="C167"/>
      <c r="D167"/>
      <c r="E167"/>
      <c r="F167"/>
    </row>
    <row r="168" spans="3:6" ht="21" customHeight="1" x14ac:dyDescent="0.25">
      <c r="C168"/>
      <c r="D168"/>
      <c r="E168"/>
      <c r="F168"/>
    </row>
    <row r="169" spans="3:6" ht="21" customHeight="1" x14ac:dyDescent="0.25">
      <c r="C169"/>
      <c r="D169"/>
      <c r="E169"/>
      <c r="F169"/>
    </row>
    <row r="170" spans="3:6" ht="21" customHeight="1" x14ac:dyDescent="0.25">
      <c r="C170"/>
      <c r="D170"/>
      <c r="E170"/>
      <c r="F170"/>
    </row>
    <row r="171" spans="3:6" ht="21" customHeight="1" x14ac:dyDescent="0.25">
      <c r="C171"/>
      <c r="D171"/>
      <c r="E171"/>
      <c r="F171"/>
    </row>
    <row r="172" spans="3:6" ht="21" customHeight="1" x14ac:dyDescent="0.25">
      <c r="C172"/>
      <c r="D172"/>
      <c r="E172"/>
      <c r="F172"/>
    </row>
    <row r="173" spans="3:6" ht="21" customHeight="1" x14ac:dyDescent="0.25">
      <c r="C173"/>
      <c r="D173"/>
      <c r="E173"/>
      <c r="F173"/>
    </row>
    <row r="174" spans="3:6" ht="21" customHeight="1" x14ac:dyDescent="0.25">
      <c r="C174"/>
      <c r="D174"/>
      <c r="E174"/>
      <c r="F174"/>
    </row>
    <row r="175" spans="3:6" ht="21" customHeight="1" x14ac:dyDescent="0.25">
      <c r="C175"/>
      <c r="D175"/>
      <c r="E175"/>
      <c r="F175"/>
    </row>
    <row r="176" spans="3:6" ht="21" customHeight="1" x14ac:dyDescent="0.25">
      <c r="C176"/>
      <c r="D176"/>
      <c r="E176"/>
      <c r="F176"/>
    </row>
    <row r="177" spans="3:6" ht="21" customHeight="1" x14ac:dyDescent="0.25">
      <c r="C177"/>
      <c r="D177"/>
      <c r="E177"/>
      <c r="F177"/>
    </row>
    <row r="178" spans="3:6" ht="21" customHeight="1" x14ac:dyDescent="0.25">
      <c r="C178"/>
      <c r="D178"/>
      <c r="E178"/>
      <c r="F178"/>
    </row>
    <row r="179" spans="3:6" ht="21" customHeight="1" x14ac:dyDescent="0.25">
      <c r="C179"/>
      <c r="D179"/>
      <c r="E179"/>
      <c r="F179"/>
    </row>
    <row r="180" spans="3:6" ht="21" customHeight="1" x14ac:dyDescent="0.25">
      <c r="C180"/>
      <c r="D180"/>
      <c r="E180"/>
      <c r="F180"/>
    </row>
    <row r="181" spans="3:6" ht="21" customHeight="1" x14ac:dyDescent="0.25">
      <c r="C181"/>
      <c r="D181"/>
      <c r="E181"/>
      <c r="F181"/>
    </row>
    <row r="182" spans="3:6" ht="21" customHeight="1" x14ac:dyDescent="0.25">
      <c r="C182"/>
      <c r="D182"/>
      <c r="E182"/>
      <c r="F182"/>
    </row>
    <row r="183" spans="3:6" ht="21" customHeight="1" x14ac:dyDescent="0.25">
      <c r="C183"/>
      <c r="D183"/>
      <c r="E183"/>
      <c r="F183"/>
    </row>
    <row r="184" spans="3:6" ht="21" customHeight="1" x14ac:dyDescent="0.25">
      <c r="C184"/>
      <c r="D184"/>
      <c r="E184"/>
      <c r="F184"/>
    </row>
    <row r="185" spans="3:6" ht="21" customHeight="1" x14ac:dyDescent="0.25">
      <c r="C185"/>
      <c r="D185"/>
      <c r="E185"/>
      <c r="F185"/>
    </row>
    <row r="186" spans="3:6" ht="21" customHeight="1" x14ac:dyDescent="0.25">
      <c r="C186"/>
      <c r="D186"/>
      <c r="E186"/>
      <c r="F186"/>
    </row>
    <row r="187" spans="3:6" ht="21" customHeight="1" x14ac:dyDescent="0.25">
      <c r="C187"/>
      <c r="D187"/>
      <c r="E187"/>
      <c r="F187"/>
    </row>
    <row r="188" spans="3:6" ht="21" customHeight="1" x14ac:dyDescent="0.25">
      <c r="C188"/>
      <c r="D188"/>
      <c r="E188"/>
      <c r="F188"/>
    </row>
    <row r="189" spans="3:6" ht="21" customHeight="1" x14ac:dyDescent="0.25">
      <c r="C189"/>
      <c r="D189"/>
      <c r="E189"/>
      <c r="F189"/>
    </row>
    <row r="190" spans="3:6" ht="21" customHeight="1" x14ac:dyDescent="0.25">
      <c r="C190"/>
      <c r="D190"/>
      <c r="E190"/>
      <c r="F190"/>
    </row>
    <row r="191" spans="3:6" ht="21" customHeight="1" x14ac:dyDescent="0.25">
      <c r="C191"/>
      <c r="D191"/>
      <c r="E191"/>
      <c r="F191"/>
    </row>
    <row r="192" spans="3:6" ht="21" customHeight="1" x14ac:dyDescent="0.25">
      <c r="C192"/>
      <c r="D192"/>
      <c r="E192"/>
      <c r="F192"/>
    </row>
    <row r="193" spans="3:6" ht="21" customHeight="1" x14ac:dyDescent="0.25">
      <c r="C193"/>
      <c r="D193"/>
      <c r="E193"/>
      <c r="F193"/>
    </row>
    <row r="194" spans="3:6" ht="21" customHeight="1" x14ac:dyDescent="0.25">
      <c r="C194"/>
      <c r="D194"/>
      <c r="E194"/>
      <c r="F194"/>
    </row>
    <row r="195" spans="3:6" ht="21" customHeight="1" x14ac:dyDescent="0.25">
      <c r="C195"/>
      <c r="D195"/>
      <c r="E195"/>
      <c r="F195"/>
    </row>
    <row r="196" spans="3:6" ht="21" customHeight="1" x14ac:dyDescent="0.25">
      <c r="C196"/>
      <c r="D196"/>
      <c r="E196"/>
      <c r="F196"/>
    </row>
    <row r="197" spans="3:6" ht="21" customHeight="1" x14ac:dyDescent="0.25">
      <c r="C197"/>
      <c r="D197"/>
      <c r="E197"/>
      <c r="F197"/>
    </row>
    <row r="198" spans="3:6" ht="21" customHeight="1" x14ac:dyDescent="0.25">
      <c r="C198"/>
      <c r="D198"/>
      <c r="E198"/>
      <c r="F198"/>
    </row>
    <row r="199" spans="3:6" ht="21" customHeight="1" x14ac:dyDescent="0.25">
      <c r="C199"/>
      <c r="D199"/>
      <c r="E199"/>
      <c r="F199"/>
    </row>
    <row r="200" spans="3:6" ht="21" customHeight="1" x14ac:dyDescent="0.25">
      <c r="C200"/>
      <c r="D200"/>
      <c r="E200"/>
      <c r="F200"/>
    </row>
    <row r="201" spans="3:6" ht="21" customHeight="1" x14ac:dyDescent="0.25">
      <c r="C201"/>
      <c r="D201"/>
      <c r="E201"/>
      <c r="F201"/>
    </row>
    <row r="202" spans="3:6" ht="21" customHeight="1" x14ac:dyDescent="0.25">
      <c r="C202"/>
      <c r="D202"/>
      <c r="E202"/>
      <c r="F202"/>
    </row>
    <row r="203" spans="3:6" ht="21" customHeight="1" x14ac:dyDescent="0.25">
      <c r="C203"/>
      <c r="D203"/>
      <c r="E203"/>
      <c r="F203"/>
    </row>
    <row r="204" spans="3:6" ht="21" customHeight="1" x14ac:dyDescent="0.25">
      <c r="C204"/>
      <c r="D204"/>
      <c r="E204"/>
      <c r="F204"/>
    </row>
    <row r="205" spans="3:6" ht="21" customHeight="1" x14ac:dyDescent="0.25">
      <c r="C205"/>
      <c r="D205"/>
      <c r="E205"/>
      <c r="F205"/>
    </row>
    <row r="206" spans="3:6" ht="21" customHeight="1" x14ac:dyDescent="0.25">
      <c r="C206"/>
      <c r="D206"/>
      <c r="E206"/>
      <c r="F206"/>
    </row>
    <row r="207" spans="3:6" ht="21" customHeight="1" x14ac:dyDescent="0.25">
      <c r="C207"/>
      <c r="D207"/>
      <c r="E207"/>
      <c r="F207"/>
    </row>
    <row r="208" spans="3:6" ht="21" customHeight="1" x14ac:dyDescent="0.25">
      <c r="C208"/>
      <c r="D208"/>
      <c r="E208"/>
      <c r="F208"/>
    </row>
    <row r="209" spans="3:6" ht="21" customHeight="1" x14ac:dyDescent="0.25">
      <c r="C209"/>
      <c r="D209"/>
      <c r="E209"/>
      <c r="F209"/>
    </row>
    <row r="210" spans="3:6" ht="21" customHeight="1" x14ac:dyDescent="0.25">
      <c r="C210"/>
      <c r="D210"/>
      <c r="E210"/>
      <c r="F210"/>
    </row>
    <row r="211" spans="3:6" ht="21" customHeight="1" x14ac:dyDescent="0.25">
      <c r="C211"/>
      <c r="D211"/>
      <c r="E211"/>
      <c r="F211"/>
    </row>
    <row r="212" spans="3:6" ht="21" customHeight="1" x14ac:dyDescent="0.25">
      <c r="C212"/>
      <c r="D212"/>
      <c r="E212"/>
      <c r="F212"/>
    </row>
    <row r="213" spans="3:6" ht="21" customHeight="1" x14ac:dyDescent="0.25">
      <c r="C213"/>
      <c r="D213"/>
      <c r="E213"/>
      <c r="F213"/>
    </row>
    <row r="214" spans="3:6" ht="21" customHeight="1" x14ac:dyDescent="0.25">
      <c r="C214"/>
      <c r="D214"/>
      <c r="E214"/>
      <c r="F214"/>
    </row>
    <row r="215" spans="3:6" ht="21" customHeight="1" x14ac:dyDescent="0.25">
      <c r="C215"/>
      <c r="D215"/>
      <c r="E215"/>
      <c r="F215"/>
    </row>
    <row r="216" spans="3:6" ht="21" customHeight="1" x14ac:dyDescent="0.25">
      <c r="C216"/>
      <c r="D216"/>
      <c r="E216"/>
      <c r="F216"/>
    </row>
    <row r="217" spans="3:6" ht="21" customHeight="1" x14ac:dyDescent="0.25">
      <c r="C217"/>
      <c r="D217"/>
      <c r="E217"/>
      <c r="F217"/>
    </row>
    <row r="218" spans="3:6" ht="21" customHeight="1" x14ac:dyDescent="0.25">
      <c r="C218"/>
      <c r="D218"/>
      <c r="E218"/>
      <c r="F218"/>
    </row>
    <row r="219" spans="3:6" ht="21" customHeight="1" x14ac:dyDescent="0.25">
      <c r="C219"/>
      <c r="D219"/>
      <c r="E219"/>
      <c r="F219"/>
    </row>
    <row r="220" spans="3:6" ht="21" customHeight="1" x14ac:dyDescent="0.25">
      <c r="C220"/>
      <c r="D220"/>
      <c r="E220"/>
      <c r="F220"/>
    </row>
    <row r="221" spans="3:6" ht="21" customHeight="1" x14ac:dyDescent="0.25">
      <c r="C221"/>
      <c r="D221"/>
      <c r="E221"/>
      <c r="F221"/>
    </row>
    <row r="222" spans="3:6" ht="21" customHeight="1" x14ac:dyDescent="0.25">
      <c r="C222"/>
      <c r="D222"/>
      <c r="E222"/>
      <c r="F222"/>
    </row>
    <row r="223" spans="3:6" ht="21" customHeight="1" x14ac:dyDescent="0.25">
      <c r="C223"/>
      <c r="D223"/>
      <c r="E223"/>
      <c r="F223"/>
    </row>
    <row r="224" spans="3:6" ht="21" customHeight="1" x14ac:dyDescent="0.25">
      <c r="C224"/>
      <c r="D224"/>
      <c r="E224"/>
      <c r="F224"/>
    </row>
    <row r="225" spans="3:6" ht="21" customHeight="1" x14ac:dyDescent="0.25">
      <c r="C225"/>
      <c r="D225"/>
      <c r="E225"/>
      <c r="F225"/>
    </row>
    <row r="226" spans="3:6" ht="21" customHeight="1" x14ac:dyDescent="0.25">
      <c r="C226"/>
      <c r="D226"/>
      <c r="E226"/>
      <c r="F226"/>
    </row>
    <row r="227" spans="3:6" ht="21" customHeight="1" x14ac:dyDescent="0.25">
      <c r="C227"/>
      <c r="D227"/>
      <c r="E227"/>
      <c r="F227"/>
    </row>
    <row r="228" spans="3:6" ht="21" customHeight="1" x14ac:dyDescent="0.25">
      <c r="C228"/>
      <c r="D228"/>
      <c r="E228"/>
      <c r="F228"/>
    </row>
    <row r="229" spans="3:6" ht="21" customHeight="1" x14ac:dyDescent="0.25">
      <c r="C229"/>
      <c r="D229"/>
      <c r="E229"/>
      <c r="F229"/>
    </row>
    <row r="230" spans="3:6" ht="21" customHeight="1" x14ac:dyDescent="0.25">
      <c r="C230"/>
      <c r="D230"/>
      <c r="E230"/>
      <c r="F230"/>
    </row>
    <row r="231" spans="3:6" ht="21" customHeight="1" x14ac:dyDescent="0.25">
      <c r="C231"/>
      <c r="D231"/>
      <c r="E231"/>
      <c r="F231"/>
    </row>
    <row r="232" spans="3:6" ht="21" customHeight="1" x14ac:dyDescent="0.25">
      <c r="C232"/>
      <c r="D232"/>
      <c r="E232"/>
      <c r="F232"/>
    </row>
    <row r="233" spans="3:6" ht="21" customHeight="1" x14ac:dyDescent="0.25">
      <c r="C233"/>
      <c r="D233"/>
      <c r="E233"/>
      <c r="F233"/>
    </row>
    <row r="234" spans="3:6" ht="21" customHeight="1" x14ac:dyDescent="0.25">
      <c r="C234"/>
      <c r="D234"/>
      <c r="E234"/>
      <c r="F234"/>
    </row>
    <row r="235" spans="3:6" ht="21" customHeight="1" x14ac:dyDescent="0.25">
      <c r="C235"/>
      <c r="D235"/>
      <c r="E235"/>
      <c r="F235"/>
    </row>
    <row r="236" spans="3:6" ht="21" customHeight="1" x14ac:dyDescent="0.25">
      <c r="C236"/>
      <c r="D236"/>
      <c r="E236"/>
      <c r="F236"/>
    </row>
    <row r="237" spans="3:6" ht="21" customHeight="1" x14ac:dyDescent="0.25">
      <c r="C237"/>
      <c r="D237"/>
      <c r="E237"/>
      <c r="F237"/>
    </row>
    <row r="238" spans="3:6" ht="21" customHeight="1" x14ac:dyDescent="0.25">
      <c r="C238"/>
      <c r="D238"/>
      <c r="E238"/>
      <c r="F238"/>
    </row>
    <row r="239" spans="3:6" ht="21" customHeight="1" x14ac:dyDescent="0.25">
      <c r="C239"/>
      <c r="D239"/>
      <c r="E239"/>
      <c r="F239"/>
    </row>
    <row r="240" spans="3:6" ht="21" customHeight="1" x14ac:dyDescent="0.25">
      <c r="C240"/>
      <c r="D240"/>
      <c r="E240"/>
      <c r="F240"/>
    </row>
    <row r="241" spans="3:6" ht="21" customHeight="1" x14ac:dyDescent="0.25">
      <c r="C241"/>
      <c r="D241"/>
      <c r="E241"/>
      <c r="F241"/>
    </row>
    <row r="242" spans="3:6" ht="21" customHeight="1" x14ac:dyDescent="0.25">
      <c r="C242"/>
      <c r="D242"/>
      <c r="E242"/>
      <c r="F242"/>
    </row>
    <row r="243" spans="3:6" ht="21" customHeight="1" x14ac:dyDescent="0.25">
      <c r="C243"/>
      <c r="D243"/>
      <c r="E243"/>
      <c r="F243"/>
    </row>
    <row r="244" spans="3:6" ht="21" customHeight="1" x14ac:dyDescent="0.25">
      <c r="C244"/>
      <c r="D244"/>
      <c r="E244"/>
      <c r="F244"/>
    </row>
    <row r="245" spans="3:6" ht="21" customHeight="1" x14ac:dyDescent="0.25">
      <c r="C245"/>
      <c r="D245"/>
      <c r="E245"/>
      <c r="F245"/>
    </row>
    <row r="246" spans="3:6" ht="21" customHeight="1" x14ac:dyDescent="0.25">
      <c r="C246"/>
      <c r="D246"/>
      <c r="E246"/>
      <c r="F246"/>
    </row>
    <row r="247" spans="3:6" ht="21" customHeight="1" x14ac:dyDescent="0.25">
      <c r="C247"/>
      <c r="D247"/>
      <c r="E247"/>
      <c r="F247"/>
    </row>
    <row r="248" spans="3:6" ht="21" customHeight="1" x14ac:dyDescent="0.25">
      <c r="C248"/>
      <c r="D248"/>
      <c r="E248"/>
      <c r="F248"/>
    </row>
    <row r="249" spans="3:6" ht="21" customHeight="1" x14ac:dyDescent="0.25">
      <c r="C249"/>
      <c r="D249"/>
      <c r="E249"/>
      <c r="F249"/>
    </row>
    <row r="250" spans="3:6" ht="21" customHeight="1" x14ac:dyDescent="0.25">
      <c r="C250"/>
      <c r="D250"/>
      <c r="E250"/>
      <c r="F250"/>
    </row>
    <row r="251" spans="3:6" ht="21" customHeight="1" x14ac:dyDescent="0.25">
      <c r="C251"/>
      <c r="D251"/>
      <c r="E251"/>
      <c r="F251"/>
    </row>
    <row r="252" spans="3:6" ht="21" customHeight="1" x14ac:dyDescent="0.25">
      <c r="C252"/>
      <c r="D252"/>
      <c r="E252"/>
      <c r="F252"/>
    </row>
    <row r="253" spans="3:6" ht="21" customHeight="1" x14ac:dyDescent="0.25">
      <c r="C253"/>
      <c r="D253"/>
      <c r="E253"/>
      <c r="F253"/>
    </row>
    <row r="254" spans="3:6" ht="21" customHeight="1" x14ac:dyDescent="0.25">
      <c r="C254"/>
      <c r="D254"/>
      <c r="E254"/>
      <c r="F254"/>
    </row>
    <row r="255" spans="3:6" ht="21" customHeight="1" x14ac:dyDescent="0.25">
      <c r="C255"/>
      <c r="D255"/>
      <c r="E255"/>
      <c r="F255"/>
    </row>
    <row r="256" spans="3:6" ht="21" customHeight="1" x14ac:dyDescent="0.25">
      <c r="C256"/>
      <c r="D256"/>
      <c r="E256"/>
      <c r="F256"/>
    </row>
    <row r="257" spans="3:6" ht="21" customHeight="1" x14ac:dyDescent="0.25">
      <c r="C257"/>
      <c r="D257"/>
      <c r="E257"/>
      <c r="F257"/>
    </row>
    <row r="258" spans="3:6" ht="21" customHeight="1" x14ac:dyDescent="0.25">
      <c r="C258"/>
      <c r="D258"/>
      <c r="E258"/>
      <c r="F258"/>
    </row>
    <row r="259" spans="3:6" ht="21" customHeight="1" x14ac:dyDescent="0.25">
      <c r="C259"/>
      <c r="D259"/>
      <c r="E259"/>
      <c r="F259"/>
    </row>
    <row r="260" spans="3:6" ht="21" customHeight="1" x14ac:dyDescent="0.25">
      <c r="C260"/>
      <c r="D260"/>
      <c r="E260"/>
      <c r="F260"/>
    </row>
    <row r="261" spans="3:6" ht="21" customHeight="1" x14ac:dyDescent="0.25">
      <c r="C261"/>
      <c r="D261"/>
      <c r="E261"/>
      <c r="F261"/>
    </row>
    <row r="262" spans="3:6" ht="21" customHeight="1" x14ac:dyDescent="0.25">
      <c r="C262"/>
      <c r="D262"/>
      <c r="E262"/>
      <c r="F262"/>
    </row>
    <row r="263" spans="3:6" ht="21" customHeight="1" x14ac:dyDescent="0.25">
      <c r="C263"/>
      <c r="D263"/>
      <c r="E263"/>
      <c r="F263"/>
    </row>
    <row r="264" spans="3:6" ht="21" customHeight="1" x14ac:dyDescent="0.25">
      <c r="C264"/>
      <c r="D264"/>
      <c r="E264"/>
      <c r="F264"/>
    </row>
    <row r="265" spans="3:6" ht="21" customHeight="1" x14ac:dyDescent="0.25">
      <c r="C265"/>
      <c r="D265"/>
      <c r="E265"/>
      <c r="F265"/>
    </row>
    <row r="266" spans="3:6" ht="21" customHeight="1" x14ac:dyDescent="0.25">
      <c r="C266"/>
      <c r="D266"/>
      <c r="E266"/>
      <c r="F266"/>
    </row>
    <row r="267" spans="3:6" ht="21" customHeight="1" x14ac:dyDescent="0.25">
      <c r="C267"/>
      <c r="D267"/>
      <c r="E267"/>
      <c r="F267"/>
    </row>
    <row r="268" spans="3:6" ht="21" customHeight="1" x14ac:dyDescent="0.25">
      <c r="C268"/>
      <c r="D268"/>
      <c r="E268"/>
      <c r="F268"/>
    </row>
    <row r="269" spans="3:6" ht="21" customHeight="1" x14ac:dyDescent="0.25">
      <c r="C269"/>
      <c r="D269"/>
      <c r="E269"/>
      <c r="F269"/>
    </row>
    <row r="270" spans="3:6" ht="21" customHeight="1" x14ac:dyDescent="0.25">
      <c r="C270"/>
      <c r="D270"/>
      <c r="E270"/>
      <c r="F270"/>
    </row>
    <row r="271" spans="3:6" ht="21" customHeight="1" x14ac:dyDescent="0.25">
      <c r="C271"/>
      <c r="D271"/>
      <c r="E271"/>
      <c r="F271"/>
    </row>
    <row r="272" spans="3:6" ht="21" customHeight="1" x14ac:dyDescent="0.25">
      <c r="C272"/>
      <c r="D272"/>
      <c r="E272"/>
      <c r="F272"/>
    </row>
    <row r="273" spans="3:6" ht="21" customHeight="1" x14ac:dyDescent="0.25">
      <c r="C273"/>
      <c r="D273"/>
      <c r="E273"/>
      <c r="F273"/>
    </row>
    <row r="274" spans="3:6" ht="21" customHeight="1" x14ac:dyDescent="0.25">
      <c r="C274"/>
      <c r="D274"/>
      <c r="E274"/>
      <c r="F274"/>
    </row>
    <row r="275" spans="3:6" ht="21" customHeight="1" x14ac:dyDescent="0.25">
      <c r="C275"/>
      <c r="D275"/>
      <c r="E275"/>
      <c r="F275"/>
    </row>
    <row r="276" spans="3:6" ht="21" customHeight="1" x14ac:dyDescent="0.25">
      <c r="C276"/>
      <c r="D276"/>
      <c r="E276"/>
      <c r="F276"/>
    </row>
    <row r="277" spans="3:6" ht="21" customHeight="1" x14ac:dyDescent="0.25">
      <c r="C277"/>
      <c r="D277"/>
      <c r="E277"/>
      <c r="F277"/>
    </row>
    <row r="278" spans="3:6" ht="21" customHeight="1" x14ac:dyDescent="0.25">
      <c r="C278"/>
      <c r="D278"/>
      <c r="E278"/>
      <c r="F278"/>
    </row>
    <row r="279" spans="3:6" ht="21" customHeight="1" x14ac:dyDescent="0.25">
      <c r="C279"/>
      <c r="D279"/>
      <c r="E279"/>
      <c r="F279"/>
    </row>
    <row r="280" spans="3:6" ht="21" customHeight="1" x14ac:dyDescent="0.25">
      <c r="C280"/>
      <c r="D280"/>
      <c r="E280"/>
      <c r="F280"/>
    </row>
    <row r="281" spans="3:6" ht="21" customHeight="1" x14ac:dyDescent="0.25">
      <c r="C281"/>
      <c r="D281"/>
      <c r="E281"/>
      <c r="F281"/>
    </row>
    <row r="282" spans="3:6" ht="21" customHeight="1" x14ac:dyDescent="0.25">
      <c r="C282"/>
      <c r="D282"/>
      <c r="E282"/>
      <c r="F282"/>
    </row>
    <row r="283" spans="3:6" ht="21" customHeight="1" x14ac:dyDescent="0.25">
      <c r="C283"/>
      <c r="D283"/>
      <c r="E283"/>
      <c r="F283"/>
    </row>
    <row r="284" spans="3:6" ht="21" customHeight="1" x14ac:dyDescent="0.25">
      <c r="C284"/>
      <c r="D284"/>
      <c r="E284"/>
      <c r="F284"/>
    </row>
    <row r="285" spans="3:6" ht="21" customHeight="1" x14ac:dyDescent="0.25">
      <c r="C285"/>
      <c r="D285"/>
      <c r="E285"/>
      <c r="F285"/>
    </row>
    <row r="286" spans="3:6" ht="21" customHeight="1" x14ac:dyDescent="0.25">
      <c r="C286"/>
      <c r="D286"/>
      <c r="E286"/>
      <c r="F286"/>
    </row>
    <row r="287" spans="3:6" ht="21" customHeight="1" x14ac:dyDescent="0.25">
      <c r="C287"/>
      <c r="D287"/>
      <c r="E287"/>
      <c r="F287"/>
    </row>
    <row r="288" spans="3:6" ht="21" customHeight="1" x14ac:dyDescent="0.25">
      <c r="C288"/>
      <c r="D288"/>
      <c r="E288"/>
      <c r="F288"/>
    </row>
    <row r="289" spans="3:6" ht="21" customHeight="1" x14ac:dyDescent="0.25">
      <c r="C289"/>
      <c r="D289"/>
      <c r="E289"/>
      <c r="F289"/>
    </row>
    <row r="290" spans="3:6" ht="21" customHeight="1" x14ac:dyDescent="0.25">
      <c r="C290"/>
      <c r="D290"/>
      <c r="E290"/>
      <c r="F290"/>
    </row>
    <row r="291" spans="3:6" ht="21" customHeight="1" x14ac:dyDescent="0.25">
      <c r="C291"/>
      <c r="D291"/>
      <c r="E291"/>
      <c r="F291"/>
    </row>
    <row r="292" spans="3:6" ht="21" customHeight="1" x14ac:dyDescent="0.25">
      <c r="C292"/>
      <c r="D292"/>
      <c r="E292"/>
      <c r="F292"/>
    </row>
    <row r="293" spans="3:6" ht="21" customHeight="1" x14ac:dyDescent="0.25">
      <c r="C293"/>
      <c r="D293"/>
      <c r="E293"/>
      <c r="F293"/>
    </row>
    <row r="294" spans="3:6" ht="21" customHeight="1" x14ac:dyDescent="0.25">
      <c r="C294"/>
      <c r="D294"/>
      <c r="E294"/>
      <c r="F294"/>
    </row>
    <row r="295" spans="3:6" ht="21" customHeight="1" x14ac:dyDescent="0.25">
      <c r="C295"/>
      <c r="D295"/>
      <c r="E295"/>
      <c r="F295"/>
    </row>
    <row r="296" spans="3:6" ht="21" customHeight="1" x14ac:dyDescent="0.25">
      <c r="C296"/>
      <c r="D296"/>
      <c r="E296"/>
      <c r="F296"/>
    </row>
    <row r="297" spans="3:6" ht="21" customHeight="1" x14ac:dyDescent="0.25">
      <c r="C297"/>
      <c r="D297"/>
      <c r="E297"/>
      <c r="F297"/>
    </row>
    <row r="298" spans="3:6" ht="21" customHeight="1" x14ac:dyDescent="0.25">
      <c r="C298"/>
      <c r="D298"/>
      <c r="E298"/>
      <c r="F298"/>
    </row>
    <row r="299" spans="3:6" ht="21" customHeight="1" x14ac:dyDescent="0.25">
      <c r="C299"/>
      <c r="D299"/>
      <c r="E299"/>
      <c r="F299"/>
    </row>
    <row r="300" spans="3:6" ht="21" customHeight="1" x14ac:dyDescent="0.25">
      <c r="C300"/>
      <c r="D300"/>
      <c r="E300"/>
      <c r="F300"/>
    </row>
    <row r="301" spans="3:6" ht="21" customHeight="1" x14ac:dyDescent="0.25">
      <c r="C301"/>
      <c r="D301"/>
      <c r="E301"/>
      <c r="F301"/>
    </row>
    <row r="302" spans="3:6" ht="21" customHeight="1" x14ac:dyDescent="0.25">
      <c r="C302"/>
      <c r="D302"/>
      <c r="E302"/>
      <c r="F302"/>
    </row>
    <row r="303" spans="3:6" ht="21" customHeight="1" x14ac:dyDescent="0.25">
      <c r="C303"/>
      <c r="D303"/>
      <c r="E303"/>
      <c r="F303"/>
    </row>
    <row r="304" spans="3:6" ht="21" customHeight="1" x14ac:dyDescent="0.25">
      <c r="C304"/>
      <c r="D304"/>
      <c r="E304"/>
      <c r="F304"/>
    </row>
    <row r="305" spans="3:6" ht="21" customHeight="1" x14ac:dyDescent="0.25">
      <c r="C305"/>
      <c r="D305"/>
      <c r="E305"/>
      <c r="F305"/>
    </row>
    <row r="306" spans="3:6" ht="21" customHeight="1" x14ac:dyDescent="0.25">
      <c r="C306"/>
      <c r="D306"/>
      <c r="E306"/>
      <c r="F306"/>
    </row>
    <row r="307" spans="3:6" ht="21" customHeight="1" x14ac:dyDescent="0.25">
      <c r="C307"/>
      <c r="D307"/>
      <c r="E307"/>
      <c r="F307"/>
    </row>
    <row r="308" spans="3:6" ht="21" customHeight="1" x14ac:dyDescent="0.25">
      <c r="C308"/>
      <c r="D308"/>
      <c r="E308"/>
      <c r="F308"/>
    </row>
    <row r="309" spans="3:6" ht="21" customHeight="1" x14ac:dyDescent="0.25">
      <c r="C309"/>
      <c r="D309"/>
      <c r="E309"/>
      <c r="F309"/>
    </row>
    <row r="310" spans="3:6" ht="21" customHeight="1" x14ac:dyDescent="0.25">
      <c r="C310"/>
      <c r="D310"/>
      <c r="E310"/>
      <c r="F310"/>
    </row>
    <row r="311" spans="3:6" ht="21" customHeight="1" x14ac:dyDescent="0.25">
      <c r="C311"/>
      <c r="D311"/>
      <c r="E311"/>
      <c r="F311"/>
    </row>
    <row r="312" spans="3:6" ht="21" customHeight="1" x14ac:dyDescent="0.25">
      <c r="C312"/>
      <c r="D312"/>
      <c r="E312"/>
      <c r="F312"/>
    </row>
    <row r="313" spans="3:6" ht="21" customHeight="1" x14ac:dyDescent="0.25">
      <c r="C313"/>
      <c r="D313"/>
      <c r="E313"/>
      <c r="F313"/>
    </row>
    <row r="314" spans="3:6" ht="21" customHeight="1" x14ac:dyDescent="0.25">
      <c r="C314"/>
      <c r="D314"/>
      <c r="E314"/>
      <c r="F314"/>
    </row>
    <row r="315" spans="3:6" ht="21" customHeight="1" x14ac:dyDescent="0.25"/>
    <row r="316" spans="3:6" ht="21" customHeight="1" x14ac:dyDescent="0.25"/>
    <row r="317" spans="3:6" ht="21" customHeight="1" x14ac:dyDescent="0.25"/>
    <row r="318" spans="3:6" ht="21" customHeight="1" x14ac:dyDescent="0.25"/>
    <row r="319" spans="3:6" ht="21" customHeight="1" x14ac:dyDescent="0.25"/>
    <row r="320" spans="3:6"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protectedRanges>
    <protectedRange sqref="C2:F3" name="TAPI"/>
  </protectedRanges>
  <mergeCells count="1">
    <mergeCell ref="C1:F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13" sqref="B13"/>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C7" t="s">
        <v>104</v>
      </c>
    </row>
    <row r="8" spans="1:3" x14ac:dyDescent="0.25">
      <c r="A8" t="s">
        <v>29</v>
      </c>
    </row>
    <row r="9" spans="1:3" x14ac:dyDescent="0.25">
      <c r="A9" t="s">
        <v>99</v>
      </c>
    </row>
    <row r="10" spans="1:3" x14ac:dyDescent="0.25">
      <c r="A10" t="s">
        <v>97</v>
      </c>
    </row>
    <row r="11" spans="1:3" x14ac:dyDescent="0.25">
      <c r="A11" t="s">
        <v>98</v>
      </c>
    </row>
    <row r="12" spans="1:3" x14ac:dyDescent="0.25">
      <c r="A12" t="s">
        <v>105</v>
      </c>
    </row>
    <row r="13" spans="1:3" x14ac:dyDescent="0.25">
      <c r="A13" t="s">
        <v>106</v>
      </c>
    </row>
    <row r="14" spans="1:3" ht="90" x14ac:dyDescent="0.25">
      <c r="A14" t="s">
        <v>108</v>
      </c>
      <c r="C14" s="72"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C2" sqref="C2"/>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V7" sqref="V7"/>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5" hidden="1" customWidth="1"/>
    <col min="20" max="20" width="8.42578125" style="24" hidden="1" customWidth="1"/>
    <col min="21" max="21" width="8.42578125" hidden="1" customWidth="1"/>
    <col min="22" max="22" width="80.42578125" style="9" customWidth="1"/>
    <col min="23" max="23" width="9.140625" style="9" customWidth="1"/>
    <col min="24" max="24" width="13" style="26" bestFit="1" customWidth="1"/>
    <col min="25" max="25" width="13" style="57" bestFit="1" customWidth="1"/>
    <col min="26" max="28" width="9.140625" style="27" customWidth="1"/>
    <col min="29" max="32" width="9.140625" style="26" customWidth="1"/>
    <col min="33" max="16384" width="9.140625" style="26"/>
  </cols>
  <sheetData>
    <row r="1" spans="1:25" s="54" customFormat="1" ht="39.950000000000003" customHeight="1" x14ac:dyDescent="0.25">
      <c r="A1" s="121" t="s">
        <v>28</v>
      </c>
      <c r="B1" s="122"/>
      <c r="C1" s="121" t="s">
        <v>29</v>
      </c>
      <c r="D1" s="122"/>
      <c r="E1" s="122"/>
      <c r="F1" s="122"/>
      <c r="G1" s="122"/>
      <c r="H1" s="122"/>
      <c r="I1" s="122"/>
      <c r="J1" s="121" t="s">
        <v>30</v>
      </c>
      <c r="K1" s="122"/>
      <c r="L1" s="122"/>
      <c r="M1" s="121" t="s">
        <v>31</v>
      </c>
      <c r="N1" s="122"/>
      <c r="O1" s="121" t="s">
        <v>32</v>
      </c>
      <c r="P1" s="122"/>
      <c r="Q1" s="121" t="s">
        <v>33</v>
      </c>
      <c r="R1" s="122"/>
      <c r="S1" s="122"/>
      <c r="T1" s="122"/>
      <c r="U1" s="122"/>
      <c r="V1" s="5" t="s">
        <v>34</v>
      </c>
      <c r="W1" s="5"/>
      <c r="Y1" s="56"/>
    </row>
    <row r="2" spans="1:25" s="10" customFormat="1" ht="118.5" customHeight="1" x14ac:dyDescent="0.25">
      <c r="A2" s="58" t="s">
        <v>21</v>
      </c>
      <c r="B2" s="58" t="s">
        <v>22</v>
      </c>
      <c r="C2" s="59" t="s">
        <v>35</v>
      </c>
      <c r="D2" s="59" t="s">
        <v>36</v>
      </c>
      <c r="E2" s="59" t="s">
        <v>37</v>
      </c>
      <c r="F2" s="59" t="s">
        <v>38</v>
      </c>
      <c r="G2" s="59" t="s">
        <v>39</v>
      </c>
      <c r="H2" s="59" t="s">
        <v>40</v>
      </c>
      <c r="I2" s="60" t="s">
        <v>41</v>
      </c>
      <c r="J2" s="61" t="s">
        <v>42</v>
      </c>
      <c r="K2" s="62" t="s">
        <v>43</v>
      </c>
      <c r="L2" s="63" t="s">
        <v>44</v>
      </c>
      <c r="M2" s="64" t="s">
        <v>45</v>
      </c>
      <c r="N2" s="65" t="s">
        <v>46</v>
      </c>
      <c r="O2" s="23" t="s">
        <v>47</v>
      </c>
      <c r="P2" s="23" t="s">
        <v>48</v>
      </c>
      <c r="Q2" s="29" t="s">
        <v>49</v>
      </c>
      <c r="R2" s="30" t="s">
        <v>50</v>
      </c>
      <c r="S2" s="31" t="s">
        <v>51</v>
      </c>
      <c r="T2" s="32" t="s">
        <v>52</v>
      </c>
      <c r="U2" s="33" t="s">
        <v>53</v>
      </c>
      <c r="V2" s="34" t="s">
        <v>34</v>
      </c>
      <c r="Y2" s="55"/>
    </row>
    <row r="3" spans="1:25" ht="21" customHeight="1" x14ac:dyDescent="0.25">
      <c r="A3" s="81">
        <v>1</v>
      </c>
      <c r="B3" s="92" t="e">
        <f>INDEX(OfficialTeamList[Team Name],MATCH(TournamentData[[#This Row],[Team Number]], OfficialTeamList[Team Number],0))</f>
        <v>#N/A</v>
      </c>
      <c r="C3" s="93">
        <f>IF(TournamentData[[#This Row],[Team Number]]="","",IF(ISNA(INDEX('Robot Game Scores'!C:C,MATCH(TournamentData[[#This Row],[Team Number]], 'Robot Game Scores'!$A:$A,0))),0,INDEX('Robot Game Scores'!C:C,MATCH(TournamentData[[#This Row],[Team Number]], 'Robot Game Scores'!$A:$A,0))))</f>
        <v>0</v>
      </c>
      <c r="D3" s="93">
        <f>IF(TournamentData[[#This Row],[Team Number]]="","",IF(ISNA(INDEX('Robot Game Scores'!D:D,MATCH(TournamentData[[#This Row],[Team Number]], 'Robot Game Scores'!$A:$A,0))),0,INDEX('Robot Game Scores'!D:D,MATCH(TournamentData[[#This Row],[Team Number]], 'Robot Game Scores'!$A:$A,0))))</f>
        <v>0</v>
      </c>
      <c r="E3" s="93">
        <f>IF(TournamentData[[#This Row],[Team Number]]="","",IF(ISNA(INDEX('Robot Game Scores'!E:E,MATCH(TournamentData[[#This Row],[Team Number]], 'Robot Game Scores'!$A:$A,0))),0,INDEX('Robot Game Scores'!E:E,MATCH(TournamentData[[#This Row],[Team Number]], 'Robot Game Scores'!$A:$A,0))))</f>
        <v>0</v>
      </c>
      <c r="F3" s="93" t="e">
        <f>IF(TournamentData[[#This Row],[Team Number]]="","",IF(ISNA(INDEX('Robot Game Scores'!#REF!,MATCH(TournamentData[[#This Row],[Team Number]], 'Robot Game Scores'!$A:$A,0))),0,INDEX('Robot Game Scores'!#REF!,MATCH(TournamentData[[#This Row],[Team Number]], 'Robot Game Scores'!$A:$A,0))))</f>
        <v>#REF!</v>
      </c>
      <c r="G3" s="93" t="e">
        <f>IF(TournamentData[[#This Row],[Team Number]]="","",IF(ISNA(INDEX('Robot Game Scores'!#REF!,MATCH(TournamentData[[#This Row],[Team Number]], 'Robot Game Scores'!$A:$A,0))),0,INDEX('Robot Game Scores'!#REF!,MATCH(TournamentData[[#This Row],[Team Number]], 'Robot Game Scores'!$A:$A,0))))</f>
        <v>#REF!</v>
      </c>
      <c r="H3"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3">
        <f>_xlfn.RANK.EQ(TournamentData[[#This Row],[Max Robot Game Score]],TournamentData[Max Robot Game Score])</f>
        <v>1</v>
      </c>
      <c r="J3" s="93">
        <f>INDEX(CoreValuesResults[Core Values Rank],MATCH(TournamentData[[#This Row],[Team Number]],CoreValuesResults[Team Number],0))</f>
        <v>1</v>
      </c>
      <c r="K3" s="93">
        <f>INDEX(InnovationProjectResults[Innovation Project Rank],MATCH(TournamentData[[#This Row],[Team Number]],InnovationProjectResults[Team Number],0))</f>
        <v>1</v>
      </c>
      <c r="L3" s="93">
        <f>INDEX(RobotDesignResults[Robot Design Rank],MATCH(TournamentData[[#This Row],[Team Number]],RobotDesignResults[Team Number],0))</f>
        <v>1</v>
      </c>
      <c r="M3" s="93">
        <f>SUM(TournamentData[[#This Row],[Robot Game Rank]:[Robot Design Rank]])</f>
        <v>4</v>
      </c>
      <c r="N3" s="90">
        <f>RANK(TournamentData[[#This Row],[Champion''s Score]],TournamentData[Champion''s Score],1)</f>
        <v>1</v>
      </c>
      <c r="O3" s="94"/>
      <c r="P3" s="95"/>
      <c r="Q3" s="96">
        <f>IF(ISNA(INDEX(CoreValuesResults[Core Values Score],MATCH(TournamentData[[#This Row],[Team Number]],CoreValuesResults[Team Number],0))),0,INDEX(CoreValuesResults[Core Values Score],MATCH(TournamentData[[#This Row],[Team Number]],CoreValuesResults[Team Number],0)))</f>
        <v>0</v>
      </c>
      <c r="R3" s="96">
        <f>IF(ISNA(INDEX(InnovationProjectResults[Innovation Project Score],MATCH(TournamentData[[#This Row],[Team Number]],InnovationProjectResults[Team Number],0))),0,INDEX(InnovationProjectResults[Innovation Project Score],MATCH(TournamentData[[#This Row],[Team Number]],InnovationProjectResults[Team Number],0)))</f>
        <v>0</v>
      </c>
      <c r="S3" s="96">
        <f>IF(ISNA(INDEX(RobotDesignResults[Robot Design Score],MATCH(TournamentData[[#This Row],[Team Number]],RobotDesignResults[Team Number],0))),0,INDEX(RobotDesignResults[Robot Design Score],MATCH(TournamentData[[#This Row],[Team Number]],RobotDesignResults[Team Number],0)))</f>
        <v>0</v>
      </c>
      <c r="T3" s="9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4" t="e">
        <f>IF(T3,_xlfn.RANK.EQ(T3,T$3:T$5,0),NumberOfTeams)</f>
        <v>#REF!</v>
      </c>
      <c r="V3" s="94"/>
    </row>
    <row r="4" spans="1:25" ht="20.25" customHeight="1" x14ac:dyDescent="0.25">
      <c r="A4" s="93">
        <v>2</v>
      </c>
      <c r="B4" s="92" t="e">
        <f>INDEX(OfficialTeamList[Team Name],MATCH(TournamentData[[#This Row],[Team Number]], OfficialTeamList[Team Number],0))</f>
        <v>#N/A</v>
      </c>
      <c r="C4" s="93">
        <f>IF(TournamentData[[#This Row],[Team Number]]="","",IF(ISNA(INDEX('Robot Game Scores'!C:C,MATCH(TournamentData[[#This Row],[Team Number]], 'Robot Game Scores'!$A:$A,0))),0,INDEX('Robot Game Scores'!C:C,MATCH(TournamentData[[#This Row],[Team Number]], 'Robot Game Scores'!$A:$A,0))))</f>
        <v>0</v>
      </c>
      <c r="D4" s="93">
        <f>IF(TournamentData[[#This Row],[Team Number]]="","",IF(ISNA(INDEX('Robot Game Scores'!D:D,MATCH(TournamentData[[#This Row],[Team Number]], 'Robot Game Scores'!$A:$A,0))),0,INDEX('Robot Game Scores'!D:D,MATCH(TournamentData[[#This Row],[Team Number]], 'Robot Game Scores'!$A:$A,0))))</f>
        <v>0</v>
      </c>
      <c r="E4" s="93">
        <f>IF(TournamentData[[#This Row],[Team Number]]="","",IF(ISNA(INDEX('Robot Game Scores'!E:E,MATCH(TournamentData[[#This Row],[Team Number]], 'Robot Game Scores'!$A:$A,0))),0,INDEX('Robot Game Scores'!E:E,MATCH(TournamentData[[#This Row],[Team Number]], 'Robot Game Scores'!$A:$A,0))))</f>
        <v>0</v>
      </c>
      <c r="F4" s="93" t="e">
        <f>IF(TournamentData[[#This Row],[Team Number]]="","",IF(ISNA(INDEX('Robot Game Scores'!#REF!,MATCH(TournamentData[[#This Row],[Team Number]], 'Robot Game Scores'!$A:$A,0))),0,INDEX('Robot Game Scores'!#REF!,MATCH(TournamentData[[#This Row],[Team Number]], 'Robot Game Scores'!$A:$A,0))))</f>
        <v>#REF!</v>
      </c>
      <c r="G4" s="93" t="e">
        <f>IF(TournamentData[[#This Row],[Team Number]]="","",IF(ISNA(INDEX('Robot Game Scores'!#REF!,MATCH(TournamentData[[#This Row],[Team Number]], 'Robot Game Scores'!$A:$A,0))),0,INDEX('Robot Game Scores'!#REF!,MATCH(TournamentData[[#This Row],[Team Number]], 'Robot Game Scores'!$A:$A,0))))</f>
        <v>#REF!</v>
      </c>
      <c r="H4"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3">
        <f>_xlfn.RANK.EQ(TournamentData[[#This Row],[Max Robot Game Score]],TournamentData[Max Robot Game Score])</f>
        <v>1</v>
      </c>
      <c r="J4" s="93">
        <f>INDEX(CoreValuesResults[Core Values Rank],MATCH(TournamentData[[#This Row],[Team Number]],CoreValuesResults[Team Number],0))</f>
        <v>1</v>
      </c>
      <c r="K4" s="93">
        <f>INDEX(InnovationProjectResults[Innovation Project Rank],MATCH(TournamentData[[#This Row],[Team Number]],InnovationProjectResults[Team Number],0))</f>
        <v>1</v>
      </c>
      <c r="L4" s="93">
        <f>INDEX(RobotDesignResults[Robot Design Rank],MATCH(TournamentData[[#This Row],[Team Number]],RobotDesignResults[Team Number],0))</f>
        <v>1</v>
      </c>
      <c r="M4" s="93">
        <f>SUM(TournamentData[[#This Row],[Robot Game Rank]:[Robot Design Rank]])</f>
        <v>4</v>
      </c>
      <c r="N4" s="93">
        <f>RANK(TournamentData[[#This Row],[Champion''s Score]],TournamentData[Champion''s Score],1)</f>
        <v>1</v>
      </c>
      <c r="O4" s="94"/>
      <c r="P4" s="95"/>
      <c r="Q4" s="96">
        <f>IF(ISNA(INDEX(CoreValuesResults[Core Values Score],MATCH(TournamentData[[#This Row],[Team Number]],CoreValuesResults[Team Number],0))),0,INDEX(CoreValuesResults[Core Values Score],MATCH(TournamentData[[#This Row],[Team Number]],CoreValuesResults[Team Number],0)))</f>
        <v>0</v>
      </c>
      <c r="R4" s="96">
        <f>IF(ISNA(INDEX(InnovationProjectResults[Innovation Project Score],MATCH(TournamentData[[#This Row],[Team Number]],InnovationProjectResults[Team Number],0))),0,INDEX(InnovationProjectResults[Innovation Project Score],MATCH(TournamentData[[#This Row],[Team Number]],InnovationProjectResults[Team Number],0)))</f>
        <v>0</v>
      </c>
      <c r="S4" s="96">
        <f>IF(ISNA(INDEX(RobotDesignResults[Robot Design Score],MATCH(TournamentData[[#This Row],[Team Number]],RobotDesignResults[Team Number],0))),0,INDEX(RobotDesignResults[Robot Design Score],MATCH(TournamentData[[#This Row],[Team Number]],RobotDesignResults[Team Number],0)))</f>
        <v>0</v>
      </c>
      <c r="T4" s="9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4" t="e">
        <f>IF(T4,_xlfn.RANK.EQ(T4,T$3:T$17,0),NumberOfTeams)</f>
        <v>#REF!</v>
      </c>
      <c r="V4" s="94"/>
    </row>
    <row r="5" spans="1:25" ht="20.25" customHeight="1" x14ac:dyDescent="0.25">
      <c r="A5" s="82"/>
      <c r="B5" s="81"/>
      <c r="C5" s="81"/>
      <c r="D5" s="81"/>
      <c r="E5" s="81"/>
      <c r="F5" s="81"/>
      <c r="G5" s="81"/>
      <c r="H5" s="81"/>
      <c r="I5" s="81"/>
      <c r="J5" s="81"/>
      <c r="K5" s="81"/>
      <c r="L5" s="81"/>
      <c r="M5" s="81"/>
      <c r="N5" s="81"/>
      <c r="O5" s="81"/>
      <c r="P5" s="81"/>
      <c r="Q5" s="90"/>
      <c r="R5" s="90"/>
      <c r="S5" s="90"/>
      <c r="T5" s="91"/>
      <c r="U5" s="81"/>
      <c r="V5" s="82"/>
    </row>
    <row r="6" spans="1:25" ht="20.25" customHeight="1" x14ac:dyDescent="0.25">
      <c r="A6" s="82"/>
      <c r="B6" s="81"/>
      <c r="C6" s="81"/>
      <c r="D6" s="81"/>
      <c r="E6" s="81"/>
      <c r="F6" s="81"/>
      <c r="G6" s="81"/>
      <c r="H6" s="81"/>
      <c r="I6" s="81"/>
      <c r="J6" s="81"/>
      <c r="K6" s="81"/>
      <c r="L6" s="81"/>
      <c r="M6" s="81"/>
      <c r="N6" s="81"/>
      <c r="O6" s="81"/>
      <c r="P6" s="81"/>
      <c r="Q6" s="90"/>
      <c r="R6" s="90"/>
      <c r="S6" s="90"/>
      <c r="T6" s="91"/>
      <c r="U6" s="81"/>
      <c r="V6" s="82"/>
    </row>
    <row r="7" spans="1:25" ht="20.25" customHeight="1" x14ac:dyDescent="0.25">
      <c r="A7" s="82"/>
      <c r="B7" s="81"/>
      <c r="C7" s="81"/>
      <c r="D7" s="81"/>
      <c r="E7" s="81"/>
      <c r="F7" s="81"/>
      <c r="G7" s="81"/>
      <c r="H7" s="81"/>
      <c r="I7" s="81"/>
      <c r="J7" s="81"/>
      <c r="K7" s="81"/>
      <c r="L7" s="81"/>
      <c r="M7" s="81"/>
      <c r="N7" s="81"/>
      <c r="O7" s="81"/>
      <c r="P7" s="81"/>
      <c r="Q7" s="90"/>
      <c r="R7" s="90"/>
      <c r="S7" s="90"/>
      <c r="T7" s="91"/>
      <c r="U7" s="81"/>
      <c r="V7" s="82" t="e" cm="1">
        <f t="array" ref="V7">IF(COUNTIF($P:$P,"=Yes")&lt;&gt;NumberofTeamsAdvancing,1,0)</f>
        <v>#REF!</v>
      </c>
    </row>
    <row r="8" spans="1:25" ht="20.25" customHeight="1" x14ac:dyDescent="0.25">
      <c r="A8" s="82"/>
      <c r="B8" s="81"/>
      <c r="C8" s="81"/>
      <c r="D8" s="81"/>
      <c r="E8" s="81"/>
      <c r="F8" s="81"/>
      <c r="G8" s="81"/>
      <c r="H8" s="81"/>
      <c r="I8" s="81"/>
      <c r="J8" s="81"/>
      <c r="K8" s="81"/>
      <c r="L8" s="81"/>
      <c r="M8" s="81"/>
      <c r="N8" s="81"/>
      <c r="O8" s="81"/>
      <c r="P8" s="81"/>
      <c r="Q8" s="90"/>
      <c r="R8" s="90"/>
      <c r="S8" s="90"/>
      <c r="T8" s="91"/>
      <c r="U8" s="81"/>
      <c r="V8" s="82"/>
    </row>
    <row r="9" spans="1:25" ht="20.25" customHeight="1" x14ac:dyDescent="0.25">
      <c r="A9" s="82"/>
      <c r="B9" s="81"/>
      <c r="C9" s="81"/>
      <c r="D9" s="81"/>
      <c r="E9" s="81"/>
      <c r="F9" s="81"/>
      <c r="G9" s="81"/>
      <c r="H9" s="81"/>
      <c r="I9" s="81"/>
      <c r="J9" s="81"/>
      <c r="K9" s="81"/>
      <c r="L9" s="81"/>
      <c r="M9" s="81"/>
      <c r="N9" s="81"/>
      <c r="O9" s="81"/>
      <c r="P9" s="81"/>
      <c r="Q9" s="90"/>
      <c r="R9" s="90"/>
      <c r="S9" s="90"/>
      <c r="T9" s="91"/>
      <c r="U9" s="81"/>
      <c r="V9" s="82"/>
    </row>
    <row r="10" spans="1:25" ht="20.25" customHeight="1" x14ac:dyDescent="0.25">
      <c r="A10" s="82"/>
      <c r="B10" s="81"/>
      <c r="C10" s="81"/>
      <c r="D10" s="81"/>
      <c r="E10" s="81"/>
      <c r="F10" s="81"/>
      <c r="G10" s="81"/>
      <c r="H10" s="81"/>
      <c r="I10" s="81"/>
      <c r="J10" s="81"/>
      <c r="K10" s="81"/>
      <c r="L10" s="81"/>
      <c r="M10" s="81"/>
      <c r="N10" s="81"/>
      <c r="O10" s="81"/>
      <c r="P10" s="81"/>
      <c r="Q10" s="90"/>
      <c r="R10" s="90"/>
      <c r="S10" s="90"/>
      <c r="T10" s="91"/>
      <c r="U10" s="81"/>
      <c r="V10" s="82"/>
    </row>
    <row r="11" spans="1:25" ht="20.25" customHeight="1" x14ac:dyDescent="0.25">
      <c r="A11" s="82"/>
      <c r="B11" s="81"/>
      <c r="C11" s="81"/>
      <c r="D11" s="81"/>
      <c r="E11" s="81"/>
      <c r="F11" s="81"/>
      <c r="G11" s="81"/>
      <c r="H11" s="81"/>
      <c r="I11" s="81"/>
      <c r="J11" s="81"/>
      <c r="K11" s="81"/>
      <c r="L11" s="81"/>
      <c r="M11" s="81"/>
      <c r="N11" s="81"/>
      <c r="O11" s="81"/>
      <c r="P11" s="81"/>
      <c r="Q11" s="90"/>
      <c r="R11" s="90"/>
      <c r="S11" s="90"/>
      <c r="T11" s="91"/>
      <c r="U11" s="81"/>
      <c r="V11" s="82"/>
    </row>
    <row r="12" spans="1:25" ht="20.25" customHeight="1" x14ac:dyDescent="0.25">
      <c r="A12" s="82"/>
      <c r="B12" s="81"/>
      <c r="C12" s="81"/>
      <c r="D12" s="81"/>
      <c r="E12" s="81"/>
      <c r="F12" s="81"/>
      <c r="G12" s="81"/>
      <c r="H12" s="81"/>
      <c r="I12" s="81"/>
      <c r="J12" s="81"/>
      <c r="K12" s="81"/>
      <c r="L12" s="81"/>
      <c r="M12" s="81"/>
      <c r="N12" s="81"/>
      <c r="O12" s="81"/>
      <c r="P12" s="81"/>
      <c r="Q12" s="90"/>
      <c r="R12" s="90"/>
      <c r="S12" s="90"/>
      <c r="T12" s="91"/>
      <c r="U12" s="81"/>
      <c r="V12" s="82"/>
    </row>
    <row r="13" spans="1:25" ht="20.25" customHeight="1" x14ac:dyDescent="0.25">
      <c r="A13" s="82"/>
      <c r="B13" s="81"/>
      <c r="C13" s="81"/>
      <c r="D13" s="81"/>
      <c r="E13" s="81"/>
      <c r="F13" s="81"/>
      <c r="G13" s="81"/>
      <c r="H13" s="81"/>
      <c r="I13" s="81"/>
      <c r="J13" s="81"/>
      <c r="K13" s="81"/>
      <c r="L13" s="81"/>
      <c r="M13" s="81"/>
      <c r="N13" s="81"/>
      <c r="O13" s="81"/>
      <c r="P13" s="81"/>
      <c r="Q13" s="90"/>
      <c r="R13" s="90"/>
      <c r="S13" s="90"/>
      <c r="T13" s="91"/>
      <c r="U13" s="81"/>
      <c r="V13" s="82"/>
    </row>
    <row r="14" spans="1:25" ht="20.25" customHeight="1" x14ac:dyDescent="0.25">
      <c r="A14" s="82"/>
      <c r="B14" s="81"/>
      <c r="C14" s="81"/>
      <c r="D14" s="81"/>
      <c r="E14" s="81"/>
      <c r="F14" s="81"/>
      <c r="G14" s="81"/>
      <c r="H14" s="81"/>
      <c r="I14" s="81"/>
      <c r="J14" s="81"/>
      <c r="K14" s="81"/>
      <c r="L14" s="81"/>
      <c r="M14" s="81"/>
      <c r="N14" s="81"/>
      <c r="O14" s="81"/>
      <c r="P14" s="81"/>
      <c r="Q14" s="90"/>
      <c r="R14" s="90"/>
      <c r="S14" s="90"/>
      <c r="T14" s="91"/>
      <c r="U14" s="81"/>
      <c r="V14" s="82"/>
    </row>
    <row r="15" spans="1:25" ht="20.25" customHeight="1" x14ac:dyDescent="0.25">
      <c r="A15" s="82"/>
      <c r="B15" s="81"/>
      <c r="C15" s="81"/>
      <c r="D15" s="81"/>
      <c r="E15" s="81"/>
      <c r="F15" s="81"/>
      <c r="G15" s="81"/>
      <c r="H15" s="81"/>
      <c r="I15" s="81"/>
      <c r="J15" s="81"/>
      <c r="K15" s="81"/>
      <c r="L15" s="81"/>
      <c r="M15" s="81"/>
      <c r="N15" s="81"/>
      <c r="O15" s="81"/>
      <c r="P15" s="81"/>
      <c r="Q15" s="90"/>
      <c r="R15" s="90"/>
      <c r="S15" s="90"/>
      <c r="T15" s="91"/>
      <c r="U15" s="81"/>
      <c r="V15" s="82"/>
    </row>
    <row r="16" spans="1:25" ht="20.25" customHeight="1" x14ac:dyDescent="0.25">
      <c r="A16" s="82"/>
      <c r="B16" s="81"/>
      <c r="C16" s="81"/>
      <c r="D16" s="81"/>
      <c r="E16" s="81"/>
      <c r="F16" s="81"/>
      <c r="G16" s="81"/>
      <c r="H16" s="81"/>
      <c r="I16" s="81"/>
      <c r="J16" s="81"/>
      <c r="K16" s="81"/>
      <c r="L16" s="81"/>
      <c r="M16" s="81"/>
      <c r="N16" s="81"/>
      <c r="O16" s="81"/>
      <c r="P16" s="81"/>
      <c r="Q16" s="90"/>
      <c r="R16" s="90"/>
      <c r="S16" s="90"/>
      <c r="T16" s="91"/>
      <c r="U16" s="81"/>
      <c r="V16" s="82"/>
    </row>
    <row r="17" spans="1:22" ht="20.25" customHeight="1" x14ac:dyDescent="0.25">
      <c r="A17" s="82"/>
      <c r="B17" s="81"/>
      <c r="C17" s="81"/>
      <c r="D17" s="81"/>
      <c r="E17" s="81"/>
      <c r="F17" s="81"/>
      <c r="G17" s="81"/>
      <c r="H17" s="81"/>
      <c r="I17" s="81"/>
      <c r="J17" s="81"/>
      <c r="K17" s="81"/>
      <c r="L17" s="81"/>
      <c r="M17" s="81"/>
      <c r="N17" s="81"/>
      <c r="O17" s="81"/>
      <c r="P17" s="81"/>
      <c r="Q17" s="90"/>
      <c r="R17" s="90"/>
      <c r="S17" s="90"/>
      <c r="T17" s="91"/>
      <c r="U17" s="81"/>
      <c r="V17" s="82"/>
    </row>
    <row r="18" spans="1:22" ht="20.25" customHeight="1" x14ac:dyDescent="0.25">
      <c r="A18" s="82"/>
      <c r="B18" s="81"/>
      <c r="C18" s="81"/>
      <c r="D18" s="81"/>
      <c r="E18" s="81"/>
      <c r="F18" s="81"/>
      <c r="G18" s="81"/>
      <c r="H18" s="81"/>
      <c r="I18" s="81"/>
      <c r="J18" s="81"/>
      <c r="K18" s="81"/>
      <c r="L18" s="81"/>
      <c r="M18" s="81"/>
      <c r="N18" s="81"/>
      <c r="O18" s="81"/>
      <c r="P18" s="81"/>
      <c r="Q18" s="90"/>
      <c r="R18" s="90"/>
      <c r="S18" s="90"/>
      <c r="T18" s="91"/>
      <c r="U18" s="81"/>
      <c r="V18" s="82"/>
    </row>
    <row r="19" spans="1:22" ht="20.25" customHeight="1" x14ac:dyDescent="0.25">
      <c r="A19" s="82"/>
      <c r="B19" s="81"/>
      <c r="C19" s="81"/>
      <c r="D19" s="81"/>
      <c r="E19" s="81"/>
      <c r="F19" s="81"/>
      <c r="G19" s="81"/>
      <c r="H19" s="81"/>
      <c r="I19" s="81"/>
      <c r="J19" s="81"/>
      <c r="K19" s="81"/>
      <c r="L19" s="81"/>
      <c r="M19" s="81"/>
      <c r="N19" s="81"/>
      <c r="O19" s="81"/>
      <c r="P19" s="81"/>
      <c r="Q19" s="90"/>
      <c r="R19" s="90"/>
      <c r="S19" s="90"/>
      <c r="T19" s="91"/>
      <c r="U19" s="81"/>
      <c r="V19" s="82"/>
    </row>
    <row r="20" spans="1:22" ht="20.25" customHeight="1" x14ac:dyDescent="0.25">
      <c r="A20" s="82"/>
      <c r="B20" s="82"/>
      <c r="C20" s="82"/>
      <c r="D20" s="82"/>
      <c r="E20" s="82"/>
      <c r="F20" s="82"/>
      <c r="G20" s="82"/>
      <c r="H20" s="82"/>
      <c r="I20" s="82"/>
      <c r="J20" s="82"/>
      <c r="K20" s="82"/>
      <c r="L20" s="82"/>
      <c r="M20" s="82"/>
      <c r="N20" s="82"/>
      <c r="O20" s="81"/>
      <c r="P20" s="81"/>
      <c r="Q20" s="90"/>
      <c r="R20" s="90"/>
      <c r="S20" s="90"/>
      <c r="T20" s="91"/>
      <c r="U20" s="81"/>
      <c r="V20" s="82"/>
    </row>
    <row r="21" spans="1:22" ht="20.25" customHeight="1" x14ac:dyDescent="0.25">
      <c r="A21" s="82"/>
      <c r="B21" s="82"/>
      <c r="C21" s="82"/>
      <c r="D21" s="82"/>
      <c r="E21" s="82"/>
      <c r="F21" s="82"/>
      <c r="G21" s="82"/>
      <c r="H21" s="82"/>
      <c r="I21" s="82"/>
      <c r="J21" s="82"/>
      <c r="K21" s="82"/>
      <c r="L21" s="82"/>
      <c r="M21" s="82"/>
      <c r="N21" s="82"/>
      <c r="O21" s="81"/>
      <c r="P21" s="81"/>
      <c r="Q21" s="90"/>
      <c r="R21" s="90"/>
      <c r="S21" s="90"/>
      <c r="T21" s="91"/>
      <c r="U21" s="81"/>
      <c r="V21" s="82"/>
    </row>
    <row r="22" spans="1:22" ht="20.25" customHeight="1" x14ac:dyDescent="0.25">
      <c r="A22" s="82"/>
      <c r="B22" s="82"/>
      <c r="C22" s="82"/>
      <c r="D22" s="82"/>
      <c r="E22" s="82"/>
      <c r="F22" s="82"/>
      <c r="G22" s="82"/>
      <c r="H22" s="82"/>
      <c r="I22" s="82"/>
      <c r="J22" s="82"/>
      <c r="K22" s="82"/>
      <c r="L22" s="82"/>
      <c r="M22" s="82"/>
      <c r="N22" s="82"/>
      <c r="O22" s="81"/>
      <c r="P22" s="81"/>
      <c r="Q22" s="90"/>
      <c r="R22" s="90"/>
      <c r="S22" s="90"/>
      <c r="T22" s="91"/>
      <c r="U22" s="81"/>
      <c r="V22" s="82"/>
    </row>
    <row r="23" spans="1:22" ht="20.25" customHeight="1" x14ac:dyDescent="0.25">
      <c r="A23" s="82"/>
      <c r="B23" s="82"/>
      <c r="C23" s="82"/>
      <c r="D23" s="82"/>
      <c r="E23" s="82"/>
      <c r="F23" s="82"/>
      <c r="G23" s="82"/>
      <c r="H23" s="82"/>
      <c r="I23" s="82"/>
      <c r="J23" s="82"/>
      <c r="K23" s="82"/>
      <c r="L23" s="82"/>
      <c r="M23" s="82"/>
      <c r="N23" s="82"/>
      <c r="O23" s="81"/>
      <c r="P23" s="81"/>
      <c r="Q23" s="90"/>
      <c r="R23" s="90"/>
      <c r="S23" s="90"/>
      <c r="T23" s="91"/>
      <c r="U23" s="81"/>
      <c r="V23" s="82"/>
    </row>
    <row r="24" spans="1:22" ht="20.25" customHeight="1" x14ac:dyDescent="0.25">
      <c r="A24" s="82"/>
      <c r="B24" s="82"/>
      <c r="C24" s="82"/>
      <c r="D24" s="82"/>
      <c r="E24" s="82"/>
      <c r="F24" s="82"/>
      <c r="G24" s="82"/>
      <c r="H24" s="82"/>
      <c r="I24" s="82"/>
      <c r="J24" s="82"/>
      <c r="K24" s="82"/>
      <c r="L24" s="82"/>
      <c r="M24" s="82"/>
      <c r="N24" s="82"/>
      <c r="O24" s="81"/>
      <c r="P24" s="81"/>
      <c r="Q24" s="90"/>
      <c r="R24" s="90"/>
      <c r="S24" s="90"/>
      <c r="T24" s="91"/>
      <c r="U24" s="81"/>
      <c r="V24" s="82"/>
    </row>
    <row r="25" spans="1:22" ht="20.25" customHeight="1" x14ac:dyDescent="0.25">
      <c r="A25" s="82"/>
      <c r="B25" s="82"/>
      <c r="C25" s="82"/>
      <c r="D25" s="82"/>
      <c r="E25" s="82"/>
      <c r="F25" s="82"/>
      <c r="G25" s="82"/>
      <c r="H25" s="82"/>
      <c r="I25" s="82"/>
      <c r="J25" s="82"/>
      <c r="K25" s="82"/>
      <c r="L25" s="82"/>
      <c r="M25" s="82"/>
      <c r="N25" s="82"/>
      <c r="O25" s="81"/>
      <c r="P25" s="81"/>
      <c r="Q25" s="90"/>
      <c r="R25" s="90"/>
      <c r="S25" s="90"/>
      <c r="T25" s="91"/>
      <c r="U25" s="81"/>
      <c r="V25" s="82"/>
    </row>
    <row r="26" spans="1:22" ht="20.25" customHeight="1" x14ac:dyDescent="0.25">
      <c r="A26" s="82"/>
      <c r="B26" s="82"/>
      <c r="C26" s="82"/>
      <c r="D26" s="82"/>
      <c r="E26" s="82"/>
      <c r="F26" s="82"/>
      <c r="G26" s="82"/>
      <c r="H26" s="82"/>
      <c r="I26" s="82"/>
      <c r="J26" s="82"/>
      <c r="K26" s="82"/>
      <c r="L26" s="82"/>
      <c r="M26" s="82"/>
      <c r="N26" s="82"/>
      <c r="O26" s="81"/>
      <c r="P26" s="81"/>
      <c r="Q26" s="90"/>
      <c r="R26" s="90"/>
      <c r="S26" s="90"/>
      <c r="T26" s="91"/>
      <c r="U26" s="81"/>
      <c r="V26" s="82"/>
    </row>
    <row r="27" spans="1:22" ht="20.25" customHeight="1" x14ac:dyDescent="0.25">
      <c r="A27" s="82"/>
      <c r="B27" s="82"/>
      <c r="C27" s="82"/>
      <c r="D27" s="82"/>
      <c r="E27" s="82"/>
      <c r="F27" s="82"/>
      <c r="G27" s="82"/>
      <c r="H27" s="82"/>
      <c r="I27" s="82"/>
      <c r="J27" s="82"/>
      <c r="K27" s="82"/>
      <c r="L27" s="82"/>
      <c r="M27" s="82"/>
      <c r="N27" s="82"/>
      <c r="O27" s="81"/>
      <c r="P27" s="81"/>
      <c r="Q27" s="90"/>
      <c r="R27" s="90"/>
      <c r="S27" s="90"/>
      <c r="T27" s="91"/>
      <c r="U27" s="81"/>
      <c r="V27" s="82"/>
    </row>
    <row r="28" spans="1:22" ht="20.25" customHeight="1" x14ac:dyDescent="0.25">
      <c r="A28" s="82"/>
      <c r="B28" s="82"/>
      <c r="C28" s="82"/>
      <c r="D28" s="82"/>
      <c r="E28" s="82"/>
      <c r="F28" s="82"/>
      <c r="G28" s="82"/>
      <c r="H28" s="82"/>
      <c r="I28" s="82"/>
      <c r="J28" s="82"/>
      <c r="K28" s="82"/>
      <c r="L28" s="82"/>
      <c r="M28" s="82"/>
      <c r="N28" s="82"/>
      <c r="O28" s="81"/>
      <c r="P28" s="81"/>
      <c r="Q28" s="90"/>
      <c r="R28" s="90"/>
      <c r="S28" s="90"/>
      <c r="T28" s="91"/>
      <c r="U28" s="81"/>
      <c r="V28" s="82"/>
    </row>
    <row r="29" spans="1:22" ht="20.25" customHeight="1" x14ac:dyDescent="0.25">
      <c r="A29" s="82"/>
      <c r="B29" s="82"/>
      <c r="C29" s="82"/>
      <c r="D29" s="82"/>
      <c r="E29" s="82"/>
      <c r="F29" s="82"/>
      <c r="G29" s="82"/>
      <c r="H29" s="82"/>
      <c r="I29" s="82"/>
      <c r="J29" s="82"/>
      <c r="K29" s="82"/>
      <c r="L29" s="82"/>
      <c r="M29" s="82"/>
      <c r="N29" s="82"/>
      <c r="O29" s="81"/>
      <c r="P29" s="81"/>
      <c r="Q29" s="90"/>
      <c r="R29" s="90"/>
      <c r="S29" s="90"/>
      <c r="T29" s="91"/>
      <c r="U29" s="81"/>
      <c r="V29" s="82"/>
    </row>
    <row r="30" spans="1:22" ht="20.25" customHeight="1" x14ac:dyDescent="0.25">
      <c r="A30" s="82"/>
      <c r="B30" s="82"/>
      <c r="C30" s="82"/>
      <c r="D30" s="82"/>
      <c r="E30" s="82"/>
      <c r="F30" s="82"/>
      <c r="G30" s="82"/>
      <c r="H30" s="82"/>
      <c r="I30" s="82"/>
      <c r="J30" s="82"/>
      <c r="K30" s="82"/>
      <c r="L30" s="82"/>
      <c r="M30" s="82"/>
      <c r="N30" s="82"/>
      <c r="O30" s="81"/>
      <c r="P30" s="81"/>
      <c r="Q30" s="90"/>
      <c r="R30" s="90"/>
      <c r="S30" s="90"/>
      <c r="T30" s="91"/>
      <c r="U30" s="81"/>
      <c r="V30" s="82"/>
    </row>
    <row r="31" spans="1:22" ht="20.25" customHeight="1" x14ac:dyDescent="0.25">
      <c r="A31" s="82"/>
      <c r="B31" s="81"/>
      <c r="C31" s="81"/>
      <c r="D31" s="81"/>
      <c r="E31" s="81"/>
      <c r="F31" s="81"/>
      <c r="G31" s="81"/>
      <c r="H31" s="81"/>
      <c r="I31" s="81"/>
      <c r="J31" s="81"/>
      <c r="K31" s="81"/>
      <c r="L31" s="81"/>
      <c r="M31" s="81"/>
      <c r="N31" s="81"/>
      <c r="O31" s="81"/>
      <c r="P31" s="81"/>
      <c r="Q31" s="90"/>
      <c r="R31" s="90"/>
      <c r="S31" s="90"/>
      <c r="T31" s="91"/>
      <c r="U31" s="81"/>
      <c r="V31" s="82"/>
    </row>
    <row r="32" spans="1:22" ht="20.25" customHeight="1" x14ac:dyDescent="0.25">
      <c r="A32" s="82"/>
      <c r="B32" s="81"/>
      <c r="C32" s="81"/>
      <c r="D32" s="81"/>
      <c r="E32" s="81"/>
      <c r="F32" s="81"/>
      <c r="G32" s="81"/>
      <c r="H32" s="81"/>
      <c r="I32" s="81"/>
      <c r="J32" s="81"/>
      <c r="K32" s="81"/>
      <c r="L32" s="81"/>
      <c r="M32" s="81"/>
      <c r="N32" s="81"/>
      <c r="O32" s="81"/>
      <c r="P32" s="81"/>
      <c r="Q32" s="90"/>
      <c r="R32" s="90"/>
      <c r="S32" s="90"/>
      <c r="T32" s="91"/>
      <c r="U32" s="81"/>
      <c r="V32" s="82"/>
    </row>
    <row r="33" spans="1:22" ht="20.25" customHeight="1" x14ac:dyDescent="0.25">
      <c r="A33" s="82"/>
      <c r="B33" s="81"/>
      <c r="C33" s="81"/>
      <c r="D33" s="81"/>
      <c r="E33" s="81"/>
      <c r="F33" s="81"/>
      <c r="G33" s="81"/>
      <c r="H33" s="81"/>
      <c r="I33" s="81"/>
      <c r="J33" s="81"/>
      <c r="K33" s="81"/>
      <c r="L33" s="81"/>
      <c r="M33" s="81"/>
      <c r="N33" s="81"/>
      <c r="O33" s="81"/>
      <c r="P33" s="81"/>
      <c r="Q33" s="90"/>
      <c r="R33" s="90"/>
      <c r="S33" s="90"/>
      <c r="T33" s="91"/>
      <c r="U33" s="81"/>
      <c r="V33" s="82"/>
    </row>
    <row r="34" spans="1:22" ht="20.25" customHeight="1" x14ac:dyDescent="0.25">
      <c r="A34" s="82"/>
      <c r="B34" s="81"/>
      <c r="C34" s="81"/>
      <c r="D34" s="81"/>
      <c r="E34" s="81"/>
      <c r="F34" s="81"/>
      <c r="G34" s="81"/>
      <c r="H34" s="81"/>
      <c r="I34" s="81"/>
      <c r="J34" s="81"/>
      <c r="K34" s="81"/>
      <c r="L34" s="81"/>
      <c r="M34" s="81"/>
      <c r="N34" s="81"/>
      <c r="O34" s="81"/>
      <c r="P34" s="81"/>
      <c r="Q34" s="90"/>
      <c r="R34" s="90"/>
      <c r="S34" s="90"/>
      <c r="T34" s="91"/>
      <c r="U34" s="81"/>
      <c r="V34" s="82"/>
    </row>
    <row r="35" spans="1:22" ht="20.25" customHeight="1" x14ac:dyDescent="0.25">
      <c r="A35" s="82"/>
      <c r="B35" s="81"/>
      <c r="C35" s="81"/>
      <c r="D35" s="81"/>
      <c r="E35" s="81"/>
      <c r="F35" s="81"/>
      <c r="G35" s="81"/>
      <c r="H35" s="81"/>
      <c r="I35" s="81"/>
      <c r="J35" s="81"/>
      <c r="K35" s="81"/>
      <c r="L35" s="81"/>
      <c r="M35" s="81"/>
      <c r="N35" s="81"/>
      <c r="O35" s="81"/>
      <c r="P35" s="81"/>
      <c r="Q35" s="90"/>
      <c r="R35" s="90"/>
      <c r="S35" s="90"/>
      <c r="T35" s="91"/>
      <c r="U35" s="81"/>
      <c r="V35" s="82"/>
    </row>
    <row r="36" spans="1:22" ht="20.25" customHeight="1" x14ac:dyDescent="0.25">
      <c r="A36" s="82"/>
      <c r="B36" s="81"/>
      <c r="C36" s="81"/>
      <c r="D36" s="81"/>
      <c r="E36" s="81"/>
      <c r="F36" s="81"/>
      <c r="G36" s="81"/>
      <c r="H36" s="81"/>
      <c r="I36" s="81"/>
      <c r="J36" s="81"/>
      <c r="K36" s="81"/>
      <c r="L36" s="81"/>
      <c r="M36" s="81"/>
      <c r="N36" s="81"/>
      <c r="O36" s="81"/>
      <c r="P36" s="81"/>
      <c r="Q36" s="90"/>
      <c r="R36" s="90"/>
      <c r="S36" s="90"/>
      <c r="T36" s="91"/>
      <c r="U36" s="81"/>
      <c r="V36" s="82"/>
    </row>
    <row r="37" spans="1:22" ht="20.25" customHeight="1" x14ac:dyDescent="0.25">
      <c r="A37" s="82"/>
      <c r="B37" s="81"/>
      <c r="C37" s="81"/>
      <c r="D37" s="81"/>
      <c r="E37" s="81"/>
      <c r="F37" s="81"/>
      <c r="G37" s="81"/>
      <c r="H37" s="81"/>
      <c r="I37" s="81"/>
      <c r="J37" s="81"/>
      <c r="K37" s="81"/>
      <c r="L37" s="81"/>
      <c r="M37" s="81"/>
      <c r="N37" s="81"/>
      <c r="O37" s="81"/>
      <c r="P37" s="81"/>
      <c r="Q37" s="90"/>
      <c r="R37" s="90"/>
      <c r="S37" s="90"/>
      <c r="T37" s="91"/>
      <c r="U37" s="81"/>
      <c r="V37" s="82"/>
    </row>
    <row r="38" spans="1:22" ht="20.25" customHeight="1" x14ac:dyDescent="0.25">
      <c r="A38" s="82"/>
      <c r="B38" s="81"/>
      <c r="C38" s="81"/>
      <c r="D38" s="81"/>
      <c r="E38" s="81"/>
      <c r="F38" s="81"/>
      <c r="G38" s="81"/>
      <c r="H38" s="81"/>
      <c r="I38" s="81"/>
      <c r="J38" s="81"/>
      <c r="K38" s="81"/>
      <c r="L38" s="81"/>
      <c r="M38" s="81"/>
      <c r="N38" s="81"/>
      <c r="O38" s="81"/>
      <c r="P38" s="81"/>
      <c r="Q38" s="90"/>
      <c r="R38" s="90"/>
      <c r="S38" s="90"/>
      <c r="T38" s="91"/>
      <c r="U38" s="81"/>
      <c r="V38" s="82"/>
    </row>
    <row r="39" spans="1:22" ht="20.25" customHeight="1" x14ac:dyDescent="0.25">
      <c r="A39" s="82"/>
      <c r="B39" s="81"/>
      <c r="C39" s="81"/>
      <c r="D39" s="81"/>
      <c r="E39" s="81"/>
      <c r="F39" s="81"/>
      <c r="G39" s="81"/>
      <c r="H39" s="81"/>
      <c r="I39" s="81"/>
      <c r="J39" s="81"/>
      <c r="K39" s="81"/>
      <c r="L39" s="81"/>
      <c r="M39" s="81"/>
      <c r="N39" s="81"/>
      <c r="O39" s="81"/>
      <c r="P39" s="81"/>
      <c r="Q39" s="90"/>
      <c r="R39" s="90"/>
      <c r="S39" s="90"/>
      <c r="T39" s="91"/>
      <c r="U39" s="81"/>
      <c r="V39" s="82"/>
    </row>
    <row r="40" spans="1:22" ht="20.25" customHeight="1" x14ac:dyDescent="0.25">
      <c r="A40" s="82"/>
      <c r="B40" s="81"/>
      <c r="C40" s="81"/>
      <c r="D40" s="81"/>
      <c r="E40" s="81"/>
      <c r="F40" s="81"/>
      <c r="G40" s="81"/>
      <c r="H40" s="81"/>
      <c r="I40" s="81"/>
      <c r="J40" s="81"/>
      <c r="K40" s="81"/>
      <c r="L40" s="81"/>
      <c r="M40" s="81"/>
      <c r="N40" s="81"/>
      <c r="O40" s="81"/>
      <c r="P40" s="81"/>
      <c r="Q40" s="90"/>
      <c r="R40" s="90"/>
      <c r="S40" s="90"/>
      <c r="T40" s="91"/>
      <c r="U40" s="81"/>
      <c r="V40" s="82"/>
    </row>
    <row r="41" spans="1:22" ht="20.25" customHeight="1" x14ac:dyDescent="0.25">
      <c r="A41" s="82"/>
      <c r="B41" s="81"/>
      <c r="C41" s="81"/>
      <c r="D41" s="81"/>
      <c r="E41" s="81"/>
      <c r="F41" s="81"/>
      <c r="G41" s="81"/>
      <c r="H41" s="81"/>
      <c r="I41" s="81"/>
      <c r="J41" s="81"/>
      <c r="K41" s="81"/>
      <c r="L41" s="81"/>
      <c r="M41" s="81"/>
      <c r="N41" s="81"/>
      <c r="O41" s="81"/>
      <c r="P41" s="81"/>
      <c r="Q41" s="90"/>
      <c r="R41" s="90"/>
      <c r="S41" s="90"/>
      <c r="T41" s="91"/>
      <c r="U41" s="81"/>
      <c r="V41" s="82"/>
    </row>
    <row r="42" spans="1:22" ht="20.25" customHeight="1" x14ac:dyDescent="0.25">
      <c r="A42" s="82"/>
      <c r="B42" s="81"/>
      <c r="C42" s="81"/>
      <c r="D42" s="81"/>
      <c r="E42" s="81"/>
      <c r="F42" s="81"/>
      <c r="G42" s="81"/>
      <c r="H42" s="81"/>
      <c r="I42" s="81"/>
      <c r="J42" s="81"/>
      <c r="K42" s="81"/>
      <c r="L42" s="81"/>
      <c r="M42" s="81"/>
      <c r="N42" s="81"/>
      <c r="O42" s="81"/>
      <c r="P42" s="81"/>
      <c r="Q42" s="90"/>
      <c r="R42" s="90"/>
      <c r="S42" s="90"/>
      <c r="T42" s="91"/>
      <c r="U42" s="81"/>
      <c r="V42" s="82"/>
    </row>
    <row r="43" spans="1:22" ht="20.25" customHeight="1" x14ac:dyDescent="0.25">
      <c r="A43" s="82"/>
      <c r="B43" s="81"/>
      <c r="C43" s="81"/>
      <c r="D43" s="81"/>
      <c r="E43" s="81"/>
      <c r="F43" s="81"/>
      <c r="G43" s="81"/>
      <c r="H43" s="81"/>
      <c r="I43" s="81"/>
      <c r="J43" s="81"/>
      <c r="K43" s="81"/>
      <c r="L43" s="81"/>
      <c r="M43" s="81"/>
      <c r="N43" s="81"/>
      <c r="O43" s="81"/>
      <c r="P43" s="81"/>
      <c r="Q43" s="90"/>
      <c r="R43" s="90"/>
      <c r="S43" s="90"/>
      <c r="T43" s="91"/>
      <c r="U43" s="81"/>
      <c r="V43" s="82"/>
    </row>
    <row r="44" spans="1:22" ht="20.25" customHeight="1" x14ac:dyDescent="0.25">
      <c r="A44" s="82"/>
      <c r="B44" s="81"/>
      <c r="C44" s="81"/>
      <c r="D44" s="81"/>
      <c r="E44" s="81"/>
      <c r="F44" s="81"/>
      <c r="G44" s="81"/>
      <c r="H44" s="81"/>
      <c r="I44" s="81"/>
      <c r="J44" s="81"/>
      <c r="K44" s="81"/>
      <c r="L44" s="81"/>
      <c r="M44" s="81"/>
      <c r="N44" s="81"/>
      <c r="O44" s="81"/>
      <c r="P44" s="81"/>
      <c r="Q44" s="90"/>
      <c r="R44" s="90"/>
      <c r="S44" s="90"/>
      <c r="T44" s="91"/>
      <c r="U44" s="81"/>
      <c r="V44" s="82"/>
    </row>
    <row r="45" spans="1:22" ht="20.25" customHeight="1" x14ac:dyDescent="0.25">
      <c r="A45" s="82"/>
      <c r="B45" s="81"/>
      <c r="C45" s="81"/>
      <c r="D45" s="81"/>
      <c r="E45" s="81"/>
      <c r="F45" s="81"/>
      <c r="G45" s="81"/>
      <c r="H45" s="81"/>
      <c r="I45" s="81"/>
      <c r="J45" s="81"/>
      <c r="K45" s="81"/>
      <c r="L45" s="81"/>
      <c r="M45" s="81"/>
      <c r="N45" s="81"/>
      <c r="O45" s="81"/>
      <c r="P45" s="81"/>
      <c r="Q45" s="90"/>
      <c r="R45" s="90"/>
      <c r="S45" s="90"/>
      <c r="T45" s="91"/>
      <c r="U45" s="81"/>
      <c r="V45" s="82"/>
    </row>
    <row r="46" spans="1:22" ht="20.25" customHeight="1" x14ac:dyDescent="0.25">
      <c r="A46" s="82"/>
      <c r="B46" s="81"/>
      <c r="C46" s="81"/>
      <c r="D46" s="81"/>
      <c r="E46" s="81"/>
      <c r="F46" s="81"/>
      <c r="G46" s="81"/>
      <c r="H46" s="81"/>
      <c r="I46" s="81"/>
      <c r="J46" s="81"/>
      <c r="K46" s="81"/>
      <c r="L46" s="81"/>
      <c r="M46" s="81"/>
      <c r="N46" s="81"/>
      <c r="O46" s="81"/>
      <c r="P46" s="81"/>
      <c r="Q46" s="90"/>
      <c r="R46" s="90"/>
      <c r="S46" s="90"/>
      <c r="T46" s="91"/>
      <c r="U46" s="81"/>
      <c r="V46" s="82"/>
    </row>
    <row r="47" spans="1:22" ht="20.25" customHeight="1" x14ac:dyDescent="0.25">
      <c r="A47" s="82"/>
      <c r="B47" s="81"/>
      <c r="C47" s="81"/>
      <c r="D47" s="81"/>
      <c r="E47" s="81"/>
      <c r="F47" s="81"/>
      <c r="G47" s="81"/>
      <c r="H47" s="81"/>
      <c r="I47" s="81"/>
      <c r="J47" s="81"/>
      <c r="K47" s="81"/>
      <c r="L47" s="81"/>
      <c r="M47" s="81"/>
      <c r="N47" s="81"/>
      <c r="O47" s="81"/>
      <c r="P47" s="81"/>
      <c r="Q47" s="90"/>
      <c r="R47" s="90"/>
      <c r="S47" s="90"/>
      <c r="T47" s="91"/>
      <c r="U47" s="81"/>
      <c r="V47" s="82"/>
    </row>
    <row r="48" spans="1:22" ht="20.25" customHeight="1" x14ac:dyDescent="0.25">
      <c r="A48" s="82"/>
      <c r="B48" s="81"/>
      <c r="C48" s="81"/>
      <c r="D48" s="81"/>
      <c r="E48" s="81"/>
      <c r="F48" s="81"/>
      <c r="G48" s="81"/>
      <c r="H48" s="81"/>
      <c r="I48" s="81"/>
      <c r="J48" s="81"/>
      <c r="K48" s="81"/>
      <c r="L48" s="81"/>
      <c r="M48" s="81"/>
      <c r="N48" s="81"/>
      <c r="O48" s="81"/>
      <c r="P48" s="81"/>
      <c r="Q48" s="90"/>
      <c r="R48" s="90"/>
      <c r="S48" s="90"/>
      <c r="T48" s="91"/>
      <c r="U48" s="81"/>
      <c r="V48" s="82"/>
    </row>
    <row r="49" spans="1:22" ht="20.25" customHeight="1" x14ac:dyDescent="0.25">
      <c r="A49" s="82"/>
      <c r="B49" s="81"/>
      <c r="C49" s="81"/>
      <c r="D49" s="81"/>
      <c r="E49" s="81"/>
      <c r="F49" s="81"/>
      <c r="G49" s="81"/>
      <c r="H49" s="81"/>
      <c r="I49" s="81"/>
      <c r="J49" s="81"/>
      <c r="K49" s="81"/>
      <c r="L49" s="81"/>
      <c r="M49" s="81"/>
      <c r="N49" s="81"/>
      <c r="O49" s="81"/>
      <c r="P49" s="81"/>
      <c r="Q49" s="90"/>
      <c r="R49" s="90"/>
      <c r="S49" s="90"/>
      <c r="T49" s="91"/>
      <c r="U49" s="81"/>
      <c r="V49" s="82"/>
    </row>
    <row r="50" spans="1:22" ht="20.25" customHeight="1" x14ac:dyDescent="0.25">
      <c r="A50" s="82"/>
      <c r="B50" s="81"/>
      <c r="C50" s="81"/>
      <c r="D50" s="81"/>
      <c r="E50" s="81"/>
      <c r="F50" s="81"/>
      <c r="G50" s="81"/>
      <c r="H50" s="81"/>
      <c r="I50" s="81"/>
      <c r="J50" s="81"/>
      <c r="K50" s="81"/>
      <c r="L50" s="81"/>
      <c r="M50" s="81"/>
      <c r="N50" s="81"/>
      <c r="O50" s="81"/>
      <c r="P50" s="81"/>
      <c r="Q50" s="90"/>
      <c r="R50" s="90"/>
      <c r="S50" s="90"/>
      <c r="T50" s="91"/>
      <c r="U50" s="81"/>
      <c r="V50" s="82"/>
    </row>
    <row r="51" spans="1:22" ht="20.25" customHeight="1" x14ac:dyDescent="0.25">
      <c r="A51" s="82"/>
      <c r="B51" s="81"/>
      <c r="C51" s="81"/>
      <c r="D51" s="81"/>
      <c r="E51" s="81"/>
      <c r="F51" s="81"/>
      <c r="G51" s="81"/>
      <c r="H51" s="81"/>
      <c r="I51" s="81"/>
      <c r="J51" s="81"/>
      <c r="K51" s="81"/>
      <c r="L51" s="81"/>
      <c r="M51" s="81"/>
      <c r="N51" s="81"/>
      <c r="O51" s="81"/>
      <c r="P51" s="81"/>
      <c r="Q51" s="90"/>
      <c r="R51" s="90"/>
      <c r="S51" s="90"/>
      <c r="T51" s="91"/>
      <c r="U51" s="81"/>
      <c r="V51" s="82"/>
    </row>
    <row r="52" spans="1:22" ht="20.25" customHeight="1" x14ac:dyDescent="0.25">
      <c r="A52" s="82"/>
      <c r="B52" s="81"/>
      <c r="C52" s="81"/>
      <c r="D52" s="81"/>
      <c r="E52" s="81"/>
      <c r="F52" s="81"/>
      <c r="G52" s="81"/>
      <c r="H52" s="81"/>
      <c r="I52" s="81"/>
      <c r="J52" s="81"/>
      <c r="K52" s="81"/>
      <c r="L52" s="81"/>
      <c r="M52" s="81"/>
      <c r="N52" s="81"/>
      <c r="O52" s="81"/>
      <c r="P52" s="81"/>
      <c r="Q52" s="90"/>
      <c r="R52" s="90"/>
      <c r="S52" s="90"/>
      <c r="T52" s="91"/>
      <c r="U52" s="81"/>
      <c r="V52" s="82"/>
    </row>
    <row r="53" spans="1:22" ht="20.25" customHeight="1" x14ac:dyDescent="0.25">
      <c r="A53" s="82"/>
      <c r="B53" s="81"/>
      <c r="C53" s="81"/>
      <c r="D53" s="81"/>
      <c r="E53" s="81"/>
      <c r="F53" s="81"/>
      <c r="G53" s="81"/>
      <c r="H53" s="81"/>
      <c r="I53" s="81"/>
      <c r="J53" s="81"/>
      <c r="K53" s="81"/>
      <c r="L53" s="81"/>
      <c r="M53" s="81"/>
      <c r="N53" s="81"/>
      <c r="O53" s="81"/>
      <c r="P53" s="81"/>
      <c r="Q53" s="90"/>
      <c r="R53" s="90"/>
      <c r="S53" s="90"/>
      <c r="T53" s="91"/>
      <c r="U53" s="81"/>
      <c r="V53" s="82"/>
    </row>
    <row r="54" spans="1:22" ht="20.25" customHeight="1" x14ac:dyDescent="0.25">
      <c r="A54" s="82"/>
      <c r="B54" s="81"/>
      <c r="C54" s="81"/>
      <c r="D54" s="81"/>
      <c r="E54" s="81"/>
      <c r="F54" s="81"/>
      <c r="G54" s="81"/>
      <c r="H54" s="81"/>
      <c r="I54" s="81"/>
      <c r="J54" s="81"/>
      <c r="K54" s="81"/>
      <c r="L54" s="81"/>
      <c r="M54" s="81"/>
      <c r="N54" s="81"/>
      <c r="O54" s="81"/>
      <c r="P54" s="81"/>
      <c r="Q54" s="90"/>
      <c r="R54" s="90"/>
      <c r="S54" s="90"/>
      <c r="T54" s="91"/>
      <c r="U54" s="81"/>
      <c r="V54" s="82"/>
    </row>
    <row r="55" spans="1:22" ht="20.25" customHeight="1" x14ac:dyDescent="0.25">
      <c r="A55" s="82"/>
      <c r="B55" s="81"/>
      <c r="C55" s="81"/>
      <c r="D55" s="81"/>
      <c r="E55" s="81"/>
      <c r="F55" s="81"/>
      <c r="G55" s="81"/>
      <c r="H55" s="81"/>
      <c r="I55" s="81"/>
      <c r="J55" s="81"/>
      <c r="K55" s="81"/>
      <c r="L55" s="81"/>
      <c r="M55" s="81"/>
      <c r="N55" s="81"/>
      <c r="O55" s="81"/>
      <c r="P55" s="81"/>
      <c r="Q55" s="90"/>
      <c r="R55" s="90"/>
      <c r="S55" s="90"/>
      <c r="T55" s="91"/>
      <c r="U55" s="81"/>
      <c r="V55" s="82"/>
    </row>
    <row r="56" spans="1:22" ht="20.25" customHeight="1" x14ac:dyDescent="0.25">
      <c r="A56" s="82"/>
      <c r="B56" s="81"/>
      <c r="C56" s="81"/>
      <c r="D56" s="81"/>
      <c r="E56" s="81"/>
      <c r="F56" s="81"/>
      <c r="G56" s="81"/>
      <c r="H56" s="81"/>
      <c r="I56" s="81"/>
      <c r="J56" s="81"/>
      <c r="K56" s="81"/>
      <c r="L56" s="81"/>
      <c r="M56" s="81"/>
      <c r="N56" s="81"/>
      <c r="O56" s="81"/>
      <c r="P56" s="81"/>
      <c r="Q56" s="90"/>
      <c r="R56" s="90"/>
      <c r="S56" s="90"/>
      <c r="T56" s="91"/>
      <c r="U56" s="81"/>
      <c r="V56" s="82"/>
    </row>
    <row r="57" spans="1:22" ht="20.25" customHeight="1" x14ac:dyDescent="0.25">
      <c r="A57" s="82"/>
      <c r="B57" s="81"/>
      <c r="C57" s="81"/>
      <c r="D57" s="81"/>
      <c r="E57" s="81"/>
      <c r="F57" s="81"/>
      <c r="G57" s="81"/>
      <c r="H57" s="81"/>
      <c r="I57" s="81"/>
      <c r="J57" s="81"/>
      <c r="K57" s="81"/>
      <c r="L57" s="81"/>
      <c r="M57" s="81"/>
      <c r="N57" s="81"/>
      <c r="O57" s="81"/>
      <c r="P57" s="81"/>
      <c r="Q57" s="90"/>
      <c r="R57" s="90"/>
      <c r="S57" s="90"/>
      <c r="T57" s="91"/>
      <c r="U57" s="81"/>
      <c r="V57" s="82"/>
    </row>
    <row r="58" spans="1:22" ht="20.25" customHeight="1" x14ac:dyDescent="0.25">
      <c r="A58" s="82"/>
      <c r="B58" s="81"/>
      <c r="C58" s="81"/>
      <c r="D58" s="81"/>
      <c r="E58" s="81"/>
      <c r="F58" s="81"/>
      <c r="G58" s="81"/>
      <c r="H58" s="81"/>
      <c r="I58" s="81"/>
      <c r="J58" s="81"/>
      <c r="K58" s="81"/>
      <c r="L58" s="81"/>
      <c r="M58" s="81"/>
      <c r="N58" s="81"/>
      <c r="O58" s="81"/>
      <c r="P58" s="81"/>
      <c r="Q58" s="90"/>
      <c r="R58" s="90"/>
      <c r="S58" s="90"/>
      <c r="T58" s="91"/>
      <c r="U58" s="81"/>
      <c r="V58" s="82"/>
    </row>
    <row r="59" spans="1:22" ht="20.25" customHeight="1" x14ac:dyDescent="0.25">
      <c r="A59" s="82"/>
      <c r="B59" s="81"/>
      <c r="C59" s="81"/>
      <c r="D59" s="81"/>
      <c r="E59" s="81"/>
      <c r="F59" s="81"/>
      <c r="G59" s="81"/>
      <c r="H59" s="81"/>
      <c r="I59" s="81"/>
      <c r="J59" s="81"/>
      <c r="K59" s="81"/>
      <c r="L59" s="81"/>
      <c r="M59" s="81"/>
      <c r="N59" s="81"/>
      <c r="O59" s="81"/>
      <c r="P59" s="81"/>
      <c r="Q59" s="90"/>
      <c r="R59" s="90"/>
      <c r="S59" s="90"/>
      <c r="T59" s="91"/>
      <c r="U59" s="81"/>
      <c r="V59" s="82"/>
    </row>
    <row r="60" spans="1:22" ht="20.25" customHeight="1" x14ac:dyDescent="0.25">
      <c r="A60" s="82"/>
      <c r="B60" s="81"/>
      <c r="C60" s="81"/>
      <c r="D60" s="81"/>
      <c r="E60" s="81"/>
      <c r="F60" s="81"/>
      <c r="G60" s="81"/>
      <c r="H60" s="81"/>
      <c r="I60" s="81"/>
      <c r="J60" s="81"/>
      <c r="K60" s="81"/>
      <c r="L60" s="81"/>
      <c r="M60" s="81"/>
      <c r="N60" s="81"/>
      <c r="O60" s="81"/>
      <c r="P60" s="81"/>
      <c r="Q60" s="90"/>
      <c r="R60" s="90"/>
      <c r="S60" s="90"/>
      <c r="T60" s="91"/>
      <c r="U60" s="81"/>
      <c r="V60" s="82"/>
    </row>
    <row r="61" spans="1:22" ht="20.25" customHeight="1" x14ac:dyDescent="0.25">
      <c r="A61" s="82"/>
      <c r="B61" s="81"/>
      <c r="C61" s="81"/>
      <c r="D61" s="81"/>
      <c r="E61" s="81"/>
      <c r="F61" s="81"/>
      <c r="G61" s="81"/>
      <c r="H61" s="81"/>
      <c r="I61" s="81"/>
      <c r="J61" s="81"/>
      <c r="K61" s="81"/>
      <c r="L61" s="81"/>
      <c r="M61" s="81"/>
      <c r="N61" s="81"/>
      <c r="O61" s="81"/>
      <c r="P61" s="81"/>
      <c r="Q61" s="90"/>
      <c r="R61" s="90"/>
      <c r="S61" s="90"/>
      <c r="T61" s="91"/>
      <c r="U61" s="81"/>
      <c r="V61" s="82"/>
    </row>
    <row r="62" spans="1:22" ht="20.25" customHeight="1" x14ac:dyDescent="0.25">
      <c r="A62" s="82"/>
      <c r="B62" s="81"/>
      <c r="C62" s="81"/>
      <c r="D62" s="81"/>
      <c r="E62" s="81"/>
      <c r="F62" s="81"/>
      <c r="G62" s="81"/>
      <c r="H62" s="81"/>
      <c r="I62" s="81"/>
      <c r="J62" s="81"/>
      <c r="K62" s="81"/>
      <c r="L62" s="81"/>
      <c r="M62" s="81"/>
      <c r="N62" s="81"/>
      <c r="O62" s="81"/>
      <c r="P62" s="81"/>
      <c r="Q62" s="90"/>
      <c r="R62" s="90"/>
      <c r="S62" s="90"/>
      <c r="T62" s="91"/>
      <c r="U62" s="81"/>
      <c r="V62" s="82"/>
    </row>
    <row r="63" spans="1:22" ht="20.25" customHeight="1" x14ac:dyDescent="0.25">
      <c r="A63" s="82"/>
      <c r="B63" s="81"/>
      <c r="C63" s="81"/>
      <c r="D63" s="81"/>
      <c r="E63" s="81"/>
      <c r="F63" s="81"/>
      <c r="G63" s="81"/>
      <c r="H63" s="81"/>
      <c r="I63" s="81"/>
      <c r="J63" s="81"/>
      <c r="K63" s="81"/>
      <c r="L63" s="81"/>
      <c r="M63" s="81"/>
      <c r="N63" s="81"/>
      <c r="O63" s="81"/>
      <c r="P63" s="81"/>
      <c r="Q63" s="90"/>
      <c r="R63" s="90"/>
      <c r="S63" s="90"/>
      <c r="T63" s="91"/>
      <c r="U63" s="81"/>
      <c r="V63" s="82"/>
    </row>
    <row r="64" spans="1:22" ht="20.25" customHeight="1" x14ac:dyDescent="0.25">
      <c r="A64" s="82"/>
      <c r="B64" s="81"/>
      <c r="C64" s="81"/>
      <c r="D64" s="81"/>
      <c r="E64" s="81"/>
      <c r="F64" s="81"/>
      <c r="G64" s="81"/>
      <c r="H64" s="81"/>
      <c r="I64" s="81"/>
      <c r="J64" s="81"/>
      <c r="K64" s="81"/>
      <c r="L64" s="81"/>
      <c r="M64" s="81"/>
      <c r="N64" s="81"/>
      <c r="O64" s="81"/>
      <c r="P64" s="81"/>
      <c r="Q64" s="90"/>
      <c r="R64" s="90"/>
      <c r="S64" s="90"/>
      <c r="T64" s="91"/>
      <c r="U64" s="81"/>
      <c r="V64" s="82"/>
    </row>
    <row r="65" spans="1:22" ht="20.25" customHeight="1" x14ac:dyDescent="0.25">
      <c r="A65" s="82"/>
      <c r="B65" s="81"/>
      <c r="C65" s="81"/>
      <c r="D65" s="81"/>
      <c r="E65" s="81"/>
      <c r="F65" s="81"/>
      <c r="G65" s="81"/>
      <c r="H65" s="81"/>
      <c r="I65" s="81"/>
      <c r="J65" s="81"/>
      <c r="K65" s="81"/>
      <c r="L65" s="81"/>
      <c r="M65" s="81"/>
      <c r="N65" s="81"/>
      <c r="O65" s="81"/>
      <c r="P65" s="81"/>
      <c r="Q65" s="90"/>
      <c r="R65" s="90"/>
      <c r="S65" s="90"/>
      <c r="T65" s="91"/>
      <c r="U65" s="81"/>
      <c r="V65" s="82"/>
    </row>
    <row r="66" spans="1:22" ht="20.25" customHeight="1" x14ac:dyDescent="0.25">
      <c r="A66" s="82"/>
      <c r="B66" s="81"/>
      <c r="C66" s="81"/>
      <c r="D66" s="81"/>
      <c r="E66" s="81"/>
      <c r="F66" s="81"/>
      <c r="G66" s="81"/>
      <c r="H66" s="81"/>
      <c r="I66" s="81"/>
      <c r="J66" s="81"/>
      <c r="K66" s="81"/>
      <c r="L66" s="81"/>
      <c r="M66" s="81"/>
      <c r="N66" s="81"/>
      <c r="O66" s="81"/>
      <c r="P66" s="81"/>
      <c r="Q66" s="90"/>
      <c r="R66" s="90"/>
      <c r="S66" s="90"/>
      <c r="T66" s="91"/>
      <c r="U66" s="81"/>
      <c r="V66" s="82"/>
    </row>
    <row r="67" spans="1:22" ht="20.25" customHeight="1" x14ac:dyDescent="0.25">
      <c r="A67" s="82"/>
      <c r="B67" s="81"/>
      <c r="C67" s="81"/>
      <c r="D67" s="81"/>
      <c r="E67" s="81"/>
      <c r="F67" s="81"/>
      <c r="G67" s="81"/>
      <c r="H67" s="81"/>
      <c r="I67" s="81"/>
      <c r="J67" s="81"/>
      <c r="K67" s="81"/>
      <c r="L67" s="81"/>
      <c r="M67" s="81"/>
      <c r="N67" s="81"/>
      <c r="O67" s="81"/>
      <c r="P67" s="81"/>
      <c r="Q67" s="90"/>
      <c r="R67" s="90"/>
      <c r="S67" s="90"/>
      <c r="T67" s="91"/>
      <c r="U67" s="81"/>
      <c r="V67" s="82"/>
    </row>
    <row r="68" spans="1:22" ht="20.25" customHeight="1" x14ac:dyDescent="0.25">
      <c r="A68" s="82"/>
      <c r="B68" s="81"/>
      <c r="C68" s="81"/>
      <c r="D68" s="81"/>
      <c r="E68" s="81"/>
      <c r="F68" s="81"/>
      <c r="G68" s="81"/>
      <c r="H68" s="81"/>
      <c r="I68" s="81"/>
      <c r="J68" s="81"/>
      <c r="K68" s="81"/>
      <c r="L68" s="81"/>
      <c r="M68" s="81"/>
      <c r="N68" s="81"/>
      <c r="O68" s="81"/>
      <c r="P68" s="81"/>
      <c r="Q68" s="90"/>
      <c r="R68" s="90"/>
      <c r="S68" s="90"/>
      <c r="T68" s="91"/>
      <c r="U68" s="81"/>
      <c r="V68" s="82"/>
    </row>
    <row r="69" spans="1:22" ht="20.25" customHeight="1" x14ac:dyDescent="0.25">
      <c r="A69" s="82"/>
      <c r="B69" s="81"/>
      <c r="C69" s="81"/>
      <c r="D69" s="81"/>
      <c r="E69" s="81"/>
      <c r="F69" s="81"/>
      <c r="G69" s="81"/>
      <c r="H69" s="81"/>
      <c r="I69" s="81"/>
      <c r="J69" s="81"/>
      <c r="K69" s="81"/>
      <c r="L69" s="81"/>
      <c r="M69" s="81"/>
      <c r="N69" s="81"/>
      <c r="O69" s="81"/>
      <c r="P69" s="81"/>
      <c r="Q69" s="90"/>
      <c r="R69" s="90"/>
      <c r="S69" s="90"/>
      <c r="T69" s="91"/>
      <c r="U69" s="81"/>
      <c r="V69" s="82"/>
    </row>
    <row r="70" spans="1:22" ht="20.25" customHeight="1" x14ac:dyDescent="0.25">
      <c r="A70" s="82"/>
      <c r="B70" s="81"/>
      <c r="C70" s="81"/>
      <c r="D70" s="81"/>
      <c r="E70" s="81"/>
      <c r="F70" s="81"/>
      <c r="G70" s="81"/>
      <c r="H70" s="81"/>
      <c r="I70" s="81"/>
      <c r="J70" s="81"/>
      <c r="K70" s="81"/>
      <c r="L70" s="81"/>
      <c r="M70" s="81"/>
      <c r="N70" s="81"/>
      <c r="O70" s="81"/>
      <c r="P70" s="81"/>
      <c r="Q70" s="90"/>
      <c r="R70" s="90"/>
      <c r="S70" s="90"/>
      <c r="T70" s="91"/>
      <c r="U70" s="81"/>
      <c r="V70" s="82"/>
    </row>
    <row r="71" spans="1:22" ht="20.25" customHeight="1" x14ac:dyDescent="0.25">
      <c r="A71" s="82"/>
      <c r="B71" s="81"/>
      <c r="C71" s="81"/>
      <c r="D71" s="81"/>
      <c r="E71" s="81"/>
      <c r="F71" s="81"/>
      <c r="G71" s="81"/>
      <c r="H71" s="81"/>
      <c r="I71" s="81"/>
      <c r="J71" s="81"/>
      <c r="K71" s="81"/>
      <c r="L71" s="81"/>
      <c r="M71" s="81"/>
      <c r="N71" s="81"/>
      <c r="O71" s="81"/>
      <c r="P71" s="81"/>
      <c r="Q71" s="90"/>
      <c r="R71" s="90"/>
      <c r="S71" s="90"/>
      <c r="T71" s="91"/>
      <c r="U71" s="81"/>
      <c r="V71" s="82"/>
    </row>
    <row r="72" spans="1:22" ht="20.25" customHeight="1" x14ac:dyDescent="0.25">
      <c r="A72" s="82"/>
      <c r="B72" s="81"/>
      <c r="C72" s="81"/>
      <c r="D72" s="81"/>
      <c r="E72" s="81"/>
      <c r="F72" s="81"/>
      <c r="G72" s="81"/>
      <c r="H72" s="81"/>
      <c r="I72" s="81"/>
      <c r="J72" s="81"/>
      <c r="K72" s="81"/>
      <c r="L72" s="81"/>
      <c r="M72" s="81"/>
      <c r="N72" s="81"/>
      <c r="O72" s="81"/>
      <c r="P72" s="81"/>
      <c r="Q72" s="90"/>
      <c r="R72" s="90"/>
      <c r="S72" s="90"/>
      <c r="T72" s="91"/>
      <c r="U72" s="81"/>
      <c r="V72" s="82"/>
    </row>
    <row r="73" spans="1:22" ht="20.25" customHeight="1" x14ac:dyDescent="0.25">
      <c r="A73" s="82"/>
      <c r="B73" s="81"/>
      <c r="C73" s="81"/>
      <c r="D73" s="81"/>
      <c r="E73" s="81"/>
      <c r="F73" s="81"/>
      <c r="G73" s="81"/>
      <c r="H73" s="81"/>
      <c r="I73" s="81"/>
      <c r="J73" s="81"/>
      <c r="K73" s="81"/>
      <c r="L73" s="81"/>
      <c r="M73" s="81"/>
      <c r="N73" s="81"/>
      <c r="O73" s="81"/>
      <c r="P73" s="81"/>
      <c r="Q73" s="90"/>
      <c r="R73" s="90"/>
      <c r="S73" s="90"/>
      <c r="T73" s="91"/>
      <c r="U73" s="81"/>
      <c r="V73" s="82"/>
    </row>
    <row r="74" spans="1:22" ht="20.25" customHeight="1" x14ac:dyDescent="0.25">
      <c r="A74" s="82"/>
      <c r="B74" s="81"/>
      <c r="C74" s="81"/>
      <c r="D74" s="81"/>
      <c r="E74" s="81"/>
      <c r="F74" s="81"/>
      <c r="G74" s="81"/>
      <c r="H74" s="81"/>
      <c r="I74" s="81"/>
      <c r="J74" s="81"/>
      <c r="K74" s="81"/>
      <c r="L74" s="81"/>
      <c r="M74" s="81"/>
      <c r="N74" s="81"/>
      <c r="O74" s="81"/>
      <c r="P74" s="81"/>
      <c r="Q74" s="90"/>
      <c r="R74" s="90"/>
      <c r="S74" s="90"/>
      <c r="T74" s="91"/>
      <c r="U74" s="81"/>
      <c r="V74" s="82"/>
    </row>
    <row r="75" spans="1:22" ht="20.25" customHeight="1" x14ac:dyDescent="0.25">
      <c r="A75" s="82"/>
      <c r="B75" s="81"/>
      <c r="C75" s="81"/>
      <c r="D75" s="81"/>
      <c r="E75" s="81"/>
      <c r="F75" s="81"/>
      <c r="G75" s="81"/>
      <c r="H75" s="81"/>
      <c r="I75" s="81"/>
      <c r="J75" s="81"/>
      <c r="K75" s="81"/>
      <c r="L75" s="81"/>
      <c r="M75" s="81"/>
      <c r="N75" s="81"/>
      <c r="O75" s="81"/>
      <c r="P75" s="81"/>
      <c r="Q75" s="90"/>
      <c r="R75" s="90"/>
      <c r="S75" s="90"/>
      <c r="T75" s="91"/>
      <c r="U75" s="81"/>
      <c r="V75" s="82"/>
    </row>
    <row r="76" spans="1:22" ht="20.25" customHeight="1" x14ac:dyDescent="0.25">
      <c r="A76" s="82"/>
      <c r="B76" s="81"/>
      <c r="C76" s="81"/>
      <c r="D76" s="81"/>
      <c r="E76" s="81"/>
      <c r="F76" s="81"/>
      <c r="G76" s="81"/>
      <c r="H76" s="81"/>
      <c r="I76" s="81"/>
      <c r="J76" s="81"/>
      <c r="K76" s="81"/>
      <c r="L76" s="81"/>
      <c r="M76" s="81"/>
      <c r="N76" s="81"/>
      <c r="O76" s="81"/>
      <c r="P76" s="81"/>
      <c r="Q76" s="90"/>
      <c r="R76" s="90"/>
      <c r="S76" s="90"/>
      <c r="T76" s="91"/>
      <c r="U76" s="81"/>
      <c r="V76" s="82"/>
    </row>
    <row r="77" spans="1:22" ht="20.25" customHeight="1" x14ac:dyDescent="0.25">
      <c r="A77" s="82"/>
      <c r="B77" s="81"/>
      <c r="C77" s="81"/>
      <c r="D77" s="81"/>
      <c r="E77" s="81"/>
      <c r="F77" s="81"/>
      <c r="G77" s="81"/>
      <c r="H77" s="81"/>
      <c r="I77" s="81"/>
      <c r="J77" s="81"/>
      <c r="K77" s="81"/>
      <c r="L77" s="81"/>
      <c r="M77" s="81"/>
      <c r="N77" s="81"/>
      <c r="O77" s="81"/>
      <c r="P77" s="81"/>
      <c r="Q77" s="90"/>
      <c r="R77" s="90"/>
      <c r="S77" s="90"/>
      <c r="T77" s="91"/>
      <c r="U77" s="81"/>
      <c r="V77" s="82"/>
    </row>
    <row r="78" spans="1:22" ht="20.25" customHeight="1" x14ac:dyDescent="0.25">
      <c r="A78" s="82"/>
      <c r="B78" s="81"/>
      <c r="C78" s="81"/>
      <c r="D78" s="81"/>
      <c r="E78" s="81"/>
      <c r="F78" s="81"/>
      <c r="G78" s="81"/>
      <c r="H78" s="81"/>
      <c r="I78" s="81"/>
      <c r="J78" s="81"/>
      <c r="K78" s="81"/>
      <c r="L78" s="81"/>
      <c r="M78" s="81"/>
      <c r="N78" s="81"/>
      <c r="O78" s="81"/>
      <c r="P78" s="81"/>
      <c r="Q78" s="90"/>
      <c r="R78" s="90"/>
      <c r="S78" s="90"/>
      <c r="T78" s="91"/>
      <c r="U78" s="81"/>
      <c r="V78" s="82"/>
    </row>
    <row r="79" spans="1:22" ht="20.25" customHeight="1" x14ac:dyDescent="0.25">
      <c r="A79" s="82"/>
      <c r="B79" s="81"/>
      <c r="C79" s="81"/>
      <c r="D79" s="81"/>
      <c r="E79" s="81"/>
      <c r="F79" s="81"/>
      <c r="G79" s="81"/>
      <c r="H79" s="81"/>
      <c r="I79" s="81"/>
      <c r="J79" s="81"/>
      <c r="K79" s="81"/>
      <c r="L79" s="81"/>
      <c r="M79" s="81"/>
      <c r="N79" s="81"/>
      <c r="O79" s="81"/>
      <c r="P79" s="81"/>
      <c r="Q79" s="90"/>
      <c r="R79" s="90"/>
      <c r="S79" s="90"/>
      <c r="T79" s="91"/>
      <c r="U79" s="81"/>
      <c r="V79" s="82"/>
    </row>
    <row r="80" spans="1:22" ht="20.25" customHeight="1" x14ac:dyDescent="0.25">
      <c r="A80" s="82"/>
      <c r="B80" s="81"/>
      <c r="C80" s="81"/>
      <c r="D80" s="81"/>
      <c r="E80" s="81"/>
      <c r="F80" s="81"/>
      <c r="G80" s="81"/>
      <c r="H80" s="81"/>
      <c r="I80" s="81"/>
      <c r="J80" s="81"/>
      <c r="K80" s="81"/>
      <c r="L80" s="81"/>
      <c r="M80" s="81"/>
      <c r="N80" s="81"/>
      <c r="O80" s="81"/>
      <c r="P80" s="81"/>
      <c r="Q80" s="90"/>
      <c r="R80" s="90"/>
      <c r="S80" s="90"/>
      <c r="T80" s="91"/>
      <c r="U80" s="81"/>
      <c r="V80" s="82"/>
    </row>
    <row r="81" spans="1:22" ht="20.25" customHeight="1" x14ac:dyDescent="0.25">
      <c r="A81" s="82"/>
      <c r="B81" s="81"/>
      <c r="C81" s="81"/>
      <c r="D81" s="81"/>
      <c r="E81" s="81"/>
      <c r="F81" s="81"/>
      <c r="G81" s="81"/>
      <c r="H81" s="81"/>
      <c r="I81" s="81"/>
      <c r="J81" s="81"/>
      <c r="K81" s="81"/>
      <c r="L81" s="81"/>
      <c r="M81" s="81"/>
      <c r="N81" s="81"/>
      <c r="O81" s="81"/>
      <c r="P81" s="81"/>
      <c r="Q81" s="90"/>
      <c r="R81" s="90"/>
      <c r="S81" s="90"/>
      <c r="T81" s="91"/>
      <c r="U81" s="81"/>
      <c r="V81" s="82"/>
    </row>
    <row r="82" spans="1:22" ht="20.25" customHeight="1" x14ac:dyDescent="0.25">
      <c r="A82" s="82"/>
      <c r="B82" s="81"/>
      <c r="C82" s="81"/>
      <c r="D82" s="81"/>
      <c r="E82" s="81"/>
      <c r="F82" s="81"/>
      <c r="G82" s="81"/>
      <c r="H82" s="81"/>
      <c r="I82" s="81"/>
      <c r="J82" s="81"/>
      <c r="K82" s="81"/>
      <c r="L82" s="81"/>
      <c r="M82" s="81"/>
      <c r="N82" s="81"/>
      <c r="O82" s="81"/>
      <c r="P82" s="81"/>
      <c r="Q82" s="90"/>
      <c r="R82" s="90"/>
      <c r="S82" s="90"/>
      <c r="T82" s="91"/>
      <c r="U82" s="81"/>
      <c r="V82" s="82"/>
    </row>
    <row r="83" spans="1:22" ht="20.25" customHeight="1" x14ac:dyDescent="0.25">
      <c r="A83" s="82"/>
      <c r="B83" s="81"/>
      <c r="C83" s="81"/>
      <c r="D83" s="81"/>
      <c r="E83" s="81"/>
      <c r="F83" s="81"/>
      <c r="G83" s="81"/>
      <c r="H83" s="81"/>
      <c r="I83" s="81"/>
      <c r="J83" s="81"/>
      <c r="K83" s="81"/>
      <c r="L83" s="81"/>
      <c r="M83" s="81"/>
      <c r="N83" s="81"/>
      <c r="O83" s="81"/>
      <c r="P83" s="81"/>
      <c r="Q83" s="90"/>
      <c r="R83" s="90"/>
      <c r="S83" s="90"/>
      <c r="T83" s="91"/>
      <c r="U83" s="81"/>
      <c r="V83" s="82"/>
    </row>
    <row r="84" spans="1:22" ht="20.25" customHeight="1" x14ac:dyDescent="0.25">
      <c r="A84" s="82"/>
      <c r="B84" s="81"/>
      <c r="C84" s="81"/>
      <c r="D84" s="81"/>
      <c r="E84" s="81"/>
      <c r="F84" s="81"/>
      <c r="G84" s="81"/>
      <c r="H84" s="81"/>
      <c r="I84" s="81"/>
      <c r="J84" s="81"/>
      <c r="K84" s="81"/>
      <c r="L84" s="81"/>
      <c r="M84" s="81"/>
      <c r="N84" s="81"/>
      <c r="O84" s="81"/>
      <c r="P84" s="81"/>
      <c r="Q84" s="90"/>
      <c r="R84" s="90"/>
      <c r="S84" s="90"/>
      <c r="T84" s="91"/>
      <c r="U84" s="81"/>
      <c r="V84" s="82"/>
    </row>
    <row r="85" spans="1:22" ht="20.25" customHeight="1" x14ac:dyDescent="0.25">
      <c r="A85" s="82"/>
      <c r="B85" s="81"/>
      <c r="C85" s="81"/>
      <c r="D85" s="81"/>
      <c r="E85" s="81"/>
      <c r="F85" s="81"/>
      <c r="G85" s="81"/>
      <c r="H85" s="81"/>
      <c r="I85" s="81"/>
      <c r="J85" s="81"/>
      <c r="K85" s="81"/>
      <c r="L85" s="81"/>
      <c r="M85" s="81"/>
      <c r="N85" s="81"/>
      <c r="O85" s="81"/>
      <c r="P85" s="81"/>
      <c r="Q85" s="90"/>
      <c r="R85" s="90"/>
      <c r="S85" s="90"/>
      <c r="T85" s="91"/>
      <c r="U85" s="81"/>
      <c r="V85" s="82"/>
    </row>
    <row r="86" spans="1:22" ht="20.25" customHeight="1" x14ac:dyDescent="0.25">
      <c r="A86" s="82"/>
      <c r="B86" s="81"/>
      <c r="C86" s="81"/>
      <c r="D86" s="81"/>
      <c r="E86" s="81"/>
      <c r="F86" s="81"/>
      <c r="G86" s="81"/>
      <c r="H86" s="81"/>
      <c r="I86" s="81"/>
      <c r="J86" s="81"/>
      <c r="K86" s="81"/>
      <c r="L86" s="81"/>
      <c r="M86" s="81"/>
      <c r="N86" s="81"/>
      <c r="O86" s="81"/>
      <c r="P86" s="81"/>
      <c r="Q86" s="90"/>
      <c r="R86" s="90"/>
      <c r="S86" s="90"/>
      <c r="T86" s="91"/>
      <c r="U86" s="81"/>
      <c r="V86" s="82"/>
    </row>
    <row r="87" spans="1:22" ht="20.25" customHeight="1" x14ac:dyDescent="0.25">
      <c r="A87" s="82"/>
      <c r="B87" s="81"/>
      <c r="C87" s="81"/>
      <c r="D87" s="81"/>
      <c r="E87" s="81"/>
      <c r="F87" s="81"/>
      <c r="G87" s="81"/>
      <c r="H87" s="81"/>
      <c r="I87" s="81"/>
      <c r="J87" s="81"/>
      <c r="K87" s="81"/>
      <c r="L87" s="81"/>
      <c r="M87" s="81"/>
      <c r="N87" s="81"/>
      <c r="O87" s="81"/>
      <c r="P87" s="81"/>
      <c r="Q87" s="90"/>
      <c r="R87" s="90"/>
      <c r="S87" s="90"/>
      <c r="T87" s="91"/>
      <c r="U87" s="81"/>
      <c r="V87" s="82"/>
    </row>
    <row r="88" spans="1:22" ht="20.25" customHeight="1" x14ac:dyDescent="0.25">
      <c r="A88" s="82"/>
      <c r="B88" s="81"/>
      <c r="C88" s="81"/>
      <c r="D88" s="81"/>
      <c r="E88" s="81"/>
      <c r="F88" s="81"/>
      <c r="G88" s="81"/>
      <c r="H88" s="81"/>
      <c r="I88" s="81"/>
      <c r="J88" s="81"/>
      <c r="K88" s="81"/>
      <c r="L88" s="81"/>
      <c r="M88" s="81"/>
      <c r="N88" s="81"/>
      <c r="O88" s="81"/>
      <c r="P88" s="81"/>
      <c r="Q88" s="90"/>
      <c r="R88" s="90"/>
      <c r="S88" s="90"/>
      <c r="T88" s="91"/>
      <c r="U88" s="81"/>
      <c r="V88" s="82"/>
    </row>
    <row r="89" spans="1:22" ht="20.25" customHeight="1" x14ac:dyDescent="0.25">
      <c r="A89" s="82"/>
      <c r="B89" s="81"/>
      <c r="C89" s="81"/>
      <c r="D89" s="81"/>
      <c r="E89" s="81"/>
      <c r="F89" s="81"/>
      <c r="G89" s="81"/>
      <c r="H89" s="81"/>
      <c r="I89" s="81"/>
      <c r="J89" s="81"/>
      <c r="K89" s="81"/>
      <c r="L89" s="81"/>
      <c r="M89" s="81"/>
      <c r="N89" s="81"/>
      <c r="O89" s="81"/>
      <c r="P89" s="81"/>
      <c r="Q89" s="90"/>
      <c r="R89" s="90"/>
      <c r="S89" s="90"/>
      <c r="T89" s="91"/>
      <c r="U89" s="81"/>
      <c r="V89" s="82"/>
    </row>
    <row r="90" spans="1:22" ht="20.25" customHeight="1" x14ac:dyDescent="0.25">
      <c r="A90" s="82"/>
      <c r="B90" s="81"/>
      <c r="C90" s="81"/>
      <c r="D90" s="81"/>
      <c r="E90" s="81"/>
      <c r="F90" s="81"/>
      <c r="G90" s="81"/>
      <c r="H90" s="81"/>
      <c r="I90" s="81"/>
      <c r="J90" s="81"/>
      <c r="K90" s="81"/>
      <c r="L90" s="81"/>
      <c r="M90" s="81"/>
      <c r="N90" s="81"/>
      <c r="O90" s="81"/>
      <c r="P90" s="81"/>
      <c r="Q90" s="90"/>
      <c r="R90" s="90"/>
      <c r="S90" s="90"/>
      <c r="T90" s="91"/>
      <c r="U90" s="81"/>
      <c r="V90" s="82"/>
    </row>
    <row r="91" spans="1:22" ht="20.25" customHeight="1" x14ac:dyDescent="0.25">
      <c r="A91" s="83"/>
      <c r="B91" s="84"/>
      <c r="F91" s="84"/>
      <c r="G91" s="84"/>
      <c r="H91" s="84"/>
      <c r="I91" s="84"/>
      <c r="J91" s="84"/>
      <c r="K91" s="84"/>
      <c r="L91" s="84"/>
      <c r="M91" s="84"/>
      <c r="N91" s="84"/>
      <c r="O91" s="84"/>
      <c r="V91" s="83"/>
    </row>
    <row r="92" spans="1:22" ht="20.25" customHeight="1" x14ac:dyDescent="0.25">
      <c r="A92" s="83"/>
      <c r="B92" s="84"/>
      <c r="F92" s="84"/>
      <c r="G92" s="84"/>
      <c r="H92" s="84"/>
      <c r="I92" s="84"/>
      <c r="J92" s="84"/>
      <c r="K92" s="84"/>
      <c r="L92" s="84"/>
      <c r="M92" s="84"/>
      <c r="N92" s="84"/>
      <c r="O92" s="84"/>
      <c r="V92" s="83"/>
    </row>
    <row r="93" spans="1:22" ht="20.25" customHeight="1" x14ac:dyDescent="0.25">
      <c r="A93" s="83"/>
      <c r="B93" s="84"/>
      <c r="F93" s="84"/>
      <c r="G93" s="84"/>
      <c r="H93" s="84"/>
      <c r="I93" s="84"/>
      <c r="J93" s="84"/>
      <c r="K93" s="84"/>
      <c r="L93" s="84"/>
      <c r="M93" s="84"/>
      <c r="N93" s="84"/>
      <c r="O93" s="84"/>
      <c r="V93" s="83"/>
    </row>
    <row r="94" spans="1:22" ht="20.25" customHeight="1" x14ac:dyDescent="0.25">
      <c r="A94" s="83"/>
      <c r="B94" s="84"/>
      <c r="F94" s="84"/>
      <c r="G94" s="84"/>
      <c r="H94" s="84"/>
      <c r="I94" s="84"/>
      <c r="J94" s="84"/>
      <c r="K94" s="84"/>
      <c r="L94" s="84"/>
      <c r="M94" s="84"/>
      <c r="N94" s="84"/>
      <c r="O94" s="84"/>
      <c r="V94" s="83"/>
    </row>
    <row r="95" spans="1:22" ht="20.25" customHeight="1" x14ac:dyDescent="0.25">
      <c r="A95" s="83"/>
      <c r="B95" s="84"/>
      <c r="F95" s="84"/>
      <c r="G95" s="84"/>
      <c r="H95" s="84"/>
      <c r="I95" s="84"/>
      <c r="J95" s="84"/>
      <c r="K95" s="84"/>
      <c r="L95" s="84"/>
      <c r="M95" s="84"/>
      <c r="N95" s="84"/>
      <c r="O95" s="84"/>
      <c r="V95" s="83"/>
    </row>
    <row r="96" spans="1:22" ht="20.25" customHeight="1" x14ac:dyDescent="0.25">
      <c r="A96" s="83"/>
      <c r="B96" s="84"/>
      <c r="F96" s="84"/>
      <c r="G96" s="84"/>
      <c r="H96" s="84"/>
      <c r="I96" s="84"/>
      <c r="J96" s="84"/>
      <c r="K96" s="84"/>
      <c r="L96" s="84"/>
      <c r="M96" s="84"/>
      <c r="N96" s="84"/>
      <c r="O96" s="84"/>
      <c r="V96" s="83"/>
    </row>
    <row r="97" spans="1:22" ht="20.25" customHeight="1" x14ac:dyDescent="0.25">
      <c r="A97" s="83"/>
      <c r="B97" s="84"/>
      <c r="F97" s="84"/>
      <c r="G97" s="84"/>
      <c r="H97" s="84"/>
      <c r="I97" s="84"/>
      <c r="J97" s="84"/>
      <c r="K97" s="84"/>
      <c r="L97" s="84"/>
      <c r="M97" s="84"/>
      <c r="N97" s="84"/>
      <c r="O97" s="84"/>
      <c r="V97" s="83"/>
    </row>
    <row r="98" spans="1:22" ht="20.25" customHeight="1" x14ac:dyDescent="0.25">
      <c r="A98" s="83"/>
      <c r="B98" s="84"/>
      <c r="F98" s="84"/>
      <c r="G98" s="84"/>
      <c r="H98" s="84"/>
      <c r="I98" s="84"/>
      <c r="J98" s="84"/>
      <c r="K98" s="84"/>
      <c r="L98" s="84"/>
      <c r="M98" s="84"/>
      <c r="N98" s="84"/>
      <c r="O98" s="84"/>
      <c r="V98" s="83"/>
    </row>
    <row r="99" spans="1:22" ht="20.25" customHeight="1" x14ac:dyDescent="0.25">
      <c r="A99" s="83"/>
      <c r="B99" s="84"/>
      <c r="F99" s="84"/>
      <c r="G99" s="84"/>
      <c r="H99" s="84"/>
      <c r="I99" s="84"/>
      <c r="J99" s="84"/>
      <c r="K99" s="84"/>
      <c r="L99" s="84"/>
      <c r="M99" s="84"/>
      <c r="N99" s="84"/>
      <c r="O99" s="84"/>
      <c r="V99" s="83"/>
    </row>
    <row r="100" spans="1:22" ht="20.25" customHeight="1" x14ac:dyDescent="0.25">
      <c r="A100" s="83"/>
      <c r="B100" s="84"/>
      <c r="F100" s="84"/>
      <c r="G100" s="84"/>
      <c r="H100" s="84"/>
      <c r="I100" s="84"/>
      <c r="J100" s="84"/>
      <c r="K100" s="84"/>
      <c r="L100" s="84"/>
      <c r="M100" s="84"/>
      <c r="N100" s="84"/>
      <c r="O100" s="84"/>
      <c r="V100" s="83"/>
    </row>
    <row r="101" spans="1:22" ht="20.25" customHeight="1" x14ac:dyDescent="0.25">
      <c r="A101" s="83"/>
      <c r="B101" s="84"/>
      <c r="F101" s="84"/>
      <c r="G101" s="84"/>
      <c r="H101" s="84"/>
      <c r="I101" s="84"/>
      <c r="J101" s="84"/>
      <c r="K101" s="84"/>
      <c r="L101" s="84"/>
      <c r="M101" s="84"/>
      <c r="N101" s="84"/>
      <c r="O101" s="84"/>
      <c r="V101" s="83"/>
    </row>
    <row r="102" spans="1:22" ht="20.25" customHeight="1" x14ac:dyDescent="0.25">
      <c r="A102" s="83"/>
      <c r="B102" s="84"/>
      <c r="F102" s="84"/>
      <c r="G102" s="84"/>
      <c r="H102" s="84"/>
      <c r="I102" s="84"/>
      <c r="J102" s="84"/>
      <c r="K102" s="84"/>
      <c r="L102" s="84"/>
      <c r="M102" s="84"/>
      <c r="N102" s="84"/>
      <c r="O102" s="84"/>
      <c r="V102" s="83"/>
    </row>
    <row r="103" spans="1:22" ht="20.25" customHeight="1" x14ac:dyDescent="0.25">
      <c r="A103" s="83"/>
      <c r="B103" s="84"/>
      <c r="F103" s="84"/>
      <c r="G103" s="84"/>
      <c r="H103" s="84"/>
      <c r="I103" s="84"/>
      <c r="J103" s="84"/>
      <c r="K103" s="84"/>
      <c r="L103" s="84"/>
      <c r="M103" s="84"/>
      <c r="N103" s="84"/>
      <c r="O103" s="84"/>
      <c r="V103" s="83"/>
    </row>
    <row r="104" spans="1:22" ht="20.25" customHeight="1" x14ac:dyDescent="0.25">
      <c r="A104" s="83"/>
      <c r="B104" s="84"/>
      <c r="F104" s="84"/>
      <c r="G104" s="84"/>
      <c r="H104" s="84"/>
      <c r="I104" s="84"/>
      <c r="J104" s="84"/>
      <c r="K104" s="84"/>
      <c r="L104" s="84"/>
      <c r="M104" s="84"/>
      <c r="N104" s="84"/>
      <c r="O104" s="84"/>
      <c r="V104" s="83"/>
    </row>
    <row r="105" spans="1:22" ht="20.25" customHeight="1" x14ac:dyDescent="0.25">
      <c r="A105" s="83"/>
      <c r="B105" s="84"/>
      <c r="F105" s="84"/>
      <c r="G105" s="84"/>
      <c r="H105" s="84"/>
      <c r="I105" s="84"/>
      <c r="J105" s="84"/>
      <c r="K105" s="84"/>
      <c r="L105" s="84"/>
      <c r="M105" s="84"/>
      <c r="N105" s="84"/>
      <c r="O105" s="84"/>
      <c r="V105" s="83"/>
    </row>
    <row r="106" spans="1:22" ht="20.25" customHeight="1" x14ac:dyDescent="0.25">
      <c r="A106" s="83"/>
      <c r="B106" s="84"/>
      <c r="F106" s="84"/>
      <c r="G106" s="84"/>
      <c r="H106" s="84"/>
      <c r="I106" s="84"/>
      <c r="J106" s="84"/>
      <c r="K106" s="84"/>
      <c r="L106" s="84"/>
      <c r="M106" s="84"/>
      <c r="N106" s="84"/>
      <c r="O106" s="84"/>
      <c r="V106" s="83"/>
    </row>
    <row r="107" spans="1:22" ht="20.25" customHeight="1" x14ac:dyDescent="0.25">
      <c r="A107" s="83"/>
      <c r="B107" s="84"/>
      <c r="F107" s="84"/>
      <c r="G107" s="84"/>
      <c r="H107" s="84"/>
      <c r="I107" s="84"/>
      <c r="J107" s="84"/>
      <c r="K107" s="84"/>
      <c r="L107" s="84"/>
      <c r="M107" s="84"/>
      <c r="N107" s="84"/>
      <c r="O107" s="84"/>
      <c r="V107" s="83"/>
    </row>
    <row r="108" spans="1:22" ht="20.25" customHeight="1" x14ac:dyDescent="0.25">
      <c r="A108" s="83"/>
      <c r="B108" s="84"/>
      <c r="F108" s="84"/>
      <c r="G108" s="84"/>
      <c r="H108" s="84"/>
      <c r="I108" s="84"/>
      <c r="J108" s="84"/>
      <c r="K108" s="84"/>
      <c r="L108" s="84"/>
      <c r="M108" s="84"/>
      <c r="N108" s="84"/>
      <c r="O108" s="84"/>
      <c r="V108" s="83"/>
    </row>
    <row r="109" spans="1:22" ht="20.25" customHeight="1" x14ac:dyDescent="0.25">
      <c r="A109" s="83"/>
      <c r="B109" s="84"/>
      <c r="F109" s="84"/>
      <c r="G109" s="84"/>
      <c r="H109" s="84"/>
      <c r="I109" s="84"/>
      <c r="J109" s="84"/>
      <c r="K109" s="84"/>
      <c r="L109" s="84"/>
      <c r="M109" s="84"/>
      <c r="N109" s="84"/>
      <c r="O109" s="84"/>
      <c r="V109" s="83"/>
    </row>
    <row r="110" spans="1:22" ht="20.25" customHeight="1" x14ac:dyDescent="0.25">
      <c r="A110" s="83"/>
      <c r="B110" s="84"/>
      <c r="F110" s="84"/>
      <c r="G110" s="84"/>
      <c r="H110" s="84"/>
      <c r="I110" s="84"/>
      <c r="J110" s="84"/>
      <c r="K110" s="84"/>
      <c r="L110" s="84"/>
      <c r="M110" s="84"/>
      <c r="N110" s="84"/>
      <c r="O110" s="84"/>
      <c r="V110" s="83"/>
    </row>
    <row r="111" spans="1:22" ht="20.25" customHeight="1" x14ac:dyDescent="0.25">
      <c r="A111" s="83"/>
      <c r="B111" s="84"/>
      <c r="F111" s="84"/>
      <c r="G111" s="84"/>
      <c r="H111" s="84"/>
      <c r="I111" s="84"/>
      <c r="J111" s="84"/>
      <c r="K111" s="84"/>
      <c r="L111" s="84"/>
      <c r="M111" s="84"/>
      <c r="N111" s="84"/>
      <c r="O111" s="84"/>
      <c r="V111" s="83"/>
    </row>
    <row r="112" spans="1:22" ht="20.25" customHeight="1" x14ac:dyDescent="0.25">
      <c r="A112" s="83"/>
      <c r="B112" s="84"/>
      <c r="F112" s="84"/>
      <c r="G112" s="84"/>
      <c r="H112" s="84"/>
      <c r="I112" s="84"/>
      <c r="J112" s="84"/>
      <c r="K112" s="84"/>
      <c r="L112" s="84"/>
      <c r="M112" s="84"/>
      <c r="N112" s="84"/>
      <c r="O112" s="84"/>
      <c r="V112" s="83"/>
    </row>
    <row r="113" spans="1:22" ht="20.25" customHeight="1" x14ac:dyDescent="0.25">
      <c r="A113" s="83"/>
      <c r="B113" s="84"/>
      <c r="F113" s="84"/>
      <c r="G113" s="84"/>
      <c r="H113" s="84"/>
      <c r="I113" s="84"/>
      <c r="J113" s="84"/>
      <c r="K113" s="84"/>
      <c r="L113" s="84"/>
      <c r="M113" s="84"/>
      <c r="N113" s="84"/>
      <c r="O113" s="84"/>
      <c r="V113" s="83"/>
    </row>
    <row r="114" spans="1:22" ht="20.25" customHeight="1" x14ac:dyDescent="0.25">
      <c r="A114" s="83"/>
      <c r="B114" s="84"/>
      <c r="F114" s="84"/>
      <c r="G114" s="84"/>
      <c r="H114" s="84"/>
      <c r="I114" s="84"/>
      <c r="J114" s="84"/>
      <c r="K114" s="84"/>
      <c r="L114" s="84"/>
      <c r="M114" s="84"/>
      <c r="N114" s="84"/>
      <c r="O114" s="84"/>
      <c r="V114" s="83"/>
    </row>
    <row r="115" spans="1:22" ht="20.25" customHeight="1" x14ac:dyDescent="0.25">
      <c r="A115" s="83"/>
      <c r="B115" s="84"/>
      <c r="F115" s="84"/>
      <c r="G115" s="84"/>
      <c r="H115" s="84"/>
      <c r="I115" s="84"/>
      <c r="J115" s="84"/>
      <c r="K115" s="84"/>
      <c r="L115" s="84"/>
      <c r="M115" s="84"/>
      <c r="N115" s="84"/>
      <c r="O115" s="84"/>
      <c r="V115" s="83"/>
    </row>
    <row r="116" spans="1:22" ht="20.25" customHeight="1" x14ac:dyDescent="0.25">
      <c r="A116" s="83"/>
      <c r="B116" s="84"/>
      <c r="F116" s="84"/>
      <c r="G116" s="84"/>
      <c r="H116" s="84"/>
      <c r="I116" s="84"/>
      <c r="J116" s="84"/>
      <c r="K116" s="84"/>
      <c r="L116" s="84"/>
      <c r="M116" s="84"/>
      <c r="N116" s="84"/>
      <c r="O116" s="84"/>
      <c r="V116" s="83"/>
    </row>
    <row r="117" spans="1:22" ht="20.25" customHeight="1" x14ac:dyDescent="0.25">
      <c r="A117" s="83"/>
      <c r="B117" s="84"/>
      <c r="F117" s="84"/>
      <c r="G117" s="84"/>
      <c r="H117" s="84"/>
      <c r="I117" s="84"/>
      <c r="J117" s="84"/>
      <c r="K117" s="84"/>
      <c r="L117" s="84"/>
      <c r="M117" s="84"/>
      <c r="N117" s="84"/>
      <c r="O117" s="84"/>
      <c r="V117" s="83"/>
    </row>
    <row r="118" spans="1:22" ht="20.25" customHeight="1" x14ac:dyDescent="0.25">
      <c r="A118" s="83"/>
      <c r="B118" s="84"/>
      <c r="F118" s="84"/>
      <c r="G118" s="84"/>
      <c r="H118" s="84"/>
      <c r="I118" s="84"/>
      <c r="J118" s="84"/>
      <c r="K118" s="84"/>
      <c r="L118" s="84"/>
      <c r="M118" s="84"/>
      <c r="N118" s="84"/>
      <c r="O118" s="84"/>
      <c r="V118" s="83"/>
    </row>
    <row r="119" spans="1:22" ht="20.25" customHeight="1" x14ac:dyDescent="0.25">
      <c r="A119" s="83"/>
      <c r="B119" s="84"/>
      <c r="F119" s="84"/>
      <c r="G119" s="84"/>
      <c r="H119" s="84"/>
      <c r="I119" s="84"/>
      <c r="J119" s="84"/>
      <c r="K119" s="84"/>
      <c r="L119" s="84"/>
      <c r="M119" s="84"/>
      <c r="N119" s="84"/>
      <c r="O119" s="84"/>
      <c r="V119" s="83"/>
    </row>
    <row r="120" spans="1:22" ht="20.25" customHeight="1" x14ac:dyDescent="0.25">
      <c r="A120" s="83"/>
      <c r="B120" s="84"/>
      <c r="F120" s="84"/>
      <c r="G120" s="84"/>
      <c r="H120" s="84"/>
      <c r="I120" s="84"/>
      <c r="J120" s="84"/>
      <c r="K120" s="84"/>
      <c r="L120" s="84"/>
      <c r="M120" s="84"/>
      <c r="N120" s="84"/>
      <c r="O120" s="84"/>
      <c r="V120" s="83"/>
    </row>
    <row r="121" spans="1:22" ht="20.25" customHeight="1" x14ac:dyDescent="0.25">
      <c r="A121" s="83"/>
      <c r="B121" s="84"/>
      <c r="F121" s="84"/>
      <c r="G121" s="84"/>
      <c r="H121" s="84"/>
      <c r="I121" s="84"/>
      <c r="J121" s="84"/>
      <c r="K121" s="84"/>
      <c r="L121" s="84"/>
      <c r="M121" s="84"/>
      <c r="N121" s="84"/>
      <c r="O121" s="84"/>
      <c r="V121" s="83"/>
    </row>
    <row r="122" spans="1:22" ht="20.25" customHeight="1" x14ac:dyDescent="0.25">
      <c r="A122" s="83"/>
      <c r="B122" s="84"/>
      <c r="F122" s="84"/>
      <c r="G122" s="84"/>
      <c r="H122" s="84"/>
      <c r="I122" s="84"/>
      <c r="J122" s="84"/>
      <c r="K122" s="84"/>
      <c r="L122" s="84"/>
      <c r="M122" s="84"/>
      <c r="N122" s="84"/>
      <c r="O122" s="84"/>
      <c r="V122" s="83"/>
    </row>
    <row r="123" spans="1:22" ht="20.25" customHeight="1" x14ac:dyDescent="0.25">
      <c r="A123" s="83"/>
      <c r="B123" s="84"/>
      <c r="F123" s="84"/>
      <c r="G123" s="84"/>
      <c r="H123" s="84"/>
      <c r="I123" s="84"/>
      <c r="J123" s="84"/>
      <c r="K123" s="84"/>
      <c r="L123" s="84"/>
      <c r="M123" s="84"/>
      <c r="N123" s="84"/>
      <c r="O123" s="84"/>
      <c r="V123" s="83"/>
    </row>
    <row r="124" spans="1:22" ht="20.25" customHeight="1" x14ac:dyDescent="0.25">
      <c r="A124" s="83"/>
      <c r="B124" s="84"/>
      <c r="F124" s="84"/>
      <c r="G124" s="84"/>
      <c r="H124" s="84"/>
      <c r="I124" s="84"/>
      <c r="J124" s="84"/>
      <c r="K124" s="84"/>
      <c r="L124" s="84"/>
      <c r="M124" s="84"/>
      <c r="N124" s="84"/>
      <c r="O124" s="84"/>
      <c r="V124" s="83"/>
    </row>
    <row r="125" spans="1:22" ht="20.25" customHeight="1" x14ac:dyDescent="0.25">
      <c r="A125" s="83"/>
      <c r="B125" s="84"/>
      <c r="F125" s="84"/>
      <c r="G125" s="84"/>
      <c r="H125" s="84"/>
      <c r="I125" s="84"/>
      <c r="J125" s="84"/>
      <c r="K125" s="84"/>
      <c r="L125" s="84"/>
      <c r="M125" s="84"/>
      <c r="N125" s="84"/>
      <c r="O125" s="84"/>
      <c r="V125" s="83"/>
    </row>
    <row r="126" spans="1:22" ht="20.25" customHeight="1" x14ac:dyDescent="0.25">
      <c r="A126" s="83"/>
      <c r="B126" s="84"/>
      <c r="F126" s="84"/>
      <c r="G126" s="84"/>
      <c r="H126" s="84"/>
      <c r="I126" s="84"/>
      <c r="J126" s="84"/>
      <c r="K126" s="84"/>
      <c r="L126" s="84"/>
      <c r="M126" s="84"/>
      <c r="N126" s="84"/>
      <c r="O126" s="84"/>
      <c r="V126" s="83"/>
    </row>
    <row r="127" spans="1:22" ht="20.25" customHeight="1" x14ac:dyDescent="0.25">
      <c r="A127" s="83"/>
      <c r="B127" s="84"/>
      <c r="F127" s="84"/>
      <c r="G127" s="84"/>
      <c r="H127" s="84"/>
      <c r="I127" s="84"/>
      <c r="J127" s="84"/>
      <c r="K127" s="84"/>
      <c r="L127" s="84"/>
      <c r="M127" s="84"/>
      <c r="N127" s="84"/>
      <c r="O127" s="84"/>
      <c r="V127" s="83"/>
    </row>
    <row r="128" spans="1:22" ht="20.25" customHeight="1" x14ac:dyDescent="0.25">
      <c r="A128" s="83"/>
      <c r="B128" s="84"/>
      <c r="F128" s="84"/>
      <c r="G128" s="84"/>
      <c r="H128" s="84"/>
      <c r="I128" s="84"/>
      <c r="J128" s="84"/>
      <c r="K128" s="84"/>
      <c r="L128" s="84"/>
      <c r="M128" s="84"/>
      <c r="N128" s="84"/>
      <c r="O128" s="84"/>
      <c r="V128" s="83"/>
    </row>
    <row r="129" spans="1:22" ht="20.25" customHeight="1" x14ac:dyDescent="0.25">
      <c r="A129" s="83"/>
      <c r="B129" s="84"/>
      <c r="F129" s="84"/>
      <c r="G129" s="84"/>
      <c r="H129" s="84"/>
      <c r="I129" s="84"/>
      <c r="J129" s="84"/>
      <c r="K129" s="84"/>
      <c r="L129" s="84"/>
      <c r="M129" s="84"/>
      <c r="N129" s="84"/>
      <c r="O129" s="84"/>
      <c r="V129" s="83"/>
    </row>
    <row r="130" spans="1:22" ht="20.25" customHeight="1" x14ac:dyDescent="0.25">
      <c r="A130" s="83"/>
      <c r="B130" s="84"/>
      <c r="F130" s="84"/>
      <c r="G130" s="84"/>
      <c r="H130" s="84"/>
      <c r="I130" s="84"/>
      <c r="J130" s="84"/>
      <c r="K130" s="84"/>
      <c r="L130" s="84"/>
      <c r="M130" s="84"/>
      <c r="N130" s="84"/>
      <c r="O130" s="84"/>
      <c r="V130" s="83"/>
    </row>
    <row r="131" spans="1:22" ht="20.25" customHeight="1" x14ac:dyDescent="0.25">
      <c r="A131" s="83"/>
      <c r="B131" s="84"/>
      <c r="F131" s="84"/>
      <c r="G131" s="84"/>
      <c r="H131" s="84"/>
      <c r="I131" s="84"/>
      <c r="J131" s="84"/>
      <c r="K131" s="84"/>
      <c r="L131" s="84"/>
      <c r="M131" s="84"/>
      <c r="N131" s="84"/>
      <c r="O131" s="84"/>
      <c r="V131" s="83"/>
    </row>
    <row r="132" spans="1:22" ht="20.25" customHeight="1" x14ac:dyDescent="0.25">
      <c r="A132" s="83"/>
      <c r="B132" s="84"/>
      <c r="F132" s="84"/>
      <c r="G132" s="84"/>
      <c r="H132" s="84"/>
      <c r="I132" s="84"/>
      <c r="J132" s="84"/>
      <c r="K132" s="84"/>
      <c r="L132" s="84"/>
      <c r="M132" s="84"/>
      <c r="N132" s="84"/>
      <c r="O132" s="84"/>
      <c r="V132" s="83"/>
    </row>
    <row r="133" spans="1:22" ht="20.25" customHeight="1" x14ac:dyDescent="0.25">
      <c r="A133" s="83"/>
      <c r="B133" s="84"/>
      <c r="F133" s="84"/>
      <c r="G133" s="84"/>
      <c r="H133" s="84"/>
      <c r="I133" s="84"/>
      <c r="J133" s="84"/>
      <c r="K133" s="84"/>
      <c r="L133" s="84"/>
      <c r="M133" s="84"/>
      <c r="N133" s="84"/>
      <c r="O133" s="84"/>
      <c r="V133" s="83"/>
    </row>
    <row r="134" spans="1:22" ht="20.25" customHeight="1" x14ac:dyDescent="0.25">
      <c r="A134" s="83"/>
      <c r="B134" s="84"/>
      <c r="F134" s="84"/>
      <c r="G134" s="84"/>
      <c r="H134" s="84"/>
      <c r="I134" s="84"/>
      <c r="J134" s="84"/>
      <c r="K134" s="84"/>
      <c r="L134" s="84"/>
      <c r="M134" s="84"/>
      <c r="N134" s="84"/>
      <c r="O134" s="84"/>
      <c r="V134" s="83"/>
    </row>
    <row r="135" spans="1:22" ht="20.25" customHeight="1" x14ac:dyDescent="0.25">
      <c r="A135" s="83"/>
      <c r="B135" s="84"/>
      <c r="F135" s="84"/>
      <c r="G135" s="84"/>
      <c r="H135" s="84"/>
      <c r="I135" s="84"/>
      <c r="J135" s="84"/>
      <c r="K135" s="84"/>
      <c r="L135" s="84"/>
      <c r="M135" s="84"/>
      <c r="N135" s="84"/>
      <c r="O135" s="84"/>
      <c r="V135" s="83"/>
    </row>
    <row r="136" spans="1:22" ht="20.25" customHeight="1" x14ac:dyDescent="0.25">
      <c r="A136" s="83"/>
      <c r="B136" s="84"/>
      <c r="F136" s="84"/>
      <c r="G136" s="84"/>
      <c r="H136" s="84"/>
      <c r="I136" s="84"/>
      <c r="J136" s="84"/>
      <c r="K136" s="84"/>
      <c r="L136" s="84"/>
      <c r="M136" s="84"/>
      <c r="N136" s="84"/>
      <c r="O136" s="84"/>
      <c r="V136" s="83"/>
    </row>
    <row r="137" spans="1:22" ht="20.25" customHeight="1" x14ac:dyDescent="0.25">
      <c r="A137" s="83"/>
      <c r="B137" s="84"/>
      <c r="F137" s="84"/>
      <c r="G137" s="84"/>
      <c r="H137" s="84"/>
      <c r="I137" s="84"/>
      <c r="J137" s="84"/>
      <c r="K137" s="84"/>
      <c r="L137" s="84"/>
      <c r="M137" s="84"/>
      <c r="N137" s="84"/>
      <c r="O137" s="84"/>
      <c r="V137" s="83"/>
    </row>
    <row r="138" spans="1:22" ht="20.25" customHeight="1" x14ac:dyDescent="0.25">
      <c r="A138" s="83"/>
      <c r="B138" s="84"/>
      <c r="F138" s="84"/>
      <c r="G138" s="84"/>
      <c r="H138" s="84"/>
      <c r="I138" s="84"/>
      <c r="J138" s="84"/>
      <c r="K138" s="84"/>
      <c r="L138" s="84"/>
      <c r="M138" s="84"/>
      <c r="N138" s="84"/>
      <c r="O138" s="84"/>
      <c r="V138" s="83"/>
    </row>
    <row r="139" spans="1:22" ht="20.25" customHeight="1" x14ac:dyDescent="0.25">
      <c r="A139" s="83"/>
      <c r="B139" s="84"/>
      <c r="F139" s="84"/>
      <c r="G139" s="84"/>
      <c r="H139" s="84"/>
      <c r="I139" s="84"/>
      <c r="J139" s="84"/>
      <c r="K139" s="84"/>
      <c r="L139" s="84"/>
      <c r="M139" s="84"/>
      <c r="N139" s="84"/>
      <c r="O139" s="84"/>
      <c r="V139" s="83"/>
    </row>
    <row r="140" spans="1:22" ht="20.25" customHeight="1" x14ac:dyDescent="0.25">
      <c r="A140" s="83"/>
      <c r="B140" s="84"/>
      <c r="F140" s="84"/>
      <c r="G140" s="84"/>
      <c r="H140" s="84"/>
      <c r="I140" s="84"/>
      <c r="J140" s="84"/>
      <c r="K140" s="84"/>
      <c r="L140" s="84"/>
      <c r="M140" s="84"/>
      <c r="N140" s="84"/>
      <c r="O140" s="84"/>
      <c r="V140" s="83"/>
    </row>
    <row r="141" spans="1:22" ht="20.25" customHeight="1" x14ac:dyDescent="0.25">
      <c r="A141" s="83"/>
      <c r="B141" s="84"/>
      <c r="F141" s="84"/>
      <c r="G141" s="84"/>
      <c r="H141" s="84"/>
      <c r="I141" s="84"/>
      <c r="J141" s="84"/>
      <c r="K141" s="84"/>
      <c r="L141" s="84"/>
      <c r="M141" s="84"/>
      <c r="N141" s="84"/>
      <c r="O141" s="84"/>
      <c r="V141" s="83"/>
    </row>
    <row r="142" spans="1:22" ht="20.25" customHeight="1" x14ac:dyDescent="0.25">
      <c r="A142" s="83"/>
      <c r="B142" s="84"/>
      <c r="F142" s="84"/>
      <c r="G142" s="84"/>
      <c r="H142" s="84"/>
      <c r="I142" s="84"/>
      <c r="J142" s="84"/>
      <c r="K142" s="84"/>
      <c r="L142" s="84"/>
      <c r="M142" s="84"/>
      <c r="N142" s="84"/>
      <c r="O142" s="84"/>
      <c r="V142" s="83"/>
    </row>
    <row r="143" spans="1:22" ht="20.25" customHeight="1" x14ac:dyDescent="0.25">
      <c r="A143" s="83"/>
      <c r="B143" s="84"/>
      <c r="F143" s="84"/>
      <c r="G143" s="84"/>
      <c r="H143" s="84"/>
      <c r="I143" s="84"/>
      <c r="J143" s="84"/>
      <c r="K143" s="84"/>
      <c r="L143" s="84"/>
      <c r="M143" s="84"/>
      <c r="N143" s="84"/>
      <c r="O143" s="84"/>
      <c r="V143" s="83"/>
    </row>
    <row r="144" spans="1:22" ht="20.25" customHeight="1" x14ac:dyDescent="0.25">
      <c r="A144" s="83"/>
      <c r="B144" s="84"/>
      <c r="F144" s="84"/>
      <c r="G144" s="84"/>
      <c r="H144" s="84"/>
      <c r="I144" s="84"/>
      <c r="J144" s="84"/>
      <c r="K144" s="84"/>
      <c r="L144" s="84"/>
      <c r="M144" s="84"/>
      <c r="N144" s="84"/>
      <c r="O144" s="84"/>
      <c r="V144" s="83"/>
    </row>
    <row r="145" spans="1:22" ht="20.25" customHeight="1" x14ac:dyDescent="0.25">
      <c r="A145" s="83"/>
      <c r="B145" s="84"/>
      <c r="F145" s="84"/>
      <c r="G145" s="84"/>
      <c r="H145" s="84"/>
      <c r="I145" s="84"/>
      <c r="J145" s="84"/>
      <c r="K145" s="84"/>
      <c r="L145" s="84"/>
      <c r="M145" s="84"/>
      <c r="N145" s="84"/>
      <c r="O145" s="84"/>
      <c r="V145" s="83"/>
    </row>
    <row r="146" spans="1:22" ht="20.25" customHeight="1" x14ac:dyDescent="0.25">
      <c r="A146" s="83"/>
      <c r="B146" s="84"/>
      <c r="F146" s="84"/>
      <c r="G146" s="84"/>
      <c r="H146" s="84"/>
      <c r="I146" s="84"/>
      <c r="J146" s="84"/>
      <c r="K146" s="84"/>
      <c r="L146" s="84"/>
      <c r="M146" s="84"/>
      <c r="N146" s="84"/>
      <c r="O146" s="84"/>
      <c r="V146" s="83"/>
    </row>
    <row r="147" spans="1:22" ht="20.25" customHeight="1" x14ac:dyDescent="0.25">
      <c r="A147" s="83"/>
      <c r="B147" s="84"/>
      <c r="F147" s="84"/>
      <c r="G147" s="84"/>
      <c r="H147" s="84"/>
      <c r="I147" s="84"/>
      <c r="J147" s="84"/>
      <c r="K147" s="84"/>
      <c r="L147" s="84"/>
      <c r="M147" s="84"/>
      <c r="N147" s="84"/>
      <c r="O147" s="84"/>
      <c r="V147" s="83"/>
    </row>
    <row r="148" spans="1:22" ht="20.25" customHeight="1" x14ac:dyDescent="0.25">
      <c r="A148" s="83"/>
      <c r="B148" s="84"/>
      <c r="F148" s="84"/>
      <c r="G148" s="84"/>
      <c r="H148" s="84"/>
      <c r="I148" s="84"/>
      <c r="J148" s="84"/>
      <c r="K148" s="84"/>
      <c r="L148" s="84"/>
      <c r="M148" s="84"/>
      <c r="N148" s="84"/>
      <c r="O148" s="84"/>
      <c r="V148" s="83"/>
    </row>
    <row r="149" spans="1:22" ht="20.25" customHeight="1" x14ac:dyDescent="0.25">
      <c r="A149" s="83"/>
      <c r="B149" s="84"/>
      <c r="F149" s="84"/>
      <c r="G149" s="84"/>
      <c r="H149" s="84"/>
      <c r="I149" s="84"/>
      <c r="J149" s="84"/>
      <c r="K149" s="84"/>
      <c r="L149" s="84"/>
      <c r="M149" s="84"/>
      <c r="N149" s="84"/>
      <c r="O149" s="84"/>
      <c r="V149" s="83"/>
    </row>
    <row r="150" spans="1:22" ht="20.25" customHeight="1" x14ac:dyDescent="0.25">
      <c r="A150" s="83"/>
      <c r="B150" s="84"/>
      <c r="F150" s="84"/>
      <c r="G150" s="84"/>
      <c r="H150" s="84"/>
      <c r="I150" s="84"/>
      <c r="J150" s="84"/>
      <c r="K150" s="84"/>
      <c r="L150" s="84"/>
      <c r="M150" s="84"/>
      <c r="N150" s="84"/>
      <c r="O150" s="84"/>
      <c r="V150" s="83"/>
    </row>
    <row r="151" spans="1:22" ht="20.25" customHeight="1" x14ac:dyDescent="0.25">
      <c r="A151" s="83"/>
      <c r="B151" s="84"/>
      <c r="F151" s="84"/>
      <c r="G151" s="84"/>
      <c r="H151" s="84"/>
      <c r="I151" s="84"/>
      <c r="J151" s="84"/>
      <c r="K151" s="84"/>
      <c r="L151" s="84"/>
      <c r="M151" s="84"/>
      <c r="N151" s="84"/>
      <c r="O151" s="84"/>
      <c r="V151" s="83"/>
    </row>
    <row r="152" spans="1:22" ht="20.25" customHeight="1" x14ac:dyDescent="0.25">
      <c r="A152" s="83"/>
      <c r="B152" s="84"/>
      <c r="F152" s="84"/>
      <c r="G152" s="84"/>
      <c r="H152" s="84"/>
      <c r="I152" s="84"/>
      <c r="J152" s="84"/>
      <c r="K152" s="84"/>
      <c r="L152" s="84"/>
      <c r="M152" s="84"/>
      <c r="N152" s="84"/>
      <c r="O152" s="84"/>
      <c r="V152" s="83"/>
    </row>
    <row r="153" spans="1:22" ht="20.25" customHeight="1" x14ac:dyDescent="0.25">
      <c r="A153" s="83"/>
      <c r="B153" s="84"/>
      <c r="F153" s="84"/>
      <c r="G153" s="84"/>
      <c r="H153" s="84"/>
      <c r="I153" s="84"/>
      <c r="J153" s="84"/>
      <c r="K153" s="84"/>
      <c r="L153" s="84"/>
      <c r="M153" s="84"/>
      <c r="N153" s="84"/>
      <c r="O153" s="84"/>
      <c r="V153" s="83"/>
    </row>
    <row r="154" spans="1:22" ht="20.25" customHeight="1" x14ac:dyDescent="0.25">
      <c r="A154" s="83"/>
      <c r="B154" s="84"/>
      <c r="F154" s="84"/>
      <c r="G154" s="84"/>
      <c r="H154" s="84"/>
      <c r="I154" s="84"/>
      <c r="J154" s="84"/>
      <c r="K154" s="84"/>
      <c r="L154" s="84"/>
      <c r="M154" s="84"/>
      <c r="N154" s="84"/>
      <c r="O154" s="84"/>
      <c r="V154" s="83"/>
    </row>
    <row r="155" spans="1:22" ht="20.25" customHeight="1" x14ac:dyDescent="0.25">
      <c r="A155" s="83"/>
      <c r="B155" s="84"/>
      <c r="F155" s="84"/>
      <c r="G155" s="84"/>
      <c r="H155" s="84"/>
      <c r="I155" s="84"/>
      <c r="J155" s="84"/>
      <c r="K155" s="84"/>
      <c r="L155" s="84"/>
      <c r="M155" s="84"/>
      <c r="N155" s="84"/>
      <c r="O155" s="84"/>
      <c r="V155" s="83"/>
    </row>
    <row r="156" spans="1:22" ht="20.25" customHeight="1" x14ac:dyDescent="0.25">
      <c r="A156" s="83"/>
      <c r="B156" s="84"/>
      <c r="F156" s="84"/>
      <c r="G156" s="84"/>
      <c r="H156" s="84"/>
      <c r="I156" s="84"/>
      <c r="J156" s="84"/>
      <c r="K156" s="84"/>
      <c r="L156" s="84"/>
      <c r="M156" s="84"/>
      <c r="N156" s="84"/>
      <c r="O156" s="84"/>
      <c r="V156" s="83"/>
    </row>
    <row r="157" spans="1:22" ht="20.25" customHeight="1" x14ac:dyDescent="0.25">
      <c r="A157" s="83"/>
      <c r="B157" s="84"/>
      <c r="F157" s="84"/>
      <c r="G157" s="84"/>
      <c r="H157" s="84"/>
      <c r="I157" s="84"/>
      <c r="J157" s="84"/>
      <c r="K157" s="84"/>
      <c r="L157" s="84"/>
      <c r="M157" s="84"/>
      <c r="N157" s="84"/>
      <c r="O157" s="84"/>
      <c r="V157" s="83"/>
    </row>
    <row r="158" spans="1:22" ht="20.25" customHeight="1" x14ac:dyDescent="0.25">
      <c r="A158" s="83"/>
      <c r="B158" s="84"/>
      <c r="F158" s="84"/>
      <c r="G158" s="84"/>
      <c r="H158" s="84"/>
      <c r="I158" s="84"/>
      <c r="J158" s="84"/>
      <c r="K158" s="84"/>
      <c r="L158" s="84"/>
      <c r="M158" s="84"/>
      <c r="N158" s="84"/>
      <c r="O158" s="84"/>
      <c r="V158" s="83"/>
    </row>
    <row r="159" spans="1:22" ht="20.25" customHeight="1" x14ac:dyDescent="0.25">
      <c r="A159" s="83"/>
      <c r="B159" s="84"/>
      <c r="F159" s="84"/>
      <c r="G159" s="84"/>
      <c r="H159" s="84"/>
      <c r="I159" s="84"/>
      <c r="J159" s="84"/>
      <c r="K159" s="84"/>
      <c r="L159" s="84"/>
      <c r="M159" s="84"/>
      <c r="N159" s="84"/>
      <c r="O159" s="84"/>
      <c r="V159" s="83"/>
    </row>
    <row r="160" spans="1:22" ht="20.25" customHeight="1" x14ac:dyDescent="0.25">
      <c r="A160" s="83"/>
      <c r="B160" s="84"/>
      <c r="F160" s="84"/>
      <c r="G160" s="84"/>
      <c r="H160" s="84"/>
      <c r="I160" s="84"/>
      <c r="J160" s="84"/>
      <c r="K160" s="84"/>
      <c r="L160" s="84"/>
      <c r="M160" s="84"/>
      <c r="N160" s="84"/>
      <c r="O160" s="84"/>
      <c r="V160" s="83"/>
    </row>
    <row r="161" spans="1:22" ht="20.25" customHeight="1" x14ac:dyDescent="0.25">
      <c r="A161" s="83"/>
      <c r="B161" s="84"/>
      <c r="F161" s="84"/>
      <c r="G161" s="84"/>
      <c r="H161" s="84"/>
      <c r="I161" s="84"/>
      <c r="J161" s="84"/>
      <c r="K161" s="84"/>
      <c r="L161" s="84"/>
      <c r="M161" s="84"/>
      <c r="N161" s="84"/>
      <c r="O161" s="84"/>
      <c r="V161" s="83"/>
    </row>
    <row r="162" spans="1:22" ht="20.25" customHeight="1" x14ac:dyDescent="0.25">
      <c r="A162" s="83"/>
      <c r="B162" s="84"/>
      <c r="F162" s="84"/>
      <c r="G162" s="84"/>
      <c r="H162" s="84"/>
      <c r="I162" s="84"/>
      <c r="J162" s="84"/>
      <c r="K162" s="84"/>
      <c r="L162" s="84"/>
      <c r="M162" s="84"/>
      <c r="N162" s="84"/>
      <c r="O162" s="84"/>
      <c r="V162" s="83"/>
    </row>
    <row r="163" spans="1:22" ht="20.25" customHeight="1" x14ac:dyDescent="0.25">
      <c r="A163" s="83"/>
      <c r="B163" s="84"/>
      <c r="F163" s="84"/>
      <c r="G163" s="84"/>
      <c r="H163" s="84"/>
      <c r="I163" s="84"/>
      <c r="J163" s="84"/>
      <c r="K163" s="84"/>
      <c r="L163" s="84"/>
      <c r="M163" s="84"/>
      <c r="N163" s="84"/>
      <c r="O163" s="84"/>
      <c r="V163" s="83"/>
    </row>
    <row r="164" spans="1:22" ht="20.25" customHeight="1" x14ac:dyDescent="0.25">
      <c r="A164" s="83"/>
      <c r="B164" s="84"/>
      <c r="F164" s="84"/>
      <c r="G164" s="84"/>
      <c r="H164" s="84"/>
      <c r="I164" s="84"/>
      <c r="J164" s="84"/>
      <c r="K164" s="84"/>
      <c r="L164" s="84"/>
      <c r="M164" s="84"/>
      <c r="N164" s="84"/>
      <c r="O164" s="84"/>
      <c r="V164" s="83"/>
    </row>
    <row r="165" spans="1:22" ht="20.25" customHeight="1" x14ac:dyDescent="0.25">
      <c r="A165" s="83"/>
      <c r="B165" s="84"/>
      <c r="F165" s="84"/>
      <c r="G165" s="84"/>
      <c r="H165" s="84"/>
      <c r="I165" s="84"/>
      <c r="J165" s="84"/>
      <c r="K165" s="84"/>
      <c r="L165" s="84"/>
      <c r="M165" s="84"/>
      <c r="N165" s="84"/>
      <c r="O165" s="84"/>
      <c r="V165" s="83"/>
    </row>
    <row r="166" spans="1:22" ht="20.25" customHeight="1" x14ac:dyDescent="0.25">
      <c r="A166" s="83"/>
      <c r="B166" s="84"/>
      <c r="F166" s="84"/>
      <c r="G166" s="84"/>
      <c r="H166" s="84"/>
      <c r="I166" s="84"/>
      <c r="J166" s="84"/>
      <c r="K166" s="84"/>
      <c r="L166" s="84"/>
      <c r="M166" s="84"/>
      <c r="N166" s="84"/>
      <c r="O166" s="84"/>
      <c r="V166" s="83"/>
    </row>
    <row r="167" spans="1:22" ht="20.25" customHeight="1" x14ac:dyDescent="0.25">
      <c r="A167" s="83"/>
      <c r="B167" s="84"/>
      <c r="F167" s="84"/>
      <c r="G167" s="84"/>
      <c r="H167" s="84"/>
      <c r="I167" s="84"/>
      <c r="J167" s="84"/>
      <c r="K167" s="84"/>
      <c r="L167" s="84"/>
      <c r="M167" s="84"/>
      <c r="N167" s="84"/>
      <c r="O167" s="84"/>
      <c r="V167" s="83"/>
    </row>
    <row r="168" spans="1:22" ht="20.25" customHeight="1" x14ac:dyDescent="0.25">
      <c r="A168" s="83"/>
      <c r="B168" s="84"/>
      <c r="F168" s="84"/>
      <c r="G168" s="84"/>
      <c r="H168" s="84"/>
      <c r="I168" s="84"/>
      <c r="J168" s="84"/>
      <c r="K168" s="84"/>
      <c r="L168" s="84"/>
      <c r="M168" s="84"/>
      <c r="N168" s="84"/>
      <c r="O168" s="84"/>
      <c r="V168" s="83"/>
    </row>
    <row r="169" spans="1:22" ht="20.25" customHeight="1" x14ac:dyDescent="0.25">
      <c r="A169" s="83"/>
      <c r="B169" s="84"/>
      <c r="F169" s="84"/>
      <c r="G169" s="84"/>
      <c r="H169" s="84"/>
      <c r="I169" s="84"/>
      <c r="J169" s="84"/>
      <c r="K169" s="84"/>
      <c r="L169" s="84"/>
      <c r="M169" s="84"/>
      <c r="N169" s="84"/>
      <c r="O169" s="84"/>
      <c r="V169" s="83"/>
    </row>
    <row r="170" spans="1:22" ht="20.25" customHeight="1" x14ac:dyDescent="0.25">
      <c r="A170" s="83"/>
      <c r="B170" s="84"/>
      <c r="F170" s="84"/>
      <c r="G170" s="84"/>
      <c r="H170" s="84"/>
      <c r="I170" s="84"/>
      <c r="J170" s="84"/>
      <c r="K170" s="84"/>
      <c r="L170" s="84"/>
      <c r="M170" s="84"/>
      <c r="N170" s="84"/>
      <c r="O170" s="84"/>
      <c r="V170" s="83"/>
    </row>
    <row r="171" spans="1:22" ht="20.25" customHeight="1" x14ac:dyDescent="0.25">
      <c r="A171" s="83"/>
      <c r="B171" s="84"/>
      <c r="F171" s="84"/>
      <c r="G171" s="84"/>
      <c r="H171" s="84"/>
      <c r="I171" s="84"/>
      <c r="J171" s="84"/>
      <c r="K171" s="84"/>
      <c r="L171" s="84"/>
      <c r="M171" s="84"/>
      <c r="N171" s="84"/>
      <c r="O171" s="84"/>
      <c r="V171" s="83"/>
    </row>
    <row r="172" spans="1:22" ht="20.25" customHeight="1" x14ac:dyDescent="0.25">
      <c r="A172" s="83"/>
      <c r="B172" s="84"/>
      <c r="F172" s="84"/>
      <c r="G172" s="84"/>
      <c r="H172" s="84"/>
      <c r="I172" s="84"/>
      <c r="J172" s="84"/>
      <c r="K172" s="84"/>
      <c r="L172" s="84"/>
      <c r="M172" s="84"/>
      <c r="N172" s="84"/>
      <c r="O172" s="84"/>
      <c r="V172" s="83"/>
    </row>
    <row r="173" spans="1:22" ht="20.25" customHeight="1" x14ac:dyDescent="0.25">
      <c r="A173" s="83"/>
      <c r="B173" s="84"/>
      <c r="F173" s="84"/>
      <c r="G173" s="84"/>
      <c r="H173" s="84"/>
      <c r="I173" s="84"/>
      <c r="J173" s="84"/>
      <c r="K173" s="84"/>
      <c r="L173" s="84"/>
      <c r="M173" s="84"/>
      <c r="N173" s="84"/>
      <c r="O173" s="84"/>
      <c r="V173" s="83"/>
    </row>
    <row r="174" spans="1:22" ht="20.25" customHeight="1" x14ac:dyDescent="0.25">
      <c r="A174" s="83"/>
      <c r="B174" s="84"/>
      <c r="F174" s="84"/>
      <c r="G174" s="84"/>
      <c r="H174" s="84"/>
      <c r="I174" s="84"/>
      <c r="J174" s="84"/>
      <c r="K174" s="84"/>
      <c r="L174" s="84"/>
      <c r="M174" s="84"/>
      <c r="N174" s="84"/>
      <c r="O174" s="84"/>
      <c r="V174" s="83"/>
    </row>
    <row r="175" spans="1:22" ht="20.25" customHeight="1" x14ac:dyDescent="0.25">
      <c r="A175" s="83"/>
      <c r="B175" s="84"/>
      <c r="F175" s="84"/>
      <c r="G175" s="84"/>
      <c r="H175" s="84"/>
      <c r="I175" s="84"/>
      <c r="J175" s="84"/>
      <c r="K175" s="84"/>
      <c r="L175" s="84"/>
      <c r="M175" s="84"/>
      <c r="N175" s="84"/>
      <c r="O175" s="84"/>
      <c r="V175" s="83"/>
    </row>
    <row r="176" spans="1:22" ht="20.25" customHeight="1" x14ac:dyDescent="0.25">
      <c r="A176" s="83"/>
      <c r="B176" s="84"/>
      <c r="F176" s="84"/>
      <c r="G176" s="84"/>
      <c r="H176" s="84"/>
      <c r="I176" s="84"/>
      <c r="J176" s="84"/>
      <c r="K176" s="84"/>
      <c r="L176" s="84"/>
      <c r="M176" s="84"/>
      <c r="N176" s="84"/>
      <c r="O176" s="84"/>
      <c r="V176" s="83"/>
    </row>
    <row r="177" spans="1:22" ht="20.25" customHeight="1" x14ac:dyDescent="0.25">
      <c r="A177" s="83"/>
      <c r="B177" s="84"/>
      <c r="F177" s="84"/>
      <c r="G177" s="84"/>
      <c r="H177" s="84"/>
      <c r="I177" s="84"/>
      <c r="J177" s="84"/>
      <c r="K177" s="84"/>
      <c r="L177" s="84"/>
      <c r="M177" s="84"/>
      <c r="N177" s="84"/>
      <c r="O177" s="84"/>
      <c r="V177" s="83"/>
    </row>
    <row r="178" spans="1:22" ht="20.25" customHeight="1" x14ac:dyDescent="0.25">
      <c r="A178" s="83"/>
      <c r="B178" s="84"/>
      <c r="F178" s="84"/>
      <c r="G178" s="84"/>
      <c r="H178" s="84"/>
      <c r="I178" s="84"/>
      <c r="J178" s="84"/>
      <c r="K178" s="84"/>
      <c r="L178" s="84"/>
      <c r="M178" s="84"/>
      <c r="N178" s="84"/>
      <c r="O178" s="84"/>
      <c r="V178" s="83"/>
    </row>
    <row r="179" spans="1:22" ht="20.25" customHeight="1" x14ac:dyDescent="0.25">
      <c r="A179" s="83"/>
      <c r="B179" s="84"/>
      <c r="F179" s="84"/>
      <c r="G179" s="84"/>
      <c r="H179" s="84"/>
      <c r="I179" s="84"/>
      <c r="J179" s="84"/>
      <c r="K179" s="84"/>
      <c r="L179" s="84"/>
      <c r="M179" s="84"/>
      <c r="N179" s="84"/>
      <c r="O179" s="84"/>
      <c r="V179" s="83"/>
    </row>
    <row r="180" spans="1:22" ht="20.25" customHeight="1" x14ac:dyDescent="0.25">
      <c r="A180" s="83"/>
      <c r="B180" s="84"/>
      <c r="F180" s="84"/>
      <c r="G180" s="84"/>
      <c r="H180" s="84"/>
      <c r="I180" s="84"/>
      <c r="J180" s="84"/>
      <c r="K180" s="84"/>
      <c r="L180" s="84"/>
      <c r="M180" s="84"/>
      <c r="N180" s="84"/>
      <c r="O180" s="84"/>
      <c r="V180" s="83"/>
    </row>
    <row r="181" spans="1:22" ht="20.25" customHeight="1" x14ac:dyDescent="0.25">
      <c r="A181" s="83"/>
      <c r="B181" s="84"/>
      <c r="F181" s="84"/>
      <c r="G181" s="84"/>
      <c r="H181" s="84"/>
      <c r="I181" s="84"/>
      <c r="J181" s="84"/>
      <c r="K181" s="84"/>
      <c r="L181" s="84"/>
      <c r="M181" s="84"/>
      <c r="N181" s="84"/>
      <c r="O181" s="84"/>
      <c r="V181" s="83"/>
    </row>
    <row r="182" spans="1:22" ht="20.25" customHeight="1" x14ac:dyDescent="0.25">
      <c r="A182" s="83"/>
      <c r="B182" s="84"/>
      <c r="F182" s="84"/>
      <c r="G182" s="84"/>
      <c r="H182" s="84"/>
      <c r="I182" s="84"/>
      <c r="J182" s="84"/>
      <c r="K182" s="84"/>
      <c r="L182" s="84"/>
      <c r="M182" s="84"/>
      <c r="N182" s="84"/>
      <c r="O182" s="84"/>
      <c r="V182" s="83"/>
    </row>
    <row r="183" spans="1:22" ht="20.25" customHeight="1" x14ac:dyDescent="0.25">
      <c r="A183" s="83"/>
      <c r="B183" s="84"/>
      <c r="F183" s="84"/>
      <c r="G183" s="84"/>
      <c r="H183" s="84"/>
      <c r="I183" s="84"/>
      <c r="J183" s="84"/>
      <c r="K183" s="84"/>
      <c r="L183" s="84"/>
      <c r="M183" s="84"/>
      <c r="N183" s="84"/>
      <c r="O183" s="84"/>
      <c r="V183" s="83"/>
    </row>
    <row r="184" spans="1:22" ht="20.25" customHeight="1" x14ac:dyDescent="0.25">
      <c r="A184" s="83"/>
      <c r="B184" s="84"/>
      <c r="F184" s="84"/>
      <c r="G184" s="84"/>
      <c r="H184" s="84"/>
      <c r="I184" s="84"/>
      <c r="J184" s="84"/>
      <c r="K184" s="84"/>
      <c r="L184" s="84"/>
      <c r="M184" s="84"/>
      <c r="N184" s="84"/>
      <c r="O184" s="84"/>
      <c r="V184" s="83"/>
    </row>
    <row r="185" spans="1:22" ht="20.25" customHeight="1" x14ac:dyDescent="0.25">
      <c r="A185" s="83"/>
      <c r="B185" s="84"/>
      <c r="F185" s="84"/>
      <c r="G185" s="84"/>
      <c r="H185" s="84"/>
      <c r="I185" s="84"/>
      <c r="J185" s="84"/>
      <c r="K185" s="84"/>
      <c r="L185" s="84"/>
      <c r="M185" s="84"/>
      <c r="N185" s="84"/>
      <c r="O185" s="84"/>
      <c r="V185" s="83"/>
    </row>
    <row r="186" spans="1:22" ht="20.25" customHeight="1" x14ac:dyDescent="0.25">
      <c r="A186" s="83"/>
      <c r="B186" s="84"/>
      <c r="F186" s="84"/>
      <c r="G186" s="84"/>
      <c r="H186" s="84"/>
      <c r="I186" s="84"/>
      <c r="J186" s="84"/>
      <c r="K186" s="84"/>
      <c r="L186" s="84"/>
      <c r="M186" s="84"/>
      <c r="N186" s="84"/>
      <c r="O186" s="84"/>
      <c r="V186" s="83"/>
    </row>
    <row r="187" spans="1:22" ht="20.25" customHeight="1" x14ac:dyDescent="0.25">
      <c r="A187" s="83"/>
      <c r="B187" s="84"/>
      <c r="F187" s="84"/>
      <c r="G187" s="84"/>
      <c r="H187" s="84"/>
      <c r="I187" s="84"/>
      <c r="J187" s="84"/>
      <c r="K187" s="84"/>
      <c r="L187" s="84"/>
      <c r="M187" s="84"/>
      <c r="N187" s="84"/>
      <c r="O187" s="84"/>
      <c r="V187" s="83"/>
    </row>
    <row r="188" spans="1:22" ht="20.25" customHeight="1" x14ac:dyDescent="0.25">
      <c r="A188" s="83"/>
      <c r="B188" s="84"/>
      <c r="F188" s="84"/>
      <c r="G188" s="84"/>
      <c r="H188" s="84"/>
      <c r="I188" s="84"/>
      <c r="J188" s="84"/>
      <c r="K188" s="84"/>
      <c r="L188" s="84"/>
      <c r="M188" s="84"/>
      <c r="N188" s="84"/>
      <c r="O188" s="84"/>
      <c r="V188" s="83"/>
    </row>
    <row r="189" spans="1:22" ht="20.25" customHeight="1" x14ac:dyDescent="0.25">
      <c r="A189" s="83"/>
      <c r="B189" s="84"/>
      <c r="F189" s="84"/>
      <c r="G189" s="84"/>
      <c r="H189" s="84"/>
      <c r="I189" s="84"/>
      <c r="J189" s="84"/>
      <c r="K189" s="84"/>
      <c r="L189" s="84"/>
      <c r="M189" s="84"/>
      <c r="N189" s="84"/>
      <c r="O189" s="84"/>
      <c r="V189" s="83"/>
    </row>
    <row r="190" spans="1:22" ht="20.25" customHeight="1" x14ac:dyDescent="0.25">
      <c r="A190" s="83"/>
      <c r="B190" s="84"/>
      <c r="F190" s="84"/>
      <c r="G190" s="84"/>
      <c r="H190" s="84"/>
      <c r="I190" s="84"/>
      <c r="J190" s="84"/>
      <c r="K190" s="84"/>
      <c r="L190" s="84"/>
      <c r="M190" s="84"/>
      <c r="N190" s="84"/>
      <c r="O190" s="84"/>
      <c r="V190" s="83"/>
    </row>
    <row r="191" spans="1:22" ht="20.25" customHeight="1" x14ac:dyDescent="0.25">
      <c r="A191" s="83"/>
      <c r="B191" s="84"/>
      <c r="F191" s="84"/>
      <c r="G191" s="84"/>
      <c r="H191" s="84"/>
      <c r="I191" s="84"/>
      <c r="J191" s="84"/>
      <c r="K191" s="84"/>
      <c r="L191" s="84"/>
      <c r="M191" s="84"/>
      <c r="N191" s="84"/>
      <c r="O191" s="84"/>
      <c r="V191" s="83"/>
    </row>
    <row r="192" spans="1:22" ht="20.25" customHeight="1" x14ac:dyDescent="0.25">
      <c r="A192" s="83"/>
      <c r="B192" s="84"/>
      <c r="F192" s="84"/>
      <c r="G192" s="84"/>
      <c r="H192" s="84"/>
      <c r="I192" s="84"/>
      <c r="J192" s="84"/>
      <c r="K192" s="84"/>
      <c r="L192" s="84"/>
      <c r="M192" s="84"/>
      <c r="N192" s="84"/>
      <c r="O192" s="84"/>
      <c r="V192" s="83"/>
    </row>
    <row r="193" spans="1:22" ht="20.25" customHeight="1" x14ac:dyDescent="0.25">
      <c r="A193" s="83"/>
      <c r="B193" s="84"/>
      <c r="F193" s="84"/>
      <c r="G193" s="84"/>
      <c r="H193" s="84"/>
      <c r="I193" s="84"/>
      <c r="J193" s="84"/>
      <c r="K193" s="84"/>
      <c r="L193" s="84"/>
      <c r="M193" s="84"/>
      <c r="N193" s="84"/>
      <c r="O193" s="84"/>
      <c r="V193" s="83"/>
    </row>
    <row r="194" spans="1:22" ht="20.25" customHeight="1" x14ac:dyDescent="0.25">
      <c r="A194" s="83"/>
      <c r="B194" s="84"/>
      <c r="F194" s="84"/>
      <c r="G194" s="84"/>
      <c r="H194" s="84"/>
      <c r="I194" s="84"/>
      <c r="J194" s="84"/>
      <c r="K194" s="84"/>
      <c r="L194" s="84"/>
      <c r="M194" s="84"/>
      <c r="N194" s="84"/>
      <c r="O194" s="84"/>
      <c r="V194" s="83"/>
    </row>
    <row r="195" spans="1:22" ht="20.25" customHeight="1" x14ac:dyDescent="0.25">
      <c r="A195" s="83"/>
      <c r="B195" s="84"/>
      <c r="F195" s="84"/>
      <c r="G195" s="84"/>
      <c r="H195" s="84"/>
      <c r="I195" s="84"/>
      <c r="J195" s="84"/>
      <c r="K195" s="84"/>
      <c r="L195" s="84"/>
      <c r="M195" s="84"/>
      <c r="N195" s="84"/>
      <c r="O195" s="84"/>
      <c r="V195" s="83"/>
    </row>
    <row r="196" spans="1:22" ht="20.25" customHeight="1" x14ac:dyDescent="0.25">
      <c r="A196" s="83"/>
      <c r="B196" s="84"/>
      <c r="F196" s="84"/>
      <c r="G196" s="84"/>
      <c r="H196" s="84"/>
      <c r="I196" s="84"/>
      <c r="J196" s="84"/>
      <c r="K196" s="84"/>
      <c r="L196" s="84"/>
      <c r="M196" s="84"/>
      <c r="N196" s="84"/>
      <c r="O196" s="84"/>
      <c r="V196" s="83"/>
    </row>
    <row r="197" spans="1:22" ht="20.25" customHeight="1" x14ac:dyDescent="0.25">
      <c r="A197" s="83"/>
      <c r="B197" s="84"/>
      <c r="F197" s="84"/>
      <c r="G197" s="84"/>
      <c r="H197" s="84"/>
      <c r="I197" s="84"/>
      <c r="J197" s="84"/>
      <c r="K197" s="84"/>
      <c r="L197" s="84"/>
      <c r="M197" s="84"/>
      <c r="N197" s="84"/>
      <c r="O197" s="84"/>
      <c r="V197" s="83"/>
    </row>
    <row r="198" spans="1:22" ht="20.25" customHeight="1" x14ac:dyDescent="0.25">
      <c r="A198" s="83"/>
      <c r="B198" s="84"/>
      <c r="F198" s="84"/>
      <c r="G198" s="84"/>
      <c r="H198" s="84"/>
      <c r="I198" s="84"/>
      <c r="J198" s="84"/>
      <c r="K198" s="84"/>
      <c r="L198" s="84"/>
      <c r="M198" s="84"/>
      <c r="N198" s="84"/>
      <c r="O198" s="84"/>
      <c r="V198" s="83"/>
    </row>
    <row r="199" spans="1:22" ht="20.25" customHeight="1" x14ac:dyDescent="0.25">
      <c r="A199" s="83"/>
      <c r="B199" s="84"/>
      <c r="F199" s="84"/>
      <c r="G199" s="84"/>
      <c r="H199" s="84"/>
      <c r="I199" s="84"/>
      <c r="J199" s="84"/>
      <c r="K199" s="84"/>
      <c r="L199" s="84"/>
      <c r="M199" s="84"/>
      <c r="N199" s="84"/>
      <c r="O199" s="84"/>
      <c r="V199" s="83"/>
    </row>
    <row r="200" spans="1:22" ht="20.25" customHeight="1" x14ac:dyDescent="0.25">
      <c r="A200" s="83"/>
      <c r="B200" s="84"/>
      <c r="F200" s="84"/>
      <c r="G200" s="84"/>
      <c r="H200" s="84"/>
      <c r="I200" s="84"/>
      <c r="J200" s="84"/>
      <c r="K200" s="84"/>
      <c r="L200" s="84"/>
      <c r="M200" s="84"/>
      <c r="N200" s="84"/>
      <c r="O200" s="84"/>
      <c r="V200" s="83"/>
    </row>
    <row r="201" spans="1:22" ht="20.25" customHeight="1" x14ac:dyDescent="0.25">
      <c r="A201" s="83"/>
      <c r="B201" s="84"/>
      <c r="F201" s="84"/>
      <c r="G201" s="84"/>
      <c r="H201" s="84"/>
      <c r="I201" s="84"/>
      <c r="J201" s="84"/>
      <c r="K201" s="84"/>
      <c r="L201" s="84"/>
      <c r="M201" s="84"/>
      <c r="N201" s="84"/>
      <c r="O201" s="84"/>
      <c r="V201" s="83"/>
    </row>
    <row r="202" spans="1:22" ht="20.25" customHeight="1" x14ac:dyDescent="0.25">
      <c r="A202" s="83"/>
      <c r="B202" s="84"/>
      <c r="F202" s="84"/>
      <c r="G202" s="84"/>
      <c r="H202" s="84"/>
      <c r="I202" s="84"/>
      <c r="J202" s="84"/>
      <c r="K202" s="84"/>
      <c r="L202" s="84"/>
      <c r="M202" s="84"/>
      <c r="N202" s="84"/>
      <c r="O202" s="84"/>
      <c r="V202" s="83"/>
    </row>
    <row r="203" spans="1:22" ht="20.25" customHeight="1" x14ac:dyDescent="0.25">
      <c r="A203" s="83"/>
      <c r="B203" s="84"/>
      <c r="F203" s="84"/>
      <c r="G203" s="84"/>
      <c r="H203" s="84"/>
      <c r="I203" s="84"/>
      <c r="J203" s="84"/>
      <c r="K203" s="84"/>
      <c r="L203" s="84"/>
      <c r="M203" s="84"/>
      <c r="N203" s="84"/>
      <c r="O203" s="84"/>
      <c r="V203" s="83"/>
    </row>
    <row r="204" spans="1:22" ht="20.25" customHeight="1" x14ac:dyDescent="0.25">
      <c r="A204" s="83"/>
      <c r="B204" s="84"/>
      <c r="F204" s="84"/>
      <c r="G204" s="84"/>
      <c r="H204" s="84"/>
      <c r="I204" s="84"/>
      <c r="J204" s="84"/>
      <c r="K204" s="84"/>
      <c r="L204" s="84"/>
      <c r="M204" s="84"/>
      <c r="N204" s="84"/>
      <c r="O204" s="84"/>
      <c r="V204" s="83"/>
    </row>
    <row r="205" spans="1:22" ht="20.25" customHeight="1" x14ac:dyDescent="0.25">
      <c r="A205" s="83"/>
      <c r="B205" s="84"/>
      <c r="F205" s="84"/>
      <c r="G205" s="84"/>
      <c r="H205" s="84"/>
      <c r="I205" s="84"/>
      <c r="J205" s="84"/>
      <c r="K205" s="84"/>
      <c r="L205" s="84"/>
      <c r="M205" s="84"/>
      <c r="N205" s="84"/>
      <c r="O205" s="84"/>
      <c r="V205" s="83"/>
    </row>
    <row r="206" spans="1:22" ht="20.25" customHeight="1" x14ac:dyDescent="0.25">
      <c r="A206" s="83"/>
      <c r="B206" s="84"/>
      <c r="F206" s="84"/>
      <c r="G206" s="84"/>
      <c r="H206" s="84"/>
      <c r="I206" s="84"/>
      <c r="J206" s="84"/>
      <c r="K206" s="84"/>
      <c r="L206" s="84"/>
      <c r="M206" s="84"/>
      <c r="N206" s="84"/>
      <c r="O206" s="84"/>
      <c r="V206" s="83"/>
    </row>
    <row r="207" spans="1:22" ht="20.25" customHeight="1" x14ac:dyDescent="0.25">
      <c r="A207" s="83"/>
      <c r="B207" s="84"/>
      <c r="F207" s="84"/>
      <c r="G207" s="84"/>
      <c r="H207" s="84"/>
      <c r="I207" s="84"/>
      <c r="J207" s="84"/>
      <c r="K207" s="84"/>
      <c r="L207" s="84"/>
      <c r="M207" s="84"/>
      <c r="N207" s="84"/>
      <c r="O207" s="84"/>
      <c r="V207" s="83"/>
    </row>
    <row r="208" spans="1:22" ht="20.25" customHeight="1" x14ac:dyDescent="0.25">
      <c r="A208" s="83"/>
      <c r="B208" s="84"/>
      <c r="F208" s="84"/>
      <c r="G208" s="84"/>
      <c r="H208" s="84"/>
      <c r="I208" s="84"/>
      <c r="J208" s="84"/>
      <c r="K208" s="84"/>
      <c r="L208" s="84"/>
      <c r="M208" s="84"/>
      <c r="N208" s="84"/>
      <c r="O208" s="84"/>
      <c r="V208" s="83"/>
    </row>
    <row r="209" spans="1:22" ht="20.25" customHeight="1" x14ac:dyDescent="0.25">
      <c r="A209" s="83"/>
      <c r="B209" s="84"/>
      <c r="F209" s="84"/>
      <c r="G209" s="84"/>
      <c r="H209" s="84"/>
      <c r="I209" s="84"/>
      <c r="J209" s="84"/>
      <c r="K209" s="84"/>
      <c r="L209" s="84"/>
      <c r="M209" s="84"/>
      <c r="N209" s="84"/>
      <c r="O209" s="84"/>
      <c r="V209" s="83"/>
    </row>
    <row r="210" spans="1:22" ht="20.25" customHeight="1" x14ac:dyDescent="0.25">
      <c r="A210" s="83"/>
      <c r="B210" s="84"/>
      <c r="F210" s="84"/>
      <c r="G210" s="84"/>
      <c r="H210" s="84"/>
      <c r="I210" s="84"/>
      <c r="J210" s="84"/>
      <c r="K210" s="84"/>
      <c r="L210" s="84"/>
      <c r="M210" s="84"/>
      <c r="N210" s="84"/>
      <c r="O210" s="84"/>
      <c r="V210" s="83"/>
    </row>
    <row r="211" spans="1:22" ht="20.25" customHeight="1" x14ac:dyDescent="0.25">
      <c r="A211" s="83"/>
      <c r="B211" s="84"/>
      <c r="F211" s="84"/>
      <c r="G211" s="84"/>
      <c r="H211" s="84"/>
      <c r="I211" s="84"/>
      <c r="J211" s="84"/>
      <c r="K211" s="84"/>
      <c r="L211" s="84"/>
      <c r="M211" s="84"/>
      <c r="N211" s="84"/>
      <c r="O211" s="84"/>
      <c r="V211" s="83"/>
    </row>
    <row r="212" spans="1:22" ht="20.25" customHeight="1" x14ac:dyDescent="0.25">
      <c r="A212" s="83"/>
      <c r="B212" s="84"/>
      <c r="F212" s="84"/>
      <c r="G212" s="84"/>
      <c r="H212" s="84"/>
      <c r="I212" s="84"/>
      <c r="J212" s="84"/>
      <c r="K212" s="84"/>
      <c r="L212" s="84"/>
      <c r="M212" s="84"/>
      <c r="N212" s="84"/>
      <c r="O212" s="84"/>
      <c r="V212" s="83"/>
    </row>
    <row r="213" spans="1:22" ht="20.25" customHeight="1" x14ac:dyDescent="0.25">
      <c r="A213" s="83"/>
      <c r="B213" s="84"/>
      <c r="F213" s="84"/>
      <c r="G213" s="84"/>
      <c r="H213" s="84"/>
      <c r="I213" s="84"/>
      <c r="J213" s="84"/>
      <c r="K213" s="84"/>
      <c r="L213" s="84"/>
      <c r="M213" s="84"/>
      <c r="N213" s="84"/>
      <c r="O213" s="84"/>
      <c r="V213" s="83"/>
    </row>
    <row r="214" spans="1:22" ht="20.25" customHeight="1" x14ac:dyDescent="0.25">
      <c r="A214" s="83"/>
      <c r="B214" s="84"/>
      <c r="F214" s="84"/>
      <c r="G214" s="84"/>
      <c r="H214" s="84"/>
      <c r="I214" s="84"/>
      <c r="J214" s="84"/>
      <c r="K214" s="84"/>
      <c r="L214" s="84"/>
      <c r="M214" s="84"/>
      <c r="N214" s="84"/>
      <c r="O214" s="84"/>
      <c r="V214" s="83"/>
    </row>
    <row r="215" spans="1:22" ht="20.25" customHeight="1" x14ac:dyDescent="0.25">
      <c r="A215" s="83"/>
      <c r="B215" s="84"/>
      <c r="F215" s="84"/>
      <c r="G215" s="84"/>
      <c r="H215" s="84"/>
      <c r="I215" s="84"/>
      <c r="J215" s="84"/>
      <c r="K215" s="84"/>
      <c r="L215" s="84"/>
      <c r="M215" s="84"/>
      <c r="N215" s="84"/>
      <c r="O215" s="84"/>
      <c r="V215" s="83"/>
    </row>
    <row r="216" spans="1:22" ht="20.25" customHeight="1" x14ac:dyDescent="0.25">
      <c r="A216" s="83"/>
      <c r="B216" s="84"/>
      <c r="F216" s="84"/>
      <c r="G216" s="84"/>
      <c r="H216" s="84"/>
      <c r="I216" s="84"/>
      <c r="J216" s="84"/>
      <c r="K216" s="84"/>
      <c r="L216" s="84"/>
      <c r="M216" s="84"/>
      <c r="N216" s="84"/>
      <c r="O216" s="84"/>
      <c r="V216" s="83"/>
    </row>
    <row r="217" spans="1:22" ht="20.25" customHeight="1" x14ac:dyDescent="0.25">
      <c r="A217" s="83"/>
      <c r="B217" s="84"/>
      <c r="F217" s="84"/>
      <c r="G217" s="84"/>
      <c r="H217" s="84"/>
      <c r="I217" s="84"/>
      <c r="J217" s="84"/>
      <c r="K217" s="84"/>
      <c r="L217" s="84"/>
      <c r="M217" s="84"/>
      <c r="N217" s="84"/>
      <c r="O217" s="84"/>
      <c r="V217" s="83"/>
    </row>
    <row r="218" spans="1:22" ht="20.25" customHeight="1" x14ac:dyDescent="0.25">
      <c r="A218" s="83"/>
      <c r="B218" s="84"/>
      <c r="F218" s="84"/>
      <c r="G218" s="84"/>
      <c r="H218" s="84"/>
      <c r="I218" s="84"/>
      <c r="J218" s="84"/>
      <c r="K218" s="84"/>
      <c r="L218" s="84"/>
      <c r="M218" s="84"/>
      <c r="N218" s="84"/>
      <c r="O218" s="84"/>
      <c r="V218" s="83"/>
    </row>
    <row r="219" spans="1:22" ht="20.25" customHeight="1" x14ac:dyDescent="0.25">
      <c r="A219" s="83"/>
      <c r="B219" s="84"/>
      <c r="F219" s="84"/>
      <c r="G219" s="84"/>
      <c r="H219" s="84"/>
      <c r="I219" s="84"/>
      <c r="J219" s="84"/>
      <c r="K219" s="84"/>
      <c r="L219" s="84"/>
      <c r="M219" s="84"/>
      <c r="N219" s="84"/>
      <c r="O219" s="84"/>
      <c r="V219" s="83"/>
    </row>
    <row r="220" spans="1:22" ht="20.25" customHeight="1" x14ac:dyDescent="0.25">
      <c r="A220" s="83"/>
      <c r="B220" s="84"/>
      <c r="F220" s="84"/>
      <c r="G220" s="84"/>
      <c r="H220" s="84"/>
      <c r="I220" s="84"/>
      <c r="J220" s="84"/>
      <c r="K220" s="84"/>
      <c r="L220" s="84"/>
      <c r="M220" s="84"/>
      <c r="N220" s="84"/>
      <c r="O220" s="84"/>
      <c r="V220" s="83"/>
    </row>
    <row r="221" spans="1:22" ht="20.25" customHeight="1" x14ac:dyDescent="0.25">
      <c r="A221" s="83"/>
      <c r="B221" s="84"/>
      <c r="F221" s="84"/>
      <c r="G221" s="84"/>
      <c r="H221" s="84"/>
      <c r="I221" s="84"/>
      <c r="J221" s="84"/>
      <c r="K221" s="84"/>
      <c r="L221" s="84"/>
      <c r="M221" s="84"/>
      <c r="N221" s="84"/>
      <c r="O221" s="84"/>
      <c r="V221" s="83"/>
    </row>
    <row r="222" spans="1:22" ht="20.25" customHeight="1" x14ac:dyDescent="0.25">
      <c r="A222" s="83"/>
      <c r="B222" s="84"/>
      <c r="F222" s="84"/>
      <c r="G222" s="84"/>
      <c r="H222" s="84"/>
      <c r="I222" s="84"/>
      <c r="J222" s="84"/>
      <c r="K222" s="84"/>
      <c r="L222" s="84"/>
      <c r="M222" s="84"/>
      <c r="N222" s="84"/>
      <c r="O222" s="84"/>
      <c r="V222" s="83"/>
    </row>
    <row r="223" spans="1:22" ht="20.25" customHeight="1" x14ac:dyDescent="0.25">
      <c r="A223" s="83"/>
      <c r="B223" s="84"/>
      <c r="F223" s="84"/>
      <c r="G223" s="84"/>
      <c r="H223" s="84"/>
      <c r="I223" s="84"/>
      <c r="J223" s="84"/>
      <c r="K223" s="84"/>
      <c r="L223" s="84"/>
      <c r="M223" s="84"/>
      <c r="N223" s="84"/>
      <c r="O223" s="84"/>
      <c r="V223" s="83"/>
    </row>
    <row r="224" spans="1:22" ht="20.25" customHeight="1" x14ac:dyDescent="0.25">
      <c r="A224" s="83"/>
      <c r="B224" s="84"/>
      <c r="F224" s="84"/>
      <c r="G224" s="84"/>
      <c r="H224" s="84"/>
      <c r="I224" s="84"/>
      <c r="J224" s="84"/>
      <c r="K224" s="84"/>
      <c r="L224" s="84"/>
      <c r="M224" s="84"/>
      <c r="N224" s="84"/>
      <c r="O224" s="84"/>
      <c r="V224" s="83"/>
    </row>
    <row r="225" spans="1:22" ht="20.25" customHeight="1" x14ac:dyDescent="0.25">
      <c r="A225" s="83"/>
      <c r="B225" s="84"/>
      <c r="F225" s="84"/>
      <c r="G225" s="84"/>
      <c r="H225" s="84"/>
      <c r="I225" s="84"/>
      <c r="J225" s="84"/>
      <c r="K225" s="84"/>
      <c r="L225" s="84"/>
      <c r="M225" s="84"/>
      <c r="N225" s="84"/>
      <c r="O225" s="84"/>
      <c r="V225" s="83"/>
    </row>
    <row r="226" spans="1:22" ht="20.25" customHeight="1" x14ac:dyDescent="0.25">
      <c r="A226" s="83"/>
      <c r="B226" s="84"/>
      <c r="F226" s="84"/>
      <c r="G226" s="84"/>
      <c r="H226" s="84"/>
      <c r="I226" s="84"/>
      <c r="J226" s="84"/>
      <c r="K226" s="84"/>
      <c r="L226" s="84"/>
      <c r="M226" s="84"/>
      <c r="N226" s="84"/>
      <c r="O226" s="84"/>
      <c r="V226" s="83"/>
    </row>
    <row r="227" spans="1:22" ht="20.25" customHeight="1" x14ac:dyDescent="0.25">
      <c r="A227" s="83"/>
      <c r="B227" s="84"/>
      <c r="F227" s="84"/>
      <c r="G227" s="84"/>
      <c r="H227" s="84"/>
      <c r="I227" s="84"/>
      <c r="J227" s="84"/>
      <c r="K227" s="84"/>
      <c r="L227" s="84"/>
      <c r="M227" s="84"/>
      <c r="N227" s="84"/>
      <c r="O227" s="84"/>
      <c r="V227" s="83"/>
    </row>
    <row r="228" spans="1:22" ht="20.25" customHeight="1" x14ac:dyDescent="0.25">
      <c r="A228" s="83"/>
      <c r="B228" s="84"/>
      <c r="F228" s="84"/>
      <c r="G228" s="84"/>
      <c r="H228" s="84"/>
      <c r="I228" s="84"/>
      <c r="J228" s="84"/>
      <c r="K228" s="84"/>
      <c r="L228" s="84"/>
      <c r="M228" s="84"/>
      <c r="N228" s="84"/>
      <c r="O228" s="84"/>
      <c r="V228" s="83"/>
    </row>
    <row r="229" spans="1:22" ht="20.25" customHeight="1" x14ac:dyDescent="0.25">
      <c r="A229" s="83"/>
      <c r="B229" s="84"/>
      <c r="F229" s="84"/>
      <c r="G229" s="84"/>
      <c r="H229" s="84"/>
      <c r="I229" s="84"/>
      <c r="J229" s="84"/>
      <c r="K229" s="84"/>
      <c r="L229" s="84"/>
      <c r="M229" s="84"/>
      <c r="N229" s="84"/>
      <c r="O229" s="84"/>
      <c r="V229" s="83"/>
    </row>
    <row r="230" spans="1:22" ht="20.25" customHeight="1" x14ac:dyDescent="0.25">
      <c r="A230" s="83"/>
      <c r="B230" s="84"/>
      <c r="F230" s="84"/>
      <c r="G230" s="84"/>
      <c r="H230" s="84"/>
      <c r="I230" s="84"/>
      <c r="J230" s="84"/>
      <c r="K230" s="84"/>
      <c r="L230" s="84"/>
      <c r="M230" s="84"/>
      <c r="N230" s="84"/>
      <c r="O230" s="84"/>
      <c r="V230" s="83"/>
    </row>
    <row r="231" spans="1:22" ht="20.25" customHeight="1" x14ac:dyDescent="0.25">
      <c r="A231" s="83"/>
      <c r="B231" s="84"/>
      <c r="F231" s="84"/>
      <c r="G231" s="84"/>
      <c r="H231" s="84"/>
      <c r="I231" s="84"/>
      <c r="J231" s="84"/>
      <c r="K231" s="84"/>
      <c r="L231" s="84"/>
      <c r="M231" s="84"/>
      <c r="N231" s="84"/>
      <c r="O231" s="84"/>
      <c r="V231" s="83"/>
    </row>
    <row r="232" spans="1:22" ht="20.25" customHeight="1" x14ac:dyDescent="0.25">
      <c r="A232" s="83"/>
      <c r="B232" s="84"/>
      <c r="F232" s="84"/>
      <c r="G232" s="84"/>
      <c r="H232" s="84"/>
      <c r="I232" s="84"/>
      <c r="J232" s="84"/>
      <c r="K232" s="84"/>
      <c r="L232" s="84"/>
      <c r="M232" s="84"/>
      <c r="N232" s="84"/>
      <c r="O232" s="84"/>
      <c r="V232" s="83"/>
    </row>
    <row r="233" spans="1:22" ht="20.25" customHeight="1" x14ac:dyDescent="0.25">
      <c r="A233" s="83"/>
      <c r="B233" s="84"/>
      <c r="F233" s="84"/>
      <c r="G233" s="84"/>
      <c r="H233" s="84"/>
      <c r="I233" s="84"/>
      <c r="J233" s="84"/>
      <c r="K233" s="84"/>
      <c r="L233" s="84"/>
      <c r="M233" s="84"/>
      <c r="N233" s="84"/>
      <c r="O233" s="84"/>
      <c r="V233" s="83"/>
    </row>
    <row r="234" spans="1:22" ht="20.25" customHeight="1" x14ac:dyDescent="0.25">
      <c r="A234" s="83"/>
      <c r="B234" s="84"/>
      <c r="F234" s="84"/>
      <c r="G234" s="84"/>
      <c r="H234" s="84"/>
      <c r="I234" s="84"/>
      <c r="J234" s="84"/>
      <c r="K234" s="84"/>
      <c r="L234" s="84"/>
      <c r="M234" s="84"/>
      <c r="N234" s="84"/>
      <c r="O234" s="84"/>
      <c r="V234" s="83"/>
    </row>
    <row r="235" spans="1:22" ht="20.25" customHeight="1" x14ac:dyDescent="0.25">
      <c r="A235" s="83"/>
      <c r="B235" s="84"/>
      <c r="F235" s="84"/>
      <c r="G235" s="84"/>
      <c r="H235" s="84"/>
      <c r="I235" s="84"/>
      <c r="J235" s="84"/>
      <c r="K235" s="84"/>
      <c r="L235" s="84"/>
      <c r="M235" s="84"/>
      <c r="N235" s="84"/>
      <c r="O235" s="84"/>
      <c r="V235" s="83"/>
    </row>
    <row r="236" spans="1:22" ht="20.25" customHeight="1" x14ac:dyDescent="0.25">
      <c r="A236" s="83"/>
      <c r="B236" s="84"/>
      <c r="F236" s="84"/>
      <c r="G236" s="84"/>
      <c r="H236" s="84"/>
      <c r="I236" s="84"/>
      <c r="J236" s="84"/>
      <c r="K236" s="84"/>
      <c r="L236" s="84"/>
      <c r="M236" s="84"/>
      <c r="N236" s="84"/>
      <c r="O236" s="84"/>
      <c r="V236" s="83"/>
    </row>
    <row r="237" spans="1:22" ht="20.25" customHeight="1" x14ac:dyDescent="0.25">
      <c r="A237" s="83"/>
      <c r="B237" s="84"/>
      <c r="F237" s="84"/>
      <c r="G237" s="84"/>
      <c r="H237" s="84"/>
      <c r="I237" s="84"/>
      <c r="J237" s="84"/>
      <c r="K237" s="84"/>
      <c r="L237" s="84"/>
      <c r="M237" s="84"/>
      <c r="N237" s="84"/>
      <c r="O237" s="84"/>
      <c r="V237" s="83"/>
    </row>
    <row r="238" spans="1:22" ht="20.25" customHeight="1" x14ac:dyDescent="0.25">
      <c r="A238" s="83"/>
      <c r="B238" s="84"/>
      <c r="F238" s="84"/>
      <c r="G238" s="84"/>
      <c r="H238" s="84"/>
      <c r="I238" s="84"/>
      <c r="J238" s="84"/>
      <c r="K238" s="84"/>
      <c r="L238" s="84"/>
      <c r="M238" s="84"/>
      <c r="N238" s="84"/>
      <c r="O238" s="84"/>
      <c r="V238" s="83"/>
    </row>
    <row r="239" spans="1:22" ht="20.25" customHeight="1" x14ac:dyDescent="0.25">
      <c r="A239" s="83"/>
      <c r="B239" s="84"/>
      <c r="F239" s="84"/>
      <c r="G239" s="84"/>
      <c r="H239" s="84"/>
      <c r="I239" s="84"/>
      <c r="J239" s="84"/>
      <c r="K239" s="84"/>
      <c r="L239" s="84"/>
      <c r="M239" s="84"/>
      <c r="N239" s="84"/>
      <c r="O239" s="84"/>
      <c r="V239" s="83"/>
    </row>
    <row r="240" spans="1:22" ht="20.25" customHeight="1" x14ac:dyDescent="0.25">
      <c r="A240" s="83"/>
      <c r="B240" s="84"/>
      <c r="F240" s="84"/>
      <c r="G240" s="84"/>
      <c r="H240" s="84"/>
      <c r="I240" s="84"/>
      <c r="J240" s="84"/>
      <c r="K240" s="84"/>
      <c r="L240" s="84"/>
      <c r="M240" s="84"/>
      <c r="N240" s="84"/>
      <c r="O240" s="84"/>
      <c r="V240" s="83"/>
    </row>
    <row r="241" spans="1:22" ht="20.25" customHeight="1" x14ac:dyDescent="0.25">
      <c r="A241" s="83"/>
      <c r="B241" s="84"/>
      <c r="F241" s="84"/>
      <c r="G241" s="84"/>
      <c r="H241" s="84"/>
      <c r="I241" s="84"/>
      <c r="J241" s="84"/>
      <c r="K241" s="84"/>
      <c r="L241" s="84"/>
      <c r="M241" s="84"/>
      <c r="N241" s="84"/>
      <c r="O241" s="84"/>
      <c r="V241" s="83"/>
    </row>
    <row r="242" spans="1:22" ht="20.25" customHeight="1" x14ac:dyDescent="0.25">
      <c r="A242" s="83"/>
      <c r="B242" s="84"/>
      <c r="F242" s="84"/>
      <c r="G242" s="84"/>
      <c r="H242" s="84"/>
      <c r="I242" s="84"/>
      <c r="J242" s="84"/>
      <c r="K242" s="84"/>
      <c r="L242" s="84"/>
      <c r="M242" s="84"/>
      <c r="N242" s="84"/>
      <c r="O242" s="84"/>
      <c r="V242" s="83"/>
    </row>
    <row r="243" spans="1:22" ht="20.25" customHeight="1" x14ac:dyDescent="0.25">
      <c r="A243" s="83"/>
      <c r="B243" s="84"/>
      <c r="F243" s="84"/>
      <c r="G243" s="84"/>
      <c r="H243" s="84"/>
      <c r="I243" s="84"/>
      <c r="J243" s="84"/>
      <c r="K243" s="84"/>
      <c r="L243" s="84"/>
      <c r="M243" s="84"/>
      <c r="N243" s="84"/>
      <c r="O243" s="84"/>
      <c r="V243" s="83"/>
    </row>
    <row r="244" spans="1:22" ht="20.25" customHeight="1" x14ac:dyDescent="0.25">
      <c r="A244" s="83"/>
      <c r="B244" s="84"/>
      <c r="F244" s="84"/>
      <c r="G244" s="84"/>
      <c r="H244" s="84"/>
      <c r="I244" s="84"/>
      <c r="J244" s="84"/>
      <c r="K244" s="84"/>
      <c r="L244" s="84"/>
      <c r="M244" s="84"/>
      <c r="N244" s="84"/>
      <c r="O244" s="84"/>
      <c r="V244" s="83"/>
    </row>
    <row r="245" spans="1:22" ht="20.25" customHeight="1" x14ac:dyDescent="0.25">
      <c r="A245" s="83"/>
      <c r="B245" s="84"/>
      <c r="F245" s="84"/>
      <c r="G245" s="84"/>
      <c r="H245" s="84"/>
      <c r="I245" s="84"/>
      <c r="J245" s="84"/>
      <c r="K245" s="84"/>
      <c r="L245" s="84"/>
      <c r="M245" s="84"/>
      <c r="N245" s="84"/>
      <c r="O245" s="84"/>
      <c r="V245" s="83"/>
    </row>
    <row r="246" spans="1:22" ht="20.25" customHeight="1" x14ac:dyDescent="0.25">
      <c r="A246" s="83"/>
      <c r="B246" s="84"/>
      <c r="F246" s="84"/>
      <c r="G246" s="84"/>
      <c r="H246" s="84"/>
      <c r="I246" s="84"/>
      <c r="J246" s="84"/>
      <c r="K246" s="84"/>
      <c r="L246" s="84"/>
      <c r="M246" s="84"/>
      <c r="N246" s="84"/>
      <c r="O246" s="84"/>
      <c r="V246" s="83"/>
    </row>
    <row r="247" spans="1:22" ht="20.25" customHeight="1" x14ac:dyDescent="0.25">
      <c r="A247" s="83"/>
      <c r="B247" s="84"/>
      <c r="F247" s="84"/>
      <c r="G247" s="84"/>
      <c r="H247" s="84"/>
      <c r="I247" s="84"/>
      <c r="J247" s="84"/>
      <c r="K247" s="84"/>
      <c r="L247" s="84"/>
      <c r="M247" s="84"/>
      <c r="N247" s="84"/>
      <c r="O247" s="84"/>
      <c r="V247" s="83"/>
    </row>
    <row r="248" spans="1:22" ht="20.25" customHeight="1" x14ac:dyDescent="0.25">
      <c r="A248" s="83"/>
      <c r="B248" s="84"/>
      <c r="F248" s="84"/>
      <c r="G248" s="84"/>
      <c r="H248" s="84"/>
      <c r="I248" s="84"/>
      <c r="J248" s="84"/>
      <c r="K248" s="84"/>
      <c r="L248" s="84"/>
      <c r="M248" s="84"/>
      <c r="N248" s="84"/>
      <c r="O248" s="84"/>
      <c r="V248" s="83"/>
    </row>
    <row r="249" spans="1:22" ht="20.25" customHeight="1" x14ac:dyDescent="0.25">
      <c r="A249" s="83"/>
      <c r="B249" s="84"/>
      <c r="F249" s="84"/>
      <c r="G249" s="84"/>
      <c r="H249" s="84"/>
      <c r="I249" s="84"/>
      <c r="J249" s="84"/>
      <c r="K249" s="84"/>
      <c r="L249" s="84"/>
      <c r="M249" s="84"/>
      <c r="N249" s="84"/>
      <c r="O249" s="84"/>
      <c r="V249" s="83"/>
    </row>
    <row r="250" spans="1:22" ht="20.25" customHeight="1" x14ac:dyDescent="0.25">
      <c r="A250" s="83"/>
      <c r="B250" s="84"/>
      <c r="F250" s="84"/>
      <c r="G250" s="84"/>
      <c r="H250" s="84"/>
      <c r="I250" s="84"/>
      <c r="J250" s="84"/>
      <c r="K250" s="84"/>
      <c r="L250" s="84"/>
      <c r="M250" s="84"/>
      <c r="N250" s="84"/>
      <c r="O250" s="84"/>
      <c r="V250" s="83"/>
    </row>
    <row r="251" spans="1:22" ht="20.25" customHeight="1" x14ac:dyDescent="0.25">
      <c r="A251" s="83"/>
      <c r="B251" s="84"/>
      <c r="F251" s="84"/>
      <c r="G251" s="84"/>
      <c r="H251" s="84"/>
      <c r="I251" s="84"/>
      <c r="J251" s="84"/>
      <c r="K251" s="84"/>
      <c r="L251" s="84"/>
      <c r="M251" s="84"/>
      <c r="N251" s="84"/>
      <c r="O251" s="84"/>
      <c r="V251" s="83"/>
    </row>
    <row r="252" spans="1:22" ht="20.25" customHeight="1" x14ac:dyDescent="0.25">
      <c r="A252" s="83"/>
      <c r="B252" s="84"/>
      <c r="F252" s="84"/>
      <c r="G252" s="84"/>
      <c r="H252" s="84"/>
      <c r="I252" s="84"/>
      <c r="J252" s="84"/>
      <c r="K252" s="84"/>
      <c r="L252" s="84"/>
      <c r="M252" s="84"/>
      <c r="N252" s="84"/>
      <c r="O252" s="84"/>
      <c r="V252" s="83"/>
    </row>
    <row r="253" spans="1:22" ht="20.25" customHeight="1" x14ac:dyDescent="0.25">
      <c r="A253" s="83"/>
      <c r="B253" s="84"/>
      <c r="F253" s="84"/>
      <c r="G253" s="84"/>
      <c r="H253" s="84"/>
      <c r="I253" s="84"/>
      <c r="J253" s="84"/>
      <c r="K253" s="84"/>
      <c r="L253" s="84"/>
      <c r="M253" s="84"/>
      <c r="N253" s="84"/>
      <c r="O253" s="84"/>
      <c r="V253" s="83"/>
    </row>
    <row r="254" spans="1:22" ht="20.25" customHeight="1" x14ac:dyDescent="0.25">
      <c r="A254" s="83"/>
      <c r="B254" s="84"/>
      <c r="F254" s="84"/>
      <c r="G254" s="84"/>
      <c r="H254" s="84"/>
      <c r="I254" s="84"/>
      <c r="J254" s="84"/>
      <c r="K254" s="84"/>
      <c r="L254" s="84"/>
      <c r="M254" s="84"/>
      <c r="N254" s="84"/>
      <c r="O254" s="84"/>
      <c r="V254" s="83"/>
    </row>
    <row r="255" spans="1:22" ht="20.25" customHeight="1" x14ac:dyDescent="0.25">
      <c r="A255" s="83"/>
      <c r="B255" s="84"/>
      <c r="F255" s="84"/>
      <c r="G255" s="84"/>
      <c r="H255" s="84"/>
      <c r="I255" s="84"/>
      <c r="J255" s="84"/>
      <c r="K255" s="84"/>
      <c r="L255" s="84"/>
      <c r="M255" s="84"/>
      <c r="N255" s="84"/>
      <c r="O255" s="84"/>
      <c r="V255" s="83"/>
    </row>
    <row r="256" spans="1:22" ht="20.25" customHeight="1" x14ac:dyDescent="0.25">
      <c r="A256" s="83"/>
      <c r="B256" s="84"/>
      <c r="F256" s="84"/>
      <c r="G256" s="84"/>
      <c r="H256" s="84"/>
      <c r="I256" s="84"/>
      <c r="J256" s="84"/>
      <c r="K256" s="84"/>
      <c r="L256" s="84"/>
      <c r="M256" s="84"/>
      <c r="N256" s="84"/>
      <c r="O256" s="84"/>
      <c r="V256" s="83"/>
    </row>
    <row r="257" spans="1:22" ht="20.25" customHeight="1" x14ac:dyDescent="0.25">
      <c r="A257" s="83"/>
      <c r="B257" s="84"/>
      <c r="F257" s="84"/>
      <c r="G257" s="84"/>
      <c r="H257" s="84"/>
      <c r="I257" s="84"/>
      <c r="J257" s="84"/>
      <c r="K257" s="84"/>
      <c r="L257" s="84"/>
      <c r="M257" s="84"/>
      <c r="N257" s="84"/>
      <c r="O257" s="84"/>
      <c r="V257" s="83"/>
    </row>
    <row r="258" spans="1:22" ht="20.25" customHeight="1" x14ac:dyDescent="0.25">
      <c r="A258" s="83"/>
      <c r="B258" s="84"/>
      <c r="F258" s="84"/>
      <c r="G258" s="84"/>
      <c r="H258" s="84"/>
      <c r="I258" s="84"/>
      <c r="J258" s="84"/>
      <c r="K258" s="84"/>
      <c r="L258" s="84"/>
      <c r="M258" s="84"/>
      <c r="N258" s="84"/>
      <c r="O258" s="84"/>
      <c r="V258" s="83"/>
    </row>
    <row r="259" spans="1:22" ht="20.25" customHeight="1" x14ac:dyDescent="0.25">
      <c r="A259" s="83"/>
      <c r="B259" s="84"/>
      <c r="F259" s="84"/>
      <c r="G259" s="84"/>
      <c r="H259" s="84"/>
      <c r="I259" s="84"/>
      <c r="J259" s="84"/>
      <c r="K259" s="84"/>
      <c r="L259" s="84"/>
      <c r="M259" s="84"/>
      <c r="N259" s="84"/>
      <c r="O259" s="84"/>
      <c r="V259" s="83"/>
    </row>
    <row r="260" spans="1:22" ht="20.25" customHeight="1" x14ac:dyDescent="0.25">
      <c r="A260" s="83"/>
      <c r="B260" s="84"/>
      <c r="F260" s="84"/>
      <c r="G260" s="84"/>
      <c r="H260" s="84"/>
      <c r="I260" s="84"/>
      <c r="J260" s="84"/>
      <c r="K260" s="84"/>
      <c r="L260" s="84"/>
      <c r="M260" s="84"/>
      <c r="N260" s="84"/>
      <c r="O260" s="84"/>
      <c r="V260" s="83"/>
    </row>
    <row r="261" spans="1:22" ht="20.25" customHeight="1" x14ac:dyDescent="0.25">
      <c r="A261" s="83"/>
      <c r="B261" s="84"/>
      <c r="F261" s="84"/>
      <c r="G261" s="84"/>
      <c r="H261" s="84"/>
      <c r="I261" s="84"/>
      <c r="J261" s="84"/>
      <c r="K261" s="84"/>
      <c r="L261" s="84"/>
      <c r="M261" s="84"/>
      <c r="N261" s="84"/>
      <c r="O261" s="84"/>
      <c r="V261" s="83"/>
    </row>
    <row r="262" spans="1:22" ht="20.25" customHeight="1" x14ac:dyDescent="0.25">
      <c r="A262" s="83"/>
      <c r="B262" s="84"/>
      <c r="F262" s="84"/>
      <c r="G262" s="84"/>
      <c r="H262" s="84"/>
      <c r="I262" s="84"/>
      <c r="J262" s="84"/>
      <c r="K262" s="84"/>
      <c r="L262" s="84"/>
      <c r="M262" s="84"/>
      <c r="N262" s="84"/>
      <c r="O262" s="84"/>
      <c r="V262" s="83"/>
    </row>
    <row r="263" spans="1:22" ht="20.25" customHeight="1" x14ac:dyDescent="0.25">
      <c r="A263" s="83"/>
      <c r="B263" s="84"/>
      <c r="F263" s="84"/>
      <c r="G263" s="84"/>
      <c r="H263" s="84"/>
      <c r="I263" s="84"/>
      <c r="J263" s="84"/>
      <c r="K263" s="84"/>
      <c r="L263" s="84"/>
      <c r="M263" s="84"/>
      <c r="N263" s="84"/>
      <c r="O263" s="84"/>
      <c r="V263" s="83"/>
    </row>
    <row r="264" spans="1:22" ht="20.25" customHeight="1" x14ac:dyDescent="0.25">
      <c r="A264" s="83"/>
      <c r="B264" s="84"/>
      <c r="F264" s="84"/>
      <c r="G264" s="84"/>
      <c r="H264" s="84"/>
      <c r="I264" s="84"/>
      <c r="J264" s="84"/>
      <c r="K264" s="84"/>
      <c r="L264" s="84"/>
      <c r="M264" s="84"/>
      <c r="N264" s="84"/>
      <c r="O264" s="84"/>
      <c r="V264" s="83"/>
    </row>
    <row r="265" spans="1:22" ht="20.25" customHeight="1" x14ac:dyDescent="0.25">
      <c r="A265" s="83"/>
      <c r="B265" s="84"/>
      <c r="F265" s="84"/>
      <c r="G265" s="84"/>
      <c r="H265" s="84"/>
      <c r="I265" s="84"/>
      <c r="J265" s="84"/>
      <c r="K265" s="84"/>
      <c r="L265" s="84"/>
      <c r="M265" s="84"/>
      <c r="N265" s="84"/>
      <c r="O265" s="84"/>
      <c r="V265" s="83"/>
    </row>
    <row r="266" spans="1:22" ht="20.25" customHeight="1" x14ac:dyDescent="0.25">
      <c r="A266" s="83"/>
      <c r="B266" s="84"/>
      <c r="F266" s="84"/>
      <c r="G266" s="84"/>
      <c r="H266" s="84"/>
      <c r="I266" s="84"/>
      <c r="J266" s="84"/>
      <c r="K266" s="84"/>
      <c r="L266" s="84"/>
      <c r="M266" s="84"/>
      <c r="N266" s="84"/>
      <c r="O266" s="84"/>
      <c r="V266" s="83"/>
    </row>
    <row r="267" spans="1:22" ht="20.25" customHeight="1" x14ac:dyDescent="0.25">
      <c r="A267" s="83"/>
      <c r="B267" s="84"/>
      <c r="F267" s="84"/>
      <c r="G267" s="84"/>
      <c r="H267" s="84"/>
      <c r="I267" s="84"/>
      <c r="J267" s="84"/>
      <c r="K267" s="84"/>
      <c r="L267" s="84"/>
      <c r="M267" s="84"/>
      <c r="N267" s="84"/>
      <c r="O267" s="84"/>
      <c r="V267" s="83"/>
    </row>
    <row r="268" spans="1:22" ht="20.25" customHeight="1" x14ac:dyDescent="0.25">
      <c r="A268" s="83"/>
      <c r="B268" s="84"/>
      <c r="F268" s="84"/>
      <c r="G268" s="84"/>
      <c r="H268" s="84"/>
      <c r="I268" s="84"/>
      <c r="J268" s="84"/>
      <c r="K268" s="84"/>
      <c r="L268" s="84"/>
      <c r="M268" s="84"/>
      <c r="N268" s="84"/>
      <c r="O268" s="84"/>
      <c r="V268" s="83"/>
    </row>
    <row r="269" spans="1:22" ht="20.25" customHeight="1" x14ac:dyDescent="0.25">
      <c r="A269" s="83"/>
      <c r="B269" s="84"/>
      <c r="F269" s="84"/>
      <c r="G269" s="84"/>
      <c r="H269" s="84"/>
      <c r="I269" s="84"/>
      <c r="J269" s="84"/>
      <c r="K269" s="84"/>
      <c r="L269" s="84"/>
      <c r="M269" s="84"/>
      <c r="N269" s="84"/>
      <c r="O269" s="84"/>
      <c r="V269" s="83"/>
    </row>
    <row r="270" spans="1:22" ht="20.25" customHeight="1" x14ac:dyDescent="0.25">
      <c r="A270" s="83"/>
      <c r="B270" s="84"/>
      <c r="F270" s="84"/>
      <c r="G270" s="84"/>
      <c r="H270" s="84"/>
      <c r="I270" s="84"/>
      <c r="J270" s="84"/>
      <c r="K270" s="84"/>
      <c r="L270" s="84"/>
      <c r="M270" s="84"/>
      <c r="N270" s="84"/>
      <c r="O270" s="84"/>
      <c r="V270" s="83"/>
    </row>
    <row r="271" spans="1:22" ht="20.25" customHeight="1" x14ac:dyDescent="0.25">
      <c r="A271" s="83"/>
      <c r="B271" s="84"/>
      <c r="F271" s="84"/>
      <c r="G271" s="84"/>
      <c r="H271" s="84"/>
      <c r="I271" s="84"/>
      <c r="J271" s="84"/>
      <c r="K271" s="84"/>
      <c r="L271" s="84"/>
      <c r="M271" s="84"/>
      <c r="N271" s="84"/>
      <c r="O271" s="84"/>
      <c r="V271" s="83"/>
    </row>
    <row r="272" spans="1:22" ht="20.25" customHeight="1" x14ac:dyDescent="0.25">
      <c r="A272" s="83"/>
      <c r="B272" s="84"/>
      <c r="F272" s="84"/>
      <c r="G272" s="84"/>
      <c r="H272" s="84"/>
      <c r="I272" s="84"/>
      <c r="J272" s="84"/>
      <c r="K272" s="84"/>
      <c r="L272" s="84"/>
      <c r="M272" s="84"/>
      <c r="N272" s="84"/>
      <c r="O272" s="84"/>
      <c r="V272" s="83"/>
    </row>
    <row r="273" spans="1:22" ht="20.25" customHeight="1" x14ac:dyDescent="0.25">
      <c r="A273" s="83"/>
      <c r="B273" s="84"/>
      <c r="F273" s="84"/>
      <c r="G273" s="84"/>
      <c r="H273" s="84"/>
      <c r="I273" s="84"/>
      <c r="J273" s="84"/>
      <c r="K273" s="84"/>
      <c r="L273" s="84"/>
      <c r="M273" s="84"/>
      <c r="N273" s="84"/>
      <c r="O273" s="84"/>
      <c r="V273" s="83"/>
    </row>
    <row r="274" spans="1:22" ht="20.25" customHeight="1" x14ac:dyDescent="0.25">
      <c r="A274" s="83"/>
      <c r="B274" s="84"/>
      <c r="F274" s="84"/>
      <c r="G274" s="84"/>
      <c r="H274" s="84"/>
      <c r="I274" s="84"/>
      <c r="J274" s="84"/>
      <c r="K274" s="84"/>
      <c r="L274" s="84"/>
      <c r="M274" s="84"/>
      <c r="N274" s="84"/>
      <c r="O274" s="84"/>
      <c r="V274" s="83"/>
    </row>
    <row r="275" spans="1:22" ht="20.25" customHeight="1" x14ac:dyDescent="0.25">
      <c r="A275" s="83"/>
      <c r="B275" s="84"/>
      <c r="F275" s="84"/>
      <c r="G275" s="84"/>
      <c r="H275" s="84"/>
      <c r="I275" s="84"/>
      <c r="J275" s="84"/>
      <c r="K275" s="84"/>
      <c r="L275" s="84"/>
      <c r="M275" s="84"/>
      <c r="N275" s="84"/>
      <c r="O275" s="84"/>
      <c r="V275" s="83"/>
    </row>
    <row r="276" spans="1:22" ht="20.25" customHeight="1" x14ac:dyDescent="0.25">
      <c r="A276" s="83"/>
      <c r="B276" s="84"/>
      <c r="F276" s="84"/>
      <c r="G276" s="84"/>
      <c r="H276" s="84"/>
      <c r="I276" s="84"/>
      <c r="J276" s="84"/>
      <c r="K276" s="84"/>
      <c r="L276" s="84"/>
      <c r="M276" s="84"/>
      <c r="N276" s="84"/>
      <c r="O276" s="84"/>
      <c r="V276" s="83"/>
    </row>
    <row r="277" spans="1:22" ht="20.25" customHeight="1" x14ac:dyDescent="0.25">
      <c r="A277" s="83"/>
      <c r="B277" s="84"/>
      <c r="F277" s="84"/>
      <c r="G277" s="84"/>
      <c r="H277" s="84"/>
      <c r="I277" s="84"/>
      <c r="J277" s="84"/>
      <c r="K277" s="84"/>
      <c r="L277" s="84"/>
      <c r="M277" s="84"/>
      <c r="N277" s="84"/>
      <c r="O277" s="84"/>
      <c r="V277" s="83"/>
    </row>
    <row r="278" spans="1:22" ht="20.25" customHeight="1" x14ac:dyDescent="0.25">
      <c r="A278" s="83"/>
      <c r="B278" s="84"/>
      <c r="F278" s="84"/>
      <c r="G278" s="84"/>
      <c r="H278" s="84"/>
      <c r="I278" s="84"/>
      <c r="J278" s="84"/>
      <c r="K278" s="84"/>
      <c r="L278" s="84"/>
      <c r="M278" s="84"/>
      <c r="N278" s="84"/>
      <c r="O278" s="84"/>
      <c r="V278" s="83"/>
    </row>
    <row r="279" spans="1:22" ht="20.25" customHeight="1" x14ac:dyDescent="0.25">
      <c r="A279" s="83"/>
      <c r="B279" s="84"/>
      <c r="F279" s="84"/>
      <c r="G279" s="84"/>
      <c r="H279" s="84"/>
      <c r="I279" s="84"/>
      <c r="J279" s="84"/>
      <c r="K279" s="84"/>
      <c r="L279" s="84"/>
      <c r="M279" s="84"/>
      <c r="N279" s="84"/>
      <c r="O279" s="84"/>
      <c r="V279" s="83"/>
    </row>
    <row r="280" spans="1:22" ht="20.25" customHeight="1" x14ac:dyDescent="0.25">
      <c r="A280" s="83"/>
      <c r="B280" s="84"/>
      <c r="F280" s="84"/>
      <c r="G280" s="84"/>
      <c r="H280" s="84"/>
      <c r="I280" s="84"/>
      <c r="J280" s="84"/>
      <c r="K280" s="84"/>
      <c r="L280" s="84"/>
      <c r="M280" s="84"/>
      <c r="N280" s="84"/>
      <c r="O280" s="84"/>
      <c r="V280" s="83"/>
    </row>
    <row r="281" spans="1:22" ht="20.25" customHeight="1" x14ac:dyDescent="0.25">
      <c r="A281" s="83"/>
      <c r="B281" s="84"/>
      <c r="F281" s="84"/>
      <c r="G281" s="84"/>
      <c r="H281" s="84"/>
      <c r="I281" s="84"/>
      <c r="J281" s="84"/>
      <c r="K281" s="84"/>
      <c r="L281" s="84"/>
      <c r="M281" s="84"/>
      <c r="N281" s="84"/>
      <c r="O281" s="84"/>
      <c r="V281" s="83"/>
    </row>
    <row r="282" spans="1:22" ht="20.25" customHeight="1" x14ac:dyDescent="0.25">
      <c r="A282" s="83"/>
      <c r="B282" s="84"/>
      <c r="F282" s="84"/>
      <c r="G282" s="84"/>
      <c r="H282" s="84"/>
      <c r="I282" s="84"/>
      <c r="J282" s="84"/>
      <c r="K282" s="84"/>
      <c r="L282" s="84"/>
      <c r="M282" s="84"/>
      <c r="N282" s="84"/>
      <c r="O282" s="84"/>
      <c r="V282" s="83"/>
    </row>
    <row r="283" spans="1:22" ht="20.25" customHeight="1" x14ac:dyDescent="0.25">
      <c r="A283" s="83"/>
      <c r="B283" s="84"/>
      <c r="F283" s="84"/>
      <c r="G283" s="84"/>
      <c r="H283" s="84"/>
      <c r="I283" s="84"/>
      <c r="J283" s="84"/>
      <c r="K283" s="84"/>
      <c r="L283" s="84"/>
      <c r="M283" s="84"/>
      <c r="N283" s="84"/>
      <c r="O283" s="84"/>
      <c r="V283" s="83"/>
    </row>
    <row r="284" spans="1:22" ht="20.25" customHeight="1" x14ac:dyDescent="0.25">
      <c r="A284" s="83"/>
      <c r="B284" s="84"/>
      <c r="F284" s="84"/>
      <c r="G284" s="84"/>
      <c r="H284" s="84"/>
      <c r="I284" s="84"/>
      <c r="J284" s="84"/>
      <c r="K284" s="84"/>
      <c r="L284" s="84"/>
      <c r="M284" s="84"/>
      <c r="N284" s="84"/>
      <c r="O284" s="84"/>
      <c r="V284" s="83"/>
    </row>
    <row r="285" spans="1:22" ht="20.25" customHeight="1" x14ac:dyDescent="0.25">
      <c r="A285" s="83"/>
      <c r="B285" s="84"/>
      <c r="F285" s="84"/>
      <c r="G285" s="84"/>
      <c r="H285" s="84"/>
      <c r="I285" s="84"/>
      <c r="J285" s="84"/>
      <c r="K285" s="84"/>
      <c r="L285" s="84"/>
      <c r="M285" s="84"/>
      <c r="N285" s="84"/>
      <c r="O285" s="84"/>
      <c r="V285" s="83"/>
    </row>
    <row r="286" spans="1:22" ht="20.25" customHeight="1" x14ac:dyDescent="0.25">
      <c r="A286" s="83"/>
      <c r="B286" s="84"/>
      <c r="F286" s="84"/>
      <c r="G286" s="84"/>
      <c r="H286" s="84"/>
      <c r="I286" s="84"/>
      <c r="J286" s="84"/>
      <c r="K286" s="84"/>
      <c r="L286" s="84"/>
      <c r="M286" s="84"/>
      <c r="N286" s="84"/>
      <c r="O286" s="84"/>
      <c r="V286" s="83"/>
    </row>
    <row r="287" spans="1:22" ht="20.25" customHeight="1" x14ac:dyDescent="0.25">
      <c r="A287" s="83"/>
      <c r="B287" s="84"/>
      <c r="F287" s="84"/>
      <c r="G287" s="84"/>
      <c r="H287" s="84"/>
      <c r="I287" s="84"/>
      <c r="J287" s="84"/>
      <c r="K287" s="84"/>
      <c r="L287" s="84"/>
      <c r="M287" s="84"/>
      <c r="N287" s="84"/>
      <c r="O287" s="84"/>
      <c r="V287" s="83"/>
    </row>
    <row r="288" spans="1:22" ht="20.25" customHeight="1" x14ac:dyDescent="0.25">
      <c r="A288" s="83"/>
      <c r="B288" s="84"/>
      <c r="F288" s="84"/>
      <c r="G288" s="84"/>
      <c r="H288" s="84"/>
      <c r="I288" s="84"/>
      <c r="J288" s="84"/>
      <c r="K288" s="84"/>
      <c r="L288" s="84"/>
      <c r="M288" s="84"/>
      <c r="N288" s="84"/>
      <c r="O288" s="84"/>
      <c r="V288" s="83"/>
    </row>
    <row r="289" spans="1:22" ht="20.25" customHeight="1" x14ac:dyDescent="0.25">
      <c r="A289" s="83"/>
      <c r="B289" s="84"/>
      <c r="F289" s="84"/>
      <c r="G289" s="84"/>
      <c r="H289" s="84"/>
      <c r="I289" s="84"/>
      <c r="J289" s="84"/>
      <c r="K289" s="84"/>
      <c r="L289" s="84"/>
      <c r="M289" s="84"/>
      <c r="N289" s="84"/>
      <c r="O289" s="84"/>
      <c r="V289" s="83"/>
    </row>
    <row r="290" spans="1:22" ht="20.25" customHeight="1" x14ac:dyDescent="0.25">
      <c r="A290" s="83"/>
      <c r="B290" s="84"/>
      <c r="F290" s="84"/>
      <c r="G290" s="84"/>
      <c r="H290" s="84"/>
      <c r="I290" s="84"/>
      <c r="J290" s="84"/>
      <c r="K290" s="84"/>
      <c r="L290" s="84"/>
      <c r="M290" s="84"/>
      <c r="N290" s="84"/>
      <c r="O290" s="84"/>
      <c r="V290" s="83"/>
    </row>
    <row r="291" spans="1:22" ht="20.25" customHeight="1" x14ac:dyDescent="0.25">
      <c r="A291" s="83"/>
      <c r="B291" s="84"/>
      <c r="F291" s="84"/>
      <c r="G291" s="84"/>
      <c r="H291" s="84"/>
      <c r="I291" s="84"/>
      <c r="J291" s="84"/>
      <c r="K291" s="84"/>
      <c r="L291" s="84"/>
      <c r="M291" s="84"/>
      <c r="N291" s="84"/>
      <c r="O291" s="84"/>
      <c r="V291" s="83"/>
    </row>
    <row r="292" spans="1:22" ht="20.25" customHeight="1" x14ac:dyDescent="0.25">
      <c r="A292" s="83"/>
      <c r="B292" s="84"/>
      <c r="F292" s="84"/>
      <c r="G292" s="84"/>
      <c r="H292" s="84"/>
      <c r="I292" s="84"/>
      <c r="J292" s="84"/>
      <c r="K292" s="84"/>
      <c r="L292" s="84"/>
      <c r="M292" s="84"/>
      <c r="N292" s="84"/>
      <c r="O292" s="84"/>
      <c r="V292" s="83"/>
    </row>
    <row r="293" spans="1:22" ht="20.25" customHeight="1" x14ac:dyDescent="0.25">
      <c r="A293" s="83"/>
      <c r="B293" s="84"/>
      <c r="F293" s="84"/>
      <c r="G293" s="84"/>
      <c r="H293" s="84"/>
      <c r="I293" s="84"/>
      <c r="J293" s="84"/>
      <c r="K293" s="84"/>
      <c r="L293" s="84"/>
      <c r="M293" s="84"/>
      <c r="N293" s="84"/>
      <c r="O293" s="84"/>
      <c r="V293" s="83"/>
    </row>
    <row r="294" spans="1:22" ht="20.25" customHeight="1" x14ac:dyDescent="0.25">
      <c r="A294" s="83"/>
      <c r="B294" s="84"/>
      <c r="F294" s="84"/>
      <c r="G294" s="84"/>
      <c r="H294" s="84"/>
      <c r="I294" s="84"/>
      <c r="J294" s="84"/>
      <c r="K294" s="84"/>
      <c r="L294" s="84"/>
      <c r="M294" s="84"/>
      <c r="N294" s="84"/>
      <c r="O294" s="84"/>
      <c r="V294" s="83"/>
    </row>
    <row r="295" spans="1:22" ht="20.25" customHeight="1" x14ac:dyDescent="0.25">
      <c r="A295" s="83"/>
      <c r="B295" s="84"/>
      <c r="F295" s="84"/>
      <c r="G295" s="84"/>
      <c r="H295" s="84"/>
      <c r="I295" s="84"/>
      <c r="J295" s="84"/>
      <c r="K295" s="84"/>
      <c r="L295" s="84"/>
      <c r="M295" s="84"/>
      <c r="N295" s="84"/>
      <c r="O295" s="84"/>
      <c r="V295" s="83"/>
    </row>
    <row r="296" spans="1:22" ht="20.25" customHeight="1" x14ac:dyDescent="0.25">
      <c r="A296" s="83"/>
      <c r="B296" s="84"/>
      <c r="F296" s="84"/>
      <c r="G296" s="84"/>
      <c r="H296" s="84"/>
      <c r="I296" s="84"/>
      <c r="J296" s="84"/>
      <c r="K296" s="84"/>
      <c r="L296" s="84"/>
      <c r="M296" s="84"/>
      <c r="N296" s="84"/>
      <c r="O296" s="84"/>
      <c r="V296" s="83"/>
    </row>
    <row r="297" spans="1:22" ht="20.25" customHeight="1" x14ac:dyDescent="0.25">
      <c r="A297" s="83"/>
      <c r="B297" s="84"/>
      <c r="F297" s="84"/>
      <c r="G297" s="84"/>
      <c r="H297" s="84"/>
      <c r="I297" s="84"/>
      <c r="J297" s="84"/>
      <c r="K297" s="84"/>
      <c r="L297" s="84"/>
      <c r="M297" s="84"/>
      <c r="N297" s="84"/>
      <c r="O297" s="84"/>
      <c r="V297" s="83"/>
    </row>
    <row r="298" spans="1:22" ht="20.25" customHeight="1" x14ac:dyDescent="0.25">
      <c r="A298" s="83"/>
      <c r="B298" s="84"/>
      <c r="F298" s="84"/>
      <c r="G298" s="84"/>
      <c r="H298" s="84"/>
      <c r="I298" s="84"/>
      <c r="J298" s="84"/>
      <c r="K298" s="84"/>
      <c r="L298" s="84"/>
      <c r="M298" s="84"/>
      <c r="N298" s="84"/>
      <c r="O298" s="84"/>
      <c r="V298" s="83"/>
    </row>
    <row r="299" spans="1:22" ht="20.25" customHeight="1" x14ac:dyDescent="0.25">
      <c r="A299" s="83"/>
      <c r="B299" s="84"/>
      <c r="F299" s="84"/>
      <c r="G299" s="84"/>
      <c r="H299" s="84"/>
      <c r="I299" s="84"/>
      <c r="J299" s="84"/>
      <c r="K299" s="84"/>
      <c r="L299" s="84"/>
      <c r="M299" s="84"/>
      <c r="N299" s="84"/>
      <c r="O299" s="84"/>
      <c r="V299" s="83"/>
    </row>
    <row r="300" spans="1:22" ht="20.25" customHeight="1" x14ac:dyDescent="0.25">
      <c r="A300" s="83"/>
      <c r="B300" s="84"/>
      <c r="F300" s="84"/>
      <c r="G300" s="84"/>
      <c r="H300" s="84"/>
      <c r="I300" s="84"/>
      <c r="J300" s="84"/>
      <c r="K300" s="84"/>
      <c r="L300" s="84"/>
      <c r="M300" s="84"/>
      <c r="N300" s="84"/>
      <c r="O300" s="84"/>
      <c r="V300" s="83"/>
    </row>
    <row r="301" spans="1:22" ht="20.25" customHeight="1" x14ac:dyDescent="0.25">
      <c r="A301" s="83"/>
      <c r="B301" s="84"/>
      <c r="F301" s="84"/>
      <c r="G301" s="84"/>
      <c r="H301" s="84"/>
      <c r="I301" s="84"/>
      <c r="J301" s="84"/>
      <c r="K301" s="84"/>
      <c r="L301" s="84"/>
      <c r="M301" s="84"/>
      <c r="N301" s="84"/>
      <c r="O301" s="84"/>
      <c r="V301" s="83"/>
    </row>
    <row r="302" spans="1:22" ht="20.25" customHeight="1" x14ac:dyDescent="0.25">
      <c r="A302" s="83"/>
      <c r="B302" s="84"/>
      <c r="F302" s="84"/>
      <c r="G302" s="84"/>
      <c r="H302" s="84"/>
      <c r="I302" s="84"/>
      <c r="J302" s="84"/>
      <c r="K302" s="84"/>
      <c r="L302" s="84"/>
      <c r="M302" s="84"/>
      <c r="N302" s="84"/>
      <c r="O302" s="84"/>
      <c r="V302" s="83"/>
    </row>
    <row r="303" spans="1:22" ht="20.25" customHeight="1" x14ac:dyDescent="0.25">
      <c r="A303" s="83"/>
      <c r="B303" s="84"/>
      <c r="F303" s="84"/>
      <c r="G303" s="84"/>
      <c r="H303" s="84"/>
      <c r="I303" s="84"/>
      <c r="J303" s="84"/>
      <c r="K303" s="84"/>
      <c r="L303" s="84"/>
      <c r="M303" s="84"/>
      <c r="N303" s="84"/>
      <c r="O303" s="84"/>
      <c r="V303" s="83"/>
    </row>
    <row r="304" spans="1:22" ht="20.25" customHeight="1" x14ac:dyDescent="0.25">
      <c r="A304" s="83"/>
      <c r="B304" s="84"/>
      <c r="F304" s="84"/>
      <c r="G304" s="84"/>
      <c r="H304" s="84"/>
      <c r="I304" s="84"/>
      <c r="J304" s="84"/>
      <c r="K304" s="84"/>
      <c r="L304" s="84"/>
      <c r="M304" s="84"/>
      <c r="N304" s="84"/>
      <c r="O304" s="84"/>
      <c r="V304" s="83"/>
    </row>
    <row r="305" spans="1:22" ht="20.25" customHeight="1" x14ac:dyDescent="0.25">
      <c r="A305" s="83"/>
      <c r="B305" s="84"/>
      <c r="F305" s="84"/>
      <c r="G305" s="84"/>
      <c r="H305" s="84"/>
      <c r="I305" s="84"/>
      <c r="J305" s="84"/>
      <c r="K305" s="84"/>
      <c r="L305" s="84"/>
      <c r="M305" s="84"/>
      <c r="N305" s="84"/>
      <c r="O305" s="84"/>
      <c r="V305" s="83"/>
    </row>
    <row r="306" spans="1:22" ht="20.25" customHeight="1" x14ac:dyDescent="0.25">
      <c r="A306" s="83"/>
      <c r="B306" s="84"/>
      <c r="F306" s="84"/>
      <c r="G306" s="84"/>
      <c r="H306" s="84"/>
      <c r="I306" s="84"/>
      <c r="J306" s="84"/>
      <c r="K306" s="84"/>
      <c r="L306" s="84"/>
      <c r="M306" s="84"/>
      <c r="N306" s="84"/>
      <c r="O306" s="84"/>
      <c r="V306" s="83"/>
    </row>
    <row r="307" spans="1:22" ht="20.25" customHeight="1" x14ac:dyDescent="0.25">
      <c r="A307" s="83"/>
      <c r="B307" s="84"/>
      <c r="F307" s="84"/>
      <c r="G307" s="84"/>
      <c r="H307" s="84"/>
      <c r="I307" s="84"/>
      <c r="J307" s="84"/>
      <c r="K307" s="84"/>
      <c r="L307" s="84"/>
      <c r="M307" s="84"/>
      <c r="N307" s="84"/>
      <c r="O307" s="84"/>
      <c r="V307" s="83"/>
    </row>
    <row r="308" spans="1:22" ht="20.25" customHeight="1" x14ac:dyDescent="0.25">
      <c r="A308" s="83"/>
      <c r="B308" s="84"/>
      <c r="F308" s="84"/>
      <c r="G308" s="84"/>
      <c r="H308" s="84"/>
      <c r="I308" s="84"/>
      <c r="J308" s="84"/>
      <c r="K308" s="84"/>
      <c r="L308" s="84"/>
      <c r="M308" s="84"/>
      <c r="N308" s="84"/>
      <c r="O308" s="84"/>
      <c r="V308" s="83"/>
    </row>
    <row r="309" spans="1:22" ht="20.25" customHeight="1" x14ac:dyDescent="0.25">
      <c r="A309" s="83"/>
      <c r="B309" s="84"/>
      <c r="F309" s="84"/>
      <c r="G309" s="84"/>
      <c r="H309" s="84"/>
      <c r="I309" s="84"/>
      <c r="J309" s="84"/>
      <c r="K309" s="84"/>
      <c r="L309" s="84"/>
      <c r="M309" s="84"/>
      <c r="N309" s="84"/>
      <c r="O309" s="84"/>
      <c r="V309" s="83"/>
    </row>
    <row r="310" spans="1:22" ht="20.25" customHeight="1" x14ac:dyDescent="0.25">
      <c r="A310" s="83"/>
      <c r="B310" s="84"/>
      <c r="F310" s="84"/>
      <c r="G310" s="84"/>
      <c r="H310" s="84"/>
      <c r="I310" s="84"/>
      <c r="J310" s="84"/>
      <c r="K310" s="84"/>
      <c r="L310" s="84"/>
      <c r="M310" s="84"/>
      <c r="N310" s="84"/>
      <c r="O310" s="84"/>
      <c r="V310" s="83"/>
    </row>
    <row r="311" spans="1:22" ht="20.25" customHeight="1" x14ac:dyDescent="0.25">
      <c r="A311" s="83"/>
      <c r="B311" s="84"/>
      <c r="F311" s="84"/>
      <c r="G311" s="84"/>
      <c r="H311" s="84"/>
      <c r="I311" s="84"/>
      <c r="J311" s="84"/>
      <c r="K311" s="84"/>
      <c r="L311" s="84"/>
      <c r="M311" s="84"/>
      <c r="N311" s="84"/>
      <c r="O311" s="84"/>
      <c r="V311" s="83"/>
    </row>
    <row r="312" spans="1:22" ht="20.25" customHeight="1" x14ac:dyDescent="0.25">
      <c r="A312" s="83"/>
      <c r="B312" s="84"/>
      <c r="F312" s="84"/>
      <c r="G312" s="84"/>
      <c r="H312" s="84"/>
      <c r="I312" s="84"/>
      <c r="J312" s="84"/>
      <c r="K312" s="84"/>
      <c r="L312" s="84"/>
      <c r="M312" s="84"/>
      <c r="N312" s="84"/>
      <c r="O312" s="84"/>
      <c r="V312" s="83"/>
    </row>
    <row r="313" spans="1:22" ht="20.25" customHeight="1" x14ac:dyDescent="0.25">
      <c r="A313" s="83"/>
      <c r="B313" s="84"/>
      <c r="F313" s="84"/>
      <c r="G313" s="84"/>
      <c r="H313" s="84"/>
      <c r="I313" s="84"/>
      <c r="J313" s="84"/>
      <c r="K313" s="84"/>
      <c r="L313" s="84"/>
      <c r="M313" s="84"/>
      <c r="N313" s="84"/>
      <c r="O313" s="84"/>
      <c r="V313" s="83"/>
    </row>
    <row r="314" spans="1:22" ht="20.25" customHeight="1" x14ac:dyDescent="0.25">
      <c r="A314" s="83"/>
      <c r="B314" s="84"/>
      <c r="F314" s="84"/>
      <c r="G314" s="84"/>
      <c r="H314" s="84"/>
      <c r="I314" s="84"/>
      <c r="J314" s="84"/>
      <c r="K314" s="84"/>
      <c r="L314" s="84"/>
      <c r="M314" s="84"/>
      <c r="N314" s="84"/>
      <c r="O314" s="84"/>
      <c r="V314" s="83"/>
    </row>
    <row r="315" spans="1:22" ht="20.25" customHeight="1" x14ac:dyDescent="0.25">
      <c r="A315" s="83"/>
      <c r="B315" s="84"/>
      <c r="F315" s="84"/>
      <c r="G315" s="84"/>
      <c r="H315" s="84"/>
      <c r="I315" s="84"/>
      <c r="J315" s="84"/>
      <c r="K315" s="84"/>
      <c r="L315" s="84"/>
      <c r="M315" s="84"/>
      <c r="N315" s="84"/>
      <c r="O315" s="84"/>
      <c r="V315" s="83"/>
    </row>
    <row r="316" spans="1:22" ht="20.25" customHeight="1" x14ac:dyDescent="0.25">
      <c r="A316" s="83"/>
      <c r="B316" s="84"/>
      <c r="F316" s="84"/>
      <c r="G316" s="84"/>
      <c r="H316" s="84"/>
      <c r="I316" s="84"/>
      <c r="J316" s="84"/>
      <c r="K316" s="84"/>
      <c r="L316" s="84"/>
      <c r="M316" s="84"/>
      <c r="N316" s="84"/>
      <c r="O316" s="84"/>
      <c r="V316" s="83"/>
    </row>
    <row r="317" spans="1:22" ht="20.25" customHeight="1" x14ac:dyDescent="0.25">
      <c r="A317" s="83"/>
      <c r="B317" s="84"/>
      <c r="F317" s="84"/>
      <c r="G317" s="84"/>
      <c r="H317" s="84"/>
      <c r="I317" s="84"/>
      <c r="J317" s="84"/>
      <c r="K317" s="84"/>
      <c r="L317" s="84"/>
      <c r="M317" s="84"/>
      <c r="N317" s="84"/>
      <c r="O317" s="84"/>
      <c r="V317" s="83"/>
    </row>
    <row r="318" spans="1:22" ht="20.25" customHeight="1" x14ac:dyDescent="0.25">
      <c r="A318" s="83"/>
      <c r="B318" s="84"/>
      <c r="F318" s="84"/>
      <c r="G318" s="84"/>
      <c r="H318" s="84"/>
      <c r="I318" s="84"/>
      <c r="J318" s="84"/>
      <c r="K318" s="84"/>
      <c r="L318" s="84"/>
      <c r="M318" s="84"/>
      <c r="N318" s="84"/>
      <c r="O318" s="84"/>
      <c r="V318" s="83"/>
    </row>
    <row r="319" spans="1:22" ht="20.25" customHeight="1" x14ac:dyDescent="0.25">
      <c r="A319" s="83"/>
      <c r="B319" s="84"/>
      <c r="F319" s="84"/>
      <c r="G319" s="84"/>
      <c r="H319" s="84"/>
      <c r="I319" s="84"/>
      <c r="J319" s="84"/>
      <c r="K319" s="84"/>
      <c r="L319" s="84"/>
      <c r="M319" s="84"/>
      <c r="N319" s="84"/>
      <c r="O319" s="84"/>
      <c r="V319" s="83"/>
    </row>
    <row r="320" spans="1:22" ht="20.25" customHeight="1" x14ac:dyDescent="0.25">
      <c r="A320" s="83"/>
      <c r="B320" s="84"/>
      <c r="F320" s="84"/>
      <c r="G320" s="84"/>
      <c r="H320" s="84"/>
      <c r="I320" s="84"/>
      <c r="J320" s="84"/>
      <c r="K320" s="84"/>
      <c r="L320" s="84"/>
      <c r="M320" s="84"/>
      <c r="N320" s="84"/>
      <c r="O320" s="84"/>
      <c r="V320" s="83"/>
    </row>
    <row r="321" spans="1:22" ht="20.25" customHeight="1" x14ac:dyDescent="0.25">
      <c r="A321" s="83"/>
      <c r="B321" s="84"/>
      <c r="F321" s="84"/>
      <c r="G321" s="84"/>
      <c r="H321" s="84"/>
      <c r="I321" s="84"/>
      <c r="J321" s="84"/>
      <c r="K321" s="84"/>
      <c r="L321" s="84"/>
      <c r="M321" s="84"/>
      <c r="N321" s="84"/>
      <c r="O321" s="84"/>
      <c r="V321" s="83"/>
    </row>
    <row r="322" spans="1:22" ht="20.25" customHeight="1" x14ac:dyDescent="0.25">
      <c r="A322" s="83"/>
      <c r="B322" s="84"/>
      <c r="F322" s="84"/>
      <c r="G322" s="84"/>
      <c r="H322" s="84"/>
      <c r="I322" s="84"/>
      <c r="J322" s="84"/>
      <c r="K322" s="84"/>
      <c r="L322" s="84"/>
      <c r="M322" s="84"/>
      <c r="N322" s="84"/>
      <c r="O322" s="84"/>
      <c r="V322" s="83"/>
    </row>
    <row r="323" spans="1:22" ht="20.25" customHeight="1" x14ac:dyDescent="0.25">
      <c r="A323" s="83"/>
      <c r="B323" s="84"/>
      <c r="F323" s="84"/>
      <c r="G323" s="84"/>
      <c r="H323" s="84"/>
      <c r="I323" s="84"/>
      <c r="J323" s="84"/>
      <c r="K323" s="84"/>
      <c r="L323" s="84"/>
      <c r="M323" s="84"/>
      <c r="N323" s="84"/>
      <c r="O323" s="84"/>
      <c r="V323" s="83"/>
    </row>
    <row r="324" spans="1:22" ht="20.25" customHeight="1" x14ac:dyDescent="0.25">
      <c r="A324" s="83"/>
      <c r="B324" s="84"/>
      <c r="F324" s="84"/>
      <c r="G324" s="84"/>
      <c r="H324" s="84"/>
      <c r="I324" s="84"/>
      <c r="J324" s="84"/>
      <c r="K324" s="84"/>
      <c r="L324" s="84"/>
      <c r="M324" s="84"/>
      <c r="N324" s="84"/>
      <c r="O324" s="84"/>
      <c r="V324" s="83"/>
    </row>
    <row r="325" spans="1:22" ht="20.25" customHeight="1" x14ac:dyDescent="0.25">
      <c r="A325" s="83"/>
      <c r="B325" s="84"/>
      <c r="F325" s="84"/>
      <c r="G325" s="84"/>
      <c r="H325" s="84"/>
      <c r="I325" s="84"/>
      <c r="J325" s="84"/>
      <c r="K325" s="84"/>
      <c r="L325" s="84"/>
      <c r="M325" s="84"/>
      <c r="N325" s="84"/>
      <c r="O325" s="84"/>
      <c r="V325" s="83"/>
    </row>
    <row r="326" spans="1:22" ht="20.25" customHeight="1" x14ac:dyDescent="0.25">
      <c r="A326" s="83"/>
      <c r="B326" s="84"/>
      <c r="F326" s="84"/>
      <c r="G326" s="84"/>
      <c r="H326" s="84"/>
      <c r="I326" s="84"/>
      <c r="J326" s="84"/>
      <c r="K326" s="84"/>
      <c r="L326" s="84"/>
      <c r="M326" s="84"/>
      <c r="N326" s="84"/>
      <c r="O326" s="84"/>
      <c r="V326" s="83"/>
    </row>
    <row r="327" spans="1:22" ht="20.25" customHeight="1" x14ac:dyDescent="0.25">
      <c r="A327" s="83"/>
      <c r="B327" s="84"/>
      <c r="F327" s="84"/>
      <c r="G327" s="84"/>
      <c r="H327" s="84"/>
      <c r="I327" s="84"/>
      <c r="J327" s="84"/>
      <c r="K327" s="84"/>
      <c r="L327" s="84"/>
      <c r="M327" s="84"/>
      <c r="N327" s="84"/>
      <c r="O327" s="84"/>
      <c r="V327" s="83"/>
    </row>
    <row r="328" spans="1:22" ht="20.25" customHeight="1" x14ac:dyDescent="0.25">
      <c r="A328" s="83"/>
      <c r="B328" s="84"/>
      <c r="F328" s="84"/>
      <c r="G328" s="84"/>
      <c r="H328" s="84"/>
      <c r="I328" s="84"/>
      <c r="J328" s="84"/>
      <c r="K328" s="84"/>
      <c r="L328" s="84"/>
      <c r="M328" s="84"/>
      <c r="N328" s="84"/>
      <c r="O328" s="84"/>
      <c r="V328" s="83"/>
    </row>
    <row r="329" spans="1:22" ht="20.25" customHeight="1" x14ac:dyDescent="0.25">
      <c r="A329" s="83"/>
      <c r="B329" s="84"/>
      <c r="F329" s="84"/>
      <c r="G329" s="84"/>
      <c r="H329" s="84"/>
      <c r="I329" s="84"/>
      <c r="J329" s="84"/>
      <c r="K329" s="84"/>
      <c r="L329" s="84"/>
      <c r="M329" s="84"/>
      <c r="N329" s="84"/>
      <c r="O329" s="84"/>
      <c r="V329" s="83"/>
    </row>
    <row r="330" spans="1:22" ht="20.25" customHeight="1" x14ac:dyDescent="0.25">
      <c r="A330" s="83"/>
      <c r="B330" s="84"/>
      <c r="F330" s="84"/>
      <c r="G330" s="84"/>
      <c r="H330" s="84"/>
      <c r="I330" s="84"/>
      <c r="J330" s="84"/>
      <c r="K330" s="84"/>
      <c r="L330" s="84"/>
      <c r="M330" s="84"/>
      <c r="N330" s="84"/>
      <c r="O330" s="84"/>
      <c r="V330" s="83"/>
    </row>
    <row r="331" spans="1:22" ht="20.25" customHeight="1" x14ac:dyDescent="0.25">
      <c r="A331" s="83"/>
      <c r="B331" s="84"/>
      <c r="F331" s="84"/>
      <c r="G331" s="84"/>
      <c r="H331" s="84"/>
      <c r="I331" s="84"/>
      <c r="J331" s="84"/>
      <c r="K331" s="84"/>
      <c r="L331" s="84"/>
      <c r="M331" s="84"/>
      <c r="N331" s="84"/>
      <c r="O331" s="84"/>
      <c r="V331" s="83"/>
    </row>
    <row r="332" spans="1:22" ht="20.25" customHeight="1" x14ac:dyDescent="0.25">
      <c r="A332" s="83"/>
      <c r="B332" s="84"/>
      <c r="F332" s="84"/>
      <c r="G332" s="84"/>
      <c r="H332" s="84"/>
      <c r="I332" s="84"/>
      <c r="J332" s="84"/>
      <c r="K332" s="84"/>
      <c r="L332" s="84"/>
      <c r="M332" s="84"/>
      <c r="N332" s="84"/>
      <c r="O332" s="84"/>
      <c r="V332" s="83"/>
    </row>
    <row r="333" spans="1:22" ht="20.25" customHeight="1" x14ac:dyDescent="0.25">
      <c r="A333" s="83"/>
      <c r="B333" s="84"/>
      <c r="F333" s="84"/>
      <c r="G333" s="84"/>
      <c r="H333" s="84"/>
      <c r="I333" s="84"/>
      <c r="J333" s="84"/>
      <c r="K333" s="84"/>
      <c r="L333" s="84"/>
      <c r="M333" s="84"/>
      <c r="N333" s="84"/>
      <c r="O333" s="84"/>
      <c r="V333" s="83"/>
    </row>
    <row r="334" spans="1:22" ht="20.25" customHeight="1" x14ac:dyDescent="0.25">
      <c r="A334" s="83"/>
      <c r="B334" s="84"/>
      <c r="F334" s="84"/>
      <c r="G334" s="84"/>
      <c r="H334" s="84"/>
      <c r="I334" s="84"/>
      <c r="J334" s="84"/>
      <c r="K334" s="84"/>
      <c r="L334" s="84"/>
      <c r="M334" s="84"/>
      <c r="N334" s="84"/>
      <c r="O334" s="84"/>
      <c r="V334" s="83"/>
    </row>
    <row r="335" spans="1:22" ht="20.25" customHeight="1" x14ac:dyDescent="0.25">
      <c r="A335" s="83"/>
      <c r="B335" s="84"/>
      <c r="F335" s="84"/>
      <c r="G335" s="84"/>
      <c r="H335" s="84"/>
      <c r="I335" s="84"/>
      <c r="J335" s="84"/>
      <c r="K335" s="84"/>
      <c r="L335" s="84"/>
      <c r="M335" s="84"/>
      <c r="N335" s="84"/>
      <c r="O335" s="84"/>
      <c r="V335" s="83"/>
    </row>
    <row r="336" spans="1:22" ht="20.25" customHeight="1" x14ac:dyDescent="0.25">
      <c r="A336" s="83"/>
      <c r="B336" s="84"/>
      <c r="F336" s="84"/>
      <c r="G336" s="84"/>
      <c r="H336" s="84"/>
      <c r="I336" s="84"/>
      <c r="J336" s="84"/>
      <c r="K336" s="84"/>
      <c r="L336" s="84"/>
      <c r="M336" s="84"/>
      <c r="N336" s="84"/>
      <c r="O336" s="84"/>
      <c r="V336" s="83"/>
    </row>
    <row r="337" spans="1:22" ht="20.25" customHeight="1" x14ac:dyDescent="0.25">
      <c r="A337" s="83"/>
      <c r="B337" s="84"/>
      <c r="F337" s="84"/>
      <c r="G337" s="84"/>
      <c r="H337" s="84"/>
      <c r="I337" s="84"/>
      <c r="J337" s="84"/>
      <c r="K337" s="84"/>
      <c r="L337" s="84"/>
      <c r="M337" s="84"/>
      <c r="N337" s="84"/>
      <c r="O337" s="84"/>
      <c r="V337" s="83"/>
    </row>
    <row r="338" spans="1:22" ht="20.25" customHeight="1" x14ac:dyDescent="0.25">
      <c r="A338" s="83"/>
      <c r="B338" s="84"/>
      <c r="F338" s="84"/>
      <c r="G338" s="84"/>
      <c r="H338" s="84"/>
      <c r="I338" s="84"/>
      <c r="J338" s="84"/>
      <c r="K338" s="84"/>
      <c r="L338" s="84"/>
      <c r="M338" s="84"/>
      <c r="N338" s="84"/>
      <c r="O338" s="84"/>
      <c r="V338" s="83"/>
    </row>
    <row r="339" spans="1:22" ht="20.25" customHeight="1" x14ac:dyDescent="0.25">
      <c r="A339" s="83"/>
      <c r="B339" s="84"/>
      <c r="F339" s="84"/>
      <c r="G339" s="84"/>
      <c r="H339" s="84"/>
      <c r="I339" s="84"/>
      <c r="J339" s="84"/>
      <c r="K339" s="84"/>
      <c r="L339" s="84"/>
      <c r="M339" s="84"/>
      <c r="N339" s="84"/>
      <c r="O339" s="84"/>
      <c r="V339" s="83"/>
    </row>
    <row r="340" spans="1:22" ht="20.25" customHeight="1" x14ac:dyDescent="0.25">
      <c r="A340" s="83"/>
      <c r="B340" s="84"/>
      <c r="F340" s="84"/>
      <c r="G340" s="84"/>
      <c r="H340" s="84"/>
      <c r="I340" s="84"/>
      <c r="J340" s="84"/>
      <c r="K340" s="84"/>
      <c r="L340" s="84"/>
      <c r="M340" s="84"/>
      <c r="N340" s="84"/>
      <c r="O340" s="84"/>
      <c r="V340" s="83"/>
    </row>
    <row r="341" spans="1:22" ht="20.25" customHeight="1" x14ac:dyDescent="0.25">
      <c r="A341" s="83"/>
      <c r="B341" s="84"/>
      <c r="F341" s="84"/>
      <c r="G341" s="84"/>
      <c r="H341" s="84"/>
      <c r="I341" s="84"/>
      <c r="J341" s="84"/>
      <c r="K341" s="84"/>
      <c r="L341" s="84"/>
      <c r="M341" s="84"/>
      <c r="N341" s="84"/>
      <c r="O341" s="84"/>
      <c r="V341" s="83"/>
    </row>
    <row r="342" spans="1:22" ht="20.25" customHeight="1" x14ac:dyDescent="0.25">
      <c r="A342" s="83"/>
      <c r="B342" s="84"/>
      <c r="F342" s="84"/>
      <c r="G342" s="84"/>
      <c r="H342" s="84"/>
      <c r="I342" s="84"/>
      <c r="J342" s="84"/>
      <c r="K342" s="84"/>
      <c r="L342" s="84"/>
      <c r="M342" s="84"/>
      <c r="N342" s="84"/>
      <c r="O342" s="84"/>
      <c r="V342" s="83"/>
    </row>
    <row r="343" spans="1:22" ht="20.25" customHeight="1" x14ac:dyDescent="0.25">
      <c r="A343" s="83"/>
      <c r="B343" s="84"/>
      <c r="F343" s="84"/>
      <c r="G343" s="84"/>
      <c r="H343" s="84"/>
      <c r="I343" s="84"/>
      <c r="J343" s="84"/>
      <c r="K343" s="84"/>
      <c r="L343" s="84"/>
      <c r="M343" s="84"/>
      <c r="N343" s="84"/>
      <c r="O343" s="84"/>
      <c r="V343" s="83"/>
    </row>
    <row r="344" spans="1:22" ht="20.25" customHeight="1" x14ac:dyDescent="0.25">
      <c r="A344" s="83"/>
      <c r="B344" s="84"/>
      <c r="F344" s="84"/>
      <c r="G344" s="84"/>
      <c r="H344" s="84"/>
      <c r="I344" s="84"/>
      <c r="J344" s="84"/>
      <c r="K344" s="84"/>
      <c r="L344" s="84"/>
      <c r="M344" s="84"/>
      <c r="N344" s="84"/>
      <c r="O344" s="84"/>
      <c r="V344" s="83"/>
    </row>
    <row r="345" spans="1:22" ht="20.25" customHeight="1" x14ac:dyDescent="0.25">
      <c r="A345" s="83"/>
      <c r="B345" s="84"/>
      <c r="F345" s="84"/>
      <c r="G345" s="84"/>
      <c r="H345" s="84"/>
      <c r="I345" s="84"/>
      <c r="J345" s="84"/>
      <c r="K345" s="84"/>
      <c r="L345" s="84"/>
      <c r="M345" s="84"/>
      <c r="N345" s="84"/>
      <c r="O345" s="84"/>
      <c r="V345" s="83"/>
    </row>
    <row r="346" spans="1:22" ht="20.25" customHeight="1" x14ac:dyDescent="0.25">
      <c r="A346" s="83"/>
      <c r="B346" s="84"/>
      <c r="F346" s="84"/>
      <c r="G346" s="84"/>
      <c r="H346" s="84"/>
      <c r="I346" s="84"/>
      <c r="J346" s="84"/>
      <c r="K346" s="84"/>
      <c r="L346" s="84"/>
      <c r="M346" s="84"/>
      <c r="N346" s="84"/>
      <c r="O346" s="84"/>
      <c r="V346" s="83"/>
    </row>
    <row r="347" spans="1:22" ht="20.25" customHeight="1" x14ac:dyDescent="0.25">
      <c r="A347" s="83"/>
      <c r="B347" s="84"/>
      <c r="F347" s="84"/>
      <c r="G347" s="84"/>
      <c r="H347" s="84"/>
      <c r="I347" s="84"/>
      <c r="J347" s="84"/>
      <c r="K347" s="84"/>
      <c r="L347" s="84"/>
      <c r="M347" s="84"/>
      <c r="N347" s="84"/>
      <c r="O347" s="84"/>
      <c r="V347" s="83"/>
    </row>
    <row r="348" spans="1:22" ht="20.25" customHeight="1" x14ac:dyDescent="0.25">
      <c r="A348" s="83"/>
      <c r="B348" s="84"/>
      <c r="F348" s="84"/>
      <c r="G348" s="84"/>
      <c r="H348" s="84"/>
      <c r="I348" s="84"/>
      <c r="J348" s="84"/>
      <c r="K348" s="84"/>
      <c r="L348" s="84"/>
      <c r="M348" s="84"/>
      <c r="N348" s="84"/>
      <c r="O348" s="84"/>
      <c r="V348" s="83"/>
    </row>
    <row r="349" spans="1:22" ht="20.25" customHeight="1" x14ac:dyDescent="0.25">
      <c r="A349" s="83"/>
      <c r="B349" s="84"/>
      <c r="F349" s="84"/>
      <c r="G349" s="84"/>
      <c r="H349" s="84"/>
      <c r="I349" s="84"/>
      <c r="J349" s="84"/>
      <c r="K349" s="84"/>
      <c r="L349" s="84"/>
      <c r="M349" s="84"/>
      <c r="N349" s="84"/>
      <c r="O349" s="84"/>
      <c r="V349" s="83"/>
    </row>
    <row r="350" spans="1:22" ht="20.25" customHeight="1" x14ac:dyDescent="0.25">
      <c r="A350" s="83"/>
      <c r="B350" s="84"/>
      <c r="F350" s="84"/>
      <c r="G350" s="84"/>
      <c r="H350" s="84"/>
      <c r="I350" s="84"/>
      <c r="J350" s="84"/>
      <c r="K350" s="84"/>
      <c r="L350" s="84"/>
      <c r="M350" s="84"/>
      <c r="N350" s="84"/>
      <c r="O350" s="84"/>
      <c r="V350" s="83"/>
    </row>
    <row r="351" spans="1:22" ht="20.25" customHeight="1" x14ac:dyDescent="0.25">
      <c r="A351" s="83"/>
      <c r="B351" s="84"/>
      <c r="F351" s="84"/>
      <c r="G351" s="84"/>
      <c r="H351" s="84"/>
      <c r="I351" s="84"/>
      <c r="J351" s="84"/>
      <c r="K351" s="84"/>
      <c r="L351" s="84"/>
      <c r="M351" s="84"/>
      <c r="N351" s="84"/>
      <c r="O351" s="84"/>
      <c r="V351" s="83"/>
    </row>
    <row r="352" spans="1:22" ht="20.25" customHeight="1" x14ac:dyDescent="0.25">
      <c r="A352" s="83"/>
      <c r="B352" s="84"/>
      <c r="F352" s="84"/>
      <c r="G352" s="84"/>
      <c r="H352" s="84"/>
      <c r="I352" s="84"/>
      <c r="J352" s="84"/>
      <c r="K352" s="84"/>
      <c r="L352" s="84"/>
      <c r="M352" s="84"/>
      <c r="N352" s="84"/>
      <c r="O352" s="84"/>
      <c r="V352" s="83"/>
    </row>
    <row r="353" spans="1:22" ht="20.25" customHeight="1" x14ac:dyDescent="0.25">
      <c r="A353" s="83"/>
      <c r="B353" s="84"/>
      <c r="F353" s="84"/>
      <c r="G353" s="84"/>
      <c r="H353" s="84"/>
      <c r="I353" s="84"/>
      <c r="J353" s="84"/>
      <c r="K353" s="84"/>
      <c r="L353" s="84"/>
      <c r="M353" s="84"/>
      <c r="N353" s="84"/>
      <c r="O353" s="84"/>
      <c r="V353" s="83"/>
    </row>
    <row r="354" spans="1:22" ht="20.25" customHeight="1" x14ac:dyDescent="0.25">
      <c r="A354" s="83"/>
      <c r="B354" s="84"/>
      <c r="F354" s="84"/>
      <c r="G354" s="84"/>
      <c r="H354" s="84"/>
      <c r="I354" s="84"/>
      <c r="J354" s="84"/>
      <c r="K354" s="84"/>
      <c r="L354" s="84"/>
      <c r="M354" s="84"/>
      <c r="N354" s="84"/>
      <c r="O354" s="84"/>
      <c r="V354" s="83"/>
    </row>
    <row r="355" spans="1:22" ht="20.25" customHeight="1" x14ac:dyDescent="0.25">
      <c r="A355" s="83"/>
      <c r="B355" s="84"/>
      <c r="F355" s="84"/>
      <c r="G355" s="84"/>
      <c r="H355" s="84"/>
      <c r="I355" s="84"/>
      <c r="J355" s="84"/>
      <c r="K355" s="84"/>
      <c r="L355" s="84"/>
      <c r="M355" s="84"/>
      <c r="N355" s="84"/>
      <c r="O355" s="84"/>
      <c r="V355" s="83"/>
    </row>
    <row r="356" spans="1:22" ht="20.25" customHeight="1" x14ac:dyDescent="0.25">
      <c r="A356" s="83"/>
      <c r="B356" s="84"/>
      <c r="F356" s="84"/>
      <c r="G356" s="84"/>
      <c r="H356" s="84"/>
      <c r="I356" s="84"/>
      <c r="J356" s="84"/>
      <c r="K356" s="84"/>
      <c r="L356" s="84"/>
      <c r="M356" s="84"/>
      <c r="N356" s="84"/>
      <c r="O356" s="84"/>
      <c r="V356" s="83"/>
    </row>
    <row r="357" spans="1:22" ht="20.25" customHeight="1" x14ac:dyDescent="0.25">
      <c r="A357" s="83"/>
      <c r="B357" s="84"/>
      <c r="F357" s="84"/>
      <c r="G357" s="84"/>
      <c r="H357" s="84"/>
      <c r="I357" s="84"/>
      <c r="J357" s="84"/>
      <c r="K357" s="84"/>
      <c r="L357" s="84"/>
      <c r="M357" s="84"/>
      <c r="N357" s="84"/>
      <c r="O357" s="84"/>
      <c r="V357" s="83"/>
    </row>
    <row r="358" spans="1:22" ht="20.25" customHeight="1" x14ac:dyDescent="0.25">
      <c r="A358" s="83"/>
      <c r="B358" s="84"/>
      <c r="F358" s="84"/>
      <c r="G358" s="84"/>
      <c r="H358" s="84"/>
      <c r="I358" s="84"/>
      <c r="J358" s="84"/>
      <c r="K358" s="84"/>
      <c r="L358" s="84"/>
      <c r="M358" s="84"/>
      <c r="N358" s="84"/>
      <c r="O358" s="84"/>
      <c r="V358" s="83"/>
    </row>
    <row r="359" spans="1:22" ht="20.25" customHeight="1" x14ac:dyDescent="0.25">
      <c r="A359" s="83"/>
      <c r="B359" s="84"/>
      <c r="F359" s="84"/>
      <c r="G359" s="84"/>
      <c r="H359" s="84"/>
      <c r="I359" s="84"/>
      <c r="J359" s="84"/>
      <c r="K359" s="84"/>
      <c r="L359" s="84"/>
      <c r="M359" s="84"/>
      <c r="N359" s="84"/>
      <c r="O359" s="84"/>
      <c r="V359" s="83"/>
    </row>
    <row r="360" spans="1:22" ht="20.25" customHeight="1" x14ac:dyDescent="0.25">
      <c r="A360" s="83"/>
      <c r="B360" s="84"/>
      <c r="F360" s="84"/>
      <c r="G360" s="84"/>
      <c r="H360" s="84"/>
      <c r="I360" s="84"/>
      <c r="J360" s="84"/>
      <c r="K360" s="84"/>
      <c r="L360" s="84"/>
      <c r="M360" s="84"/>
      <c r="N360" s="84"/>
      <c r="O360" s="84"/>
      <c r="V360" s="83"/>
    </row>
    <row r="361" spans="1:22" ht="20.25" customHeight="1" x14ac:dyDescent="0.25">
      <c r="A361" s="83"/>
      <c r="B361" s="84"/>
      <c r="F361" s="84"/>
      <c r="G361" s="84"/>
      <c r="H361" s="84"/>
      <c r="I361" s="84"/>
      <c r="J361" s="84"/>
      <c r="K361" s="84"/>
      <c r="L361" s="84"/>
      <c r="M361" s="84"/>
      <c r="N361" s="84"/>
      <c r="O361" s="84"/>
      <c r="V361" s="83"/>
    </row>
    <row r="362" spans="1:22" ht="20.25" customHeight="1" x14ac:dyDescent="0.25">
      <c r="A362" s="83"/>
      <c r="B362" s="84"/>
      <c r="F362" s="84"/>
      <c r="G362" s="84"/>
      <c r="H362" s="84"/>
      <c r="I362" s="84"/>
      <c r="J362" s="84"/>
      <c r="K362" s="84"/>
      <c r="L362" s="84"/>
      <c r="M362" s="84"/>
      <c r="N362" s="84"/>
      <c r="O362" s="84"/>
      <c r="V362" s="83"/>
    </row>
    <row r="363" spans="1:22" ht="20.25" customHeight="1" x14ac:dyDescent="0.25">
      <c r="A363" s="83"/>
      <c r="B363" s="84"/>
      <c r="F363" s="84"/>
      <c r="G363" s="84"/>
      <c r="H363" s="84"/>
      <c r="I363" s="84"/>
      <c r="J363" s="84"/>
      <c r="K363" s="84"/>
      <c r="L363" s="84"/>
      <c r="M363" s="84"/>
      <c r="N363" s="84"/>
      <c r="O363" s="84"/>
      <c r="V363" s="83"/>
    </row>
    <row r="364" spans="1:22" ht="20.25" customHeight="1" x14ac:dyDescent="0.25">
      <c r="A364" s="83"/>
      <c r="B364" s="84"/>
      <c r="F364" s="84"/>
      <c r="G364" s="84"/>
      <c r="H364" s="84"/>
      <c r="I364" s="84"/>
      <c r="J364" s="84"/>
      <c r="K364" s="84"/>
      <c r="L364" s="84"/>
      <c r="M364" s="84"/>
      <c r="N364" s="84"/>
      <c r="O364" s="84"/>
      <c r="V364" s="83"/>
    </row>
    <row r="365" spans="1:22" ht="20.25" customHeight="1" x14ac:dyDescent="0.25">
      <c r="A365" s="83"/>
      <c r="B365" s="84"/>
      <c r="F365" s="84"/>
      <c r="G365" s="84"/>
      <c r="H365" s="84"/>
      <c r="I365" s="84"/>
      <c r="J365" s="84"/>
      <c r="K365" s="84"/>
      <c r="L365" s="84"/>
      <c r="M365" s="84"/>
      <c r="N365" s="84"/>
      <c r="O365" s="84"/>
      <c r="V365" s="83"/>
    </row>
    <row r="366" spans="1:22" ht="20.25" customHeight="1" x14ac:dyDescent="0.25">
      <c r="A366" s="83"/>
      <c r="B366" s="84"/>
      <c r="F366" s="84"/>
      <c r="G366" s="84"/>
      <c r="H366" s="84"/>
      <c r="I366" s="84"/>
      <c r="J366" s="84"/>
      <c r="K366" s="84"/>
      <c r="L366" s="84"/>
      <c r="M366" s="84"/>
      <c r="N366" s="84"/>
      <c r="O366" s="84"/>
      <c r="V366" s="83"/>
    </row>
    <row r="367" spans="1:22" ht="20.25" customHeight="1" x14ac:dyDescent="0.25">
      <c r="A367" s="83"/>
      <c r="B367" s="84"/>
      <c r="F367" s="84"/>
      <c r="G367" s="84"/>
      <c r="H367" s="84"/>
      <c r="I367" s="84"/>
      <c r="J367" s="84"/>
      <c r="K367" s="84"/>
      <c r="L367" s="84"/>
      <c r="M367" s="84"/>
      <c r="N367" s="84"/>
      <c r="O367" s="84"/>
      <c r="V367" s="83"/>
    </row>
    <row r="368" spans="1:22" ht="20.25" customHeight="1" x14ac:dyDescent="0.25">
      <c r="A368" s="83"/>
      <c r="B368" s="84"/>
      <c r="F368" s="84"/>
      <c r="G368" s="84"/>
      <c r="H368" s="84"/>
      <c r="I368" s="84"/>
      <c r="J368" s="84"/>
      <c r="K368" s="84"/>
      <c r="L368" s="84"/>
      <c r="M368" s="84"/>
      <c r="N368" s="84"/>
      <c r="O368" s="84"/>
      <c r="V368" s="83"/>
    </row>
    <row r="369" spans="1:22" ht="20.25" customHeight="1" x14ac:dyDescent="0.25">
      <c r="A369" s="83"/>
      <c r="B369" s="84"/>
      <c r="F369" s="84"/>
      <c r="G369" s="84"/>
      <c r="H369" s="84"/>
      <c r="I369" s="84"/>
      <c r="J369" s="84"/>
      <c r="K369" s="84"/>
      <c r="L369" s="84"/>
      <c r="M369" s="84"/>
      <c r="N369" s="84"/>
      <c r="O369" s="84"/>
      <c r="V369" s="83"/>
    </row>
    <row r="370" spans="1:22" ht="20.25" customHeight="1" x14ac:dyDescent="0.25">
      <c r="A370" s="83"/>
      <c r="B370" s="84"/>
      <c r="F370" s="84"/>
      <c r="G370" s="84"/>
      <c r="H370" s="84"/>
      <c r="I370" s="84"/>
      <c r="J370" s="84"/>
      <c r="K370" s="84"/>
      <c r="L370" s="84"/>
      <c r="M370" s="84"/>
      <c r="N370" s="84"/>
      <c r="O370" s="84"/>
      <c r="V370" s="83"/>
    </row>
    <row r="371" spans="1:22" ht="20.25" customHeight="1" x14ac:dyDescent="0.25">
      <c r="A371" s="83"/>
      <c r="B371" s="84"/>
      <c r="F371" s="84"/>
      <c r="G371" s="84"/>
      <c r="H371" s="84"/>
      <c r="I371" s="84"/>
      <c r="J371" s="84"/>
      <c r="K371" s="84"/>
      <c r="L371" s="84"/>
      <c r="M371" s="84"/>
      <c r="N371" s="84"/>
      <c r="O371" s="84"/>
      <c r="V371" s="83"/>
    </row>
    <row r="372" spans="1:22" ht="20.25" customHeight="1" x14ac:dyDescent="0.25">
      <c r="A372" s="83"/>
      <c r="B372" s="84"/>
      <c r="F372" s="84"/>
      <c r="G372" s="84"/>
      <c r="H372" s="84"/>
      <c r="I372" s="84"/>
      <c r="J372" s="84"/>
      <c r="K372" s="84"/>
      <c r="L372" s="84"/>
      <c r="M372" s="84"/>
      <c r="N372" s="84"/>
      <c r="O372" s="84"/>
      <c r="V372" s="83"/>
    </row>
    <row r="373" spans="1:22" ht="20.25" customHeight="1" x14ac:dyDescent="0.25">
      <c r="A373" s="83"/>
      <c r="B373" s="84"/>
      <c r="F373" s="84"/>
      <c r="G373" s="84"/>
      <c r="H373" s="84"/>
      <c r="I373" s="84"/>
      <c r="J373" s="84"/>
      <c r="K373" s="84"/>
      <c r="L373" s="84"/>
      <c r="M373" s="84"/>
      <c r="N373" s="84"/>
      <c r="O373" s="84"/>
      <c r="V373" s="83"/>
    </row>
    <row r="374" spans="1:22" ht="20.25" customHeight="1" x14ac:dyDescent="0.25">
      <c r="A374" s="83"/>
      <c r="B374" s="84"/>
      <c r="F374" s="84"/>
      <c r="G374" s="84"/>
      <c r="H374" s="84"/>
      <c r="I374" s="84"/>
      <c r="J374" s="84"/>
      <c r="K374" s="84"/>
      <c r="L374" s="84"/>
      <c r="M374" s="84"/>
      <c r="N374" s="84"/>
      <c r="O374" s="84"/>
      <c r="V374" s="83"/>
    </row>
    <row r="375" spans="1:22" ht="20.25" customHeight="1" x14ac:dyDescent="0.25">
      <c r="A375" s="83"/>
      <c r="B375" s="84"/>
      <c r="F375" s="84"/>
      <c r="G375" s="84"/>
      <c r="H375" s="84"/>
      <c r="I375" s="84"/>
      <c r="J375" s="84"/>
      <c r="K375" s="84"/>
      <c r="L375" s="84"/>
      <c r="M375" s="84"/>
      <c r="N375" s="84"/>
      <c r="O375" s="84"/>
      <c r="V375" s="83"/>
    </row>
    <row r="376" spans="1:22" ht="20.25" customHeight="1" x14ac:dyDescent="0.25">
      <c r="A376" s="83"/>
      <c r="B376" s="84"/>
      <c r="F376" s="84"/>
      <c r="G376" s="84"/>
      <c r="H376" s="84"/>
      <c r="I376" s="84"/>
      <c r="J376" s="84"/>
      <c r="K376" s="84"/>
      <c r="L376" s="84"/>
      <c r="M376" s="84"/>
      <c r="N376" s="84"/>
      <c r="O376" s="84"/>
      <c r="V376" s="83"/>
    </row>
    <row r="377" spans="1:22" ht="20.25" customHeight="1" x14ac:dyDescent="0.25">
      <c r="A377" s="83"/>
      <c r="B377" s="84"/>
      <c r="F377" s="84"/>
      <c r="G377" s="84"/>
      <c r="H377" s="84"/>
      <c r="I377" s="84"/>
      <c r="J377" s="84"/>
      <c r="K377" s="84"/>
      <c r="L377" s="84"/>
      <c r="M377" s="84"/>
      <c r="N377" s="84"/>
      <c r="O377" s="84"/>
      <c r="V377" s="83"/>
    </row>
    <row r="378" spans="1:22" ht="20.25" customHeight="1" x14ac:dyDescent="0.25">
      <c r="A378" s="83"/>
      <c r="B378" s="84"/>
      <c r="F378" s="84"/>
      <c r="G378" s="84"/>
      <c r="H378" s="84"/>
      <c r="I378" s="84"/>
      <c r="J378" s="84"/>
      <c r="K378" s="84"/>
      <c r="L378" s="84"/>
      <c r="M378" s="84"/>
      <c r="N378" s="84"/>
      <c r="O378" s="84"/>
      <c r="V378" s="83"/>
    </row>
    <row r="379" spans="1:22" ht="20.25" customHeight="1" x14ac:dyDescent="0.25">
      <c r="A379" s="83"/>
      <c r="B379" s="84"/>
      <c r="F379" s="84"/>
      <c r="G379" s="84"/>
      <c r="H379" s="84"/>
      <c r="I379" s="84"/>
      <c r="J379" s="84"/>
      <c r="K379" s="84"/>
      <c r="L379" s="84"/>
      <c r="M379" s="84"/>
      <c r="N379" s="84"/>
      <c r="O379" s="84"/>
      <c r="V379" s="83"/>
    </row>
    <row r="380" spans="1:22" ht="20.25" customHeight="1" x14ac:dyDescent="0.25">
      <c r="A380" s="83"/>
      <c r="B380" s="84"/>
      <c r="F380" s="84"/>
      <c r="G380" s="84"/>
      <c r="H380" s="84"/>
      <c r="I380" s="84"/>
      <c r="J380" s="84"/>
      <c r="K380" s="84"/>
      <c r="L380" s="84"/>
      <c r="M380" s="84"/>
      <c r="N380" s="84"/>
      <c r="O380" s="84"/>
      <c r="V380" s="83"/>
    </row>
    <row r="381" spans="1:22" ht="20.25" customHeight="1" x14ac:dyDescent="0.25">
      <c r="A381" s="83"/>
      <c r="B381" s="84"/>
      <c r="F381" s="84"/>
      <c r="G381" s="84"/>
      <c r="H381" s="84"/>
      <c r="I381" s="84"/>
      <c r="J381" s="84"/>
      <c r="K381" s="84"/>
      <c r="L381" s="84"/>
      <c r="M381" s="84"/>
      <c r="N381" s="84"/>
      <c r="O381" s="84"/>
      <c r="V381" s="83"/>
    </row>
    <row r="382" spans="1:22" ht="20.25" customHeight="1" x14ac:dyDescent="0.25">
      <c r="A382" s="83"/>
      <c r="B382" s="84"/>
      <c r="F382" s="84"/>
      <c r="G382" s="84"/>
      <c r="H382" s="84"/>
      <c r="I382" s="84"/>
      <c r="J382" s="84"/>
      <c r="K382" s="84"/>
      <c r="L382" s="84"/>
      <c r="M382" s="84"/>
      <c r="N382" s="84"/>
      <c r="O382" s="84"/>
      <c r="V382" s="83"/>
    </row>
    <row r="383" spans="1:22" ht="20.25" customHeight="1" x14ac:dyDescent="0.25">
      <c r="A383" s="83"/>
      <c r="B383" s="84"/>
      <c r="F383" s="84"/>
      <c r="G383" s="84"/>
      <c r="H383" s="84"/>
      <c r="I383" s="84"/>
      <c r="J383" s="84"/>
      <c r="K383" s="84"/>
      <c r="L383" s="84"/>
      <c r="M383" s="84"/>
      <c r="N383" s="84"/>
      <c r="O383" s="84"/>
      <c r="V383" s="83"/>
    </row>
    <row r="384" spans="1:22" ht="20.25" customHeight="1" x14ac:dyDescent="0.25">
      <c r="A384" s="83"/>
      <c r="B384" s="84"/>
      <c r="F384" s="84"/>
      <c r="G384" s="84"/>
      <c r="H384" s="84"/>
      <c r="I384" s="84"/>
      <c r="J384" s="84"/>
      <c r="K384" s="84"/>
      <c r="L384" s="84"/>
      <c r="M384" s="84"/>
      <c r="N384" s="84"/>
      <c r="O384" s="84"/>
      <c r="V384" s="83"/>
    </row>
    <row r="385" spans="1:22" ht="20.25" customHeight="1" x14ac:dyDescent="0.25">
      <c r="A385" s="83"/>
      <c r="B385" s="84"/>
      <c r="F385" s="84"/>
      <c r="G385" s="84"/>
      <c r="H385" s="84"/>
      <c r="I385" s="84"/>
      <c r="J385" s="84"/>
      <c r="K385" s="84"/>
      <c r="L385" s="84"/>
      <c r="M385" s="84"/>
      <c r="N385" s="84"/>
      <c r="O385" s="84"/>
      <c r="V385" s="83"/>
    </row>
    <row r="386" spans="1:22" ht="20.25" customHeight="1" x14ac:dyDescent="0.25">
      <c r="A386" s="83"/>
      <c r="B386" s="84"/>
      <c r="F386" s="84"/>
      <c r="G386" s="84"/>
      <c r="H386" s="84"/>
      <c r="I386" s="84"/>
      <c r="J386" s="84"/>
      <c r="K386" s="84"/>
      <c r="L386" s="84"/>
      <c r="M386" s="84"/>
      <c r="N386" s="84"/>
      <c r="O386" s="84"/>
      <c r="V386" s="83"/>
    </row>
    <row r="387" spans="1:22" ht="20.25" customHeight="1" x14ac:dyDescent="0.25">
      <c r="A387" s="83"/>
      <c r="B387" s="84"/>
      <c r="F387" s="84"/>
      <c r="G387" s="84"/>
      <c r="H387" s="84"/>
      <c r="I387" s="84"/>
      <c r="J387" s="84"/>
      <c r="K387" s="84"/>
      <c r="L387" s="84"/>
      <c r="M387" s="84"/>
      <c r="N387" s="84"/>
      <c r="O387" s="84"/>
      <c r="V387" s="83"/>
    </row>
    <row r="388" spans="1:22" ht="20.25" customHeight="1" x14ac:dyDescent="0.25">
      <c r="A388" s="83"/>
      <c r="B388" s="84"/>
      <c r="F388" s="84"/>
      <c r="G388" s="84"/>
      <c r="H388" s="84"/>
      <c r="I388" s="84"/>
      <c r="J388" s="84"/>
      <c r="K388" s="84"/>
      <c r="L388" s="84"/>
      <c r="M388" s="84"/>
      <c r="N388" s="84"/>
      <c r="O388" s="84"/>
      <c r="V388" s="83"/>
    </row>
    <row r="389" spans="1:22" ht="20.25" customHeight="1" x14ac:dyDescent="0.25">
      <c r="A389" s="83"/>
      <c r="B389" s="84"/>
      <c r="F389" s="84"/>
      <c r="G389" s="84"/>
      <c r="H389" s="84"/>
      <c r="I389" s="84"/>
      <c r="J389" s="84"/>
      <c r="K389" s="84"/>
      <c r="L389" s="84"/>
      <c r="M389" s="84"/>
      <c r="N389" s="84"/>
      <c r="O389" s="84"/>
      <c r="V389" s="83"/>
    </row>
    <row r="390" spans="1:22" ht="20.25" customHeight="1" x14ac:dyDescent="0.25">
      <c r="A390" s="83"/>
      <c r="B390" s="84"/>
      <c r="F390" s="84"/>
      <c r="G390" s="84"/>
      <c r="H390" s="84"/>
      <c r="I390" s="84"/>
      <c r="J390" s="84"/>
      <c r="K390" s="84"/>
      <c r="L390" s="84"/>
      <c r="M390" s="84"/>
      <c r="N390" s="84"/>
      <c r="O390" s="84"/>
      <c r="V390" s="83"/>
    </row>
    <row r="391" spans="1:22" ht="20.25" customHeight="1" x14ac:dyDescent="0.25">
      <c r="A391" s="83"/>
      <c r="B391" s="84"/>
      <c r="F391" s="84"/>
      <c r="G391" s="84"/>
      <c r="H391" s="84"/>
      <c r="I391" s="84"/>
      <c r="J391" s="84"/>
      <c r="K391" s="84"/>
      <c r="L391" s="84"/>
      <c r="M391" s="84"/>
      <c r="N391" s="84"/>
      <c r="O391" s="84"/>
      <c r="V391" s="83"/>
    </row>
    <row r="392" spans="1:22" ht="20.25" customHeight="1" x14ac:dyDescent="0.25">
      <c r="A392" s="83"/>
      <c r="B392" s="84"/>
      <c r="F392" s="84"/>
      <c r="G392" s="84"/>
      <c r="H392" s="84"/>
      <c r="I392" s="84"/>
      <c r="J392" s="84"/>
      <c r="K392" s="84"/>
      <c r="L392" s="84"/>
      <c r="M392" s="84"/>
      <c r="N392" s="84"/>
      <c r="O392" s="84"/>
      <c r="V392" s="83"/>
    </row>
    <row r="393" spans="1:22" ht="20.25" customHeight="1" x14ac:dyDescent="0.25">
      <c r="A393" s="83"/>
      <c r="B393" s="84"/>
      <c r="F393" s="84"/>
      <c r="G393" s="84"/>
      <c r="H393" s="84"/>
      <c r="I393" s="84"/>
      <c r="J393" s="84"/>
      <c r="K393" s="84"/>
      <c r="L393" s="84"/>
      <c r="M393" s="84"/>
      <c r="N393" s="84"/>
      <c r="O393" s="84"/>
      <c r="V393" s="83"/>
    </row>
    <row r="394" spans="1:22" ht="20.25" customHeight="1" x14ac:dyDescent="0.25">
      <c r="A394" s="83"/>
      <c r="B394" s="84"/>
      <c r="F394" s="84"/>
      <c r="G394" s="84"/>
      <c r="H394" s="84"/>
      <c r="I394" s="84"/>
      <c r="J394" s="84"/>
      <c r="K394" s="84"/>
      <c r="L394" s="84"/>
      <c r="M394" s="84"/>
      <c r="N394" s="84"/>
      <c r="O394" s="84"/>
      <c r="V394" s="83"/>
    </row>
    <row r="395" spans="1:22" ht="20.25" customHeight="1" x14ac:dyDescent="0.25">
      <c r="A395" s="83"/>
      <c r="B395" s="84"/>
      <c r="F395" s="84"/>
      <c r="G395" s="84"/>
      <c r="H395" s="84"/>
      <c r="I395" s="84"/>
      <c r="J395" s="84"/>
      <c r="K395" s="84"/>
      <c r="L395" s="84"/>
      <c r="M395" s="84"/>
      <c r="N395" s="84"/>
      <c r="O395" s="84"/>
      <c r="V395" s="83"/>
    </row>
    <row r="396" spans="1:22" ht="20.25" customHeight="1" x14ac:dyDescent="0.25">
      <c r="A396" s="83"/>
      <c r="B396" s="84"/>
      <c r="F396" s="84"/>
      <c r="G396" s="84"/>
      <c r="H396" s="84"/>
      <c r="I396" s="84"/>
      <c r="J396" s="84"/>
      <c r="K396" s="84"/>
      <c r="L396" s="84"/>
      <c r="M396" s="84"/>
      <c r="N396" s="84"/>
      <c r="O396" s="84"/>
      <c r="V396" s="83"/>
    </row>
    <row r="397" spans="1:22" ht="20.25" customHeight="1" x14ac:dyDescent="0.25">
      <c r="A397" s="83"/>
      <c r="B397" s="84"/>
      <c r="F397" s="84"/>
      <c r="G397" s="84"/>
      <c r="H397" s="84"/>
      <c r="I397" s="84"/>
      <c r="J397" s="84"/>
      <c r="K397" s="84"/>
      <c r="L397" s="84"/>
      <c r="M397" s="84"/>
      <c r="N397" s="84"/>
      <c r="O397" s="84"/>
      <c r="V397" s="83"/>
    </row>
    <row r="398" spans="1:22" ht="20.25" customHeight="1" x14ac:dyDescent="0.25">
      <c r="A398" s="83"/>
      <c r="B398" s="84"/>
      <c r="F398" s="84"/>
      <c r="G398" s="84"/>
      <c r="H398" s="84"/>
      <c r="I398" s="84"/>
      <c r="J398" s="84"/>
      <c r="K398" s="84"/>
      <c r="L398" s="84"/>
      <c r="M398" s="84"/>
      <c r="N398" s="84"/>
      <c r="O398" s="84"/>
      <c r="V398" s="83"/>
    </row>
    <row r="399" spans="1:22" ht="20.25" customHeight="1" x14ac:dyDescent="0.25">
      <c r="A399" s="83"/>
      <c r="B399" s="84"/>
      <c r="F399" s="84"/>
      <c r="G399" s="84"/>
      <c r="H399" s="84"/>
      <c r="I399" s="84"/>
      <c r="J399" s="84"/>
      <c r="K399" s="84"/>
      <c r="L399" s="84"/>
      <c r="M399" s="84"/>
      <c r="N399" s="84"/>
      <c r="O399" s="84"/>
      <c r="V399" s="83"/>
    </row>
    <row r="400" spans="1:22" ht="20.25" customHeight="1" x14ac:dyDescent="0.25">
      <c r="A400" s="83"/>
      <c r="B400" s="84"/>
      <c r="F400" s="84"/>
      <c r="G400" s="84"/>
      <c r="H400" s="84"/>
      <c r="I400" s="84"/>
      <c r="J400" s="84"/>
      <c r="K400" s="84"/>
      <c r="L400" s="84"/>
      <c r="M400" s="84"/>
      <c r="N400" s="84"/>
      <c r="O400" s="84"/>
      <c r="V400" s="83"/>
    </row>
    <row r="401" spans="1:22" ht="20.25" customHeight="1" x14ac:dyDescent="0.25">
      <c r="A401" s="83"/>
      <c r="B401" s="84"/>
      <c r="F401" s="84"/>
      <c r="G401" s="84"/>
      <c r="H401" s="84"/>
      <c r="I401" s="84"/>
      <c r="J401" s="84"/>
      <c r="K401" s="84"/>
      <c r="L401" s="84"/>
      <c r="M401" s="84"/>
      <c r="N401" s="84"/>
      <c r="O401" s="84"/>
      <c r="V401" s="83"/>
    </row>
    <row r="402" spans="1:22" ht="20.25" customHeight="1" x14ac:dyDescent="0.25">
      <c r="A402" s="83"/>
      <c r="B402" s="84"/>
      <c r="F402" s="84"/>
      <c r="G402" s="84"/>
      <c r="H402" s="84"/>
      <c r="I402" s="84"/>
      <c r="J402" s="84"/>
      <c r="K402" s="84"/>
      <c r="L402" s="84"/>
      <c r="M402" s="84"/>
      <c r="N402" s="84"/>
      <c r="O402" s="84"/>
      <c r="V402" s="83"/>
    </row>
    <row r="403" spans="1:22" ht="20.25" customHeight="1" x14ac:dyDescent="0.25">
      <c r="A403" s="83"/>
      <c r="B403" s="84"/>
      <c r="F403" s="84"/>
      <c r="G403" s="84"/>
      <c r="H403" s="84"/>
      <c r="I403" s="84"/>
      <c r="J403" s="84"/>
      <c r="K403" s="84"/>
      <c r="L403" s="84"/>
      <c r="M403" s="84"/>
      <c r="N403" s="84"/>
      <c r="O403" s="84"/>
      <c r="V403" s="83"/>
    </row>
    <row r="404" spans="1:22" ht="20.25" customHeight="1" x14ac:dyDescent="0.25">
      <c r="A404" s="83"/>
      <c r="B404" s="84"/>
      <c r="F404" s="84"/>
      <c r="G404" s="84"/>
      <c r="H404" s="84"/>
      <c r="I404" s="84"/>
      <c r="J404" s="84"/>
      <c r="K404" s="84"/>
      <c r="L404" s="84"/>
      <c r="M404" s="84"/>
      <c r="N404" s="84"/>
      <c r="O404" s="84"/>
      <c r="V404" s="83"/>
    </row>
    <row r="405" spans="1:22" ht="20.25" customHeight="1" x14ac:dyDescent="0.25">
      <c r="A405" s="83"/>
      <c r="B405" s="84"/>
      <c r="F405" s="84"/>
      <c r="G405" s="84"/>
      <c r="H405" s="84"/>
      <c r="I405" s="84"/>
      <c r="J405" s="84"/>
      <c r="K405" s="84"/>
      <c r="L405" s="84"/>
      <c r="M405" s="84"/>
      <c r="N405" s="84"/>
      <c r="O405" s="84"/>
      <c r="V405" s="83"/>
    </row>
    <row r="406" spans="1:22" ht="20.25" customHeight="1" x14ac:dyDescent="0.25">
      <c r="A406" s="83"/>
      <c r="B406" s="84"/>
      <c r="F406" s="84"/>
      <c r="G406" s="84"/>
      <c r="H406" s="84"/>
      <c r="I406" s="84"/>
      <c r="J406" s="84"/>
      <c r="K406" s="84"/>
      <c r="L406" s="84"/>
      <c r="M406" s="84"/>
      <c r="N406" s="84"/>
      <c r="O406" s="84"/>
      <c r="V406" s="83"/>
    </row>
    <row r="407" spans="1:22" ht="20.25" customHeight="1" x14ac:dyDescent="0.25">
      <c r="A407" s="83"/>
      <c r="B407" s="84"/>
      <c r="F407" s="84"/>
      <c r="G407" s="84"/>
      <c r="H407" s="84"/>
      <c r="I407" s="84"/>
      <c r="J407" s="84"/>
      <c r="K407" s="84"/>
      <c r="L407" s="84"/>
      <c r="M407" s="84"/>
      <c r="N407" s="84"/>
      <c r="O407" s="84"/>
      <c r="V407" s="83"/>
    </row>
    <row r="408" spans="1:22" ht="20.25" customHeight="1" x14ac:dyDescent="0.25">
      <c r="A408" s="83"/>
      <c r="B408" s="84"/>
      <c r="F408" s="84"/>
      <c r="G408" s="84"/>
      <c r="H408" s="84"/>
      <c r="I408" s="84"/>
      <c r="J408" s="84"/>
      <c r="K408" s="84"/>
      <c r="L408" s="84"/>
      <c r="M408" s="84"/>
      <c r="N408" s="84"/>
      <c r="O408" s="84"/>
      <c r="V408" s="83"/>
    </row>
    <row r="409" spans="1:22" ht="20.25" customHeight="1" x14ac:dyDescent="0.25">
      <c r="A409" s="83"/>
      <c r="B409" s="84"/>
      <c r="F409" s="84"/>
      <c r="G409" s="84"/>
      <c r="H409" s="84"/>
      <c r="I409" s="84"/>
      <c r="J409" s="84"/>
      <c r="K409" s="84"/>
      <c r="L409" s="84"/>
      <c r="M409" s="84"/>
      <c r="N409" s="84"/>
      <c r="O409" s="84"/>
      <c r="V409" s="83"/>
    </row>
    <row r="410" spans="1:22" ht="20.25" customHeight="1" x14ac:dyDescent="0.25">
      <c r="A410" s="83"/>
      <c r="B410" s="84"/>
      <c r="F410" s="84"/>
      <c r="G410" s="84"/>
      <c r="H410" s="84"/>
      <c r="I410" s="84"/>
      <c r="J410" s="84"/>
      <c r="K410" s="84"/>
      <c r="L410" s="84"/>
      <c r="M410" s="84"/>
      <c r="N410" s="84"/>
      <c r="O410" s="84"/>
      <c r="V410" s="83"/>
    </row>
    <row r="411" spans="1:22" ht="20.25" customHeight="1" x14ac:dyDescent="0.25">
      <c r="A411" s="83"/>
      <c r="B411" s="84"/>
      <c r="F411" s="84"/>
      <c r="G411" s="84"/>
      <c r="H411" s="84"/>
      <c r="I411" s="84"/>
      <c r="J411" s="84"/>
      <c r="K411" s="84"/>
      <c r="L411" s="84"/>
      <c r="M411" s="84"/>
      <c r="N411" s="84"/>
      <c r="O411" s="84"/>
      <c r="V411" s="83"/>
    </row>
    <row r="412" spans="1:22" ht="20.25" customHeight="1" x14ac:dyDescent="0.25">
      <c r="A412" s="83"/>
      <c r="B412" s="84"/>
      <c r="F412" s="84"/>
      <c r="G412" s="84"/>
      <c r="H412" s="84"/>
      <c r="I412" s="84"/>
      <c r="J412" s="84"/>
      <c r="K412" s="84"/>
      <c r="L412" s="84"/>
      <c r="M412" s="84"/>
      <c r="N412" s="84"/>
      <c r="O412" s="84"/>
      <c r="V412" s="83"/>
    </row>
    <row r="413" spans="1:22" ht="20.25" customHeight="1" x14ac:dyDescent="0.25">
      <c r="A413" s="83"/>
      <c r="B413" s="84"/>
      <c r="F413" s="84"/>
      <c r="G413" s="84"/>
      <c r="H413" s="84"/>
      <c r="I413" s="84"/>
      <c r="J413" s="84"/>
      <c r="K413" s="84"/>
      <c r="L413" s="84"/>
      <c r="M413" s="84"/>
      <c r="N413" s="84"/>
      <c r="O413" s="84"/>
      <c r="V413" s="83"/>
    </row>
    <row r="414" spans="1:22" ht="20.25" customHeight="1" x14ac:dyDescent="0.25">
      <c r="A414" s="83"/>
      <c r="B414" s="84"/>
      <c r="F414" s="84"/>
      <c r="G414" s="84"/>
      <c r="H414" s="84"/>
      <c r="I414" s="84"/>
      <c r="J414" s="84"/>
      <c r="K414" s="84"/>
      <c r="L414" s="84"/>
      <c r="M414" s="84"/>
      <c r="N414" s="84"/>
      <c r="O414" s="84"/>
      <c r="V414" s="83"/>
    </row>
    <row r="415" spans="1:22" ht="20.25" customHeight="1" x14ac:dyDescent="0.25">
      <c r="A415" s="83"/>
      <c r="B415" s="84"/>
      <c r="F415" s="84"/>
      <c r="G415" s="84"/>
      <c r="H415" s="84"/>
      <c r="I415" s="84"/>
      <c r="J415" s="84"/>
      <c r="K415" s="84"/>
      <c r="L415" s="84"/>
      <c r="M415" s="84"/>
      <c r="N415" s="84"/>
      <c r="O415" s="84"/>
      <c r="V415" s="83"/>
    </row>
    <row r="416" spans="1:22" ht="20.25" customHeight="1" x14ac:dyDescent="0.25">
      <c r="A416" s="83"/>
      <c r="B416" s="84"/>
      <c r="F416" s="84"/>
      <c r="G416" s="84"/>
      <c r="H416" s="84"/>
      <c r="I416" s="84"/>
      <c r="J416" s="84"/>
      <c r="K416" s="84"/>
      <c r="L416" s="84"/>
      <c r="M416" s="84"/>
      <c r="N416" s="84"/>
      <c r="O416" s="84"/>
      <c r="V416" s="83"/>
    </row>
    <row r="417" spans="1:22" ht="20.25" customHeight="1" x14ac:dyDescent="0.25">
      <c r="A417" s="83"/>
      <c r="B417" s="84"/>
      <c r="F417" s="84"/>
      <c r="G417" s="84"/>
      <c r="H417" s="84"/>
      <c r="I417" s="84"/>
      <c r="J417" s="84"/>
      <c r="K417" s="84"/>
      <c r="L417" s="84"/>
      <c r="M417" s="84"/>
      <c r="N417" s="84"/>
      <c r="O417" s="84"/>
      <c r="V417" s="83"/>
    </row>
    <row r="418" spans="1:22" ht="20.25" customHeight="1" x14ac:dyDescent="0.25">
      <c r="A418" s="83"/>
      <c r="B418" s="84"/>
      <c r="F418" s="84"/>
      <c r="G418" s="84"/>
      <c r="H418" s="84"/>
      <c r="I418" s="84"/>
      <c r="J418" s="84"/>
      <c r="K418" s="84"/>
      <c r="L418" s="84"/>
      <c r="M418" s="84"/>
      <c r="N418" s="84"/>
      <c r="O418" s="84"/>
      <c r="V418" s="83"/>
    </row>
    <row r="419" spans="1:22" ht="20.25" customHeight="1" x14ac:dyDescent="0.25">
      <c r="A419" s="83"/>
      <c r="B419" s="84"/>
      <c r="F419" s="84"/>
      <c r="G419" s="84"/>
      <c r="H419" s="84"/>
      <c r="I419" s="84"/>
      <c r="J419" s="84"/>
      <c r="K419" s="84"/>
      <c r="L419" s="84"/>
      <c r="M419" s="84"/>
      <c r="N419" s="84"/>
      <c r="O419" s="84"/>
      <c r="V419" s="83"/>
    </row>
    <row r="420" spans="1:22" ht="20.25" customHeight="1" x14ac:dyDescent="0.25">
      <c r="A420" s="83"/>
      <c r="B420" s="84"/>
      <c r="F420" s="84"/>
      <c r="G420" s="84"/>
      <c r="H420" s="84"/>
      <c r="I420" s="84"/>
      <c r="J420" s="84"/>
      <c r="K420" s="84"/>
      <c r="L420" s="84"/>
      <c r="M420" s="84"/>
      <c r="N420" s="84"/>
      <c r="O420" s="84"/>
      <c r="V420" s="83"/>
    </row>
    <row r="421" spans="1:22" ht="20.25" customHeight="1" x14ac:dyDescent="0.25">
      <c r="A421" s="83"/>
      <c r="B421" s="84"/>
      <c r="F421" s="84"/>
      <c r="G421" s="84"/>
      <c r="H421" s="84"/>
      <c r="I421" s="84"/>
      <c r="J421" s="84"/>
      <c r="K421" s="84"/>
      <c r="L421" s="84"/>
      <c r="M421" s="84"/>
      <c r="N421" s="84"/>
      <c r="O421" s="84"/>
      <c r="V421" s="83"/>
    </row>
    <row r="422" spans="1:22" ht="20.25" customHeight="1" x14ac:dyDescent="0.25">
      <c r="A422" s="83"/>
      <c r="B422" s="84"/>
      <c r="F422" s="84"/>
      <c r="G422" s="84"/>
      <c r="H422" s="84"/>
      <c r="I422" s="84"/>
      <c r="J422" s="84"/>
      <c r="K422" s="84"/>
      <c r="L422" s="84"/>
      <c r="M422" s="84"/>
      <c r="N422" s="84"/>
      <c r="O422" s="84"/>
      <c r="V422" s="83"/>
    </row>
    <row r="423" spans="1:22" ht="20.25" customHeight="1" x14ac:dyDescent="0.25">
      <c r="A423" s="83"/>
      <c r="B423" s="84"/>
      <c r="F423" s="84"/>
      <c r="G423" s="84"/>
      <c r="H423" s="84"/>
      <c r="I423" s="84"/>
      <c r="J423" s="84"/>
      <c r="K423" s="84"/>
      <c r="L423" s="84"/>
      <c r="M423" s="84"/>
      <c r="N423" s="84"/>
      <c r="O423" s="84"/>
      <c r="V423" s="83"/>
    </row>
    <row r="424" spans="1:22" ht="20.25" customHeight="1" x14ac:dyDescent="0.25">
      <c r="A424" s="83"/>
      <c r="B424" s="84"/>
      <c r="F424" s="84"/>
      <c r="G424" s="84"/>
      <c r="H424" s="84"/>
      <c r="I424" s="84"/>
      <c r="J424" s="84"/>
      <c r="K424" s="84"/>
      <c r="L424" s="84"/>
      <c r="M424" s="84"/>
      <c r="N424" s="84"/>
      <c r="O424" s="84"/>
      <c r="V424" s="83"/>
    </row>
    <row r="425" spans="1:22" ht="20.25" customHeight="1" x14ac:dyDescent="0.25">
      <c r="A425" s="83"/>
      <c r="B425" s="84"/>
      <c r="F425" s="84"/>
      <c r="G425" s="84"/>
      <c r="H425" s="84"/>
      <c r="I425" s="84"/>
      <c r="J425" s="84"/>
      <c r="K425" s="84"/>
      <c r="L425" s="84"/>
      <c r="M425" s="84"/>
      <c r="N425" s="84"/>
      <c r="O425" s="84"/>
      <c r="V425" s="83"/>
    </row>
    <row r="426" spans="1:22" ht="20.25" customHeight="1" x14ac:dyDescent="0.25">
      <c r="A426" s="83"/>
      <c r="B426" s="84"/>
      <c r="F426" s="84"/>
      <c r="G426" s="84"/>
      <c r="H426" s="84"/>
      <c r="I426" s="84"/>
      <c r="J426" s="84"/>
      <c r="K426" s="84"/>
      <c r="L426" s="84"/>
      <c r="M426" s="84"/>
      <c r="N426" s="84"/>
      <c r="O426" s="84"/>
      <c r="V426" s="83"/>
    </row>
    <row r="427" spans="1:22" ht="20.25" customHeight="1" x14ac:dyDescent="0.25">
      <c r="A427" s="83"/>
      <c r="B427" s="84"/>
      <c r="F427" s="84"/>
      <c r="G427" s="84"/>
      <c r="H427" s="84"/>
      <c r="I427" s="84"/>
      <c r="J427" s="84"/>
      <c r="K427" s="84"/>
      <c r="L427" s="84"/>
      <c r="M427" s="84"/>
      <c r="N427" s="84"/>
      <c r="O427" s="84"/>
      <c r="V427" s="83"/>
    </row>
    <row r="428" spans="1:22" ht="20.25" customHeight="1" x14ac:dyDescent="0.25">
      <c r="A428" s="83"/>
      <c r="B428" s="84"/>
      <c r="F428" s="84"/>
      <c r="G428" s="84"/>
      <c r="H428" s="84"/>
      <c r="I428" s="84"/>
      <c r="J428" s="84"/>
      <c r="K428" s="84"/>
      <c r="L428" s="84"/>
      <c r="M428" s="84"/>
      <c r="N428" s="84"/>
      <c r="O428" s="84"/>
      <c r="V428" s="83"/>
    </row>
    <row r="429" spans="1:22" ht="20.25" customHeight="1" x14ac:dyDescent="0.25">
      <c r="A429" s="83"/>
      <c r="B429" s="84"/>
      <c r="F429" s="84"/>
      <c r="G429" s="84"/>
      <c r="H429" s="84"/>
      <c r="I429" s="84"/>
      <c r="J429" s="84"/>
      <c r="K429" s="84"/>
      <c r="L429" s="84"/>
      <c r="M429" s="84"/>
      <c r="N429" s="84"/>
      <c r="O429" s="84"/>
      <c r="V429" s="83"/>
    </row>
    <row r="430" spans="1:22" ht="20.25" customHeight="1" x14ac:dyDescent="0.25">
      <c r="A430" s="83"/>
      <c r="B430" s="84"/>
      <c r="F430" s="84"/>
      <c r="G430" s="84"/>
      <c r="H430" s="84"/>
      <c r="I430" s="84"/>
      <c r="J430" s="84"/>
      <c r="K430" s="84"/>
      <c r="L430" s="84"/>
      <c r="M430" s="84"/>
      <c r="N430" s="84"/>
      <c r="O430" s="84"/>
      <c r="V430" s="83"/>
    </row>
    <row r="431" spans="1:22" ht="20.25" customHeight="1" x14ac:dyDescent="0.25">
      <c r="A431" s="83"/>
      <c r="B431" s="84"/>
      <c r="F431" s="84"/>
      <c r="G431" s="84"/>
      <c r="H431" s="84"/>
      <c r="I431" s="84"/>
      <c r="J431" s="84"/>
      <c r="K431" s="84"/>
      <c r="L431" s="84"/>
      <c r="M431" s="84"/>
      <c r="N431" s="84"/>
      <c r="O431" s="84"/>
      <c r="V431" s="83"/>
    </row>
    <row r="432" spans="1:22" ht="20.25" customHeight="1" x14ac:dyDescent="0.25">
      <c r="A432" s="83"/>
      <c r="B432" s="84"/>
      <c r="F432" s="84"/>
      <c r="G432" s="84"/>
      <c r="H432" s="84"/>
      <c r="I432" s="84"/>
      <c r="J432" s="84"/>
      <c r="K432" s="84"/>
      <c r="L432" s="84"/>
      <c r="M432" s="84"/>
      <c r="N432" s="84"/>
      <c r="O432" s="84"/>
      <c r="V432" s="83"/>
    </row>
    <row r="433" spans="1:22" ht="20.25" customHeight="1" x14ac:dyDescent="0.25">
      <c r="A433" s="83"/>
      <c r="B433" s="84"/>
      <c r="F433" s="84"/>
      <c r="G433" s="84"/>
      <c r="H433" s="84"/>
      <c r="I433" s="84"/>
      <c r="J433" s="84"/>
      <c r="K433" s="84"/>
      <c r="L433" s="84"/>
      <c r="M433" s="84"/>
      <c r="N433" s="84"/>
      <c r="O433" s="84"/>
      <c r="V433" s="83"/>
    </row>
    <row r="434" spans="1:22" ht="20.25" customHeight="1" x14ac:dyDescent="0.25">
      <c r="A434" s="83"/>
      <c r="B434" s="84"/>
      <c r="F434" s="84"/>
      <c r="G434" s="84"/>
      <c r="H434" s="84"/>
      <c r="I434" s="84"/>
      <c r="J434" s="84"/>
      <c r="K434" s="84"/>
      <c r="L434" s="84"/>
      <c r="M434" s="84"/>
      <c r="N434" s="84"/>
      <c r="O434" s="84"/>
      <c r="V434" s="83"/>
    </row>
    <row r="435" spans="1:22" ht="20.25" customHeight="1" x14ac:dyDescent="0.25">
      <c r="A435" s="83"/>
      <c r="B435" s="84"/>
      <c r="F435" s="84"/>
      <c r="G435" s="84"/>
      <c r="H435" s="84"/>
      <c r="I435" s="84"/>
      <c r="J435" s="84"/>
      <c r="K435" s="84"/>
      <c r="L435" s="84"/>
      <c r="M435" s="84"/>
      <c r="N435" s="84"/>
      <c r="O435" s="84"/>
      <c r="V435" s="83"/>
    </row>
    <row r="436" spans="1:22" ht="20.25" customHeight="1" x14ac:dyDescent="0.25">
      <c r="A436" s="83"/>
      <c r="B436" s="84"/>
      <c r="F436" s="84"/>
      <c r="G436" s="84"/>
      <c r="H436" s="84"/>
      <c r="I436" s="84"/>
      <c r="J436" s="84"/>
      <c r="K436" s="84"/>
      <c r="L436" s="84"/>
      <c r="M436" s="84"/>
      <c r="N436" s="84"/>
      <c r="O436" s="84"/>
      <c r="V436" s="83"/>
    </row>
    <row r="437" spans="1:22" ht="20.25" customHeight="1" x14ac:dyDescent="0.25">
      <c r="A437" s="83"/>
      <c r="B437" s="84"/>
      <c r="F437" s="84"/>
      <c r="G437" s="84"/>
      <c r="H437" s="84"/>
      <c r="I437" s="84"/>
      <c r="J437" s="84"/>
      <c r="K437" s="84"/>
      <c r="L437" s="84"/>
      <c r="M437" s="84"/>
      <c r="N437" s="84"/>
      <c r="O437" s="84"/>
      <c r="V437" s="83"/>
    </row>
    <row r="438" spans="1:22" ht="20.25" customHeight="1" x14ac:dyDescent="0.25">
      <c r="A438" s="83"/>
      <c r="B438" s="84"/>
      <c r="F438" s="84"/>
      <c r="G438" s="84"/>
      <c r="H438" s="84"/>
      <c r="I438" s="84"/>
      <c r="J438" s="84"/>
      <c r="K438" s="84"/>
      <c r="L438" s="84"/>
      <c r="M438" s="84"/>
      <c r="N438" s="84"/>
      <c r="O438" s="84"/>
      <c r="V438" s="83"/>
    </row>
    <row r="439" spans="1:22" ht="20.25" customHeight="1" x14ac:dyDescent="0.25">
      <c r="A439" s="83"/>
      <c r="B439" s="84"/>
      <c r="F439" s="84"/>
      <c r="G439" s="84"/>
      <c r="H439" s="84"/>
      <c r="I439" s="84"/>
      <c r="J439" s="84"/>
      <c r="K439" s="84"/>
      <c r="L439" s="84"/>
      <c r="M439" s="84"/>
      <c r="N439" s="84"/>
      <c r="O439" s="84"/>
      <c r="V439" s="83"/>
    </row>
    <row r="440" spans="1:22" ht="20.25" customHeight="1" x14ac:dyDescent="0.25">
      <c r="A440" s="83"/>
      <c r="B440" s="84"/>
      <c r="F440" s="84"/>
      <c r="G440" s="84"/>
      <c r="H440" s="84"/>
      <c r="I440" s="84"/>
      <c r="J440" s="84"/>
      <c r="K440" s="84"/>
      <c r="L440" s="84"/>
      <c r="M440" s="84"/>
      <c r="N440" s="84"/>
      <c r="O440" s="84"/>
      <c r="V440" s="83"/>
    </row>
    <row r="441" spans="1:22" ht="20.25" customHeight="1" x14ac:dyDescent="0.25">
      <c r="A441" s="83"/>
      <c r="B441" s="84"/>
      <c r="F441" s="84"/>
      <c r="G441" s="84"/>
      <c r="H441" s="84"/>
      <c r="I441" s="84"/>
      <c r="J441" s="84"/>
      <c r="K441" s="84"/>
      <c r="L441" s="84"/>
      <c r="M441" s="84"/>
      <c r="N441" s="84"/>
      <c r="O441" s="84"/>
      <c r="V441" s="83"/>
    </row>
    <row r="442" spans="1:22" ht="20.25" customHeight="1" x14ac:dyDescent="0.25">
      <c r="A442" s="83"/>
      <c r="B442" s="84"/>
      <c r="F442" s="84"/>
      <c r="G442" s="84"/>
      <c r="H442" s="84"/>
      <c r="I442" s="84"/>
      <c r="J442" s="84"/>
      <c r="K442" s="84"/>
      <c r="L442" s="84"/>
      <c r="M442" s="84"/>
      <c r="N442" s="84"/>
      <c r="O442" s="84"/>
      <c r="V442" s="83"/>
    </row>
    <row r="443" spans="1:22" ht="20.25" customHeight="1" x14ac:dyDescent="0.25">
      <c r="A443" s="83"/>
      <c r="B443" s="84"/>
      <c r="F443" s="84"/>
      <c r="G443" s="84"/>
      <c r="H443" s="84"/>
      <c r="I443" s="84"/>
      <c r="J443" s="84"/>
      <c r="K443" s="84"/>
      <c r="L443" s="84"/>
      <c r="M443" s="84"/>
      <c r="N443" s="84"/>
      <c r="O443" s="84"/>
      <c r="V443" s="83"/>
    </row>
    <row r="444" spans="1:22" ht="20.25" customHeight="1" x14ac:dyDescent="0.25">
      <c r="A444" s="83"/>
      <c r="B444" s="84"/>
      <c r="F444" s="84"/>
      <c r="G444" s="84"/>
      <c r="H444" s="84"/>
      <c r="I444" s="84"/>
      <c r="J444" s="84"/>
      <c r="K444" s="84"/>
      <c r="L444" s="84"/>
      <c r="M444" s="84"/>
      <c r="N444" s="84"/>
      <c r="O444" s="84"/>
      <c r="V444" s="83"/>
    </row>
    <row r="445" spans="1:22" ht="20.25" customHeight="1" x14ac:dyDescent="0.25">
      <c r="A445" s="83"/>
      <c r="B445" s="84"/>
      <c r="F445" s="84"/>
      <c r="G445" s="84"/>
      <c r="H445" s="84"/>
      <c r="I445" s="84"/>
      <c r="J445" s="84"/>
      <c r="K445" s="84"/>
      <c r="L445" s="84"/>
      <c r="M445" s="84"/>
      <c r="N445" s="84"/>
      <c r="O445" s="84"/>
      <c r="V445" s="83"/>
    </row>
    <row r="446" spans="1:22" ht="20.25" customHeight="1" x14ac:dyDescent="0.25">
      <c r="A446" s="83"/>
      <c r="B446" s="84"/>
      <c r="F446" s="84"/>
      <c r="G446" s="84"/>
      <c r="H446" s="84"/>
      <c r="I446" s="84"/>
      <c r="J446" s="84"/>
      <c r="K446" s="84"/>
      <c r="L446" s="84"/>
      <c r="M446" s="84"/>
      <c r="N446" s="84"/>
      <c r="O446" s="84"/>
      <c r="V446" s="83"/>
    </row>
    <row r="447" spans="1:22" ht="20.25" customHeight="1" x14ac:dyDescent="0.25">
      <c r="A447" s="83"/>
      <c r="B447" s="84"/>
      <c r="F447" s="84"/>
      <c r="G447" s="84"/>
      <c r="H447" s="84"/>
      <c r="I447" s="84"/>
      <c r="J447" s="84"/>
      <c r="K447" s="84"/>
      <c r="L447" s="84"/>
      <c r="M447" s="84"/>
      <c r="N447" s="84"/>
      <c r="O447" s="84"/>
      <c r="V447" s="83"/>
    </row>
    <row r="448" spans="1:22" ht="20.25" customHeight="1" x14ac:dyDescent="0.25">
      <c r="A448" s="83"/>
      <c r="B448" s="84"/>
      <c r="F448" s="84"/>
      <c r="G448" s="84"/>
      <c r="H448" s="84"/>
      <c r="I448" s="84"/>
      <c r="J448" s="84"/>
      <c r="K448" s="84"/>
      <c r="L448" s="84"/>
      <c r="M448" s="84"/>
      <c r="N448" s="84"/>
      <c r="O448" s="84"/>
      <c r="V448" s="83"/>
    </row>
    <row r="449" spans="1:22" ht="20.25" customHeight="1" x14ac:dyDescent="0.25">
      <c r="A449" s="83"/>
      <c r="B449" s="84"/>
      <c r="F449" s="84"/>
      <c r="G449" s="84"/>
      <c r="H449" s="84"/>
      <c r="I449" s="84"/>
      <c r="J449" s="84"/>
      <c r="K449" s="84"/>
      <c r="L449" s="84"/>
      <c r="M449" s="84"/>
      <c r="N449" s="84"/>
      <c r="O449" s="84"/>
      <c r="V449" s="83"/>
    </row>
    <row r="450" spans="1:22" ht="20.25" customHeight="1" x14ac:dyDescent="0.25">
      <c r="A450" s="83"/>
      <c r="B450" s="84"/>
      <c r="F450" s="84"/>
      <c r="G450" s="84"/>
      <c r="H450" s="84"/>
      <c r="I450" s="84"/>
      <c r="J450" s="84"/>
      <c r="K450" s="84"/>
      <c r="L450" s="84"/>
      <c r="M450" s="84"/>
      <c r="N450" s="84"/>
      <c r="O450" s="84"/>
      <c r="V450" s="83"/>
    </row>
    <row r="451" spans="1:22" ht="20.25" customHeight="1" x14ac:dyDescent="0.25">
      <c r="A451" s="83"/>
      <c r="B451" s="84"/>
      <c r="F451" s="84"/>
      <c r="G451" s="84"/>
      <c r="H451" s="84"/>
      <c r="I451" s="84"/>
      <c r="J451" s="84"/>
      <c r="K451" s="84"/>
      <c r="L451" s="84"/>
      <c r="M451" s="84"/>
      <c r="N451" s="84"/>
      <c r="O451" s="84"/>
      <c r="V451" s="83"/>
    </row>
    <row r="452" spans="1:22" ht="20.25" customHeight="1" x14ac:dyDescent="0.25">
      <c r="A452" s="83"/>
      <c r="B452" s="84"/>
      <c r="F452" s="84"/>
      <c r="G452" s="84"/>
      <c r="H452" s="84"/>
      <c r="I452" s="84"/>
      <c r="J452" s="84"/>
      <c r="K452" s="84"/>
      <c r="L452" s="84"/>
      <c r="M452" s="84"/>
      <c r="N452" s="84"/>
      <c r="O452" s="84"/>
      <c r="V452" s="83"/>
    </row>
    <row r="453" spans="1:22" ht="20.25" customHeight="1" x14ac:dyDescent="0.25">
      <c r="A453" s="83"/>
      <c r="B453" s="84"/>
      <c r="F453" s="84"/>
      <c r="G453" s="84"/>
      <c r="H453" s="84"/>
      <c r="I453" s="84"/>
      <c r="J453" s="84"/>
      <c r="K453" s="84"/>
      <c r="L453" s="84"/>
      <c r="M453" s="84"/>
      <c r="N453" s="84"/>
      <c r="O453" s="84"/>
      <c r="V453" s="83"/>
    </row>
    <row r="454" spans="1:22" ht="20.25" customHeight="1" x14ac:dyDescent="0.25">
      <c r="A454" s="83"/>
      <c r="B454" s="84"/>
      <c r="F454" s="84"/>
      <c r="G454" s="84"/>
      <c r="H454" s="84"/>
      <c r="I454" s="84"/>
      <c r="J454" s="84"/>
      <c r="K454" s="84"/>
      <c r="L454" s="84"/>
      <c r="M454" s="84"/>
      <c r="N454" s="84"/>
      <c r="O454" s="84"/>
      <c r="V454" s="83"/>
    </row>
    <row r="455" spans="1:22" ht="20.25" customHeight="1" x14ac:dyDescent="0.25">
      <c r="A455" s="83"/>
      <c r="B455" s="84"/>
      <c r="F455" s="84"/>
      <c r="G455" s="84"/>
      <c r="H455" s="84"/>
      <c r="I455" s="84"/>
      <c r="J455" s="84"/>
      <c r="K455" s="84"/>
      <c r="L455" s="84"/>
      <c r="M455" s="84"/>
      <c r="N455" s="84"/>
      <c r="O455" s="84"/>
      <c r="V455" s="83"/>
    </row>
    <row r="456" spans="1:22" ht="20.25" customHeight="1" x14ac:dyDescent="0.25">
      <c r="A456" s="83"/>
      <c r="B456" s="84"/>
      <c r="F456" s="84"/>
      <c r="G456" s="84"/>
      <c r="H456" s="84"/>
      <c r="I456" s="84"/>
      <c r="J456" s="84"/>
      <c r="K456" s="84"/>
      <c r="L456" s="84"/>
      <c r="M456" s="84"/>
      <c r="N456" s="84"/>
      <c r="O456" s="84"/>
      <c r="V456" s="83"/>
    </row>
    <row r="457" spans="1:22" ht="20.25" customHeight="1" x14ac:dyDescent="0.25">
      <c r="A457" s="83"/>
      <c r="B457" s="84"/>
      <c r="F457" s="84"/>
      <c r="G457" s="84"/>
      <c r="H457" s="84"/>
      <c r="I457" s="84"/>
      <c r="J457" s="84"/>
      <c r="K457" s="84"/>
      <c r="L457" s="84"/>
      <c r="M457" s="84"/>
      <c r="N457" s="84"/>
      <c r="O457" s="84"/>
      <c r="V457" s="83"/>
    </row>
    <row r="458" spans="1:22" ht="20.25" customHeight="1" x14ac:dyDescent="0.25">
      <c r="A458" s="83"/>
      <c r="B458" s="84"/>
      <c r="F458" s="84"/>
      <c r="G458" s="84"/>
      <c r="H458" s="84"/>
      <c r="I458" s="84"/>
      <c r="J458" s="84"/>
      <c r="K458" s="84"/>
      <c r="L458" s="84"/>
      <c r="M458" s="84"/>
      <c r="N458" s="84"/>
      <c r="O458" s="84"/>
      <c r="V458" s="83"/>
    </row>
    <row r="459" spans="1:22" ht="20.25" customHeight="1" x14ac:dyDescent="0.25">
      <c r="A459" s="83"/>
      <c r="B459" s="84"/>
      <c r="F459" s="84"/>
      <c r="G459" s="84"/>
      <c r="H459" s="84"/>
      <c r="I459" s="84"/>
      <c r="J459" s="84"/>
      <c r="K459" s="84"/>
      <c r="L459" s="84"/>
      <c r="M459" s="84"/>
      <c r="N459" s="84"/>
      <c r="O459" s="84"/>
      <c r="V459" s="83"/>
    </row>
    <row r="460" spans="1:22" ht="20.25" customHeight="1" x14ac:dyDescent="0.25">
      <c r="A460" s="83"/>
      <c r="B460" s="84"/>
      <c r="F460" s="84"/>
      <c r="G460" s="84"/>
      <c r="H460" s="84"/>
      <c r="I460" s="84"/>
      <c r="J460" s="84"/>
      <c r="K460" s="84"/>
      <c r="L460" s="84"/>
      <c r="M460" s="84"/>
      <c r="N460" s="84"/>
      <c r="O460" s="84"/>
      <c r="V460" s="83"/>
    </row>
    <row r="461" spans="1:22" ht="20.25" customHeight="1" x14ac:dyDescent="0.25">
      <c r="A461" s="83"/>
      <c r="B461" s="84"/>
      <c r="F461" s="84"/>
      <c r="G461" s="84"/>
      <c r="H461" s="84"/>
      <c r="I461" s="84"/>
      <c r="J461" s="84"/>
      <c r="K461" s="84"/>
      <c r="L461" s="84"/>
      <c r="M461" s="84"/>
      <c r="N461" s="84"/>
      <c r="O461" s="84"/>
      <c r="V461" s="83"/>
    </row>
    <row r="462" spans="1:22" ht="20.25" customHeight="1" x14ac:dyDescent="0.25">
      <c r="A462" s="83"/>
      <c r="B462" s="84"/>
      <c r="F462" s="84"/>
      <c r="G462" s="84"/>
      <c r="H462" s="84"/>
      <c r="I462" s="84"/>
      <c r="J462" s="84"/>
      <c r="K462" s="84"/>
      <c r="L462" s="84"/>
      <c r="M462" s="84"/>
      <c r="N462" s="84"/>
      <c r="O462" s="84"/>
      <c r="V462" s="83"/>
    </row>
    <row r="463" spans="1:22" ht="20.25" customHeight="1" x14ac:dyDescent="0.25">
      <c r="A463" s="83"/>
      <c r="B463" s="84"/>
      <c r="F463" s="84"/>
      <c r="G463" s="84"/>
      <c r="H463" s="84"/>
      <c r="I463" s="84"/>
      <c r="J463" s="84"/>
      <c r="K463" s="84"/>
      <c r="L463" s="84"/>
      <c r="M463" s="84"/>
      <c r="N463" s="84"/>
      <c r="O463" s="84"/>
      <c r="V463" s="83"/>
    </row>
    <row r="464" spans="1:22" ht="20.25" customHeight="1" x14ac:dyDescent="0.25">
      <c r="A464" s="83"/>
      <c r="B464" s="84"/>
      <c r="F464" s="84"/>
      <c r="G464" s="84"/>
      <c r="H464" s="84"/>
      <c r="I464" s="84"/>
      <c r="J464" s="84"/>
      <c r="K464" s="84"/>
      <c r="L464" s="84"/>
      <c r="M464" s="84"/>
      <c r="N464" s="84"/>
      <c r="O464" s="84"/>
      <c r="V464" s="83"/>
    </row>
    <row r="465" spans="1:22" ht="20.25" customHeight="1" x14ac:dyDescent="0.25">
      <c r="A465" s="83"/>
      <c r="B465" s="84"/>
      <c r="F465" s="84"/>
      <c r="G465" s="84"/>
      <c r="H465" s="84"/>
      <c r="I465" s="84"/>
      <c r="J465" s="84"/>
      <c r="K465" s="84"/>
      <c r="L465" s="84"/>
      <c r="M465" s="84"/>
      <c r="N465" s="84"/>
      <c r="O465" s="84"/>
      <c r="V465" s="83"/>
    </row>
    <row r="466" spans="1:22" ht="20.25" customHeight="1" x14ac:dyDescent="0.25">
      <c r="A466" s="83"/>
      <c r="B466" s="84"/>
      <c r="F466" s="84"/>
      <c r="G466" s="84"/>
      <c r="H466" s="84"/>
      <c r="I466" s="84"/>
      <c r="J466" s="84"/>
      <c r="K466" s="84"/>
      <c r="L466" s="84"/>
      <c r="M466" s="84"/>
      <c r="N466" s="84"/>
      <c r="O466" s="84"/>
      <c r="V466" s="83"/>
    </row>
    <row r="467" spans="1:22" ht="20.25" customHeight="1" x14ac:dyDescent="0.25">
      <c r="A467" s="83"/>
      <c r="B467" s="84"/>
      <c r="F467" s="84"/>
      <c r="G467" s="84"/>
      <c r="H467" s="84"/>
      <c r="I467" s="84"/>
      <c r="J467" s="84"/>
      <c r="K467" s="84"/>
      <c r="L467" s="84"/>
      <c r="M467" s="84"/>
      <c r="N467" s="84"/>
      <c r="O467" s="84"/>
      <c r="V467" s="83"/>
    </row>
    <row r="468" spans="1:22" ht="20.25" customHeight="1" x14ac:dyDescent="0.25">
      <c r="A468" s="83"/>
      <c r="B468" s="84"/>
      <c r="F468" s="84"/>
      <c r="G468" s="84"/>
      <c r="H468" s="84"/>
      <c r="I468" s="84"/>
      <c r="J468" s="84"/>
      <c r="K468" s="84"/>
      <c r="L468" s="84"/>
      <c r="M468" s="84"/>
      <c r="N468" s="84"/>
      <c r="O468" s="84"/>
      <c r="V468" s="83"/>
    </row>
    <row r="469" spans="1:22" ht="20.25" customHeight="1" x14ac:dyDescent="0.25">
      <c r="A469" s="83"/>
      <c r="B469" s="84"/>
      <c r="F469" s="84"/>
      <c r="G469" s="84"/>
      <c r="H469" s="84"/>
      <c r="I469" s="84"/>
      <c r="J469" s="84"/>
      <c r="K469" s="84"/>
      <c r="L469" s="84"/>
      <c r="M469" s="84"/>
      <c r="N469" s="84"/>
      <c r="O469" s="84"/>
      <c r="V469" s="83"/>
    </row>
    <row r="470" spans="1:22" ht="20.25" customHeight="1" x14ac:dyDescent="0.25">
      <c r="A470" s="83"/>
      <c r="B470" s="84"/>
      <c r="F470" s="84"/>
      <c r="G470" s="84"/>
      <c r="H470" s="84"/>
      <c r="I470" s="84"/>
      <c r="J470" s="84"/>
      <c r="K470" s="84"/>
      <c r="L470" s="84"/>
      <c r="M470" s="84"/>
      <c r="N470" s="84"/>
      <c r="O470" s="84"/>
      <c r="V470" s="83"/>
    </row>
    <row r="471" spans="1:22" ht="20.25" customHeight="1" x14ac:dyDescent="0.25">
      <c r="A471" s="83"/>
      <c r="B471" s="84"/>
      <c r="F471" s="84"/>
      <c r="G471" s="84"/>
      <c r="H471" s="84"/>
      <c r="I471" s="84"/>
      <c r="J471" s="84"/>
      <c r="K471" s="84"/>
      <c r="L471" s="84"/>
      <c r="M471" s="84"/>
      <c r="N471" s="84"/>
      <c r="O471" s="84"/>
      <c r="V471" s="83"/>
    </row>
    <row r="472" spans="1:22" ht="20.25" customHeight="1" x14ac:dyDescent="0.25">
      <c r="A472" s="83"/>
      <c r="B472" s="84"/>
      <c r="F472" s="84"/>
      <c r="G472" s="84"/>
      <c r="H472" s="84"/>
      <c r="I472" s="84"/>
      <c r="J472" s="84"/>
      <c r="K472" s="84"/>
      <c r="L472" s="84"/>
      <c r="M472" s="84"/>
      <c r="N472" s="84"/>
      <c r="O472" s="84"/>
      <c r="V472" s="83"/>
    </row>
    <row r="473" spans="1:22" ht="20.25" customHeight="1" x14ac:dyDescent="0.25">
      <c r="A473" s="83"/>
      <c r="B473" s="84"/>
      <c r="F473" s="84"/>
      <c r="G473" s="84"/>
      <c r="H473" s="84"/>
      <c r="I473" s="84"/>
      <c r="J473" s="84"/>
      <c r="K473" s="84"/>
      <c r="L473" s="84"/>
      <c r="M473" s="84"/>
      <c r="N473" s="84"/>
      <c r="O473" s="84"/>
      <c r="V473" s="83"/>
    </row>
    <row r="474" spans="1:22" ht="20.25" customHeight="1" x14ac:dyDescent="0.25">
      <c r="A474" s="83"/>
      <c r="B474" s="84"/>
      <c r="F474" s="84"/>
      <c r="G474" s="84"/>
      <c r="H474" s="84"/>
      <c r="I474" s="84"/>
      <c r="J474" s="84"/>
      <c r="K474" s="84"/>
      <c r="L474" s="84"/>
      <c r="M474" s="84"/>
      <c r="N474" s="84"/>
      <c r="O474" s="84"/>
      <c r="V474" s="83"/>
    </row>
    <row r="475" spans="1:22" ht="20.25" customHeight="1" x14ac:dyDescent="0.25">
      <c r="A475" s="83"/>
      <c r="B475" s="84"/>
      <c r="F475" s="84"/>
      <c r="G475" s="84"/>
      <c r="H475" s="84"/>
      <c r="I475" s="84"/>
      <c r="J475" s="84"/>
      <c r="K475" s="84"/>
      <c r="L475" s="84"/>
      <c r="M475" s="84"/>
      <c r="N475" s="84"/>
      <c r="O475" s="84"/>
      <c r="V475" s="83"/>
    </row>
    <row r="476" spans="1:22" ht="20.25" customHeight="1" x14ac:dyDescent="0.25">
      <c r="A476" s="83"/>
      <c r="B476" s="84"/>
      <c r="F476" s="84"/>
      <c r="G476" s="84"/>
      <c r="H476" s="84"/>
      <c r="I476" s="84"/>
      <c r="J476" s="84"/>
      <c r="K476" s="84"/>
      <c r="L476" s="84"/>
      <c r="M476" s="84"/>
      <c r="N476" s="84"/>
      <c r="O476" s="84"/>
      <c r="V476" s="83"/>
    </row>
    <row r="477" spans="1:22" ht="20.25" customHeight="1" x14ac:dyDescent="0.25">
      <c r="A477" s="83"/>
      <c r="B477" s="84"/>
      <c r="F477" s="84"/>
      <c r="G477" s="84"/>
      <c r="H477" s="84"/>
      <c r="I477" s="84"/>
      <c r="J477" s="84"/>
      <c r="K477" s="84"/>
      <c r="L477" s="84"/>
      <c r="M477" s="84"/>
      <c r="N477" s="84"/>
      <c r="O477" s="84"/>
      <c r="V477" s="83"/>
    </row>
    <row r="478" spans="1:22" ht="20.25" customHeight="1" x14ac:dyDescent="0.25">
      <c r="A478" s="83"/>
      <c r="B478" s="84"/>
      <c r="F478" s="84"/>
      <c r="G478" s="84"/>
      <c r="H478" s="84"/>
      <c r="I478" s="84"/>
      <c r="J478" s="84"/>
      <c r="K478" s="84"/>
      <c r="L478" s="84"/>
      <c r="M478" s="84"/>
      <c r="N478" s="84"/>
      <c r="O478" s="84"/>
      <c r="V478" s="83"/>
    </row>
    <row r="479" spans="1:22" ht="20.25" customHeight="1" x14ac:dyDescent="0.25">
      <c r="A479" s="83"/>
      <c r="B479" s="84"/>
      <c r="F479" s="84"/>
      <c r="G479" s="84"/>
      <c r="H479" s="84"/>
      <c r="I479" s="84"/>
      <c r="J479" s="84"/>
      <c r="K479" s="84"/>
      <c r="L479" s="84"/>
      <c r="M479" s="84"/>
      <c r="N479" s="84"/>
      <c r="O479" s="84"/>
      <c r="V479" s="83"/>
    </row>
    <row r="480" spans="1:22" ht="20.25" customHeight="1" x14ac:dyDescent="0.25">
      <c r="A480" s="83"/>
      <c r="B480" s="84"/>
      <c r="F480" s="84"/>
      <c r="G480" s="84"/>
      <c r="H480" s="84"/>
      <c r="I480" s="84"/>
      <c r="J480" s="84"/>
      <c r="K480" s="84"/>
      <c r="L480" s="84"/>
      <c r="M480" s="84"/>
      <c r="N480" s="84"/>
      <c r="O480" s="84"/>
      <c r="V480" s="83"/>
    </row>
    <row r="481" spans="1:22" ht="20.25" customHeight="1" x14ac:dyDescent="0.25">
      <c r="A481" s="83"/>
      <c r="B481" s="84"/>
      <c r="F481" s="84"/>
      <c r="G481" s="84"/>
      <c r="H481" s="84"/>
      <c r="I481" s="84"/>
      <c r="J481" s="84"/>
      <c r="K481" s="84"/>
      <c r="L481" s="84"/>
      <c r="M481" s="84"/>
      <c r="N481" s="84"/>
      <c r="O481" s="84"/>
      <c r="V481" s="83"/>
    </row>
    <row r="482" spans="1:22" ht="20.25" customHeight="1" x14ac:dyDescent="0.25">
      <c r="A482" s="83"/>
      <c r="B482" s="84"/>
      <c r="F482" s="84"/>
      <c r="G482" s="84"/>
      <c r="H482" s="84"/>
      <c r="I482" s="84"/>
      <c r="J482" s="84"/>
      <c r="K482" s="84"/>
      <c r="L482" s="84"/>
      <c r="M482" s="84"/>
      <c r="N482" s="84"/>
      <c r="O482" s="84"/>
      <c r="V482" s="83"/>
    </row>
    <row r="483" spans="1:22" ht="20.25" customHeight="1" x14ac:dyDescent="0.25">
      <c r="A483" s="83"/>
      <c r="B483" s="84"/>
      <c r="F483" s="84"/>
      <c r="G483" s="84"/>
      <c r="H483" s="84"/>
      <c r="I483" s="84"/>
      <c r="J483" s="84"/>
      <c r="K483" s="84"/>
      <c r="L483" s="84"/>
      <c r="M483" s="84"/>
      <c r="N483" s="84"/>
      <c r="O483" s="84"/>
      <c r="V483" s="83"/>
    </row>
  </sheetData>
  <sheetProtection selectLockedCells="1" sort="0" autoFilter="0"/>
  <protectedRanges>
    <protectedRange sqref="A2:V4" name="EditRar"/>
  </protectedRanges>
  <mergeCells count="6">
    <mergeCell ref="J1:L1"/>
    <mergeCell ref="Q1:U1"/>
    <mergeCell ref="O1:P1"/>
    <mergeCell ref="A1:B1"/>
    <mergeCell ref="C1:I1"/>
    <mergeCell ref="M1:N1"/>
  </mergeCells>
  <conditionalFormatting sqref="A3:V4">
    <cfRule type="expression" dxfId="145" priority="17">
      <formula>ROW()-NumberOfTeams=2</formula>
    </cfRule>
  </conditionalFormatting>
  <conditionalFormatting sqref="A3:A4">
    <cfRule type="expression" dxfId="144" priority="11">
      <formula>IF($N3 &lt;= NumberofTeamsAdvancing,TRUE,FALSE)</formula>
    </cfRule>
  </conditionalFormatting>
  <conditionalFormatting sqref="P2">
    <cfRule type="expression" dxfId="143" priority="6">
      <formula>IF(COUNTIF($P:$P,"=Yes")&lt;&gt;NumberofTeamsAdvancing,1,0)</formula>
    </cfRule>
  </conditionalFormatting>
  <conditionalFormatting sqref="B3:V4">
    <cfRule type="expression" dxfId="142" priority="21">
      <formula>IF($O3&lt;&gt;"",TRUE,FALSE)</formula>
    </cfRule>
  </conditionalFormatting>
  <conditionalFormatting sqref="P3:P4">
    <cfRule type="cellIs" dxfId="141" priority="77" operator="equal">
      <formula>"Alt"</formula>
    </cfRule>
    <cfRule type="cellIs" dxfId="140" priority="78" operator="equal">
      <formula>"Yes"</formula>
    </cfRule>
  </conditionalFormatting>
  <conditionalFormatting sqref="O3:O4">
    <cfRule type="duplicateValues" dxfId="139" priority="309"/>
  </conditionalFormatting>
  <dataValidations count="2">
    <dataValidation type="list" allowBlank="1" showInputMessage="1" showErrorMessage="1" sqref="P3:P4" xr:uid="{00000000-0002-0000-0300-000000000000}">
      <formula1>"Yes,Alt,No"</formula1>
    </dataValidation>
    <dataValidation type="list" allowBlank="1" showInputMessage="1" showErrorMessage="1" sqref="O3:O4" xr:uid="{00000000-0002-0000-0300-000001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41"/>
  <sheetViews>
    <sheetView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52" customWidth="1"/>
    <col min="7" max="10" width="8.85546875" style="6" customWidth="1"/>
    <col min="11" max="16384" width="8.85546875" style="6"/>
  </cols>
  <sheetData>
    <row r="1" spans="1:6" s="44" customFormat="1" ht="99.95" customHeight="1" x14ac:dyDescent="0.25">
      <c r="A1" s="68" t="s">
        <v>21</v>
      </c>
      <c r="B1" s="68" t="s">
        <v>22</v>
      </c>
      <c r="C1" s="77" t="s">
        <v>54</v>
      </c>
      <c r="D1" s="77" t="s">
        <v>55</v>
      </c>
      <c r="E1" s="77" t="s">
        <v>56</v>
      </c>
      <c r="F1" s="69" t="s">
        <v>57</v>
      </c>
    </row>
    <row r="2" spans="1:6" ht="21" customHeight="1" x14ac:dyDescent="0.25">
      <c r="A2" s="81">
        <v>1</v>
      </c>
      <c r="B2" s="81" t="e">
        <f>INDEX(OfficialTeamList[Team Name],MATCH(RobotGameScores[[#This Row],[Team Number]], OfficialTeamList[Team Number],0))</f>
        <v>#N/A</v>
      </c>
      <c r="C2" s="82"/>
      <c r="D2" s="82"/>
      <c r="E2" s="82"/>
      <c r="F2" s="86">
        <f>MAX(C2:E2)</f>
        <v>0</v>
      </c>
    </row>
    <row r="3" spans="1:6" ht="21" customHeight="1" x14ac:dyDescent="0.25">
      <c r="A3" s="81">
        <v>2</v>
      </c>
      <c r="B3" s="81" t="e">
        <f>INDEX(OfficialTeamList[Team Name],MATCH(RobotGameScores[[#This Row],[Team Number]], OfficialTeamList[Team Number],0))</f>
        <v>#N/A</v>
      </c>
      <c r="C3" s="82"/>
      <c r="D3" s="82"/>
      <c r="E3" s="82"/>
      <c r="F3" s="86">
        <f>MAX(C3:E3)</f>
        <v>0</v>
      </c>
    </row>
    <row r="4" spans="1:6" ht="21" customHeight="1" x14ac:dyDescent="0.25">
      <c r="A4" s="81"/>
      <c r="B4" s="81"/>
      <c r="C4" s="81"/>
      <c r="D4" s="81"/>
      <c r="E4" s="81"/>
      <c r="F4" s="100"/>
    </row>
    <row r="5" spans="1:6" ht="21" customHeight="1" x14ac:dyDescent="0.25">
      <c r="A5" s="81"/>
      <c r="B5" s="81"/>
      <c r="C5" s="81"/>
      <c r="D5" s="81"/>
      <c r="E5" s="81"/>
      <c r="F5" s="100"/>
    </row>
    <row r="6" spans="1:6" ht="21" customHeight="1" x14ac:dyDescent="0.25">
      <c r="A6" s="81"/>
      <c r="B6" s="81"/>
      <c r="C6" s="81"/>
      <c r="D6" s="81"/>
      <c r="E6" s="81"/>
      <c r="F6" s="100"/>
    </row>
    <row r="7" spans="1:6" ht="21" customHeight="1" x14ac:dyDescent="0.25">
      <c r="A7" s="81"/>
      <c r="B7" s="81"/>
      <c r="C7" s="81"/>
      <c r="D7" s="81"/>
      <c r="E7" s="81"/>
      <c r="F7" s="100"/>
    </row>
    <row r="8" spans="1:6" ht="21" customHeight="1" x14ac:dyDescent="0.25">
      <c r="A8" s="81"/>
      <c r="B8" s="81"/>
      <c r="C8" s="81"/>
      <c r="D8" s="81"/>
      <c r="E8" s="81"/>
      <c r="F8" s="100"/>
    </row>
    <row r="9" spans="1:6" ht="21" customHeight="1" x14ac:dyDescent="0.25">
      <c r="A9" s="81"/>
      <c r="B9" s="81"/>
      <c r="C9" s="81"/>
      <c r="D9" s="81"/>
      <c r="E9" s="81"/>
      <c r="F9" s="100"/>
    </row>
    <row r="10" spans="1:6" ht="21" customHeight="1" x14ac:dyDescent="0.25">
      <c r="A10" s="81"/>
      <c r="B10" s="81"/>
      <c r="C10" s="81"/>
      <c r="D10" s="81"/>
      <c r="E10" s="81"/>
      <c r="F10" s="100"/>
    </row>
    <row r="11" spans="1:6" ht="21" customHeight="1" x14ac:dyDescent="0.25">
      <c r="A11" s="81"/>
      <c r="B11" s="81"/>
      <c r="C11" s="81"/>
      <c r="D11" s="81"/>
      <c r="E11" s="81"/>
      <c r="F11" s="100"/>
    </row>
    <row r="12" spans="1:6" ht="21" customHeight="1" x14ac:dyDescent="0.25">
      <c r="A12" s="81"/>
      <c r="B12" s="81"/>
      <c r="C12" s="81"/>
      <c r="D12" s="81"/>
      <c r="E12" s="81"/>
      <c r="F12" s="100"/>
    </row>
    <row r="13" spans="1:6" ht="21" customHeight="1" x14ac:dyDescent="0.25">
      <c r="A13" s="81"/>
      <c r="B13" s="81"/>
      <c r="C13" s="81"/>
      <c r="D13" s="81"/>
      <c r="E13" s="81"/>
      <c r="F13" s="100"/>
    </row>
    <row r="14" spans="1:6" ht="21" customHeight="1" x14ac:dyDescent="0.25">
      <c r="A14" s="81"/>
      <c r="B14" s="81"/>
      <c r="C14" s="81"/>
      <c r="D14" s="81"/>
      <c r="E14" s="81"/>
      <c r="F14" s="100"/>
    </row>
    <row r="15" spans="1:6" ht="21" customHeight="1" x14ac:dyDescent="0.25">
      <c r="A15" s="81"/>
      <c r="B15" s="81"/>
      <c r="C15" s="81"/>
      <c r="D15" s="81"/>
      <c r="E15" s="81"/>
      <c r="F15" s="100"/>
    </row>
    <row r="16" spans="1:6" ht="21" customHeight="1" x14ac:dyDescent="0.25">
      <c r="A16" s="81"/>
      <c r="B16" s="81"/>
      <c r="C16" s="81"/>
      <c r="D16" s="81"/>
      <c r="E16" s="81"/>
      <c r="F16" s="100"/>
    </row>
    <row r="17" spans="1:6" ht="21" customHeight="1" x14ac:dyDescent="0.25">
      <c r="A17" s="81"/>
      <c r="B17" s="81"/>
      <c r="C17" s="81"/>
      <c r="D17" s="81"/>
      <c r="E17" s="81"/>
      <c r="F17" s="100"/>
    </row>
    <row r="18" spans="1:6" ht="21" customHeight="1" x14ac:dyDescent="0.25">
      <c r="A18" s="81"/>
      <c r="B18" s="81"/>
      <c r="C18" s="81"/>
      <c r="D18" s="81"/>
      <c r="E18" s="81"/>
      <c r="F18" s="100"/>
    </row>
    <row r="19" spans="1:6" ht="21" customHeight="1" x14ac:dyDescent="0.25">
      <c r="A19" s="81"/>
      <c r="B19" s="81"/>
      <c r="C19" s="81"/>
      <c r="D19" s="81"/>
      <c r="E19" s="81"/>
      <c r="F19" s="100"/>
    </row>
    <row r="20" spans="1:6" ht="21" customHeight="1" x14ac:dyDescent="0.25">
      <c r="A20" s="81"/>
      <c r="B20" s="81"/>
      <c r="C20" s="81"/>
      <c r="D20" s="81"/>
      <c r="E20" s="81"/>
      <c r="F20" s="100"/>
    </row>
    <row r="21" spans="1:6" ht="21" customHeight="1" x14ac:dyDescent="0.25">
      <c r="A21" s="81"/>
      <c r="B21" s="81"/>
      <c r="C21" s="81"/>
      <c r="D21" s="81"/>
      <c r="E21" s="81"/>
      <c r="F21" s="100"/>
    </row>
    <row r="22" spans="1:6" ht="21" customHeight="1" x14ac:dyDescent="0.25">
      <c r="A22" s="81"/>
      <c r="B22" s="81"/>
      <c r="C22" s="81"/>
      <c r="D22" s="81"/>
      <c r="E22" s="81"/>
      <c r="F22" s="100"/>
    </row>
    <row r="23" spans="1:6" ht="21" customHeight="1" x14ac:dyDescent="0.25">
      <c r="A23" s="81"/>
      <c r="B23" s="81"/>
      <c r="C23" s="81"/>
      <c r="D23" s="81"/>
      <c r="E23" s="81"/>
      <c r="F23" s="100"/>
    </row>
    <row r="24" spans="1:6" ht="21" customHeight="1" x14ac:dyDescent="0.25">
      <c r="A24" s="81"/>
      <c r="B24" s="81"/>
      <c r="C24" s="81"/>
      <c r="D24" s="81"/>
      <c r="E24" s="81"/>
      <c r="F24" s="100"/>
    </row>
    <row r="25" spans="1:6" ht="21" customHeight="1" x14ac:dyDescent="0.25">
      <c r="A25" s="81"/>
      <c r="B25" s="81"/>
      <c r="C25" s="81"/>
      <c r="D25" s="81"/>
      <c r="E25" s="81"/>
      <c r="F25" s="100"/>
    </row>
    <row r="26" spans="1:6" ht="21" customHeight="1" x14ac:dyDescent="0.25">
      <c r="A26" s="81"/>
      <c r="B26" s="81"/>
      <c r="C26" s="81"/>
      <c r="D26" s="81"/>
      <c r="E26" s="81"/>
      <c r="F26" s="100"/>
    </row>
    <row r="27" spans="1:6" ht="21" customHeight="1" x14ac:dyDescent="0.25">
      <c r="A27" s="81"/>
      <c r="B27" s="81"/>
      <c r="C27" s="81"/>
      <c r="D27" s="81"/>
      <c r="E27" s="81"/>
      <c r="F27" s="100"/>
    </row>
    <row r="28" spans="1:6" ht="21" customHeight="1" x14ac:dyDescent="0.25">
      <c r="A28" s="81"/>
      <c r="B28" s="81"/>
      <c r="C28" s="81"/>
      <c r="D28" s="81"/>
      <c r="E28" s="81"/>
      <c r="F28" s="100"/>
    </row>
    <row r="29" spans="1:6" ht="21" customHeight="1" x14ac:dyDescent="0.25">
      <c r="A29" s="81"/>
      <c r="B29" s="81"/>
      <c r="C29" s="81"/>
      <c r="D29" s="81"/>
      <c r="E29" s="81"/>
      <c r="F29" s="100"/>
    </row>
    <row r="30" spans="1:6" ht="21" customHeight="1" x14ac:dyDescent="0.25">
      <c r="A30" s="81"/>
      <c r="B30" s="81"/>
      <c r="C30" s="81"/>
      <c r="D30" s="81"/>
      <c r="E30" s="81"/>
      <c r="F30" s="100"/>
    </row>
    <row r="31" spans="1:6" ht="21" customHeight="1" x14ac:dyDescent="0.25">
      <c r="A31" s="81"/>
      <c r="B31" s="81"/>
      <c r="C31" s="81"/>
      <c r="D31" s="81"/>
      <c r="E31" s="81"/>
      <c r="F31" s="100"/>
    </row>
    <row r="32" spans="1:6" ht="21" customHeight="1" x14ac:dyDescent="0.25">
      <c r="A32" s="81"/>
      <c r="B32" s="81"/>
      <c r="C32" s="81"/>
      <c r="D32" s="81"/>
      <c r="E32" s="81"/>
      <c r="F32" s="100"/>
    </row>
    <row r="33" spans="1:6" ht="21" customHeight="1" x14ac:dyDescent="0.25">
      <c r="A33" s="81"/>
      <c r="B33" s="81"/>
      <c r="C33" s="81"/>
      <c r="D33" s="81"/>
      <c r="E33" s="81"/>
      <c r="F33" s="100"/>
    </row>
    <row r="34" spans="1:6" ht="21" customHeight="1" x14ac:dyDescent="0.25">
      <c r="A34" s="81"/>
      <c r="B34" s="81"/>
      <c r="C34" s="81"/>
      <c r="D34" s="81"/>
      <c r="E34" s="81"/>
      <c r="F34" s="100"/>
    </row>
    <row r="35" spans="1:6" ht="21" customHeight="1" x14ac:dyDescent="0.25">
      <c r="A35" s="81"/>
      <c r="B35" s="81"/>
      <c r="C35" s="81"/>
      <c r="D35" s="81"/>
      <c r="E35" s="81"/>
      <c r="F35" s="100"/>
    </row>
    <row r="36" spans="1:6" ht="21" customHeight="1" x14ac:dyDescent="0.25">
      <c r="A36" s="81"/>
      <c r="B36" s="81"/>
      <c r="C36" s="81"/>
      <c r="D36" s="81"/>
      <c r="E36" s="81"/>
      <c r="F36" s="100"/>
    </row>
    <row r="37" spans="1:6" ht="21" customHeight="1" x14ac:dyDescent="0.25">
      <c r="A37" s="81"/>
      <c r="B37" s="81"/>
      <c r="C37" s="81"/>
      <c r="D37" s="81"/>
      <c r="E37" s="81"/>
      <c r="F37" s="100"/>
    </row>
    <row r="38" spans="1:6" ht="21" customHeight="1" x14ac:dyDescent="0.25">
      <c r="A38" s="81"/>
      <c r="B38" s="81"/>
      <c r="C38" s="81"/>
      <c r="D38" s="81"/>
      <c r="E38" s="81"/>
      <c r="F38" s="100"/>
    </row>
    <row r="39" spans="1:6" ht="21" customHeight="1" x14ac:dyDescent="0.25">
      <c r="A39" s="81"/>
      <c r="B39" s="81"/>
      <c r="C39" s="81"/>
      <c r="D39" s="81"/>
      <c r="E39" s="81"/>
      <c r="F39" s="100"/>
    </row>
    <row r="40" spans="1:6" ht="21" customHeight="1" x14ac:dyDescent="0.25">
      <c r="A40" s="81"/>
      <c r="B40" s="81"/>
      <c r="C40" s="81"/>
      <c r="D40" s="81"/>
      <c r="E40" s="81"/>
      <c r="F40" s="100"/>
    </row>
    <row r="41" spans="1:6" ht="21" customHeight="1" x14ac:dyDescent="0.25">
      <c r="A41" s="81"/>
      <c r="B41" s="81"/>
      <c r="C41" s="81"/>
      <c r="D41" s="81"/>
      <c r="E41" s="81"/>
      <c r="F41" s="100"/>
    </row>
    <row r="42" spans="1:6" ht="21" customHeight="1" x14ac:dyDescent="0.25">
      <c r="A42" s="81"/>
      <c r="B42" s="81"/>
      <c r="C42" s="81"/>
      <c r="D42" s="81"/>
      <c r="E42" s="81"/>
      <c r="F42" s="100"/>
    </row>
    <row r="43" spans="1:6" ht="21" customHeight="1" x14ac:dyDescent="0.25">
      <c r="A43" s="81"/>
      <c r="B43" s="81"/>
      <c r="C43" s="81"/>
      <c r="D43" s="81"/>
      <c r="E43" s="81"/>
      <c r="F43" s="100"/>
    </row>
    <row r="44" spans="1:6" ht="21" customHeight="1" x14ac:dyDescent="0.25">
      <c r="A44" s="81"/>
      <c r="B44" s="81"/>
      <c r="C44" s="81"/>
      <c r="D44" s="81"/>
      <c r="E44" s="81"/>
      <c r="F44" s="100"/>
    </row>
    <row r="45" spans="1:6" ht="21" customHeight="1" x14ac:dyDescent="0.25">
      <c r="A45" s="81"/>
      <c r="B45" s="81"/>
      <c r="C45" s="81"/>
      <c r="D45" s="81"/>
      <c r="E45" s="81"/>
      <c r="F45" s="100"/>
    </row>
    <row r="46" spans="1:6" ht="21" customHeight="1" x14ac:dyDescent="0.25">
      <c r="A46" s="81"/>
      <c r="B46" s="81"/>
      <c r="C46" s="81"/>
      <c r="D46" s="81"/>
      <c r="E46" s="81"/>
      <c r="F46" s="100"/>
    </row>
    <row r="47" spans="1:6" ht="21" customHeight="1" x14ac:dyDescent="0.25">
      <c r="A47" s="81"/>
      <c r="B47" s="81"/>
      <c r="C47" s="81"/>
      <c r="D47" s="81"/>
      <c r="E47" s="81"/>
      <c r="F47" s="100"/>
    </row>
    <row r="48" spans="1:6" ht="21" customHeight="1" x14ac:dyDescent="0.25">
      <c r="A48" s="81"/>
      <c r="B48" s="81"/>
      <c r="C48" s="81"/>
      <c r="D48" s="81"/>
      <c r="E48" s="81"/>
      <c r="F48" s="100"/>
    </row>
    <row r="49" spans="1:6" ht="21" customHeight="1" x14ac:dyDescent="0.25">
      <c r="A49" s="81"/>
      <c r="B49" s="81"/>
      <c r="C49" s="81"/>
      <c r="D49" s="81"/>
      <c r="E49" s="81"/>
      <c r="F49" s="100"/>
    </row>
    <row r="50" spans="1:6" ht="21" customHeight="1" x14ac:dyDescent="0.25">
      <c r="A50" s="81"/>
      <c r="B50" s="81"/>
      <c r="C50" s="81"/>
      <c r="D50" s="81"/>
      <c r="E50" s="81"/>
      <c r="F50" s="100"/>
    </row>
    <row r="51" spans="1:6" ht="21" customHeight="1" x14ac:dyDescent="0.25">
      <c r="A51" s="81"/>
      <c r="B51" s="81"/>
      <c r="C51" s="81"/>
      <c r="D51" s="81"/>
      <c r="E51" s="81"/>
      <c r="F51" s="100"/>
    </row>
    <row r="52" spans="1:6" ht="21" customHeight="1" x14ac:dyDescent="0.25">
      <c r="A52" s="81"/>
      <c r="B52" s="81"/>
      <c r="C52" s="81"/>
      <c r="D52" s="81"/>
      <c r="E52" s="81"/>
      <c r="F52" s="100"/>
    </row>
    <row r="53" spans="1:6" ht="21" customHeight="1" x14ac:dyDescent="0.25">
      <c r="A53" s="81"/>
      <c r="B53" s="81"/>
      <c r="C53" s="81"/>
      <c r="D53" s="81"/>
      <c r="E53" s="81"/>
      <c r="F53" s="100"/>
    </row>
    <row r="54" spans="1:6" ht="21" customHeight="1" x14ac:dyDescent="0.25">
      <c r="A54" s="81"/>
      <c r="B54" s="81"/>
      <c r="C54" s="81"/>
      <c r="D54" s="81"/>
      <c r="E54" s="81"/>
      <c r="F54" s="100"/>
    </row>
    <row r="55" spans="1:6" ht="21" customHeight="1" x14ac:dyDescent="0.25">
      <c r="A55" s="81"/>
      <c r="B55" s="81"/>
      <c r="C55" s="81"/>
      <c r="D55" s="81"/>
      <c r="E55" s="81"/>
      <c r="F55" s="100"/>
    </row>
    <row r="56" spans="1:6" ht="21" customHeight="1" x14ac:dyDescent="0.25">
      <c r="A56" s="81"/>
      <c r="B56" s="81"/>
      <c r="C56" s="81"/>
      <c r="D56" s="81"/>
      <c r="E56" s="81"/>
      <c r="F56" s="100"/>
    </row>
    <row r="57" spans="1:6" ht="21" customHeight="1" x14ac:dyDescent="0.25">
      <c r="A57" s="81"/>
      <c r="B57" s="81"/>
      <c r="C57" s="81"/>
      <c r="D57" s="81"/>
      <c r="E57" s="81"/>
      <c r="F57" s="100"/>
    </row>
    <row r="58" spans="1:6" ht="21" customHeight="1" x14ac:dyDescent="0.25">
      <c r="A58" s="81"/>
      <c r="B58" s="81"/>
      <c r="C58" s="81"/>
      <c r="D58" s="81"/>
      <c r="E58" s="81"/>
      <c r="F58" s="100"/>
    </row>
    <row r="59" spans="1:6" ht="21" customHeight="1" x14ac:dyDescent="0.25">
      <c r="A59" s="81"/>
      <c r="B59" s="81"/>
      <c r="C59" s="81"/>
      <c r="D59" s="81"/>
      <c r="E59" s="81"/>
      <c r="F59" s="100"/>
    </row>
    <row r="60" spans="1:6" ht="21" customHeight="1" x14ac:dyDescent="0.25">
      <c r="A60" s="81"/>
      <c r="B60" s="81"/>
      <c r="C60" s="81"/>
      <c r="D60" s="81"/>
      <c r="E60" s="81"/>
      <c r="F60" s="100"/>
    </row>
    <row r="61" spans="1:6" ht="21" customHeight="1" x14ac:dyDescent="0.25">
      <c r="A61" s="81"/>
      <c r="B61" s="81"/>
      <c r="C61" s="81"/>
      <c r="D61" s="81"/>
      <c r="E61" s="81"/>
      <c r="F61" s="100"/>
    </row>
    <row r="62" spans="1:6" ht="21" customHeight="1" x14ac:dyDescent="0.25">
      <c r="A62" s="81"/>
      <c r="B62" s="81"/>
      <c r="C62" s="81"/>
      <c r="D62" s="81"/>
      <c r="E62" s="81"/>
      <c r="F62" s="100"/>
    </row>
    <row r="63" spans="1:6" ht="21" customHeight="1" x14ac:dyDescent="0.25">
      <c r="A63" s="81"/>
      <c r="B63" s="81"/>
      <c r="C63" s="81"/>
      <c r="D63" s="81"/>
      <c r="E63" s="81"/>
      <c r="F63" s="100"/>
    </row>
    <row r="64" spans="1:6" ht="21" customHeight="1" x14ac:dyDescent="0.25">
      <c r="A64" s="81"/>
      <c r="B64" s="81"/>
      <c r="C64" s="81"/>
      <c r="D64" s="81"/>
      <c r="E64" s="81"/>
      <c r="F64" s="100"/>
    </row>
    <row r="65" spans="1:6" ht="21" customHeight="1" x14ac:dyDescent="0.25">
      <c r="A65" s="81"/>
      <c r="B65" s="81"/>
      <c r="C65" s="81"/>
      <c r="D65" s="81"/>
      <c r="E65" s="81"/>
      <c r="F65" s="100"/>
    </row>
    <row r="66" spans="1:6" ht="21" customHeight="1" x14ac:dyDescent="0.25">
      <c r="A66" s="81"/>
      <c r="B66" s="81"/>
      <c r="C66" s="81"/>
      <c r="D66" s="81"/>
      <c r="E66" s="81"/>
      <c r="F66" s="100"/>
    </row>
    <row r="67" spans="1:6" ht="21" customHeight="1" x14ac:dyDescent="0.25">
      <c r="A67" s="81"/>
      <c r="B67" s="81"/>
      <c r="C67" s="81"/>
      <c r="D67" s="81"/>
      <c r="E67" s="81"/>
      <c r="F67" s="100"/>
    </row>
    <row r="68" spans="1:6" ht="21" customHeight="1" x14ac:dyDescent="0.25">
      <c r="A68" s="81"/>
      <c r="B68" s="81"/>
      <c r="C68" s="81"/>
      <c r="D68" s="81"/>
      <c r="E68" s="81"/>
      <c r="F68" s="100"/>
    </row>
    <row r="69" spans="1:6" ht="21" customHeight="1" x14ac:dyDescent="0.25">
      <c r="A69" s="81"/>
      <c r="B69" s="81"/>
      <c r="C69" s="81"/>
      <c r="D69" s="81"/>
      <c r="E69" s="81"/>
      <c r="F69" s="100"/>
    </row>
    <row r="70" spans="1:6" ht="21" customHeight="1" x14ac:dyDescent="0.25">
      <c r="A70" s="81"/>
      <c r="B70" s="81"/>
      <c r="C70" s="81"/>
      <c r="D70" s="81"/>
      <c r="E70" s="81"/>
      <c r="F70" s="100"/>
    </row>
    <row r="71" spans="1:6" ht="21" customHeight="1" x14ac:dyDescent="0.25">
      <c r="A71" s="81"/>
      <c r="B71" s="81"/>
      <c r="C71" s="81"/>
      <c r="D71" s="81"/>
      <c r="E71" s="81"/>
      <c r="F71" s="100"/>
    </row>
    <row r="72" spans="1:6" ht="21" customHeight="1" x14ac:dyDescent="0.25">
      <c r="A72" s="81"/>
      <c r="B72" s="81"/>
      <c r="C72" s="81"/>
      <c r="D72" s="81"/>
      <c r="E72" s="81"/>
      <c r="F72" s="100"/>
    </row>
    <row r="73" spans="1:6" ht="21" customHeight="1" x14ac:dyDescent="0.25">
      <c r="A73" s="81"/>
      <c r="B73" s="81"/>
      <c r="C73" s="81"/>
      <c r="D73" s="81"/>
      <c r="E73" s="81"/>
      <c r="F73" s="100"/>
    </row>
    <row r="74" spans="1:6" ht="21" customHeight="1" x14ac:dyDescent="0.25">
      <c r="A74" s="81"/>
      <c r="B74" s="81"/>
      <c r="C74" s="81"/>
      <c r="D74" s="81"/>
      <c r="E74" s="81"/>
      <c r="F74" s="100"/>
    </row>
    <row r="75" spans="1:6" ht="21" customHeight="1" x14ac:dyDescent="0.25">
      <c r="A75" s="81"/>
      <c r="B75" s="81"/>
      <c r="C75" s="81"/>
      <c r="D75" s="81"/>
      <c r="E75" s="81"/>
      <c r="F75" s="100"/>
    </row>
    <row r="76" spans="1:6" ht="21" customHeight="1" x14ac:dyDescent="0.25">
      <c r="A76" s="81"/>
      <c r="B76" s="81"/>
      <c r="C76" s="81"/>
      <c r="D76" s="81"/>
      <c r="E76" s="81"/>
      <c r="F76" s="100"/>
    </row>
    <row r="77" spans="1:6" ht="21" customHeight="1" x14ac:dyDescent="0.25">
      <c r="A77" s="81"/>
      <c r="B77" s="81"/>
      <c r="C77" s="81"/>
      <c r="D77" s="81"/>
      <c r="E77" s="81"/>
      <c r="F77" s="100"/>
    </row>
    <row r="78" spans="1:6" ht="21" customHeight="1" x14ac:dyDescent="0.25">
      <c r="A78" s="81"/>
      <c r="B78" s="81"/>
      <c r="C78" s="81"/>
      <c r="D78" s="81"/>
      <c r="E78" s="81"/>
      <c r="F78" s="100"/>
    </row>
    <row r="79" spans="1:6" ht="21" customHeight="1" x14ac:dyDescent="0.25">
      <c r="A79" s="81"/>
      <c r="B79" s="81"/>
      <c r="C79" s="81"/>
      <c r="D79" s="81"/>
      <c r="E79" s="81"/>
      <c r="F79" s="100"/>
    </row>
    <row r="80" spans="1:6" ht="21" customHeight="1" x14ac:dyDescent="0.25">
      <c r="A80" s="81"/>
      <c r="B80" s="81"/>
      <c r="C80" s="81"/>
      <c r="D80" s="81"/>
      <c r="E80" s="81"/>
      <c r="F80" s="100"/>
    </row>
    <row r="81" spans="1:6" ht="21" customHeight="1" x14ac:dyDescent="0.25">
      <c r="A81" s="81"/>
      <c r="B81" s="81"/>
      <c r="C81" s="81"/>
      <c r="D81" s="81"/>
      <c r="E81" s="81"/>
      <c r="F81" s="100"/>
    </row>
    <row r="82" spans="1:6" ht="21" customHeight="1" x14ac:dyDescent="0.25">
      <c r="A82" s="81"/>
      <c r="B82" s="81"/>
      <c r="C82" s="81"/>
      <c r="D82" s="81"/>
      <c r="E82" s="81"/>
      <c r="F82" s="100"/>
    </row>
    <row r="83" spans="1:6" ht="21" customHeight="1" x14ac:dyDescent="0.25">
      <c r="A83" s="81"/>
      <c r="B83" s="81"/>
      <c r="C83" s="81"/>
      <c r="D83" s="81"/>
      <c r="E83" s="81"/>
      <c r="F83" s="100"/>
    </row>
    <row r="84" spans="1:6" ht="21" customHeight="1" x14ac:dyDescent="0.25">
      <c r="A84" s="81"/>
      <c r="B84" s="81"/>
      <c r="C84" s="81"/>
      <c r="D84" s="81"/>
      <c r="E84" s="81"/>
      <c r="F84" s="100"/>
    </row>
    <row r="85" spans="1:6" ht="21" customHeight="1" x14ac:dyDescent="0.25">
      <c r="A85" s="81"/>
      <c r="B85" s="81"/>
      <c r="C85" s="81"/>
      <c r="D85" s="81"/>
      <c r="E85" s="81"/>
      <c r="F85" s="100"/>
    </row>
    <row r="86" spans="1:6" ht="21" customHeight="1" x14ac:dyDescent="0.25">
      <c r="A86" s="81"/>
      <c r="B86" s="81"/>
      <c r="C86" s="81"/>
      <c r="D86" s="81"/>
      <c r="E86" s="81"/>
      <c r="F86" s="100"/>
    </row>
    <row r="87" spans="1:6" ht="21" customHeight="1" x14ac:dyDescent="0.25">
      <c r="A87" s="81"/>
      <c r="B87" s="81"/>
      <c r="C87" s="81"/>
      <c r="D87" s="81"/>
      <c r="E87" s="81"/>
      <c r="F87" s="100"/>
    </row>
    <row r="88" spans="1:6" ht="21" customHeight="1" x14ac:dyDescent="0.25">
      <c r="A88" s="81"/>
      <c r="B88" s="81"/>
      <c r="C88" s="81"/>
      <c r="D88" s="81"/>
      <c r="E88" s="81"/>
      <c r="F88" s="100"/>
    </row>
    <row r="89" spans="1:6" ht="21" customHeight="1" x14ac:dyDescent="0.25">
      <c r="A89" s="81"/>
      <c r="B89" s="81"/>
      <c r="C89" s="81"/>
      <c r="D89" s="81"/>
      <c r="E89" s="81"/>
      <c r="F89" s="100"/>
    </row>
    <row r="90" spans="1:6" ht="21" customHeight="1" x14ac:dyDescent="0.25">
      <c r="A90"/>
      <c r="B90"/>
      <c r="C90"/>
      <c r="D90"/>
      <c r="E90"/>
      <c r="F90" s="101"/>
    </row>
    <row r="91" spans="1:6" ht="21" customHeight="1" x14ac:dyDescent="0.25">
      <c r="A91"/>
      <c r="B91"/>
      <c r="C91"/>
      <c r="D91"/>
      <c r="E91"/>
      <c r="F91" s="101"/>
    </row>
    <row r="92" spans="1:6" ht="21" customHeight="1" x14ac:dyDescent="0.25">
      <c r="A92"/>
      <c r="B92"/>
      <c r="C92"/>
      <c r="D92"/>
      <c r="E92"/>
      <c r="F92" s="101"/>
    </row>
    <row r="93" spans="1:6" ht="21" customHeight="1" x14ac:dyDescent="0.25">
      <c r="A93"/>
      <c r="B93"/>
      <c r="C93"/>
      <c r="D93"/>
      <c r="E93"/>
      <c r="F93" s="101"/>
    </row>
    <row r="94" spans="1:6" ht="21" customHeight="1" x14ac:dyDescent="0.25">
      <c r="A94"/>
      <c r="B94"/>
      <c r="C94"/>
      <c r="D94"/>
      <c r="E94"/>
      <c r="F94" s="101"/>
    </row>
    <row r="95" spans="1:6" ht="21" customHeight="1" x14ac:dyDescent="0.25">
      <c r="A95"/>
      <c r="B95"/>
      <c r="C95"/>
      <c r="D95"/>
      <c r="E95"/>
      <c r="F95" s="101"/>
    </row>
    <row r="96" spans="1:6" ht="21" customHeight="1" x14ac:dyDescent="0.25">
      <c r="A96" s="87"/>
      <c r="B96" s="87"/>
      <c r="C96" s="87"/>
      <c r="D96" s="87"/>
      <c r="E96" s="87"/>
      <c r="F96" s="88"/>
    </row>
    <row r="97" spans="1:6" ht="21" customHeight="1" x14ac:dyDescent="0.25">
      <c r="A97" s="87"/>
      <c r="B97" s="87"/>
      <c r="C97" s="87"/>
      <c r="D97" s="87"/>
      <c r="E97" s="87"/>
      <c r="F97" s="88"/>
    </row>
    <row r="98" spans="1:6" ht="21" customHeight="1" x14ac:dyDescent="0.25">
      <c r="A98" s="87"/>
      <c r="B98" s="87"/>
      <c r="C98" s="87"/>
      <c r="D98" s="87"/>
      <c r="E98" s="87"/>
      <c r="F98" s="88"/>
    </row>
    <row r="99" spans="1:6" ht="21" customHeight="1" x14ac:dyDescent="0.25">
      <c r="A99" s="87"/>
      <c r="B99" s="87"/>
      <c r="C99" s="87"/>
      <c r="D99" s="87"/>
      <c r="E99" s="87"/>
      <c r="F99" s="88"/>
    </row>
    <row r="100" spans="1:6" ht="21" customHeight="1" x14ac:dyDescent="0.25">
      <c r="A100" s="87"/>
      <c r="B100" s="87"/>
      <c r="C100" s="87"/>
      <c r="D100" s="87"/>
      <c r="E100" s="87"/>
      <c r="F100" s="88"/>
    </row>
    <row r="101" spans="1:6" ht="21" customHeight="1" x14ac:dyDescent="0.25">
      <c r="A101" s="87"/>
      <c r="B101" s="87"/>
      <c r="C101" s="87"/>
      <c r="D101" s="87"/>
      <c r="E101" s="87"/>
      <c r="F101" s="88"/>
    </row>
    <row r="102" spans="1:6" ht="21" customHeight="1" x14ac:dyDescent="0.25">
      <c r="A102" s="87"/>
      <c r="B102" s="87"/>
      <c r="C102" s="87"/>
      <c r="D102" s="87"/>
      <c r="E102" s="87"/>
      <c r="F102" s="88"/>
    </row>
    <row r="103" spans="1:6" ht="21" customHeight="1" x14ac:dyDescent="0.25">
      <c r="A103" s="87"/>
      <c r="B103" s="87"/>
      <c r="C103" s="87"/>
      <c r="D103" s="87"/>
      <c r="E103" s="87"/>
      <c r="F103" s="88"/>
    </row>
    <row r="104" spans="1:6" ht="21" customHeight="1" x14ac:dyDescent="0.25">
      <c r="A104" s="87"/>
      <c r="B104" s="87"/>
      <c r="C104" s="87"/>
      <c r="D104" s="87"/>
      <c r="E104" s="87"/>
      <c r="F104" s="88"/>
    </row>
    <row r="105" spans="1:6" ht="21" customHeight="1" x14ac:dyDescent="0.25">
      <c r="A105" s="87"/>
      <c r="B105" s="87"/>
      <c r="C105" s="87"/>
      <c r="D105" s="87"/>
      <c r="E105" s="87"/>
      <c r="F105" s="88"/>
    </row>
    <row r="106" spans="1:6" ht="21" customHeight="1" x14ac:dyDescent="0.25">
      <c r="A106" s="87"/>
      <c r="B106" s="87"/>
      <c r="C106" s="87"/>
      <c r="D106" s="87"/>
      <c r="E106" s="87"/>
      <c r="F106" s="88"/>
    </row>
    <row r="107" spans="1:6" ht="21" customHeight="1" x14ac:dyDescent="0.25">
      <c r="A107" s="87"/>
      <c r="B107" s="87"/>
      <c r="C107" s="87"/>
      <c r="D107" s="87"/>
      <c r="E107" s="87"/>
      <c r="F107" s="88"/>
    </row>
    <row r="108" spans="1:6" ht="21" customHeight="1" x14ac:dyDescent="0.25">
      <c r="A108" s="87"/>
      <c r="B108" s="87"/>
      <c r="C108" s="87"/>
      <c r="D108" s="87"/>
      <c r="E108" s="87"/>
      <c r="F108" s="88"/>
    </row>
    <row r="109" spans="1:6" ht="21" customHeight="1" x14ac:dyDescent="0.25">
      <c r="A109" s="87"/>
      <c r="B109" s="87"/>
      <c r="C109" s="87"/>
      <c r="D109" s="87"/>
      <c r="E109" s="87"/>
      <c r="F109" s="88"/>
    </row>
    <row r="110" spans="1:6" ht="21" customHeight="1" x14ac:dyDescent="0.25">
      <c r="A110" s="87"/>
      <c r="B110" s="87"/>
      <c r="C110" s="87"/>
      <c r="D110" s="87"/>
      <c r="E110" s="87"/>
      <c r="F110" s="88"/>
    </row>
    <row r="111" spans="1:6" ht="21" customHeight="1" x14ac:dyDescent="0.25">
      <c r="A111" s="87"/>
      <c r="B111" s="87"/>
      <c r="C111" s="87"/>
      <c r="D111" s="87"/>
      <c r="E111" s="87"/>
      <c r="F111" s="88"/>
    </row>
    <row r="112" spans="1:6" ht="21" customHeight="1" x14ac:dyDescent="0.25">
      <c r="A112" s="87"/>
      <c r="B112" s="87"/>
      <c r="C112" s="87"/>
      <c r="D112" s="87"/>
      <c r="E112" s="87"/>
      <c r="F112" s="88"/>
    </row>
    <row r="113" spans="1:6" ht="21" customHeight="1" x14ac:dyDescent="0.25">
      <c r="A113" s="87"/>
      <c r="B113" s="87"/>
      <c r="C113" s="87"/>
      <c r="D113" s="87"/>
      <c r="E113" s="87"/>
      <c r="F113" s="88"/>
    </row>
    <row r="114" spans="1:6" ht="21" customHeight="1" x14ac:dyDescent="0.25">
      <c r="A114" s="87"/>
      <c r="B114" s="87"/>
      <c r="C114" s="87"/>
      <c r="D114" s="87"/>
      <c r="E114" s="87"/>
      <c r="F114" s="88"/>
    </row>
    <row r="115" spans="1:6" ht="21" customHeight="1" x14ac:dyDescent="0.25">
      <c r="A115" s="87"/>
      <c r="B115" s="87"/>
      <c r="C115" s="87"/>
      <c r="D115" s="87"/>
      <c r="E115" s="87"/>
      <c r="F115" s="88"/>
    </row>
    <row r="116" spans="1:6" ht="21" customHeight="1" x14ac:dyDescent="0.25">
      <c r="A116" s="87"/>
      <c r="B116" s="87"/>
      <c r="C116" s="87"/>
      <c r="D116" s="87"/>
      <c r="E116" s="87"/>
      <c r="F116" s="88"/>
    </row>
    <row r="117" spans="1:6" ht="21" customHeight="1" x14ac:dyDescent="0.25">
      <c r="A117" s="87"/>
      <c r="B117" s="87"/>
      <c r="C117" s="87"/>
      <c r="D117" s="87"/>
      <c r="E117" s="87"/>
      <c r="F117" s="88"/>
    </row>
    <row r="118" spans="1:6" ht="21" customHeight="1" x14ac:dyDescent="0.25">
      <c r="A118" s="87"/>
      <c r="B118" s="87"/>
      <c r="C118" s="87"/>
      <c r="D118" s="87"/>
      <c r="E118" s="87"/>
      <c r="F118" s="88"/>
    </row>
    <row r="119" spans="1:6" ht="21" customHeight="1" x14ac:dyDescent="0.25">
      <c r="A119" s="87"/>
      <c r="B119" s="87"/>
      <c r="C119" s="87"/>
      <c r="D119" s="87"/>
      <c r="E119" s="87"/>
      <c r="F119" s="88"/>
    </row>
    <row r="120" spans="1:6" ht="21" customHeight="1" x14ac:dyDescent="0.25">
      <c r="A120" s="87"/>
      <c r="B120" s="87"/>
      <c r="C120" s="87"/>
      <c r="D120" s="87"/>
      <c r="E120" s="87"/>
      <c r="F120" s="88"/>
    </row>
    <row r="121" spans="1:6" ht="21" customHeight="1" x14ac:dyDescent="0.25">
      <c r="A121" s="87"/>
      <c r="B121" s="87"/>
      <c r="C121" s="87"/>
      <c r="D121" s="87"/>
      <c r="E121" s="87"/>
      <c r="F121" s="88"/>
    </row>
    <row r="122" spans="1:6" ht="21" customHeight="1" x14ac:dyDescent="0.25">
      <c r="A122" s="87"/>
      <c r="B122" s="87"/>
      <c r="C122" s="87"/>
      <c r="D122" s="87"/>
      <c r="E122" s="87"/>
      <c r="F122" s="88"/>
    </row>
    <row r="123" spans="1:6" ht="21" customHeight="1" x14ac:dyDescent="0.25">
      <c r="A123" s="87"/>
      <c r="B123" s="87"/>
      <c r="C123" s="87"/>
      <c r="D123" s="87"/>
      <c r="E123" s="87"/>
      <c r="F123" s="88"/>
    </row>
    <row r="124" spans="1:6" ht="21" customHeight="1" x14ac:dyDescent="0.25">
      <c r="A124" s="87"/>
      <c r="B124" s="87"/>
      <c r="C124" s="87"/>
      <c r="D124" s="87"/>
      <c r="E124" s="87"/>
      <c r="F124" s="88"/>
    </row>
    <row r="125" spans="1:6" ht="21" customHeight="1" x14ac:dyDescent="0.25">
      <c r="A125" s="87"/>
      <c r="B125" s="87"/>
      <c r="C125" s="87"/>
      <c r="D125" s="87"/>
      <c r="E125" s="87"/>
      <c r="F125" s="88"/>
    </row>
    <row r="126" spans="1:6" ht="21" customHeight="1" x14ac:dyDescent="0.25">
      <c r="A126" s="87"/>
      <c r="B126" s="87"/>
      <c r="C126" s="87"/>
      <c r="D126" s="87"/>
      <c r="E126" s="87"/>
      <c r="F126" s="88"/>
    </row>
    <row r="127" spans="1:6" ht="21" customHeight="1" x14ac:dyDescent="0.25">
      <c r="A127" s="87"/>
      <c r="B127" s="87"/>
      <c r="C127" s="87"/>
      <c r="D127" s="87"/>
      <c r="E127" s="87"/>
      <c r="F127" s="88"/>
    </row>
    <row r="128" spans="1:6" ht="21" customHeight="1" x14ac:dyDescent="0.25">
      <c r="A128" s="87"/>
      <c r="B128" s="87"/>
      <c r="C128" s="87"/>
      <c r="D128" s="87"/>
      <c r="E128" s="87"/>
      <c r="F128" s="88"/>
    </row>
    <row r="129" spans="1:6" ht="21" customHeight="1" x14ac:dyDescent="0.25">
      <c r="A129" s="87"/>
      <c r="B129" s="87"/>
      <c r="C129" s="87"/>
      <c r="D129" s="87"/>
      <c r="E129" s="87"/>
      <c r="F129" s="88"/>
    </row>
    <row r="130" spans="1:6" ht="21" customHeight="1" x14ac:dyDescent="0.25">
      <c r="A130" s="87"/>
      <c r="B130" s="87"/>
      <c r="C130" s="87"/>
      <c r="D130" s="87"/>
      <c r="E130" s="87"/>
      <c r="F130" s="88"/>
    </row>
    <row r="131" spans="1:6" ht="21" customHeight="1" x14ac:dyDescent="0.25">
      <c r="A131" s="87"/>
      <c r="B131" s="87"/>
      <c r="C131" s="87"/>
      <c r="D131" s="87"/>
      <c r="E131" s="87"/>
      <c r="F131" s="88"/>
    </row>
    <row r="132" spans="1:6" ht="21" customHeight="1" x14ac:dyDescent="0.25">
      <c r="A132" s="87"/>
      <c r="B132" s="87"/>
      <c r="C132" s="87"/>
      <c r="D132" s="87"/>
      <c r="E132" s="87"/>
      <c r="F132" s="88"/>
    </row>
    <row r="133" spans="1:6" ht="21" customHeight="1" x14ac:dyDescent="0.25">
      <c r="A133" s="87"/>
      <c r="B133" s="87"/>
      <c r="C133" s="87"/>
      <c r="D133" s="87"/>
      <c r="E133" s="87"/>
      <c r="F133" s="88"/>
    </row>
    <row r="134" spans="1:6" ht="21" customHeight="1" x14ac:dyDescent="0.25">
      <c r="A134" s="87"/>
      <c r="B134" s="87"/>
      <c r="C134" s="87"/>
      <c r="D134" s="87"/>
      <c r="E134" s="87"/>
      <c r="F134" s="88"/>
    </row>
    <row r="135" spans="1:6" ht="21" customHeight="1" x14ac:dyDescent="0.25">
      <c r="A135" s="87"/>
      <c r="B135" s="87"/>
      <c r="C135" s="87"/>
      <c r="D135" s="87"/>
      <c r="E135" s="87"/>
      <c r="F135" s="88"/>
    </row>
    <row r="136" spans="1:6" ht="21" customHeight="1" x14ac:dyDescent="0.25">
      <c r="A136" s="87"/>
      <c r="B136" s="87"/>
      <c r="C136" s="87"/>
      <c r="D136" s="87"/>
      <c r="E136" s="87"/>
      <c r="F136" s="88"/>
    </row>
    <row r="137" spans="1:6" ht="21" customHeight="1" x14ac:dyDescent="0.25">
      <c r="A137" s="87"/>
      <c r="B137" s="87"/>
      <c r="C137" s="87"/>
      <c r="D137" s="87"/>
      <c r="E137" s="87"/>
      <c r="F137" s="88"/>
    </row>
    <row r="138" spans="1:6" ht="21" customHeight="1" x14ac:dyDescent="0.25">
      <c r="A138" s="87"/>
      <c r="B138" s="87"/>
      <c r="C138" s="87"/>
      <c r="D138" s="87"/>
      <c r="E138" s="87"/>
      <c r="F138" s="88"/>
    </row>
    <row r="139" spans="1:6" ht="21" customHeight="1" x14ac:dyDescent="0.25">
      <c r="A139" s="87"/>
      <c r="B139" s="87"/>
      <c r="C139" s="87"/>
      <c r="D139" s="87"/>
      <c r="E139" s="87"/>
      <c r="F139" s="88"/>
    </row>
    <row r="140" spans="1:6" ht="21" customHeight="1" x14ac:dyDescent="0.25">
      <c r="A140" s="87"/>
      <c r="B140" s="87"/>
      <c r="C140" s="87"/>
      <c r="D140" s="87"/>
      <c r="E140" s="87"/>
      <c r="F140" s="88"/>
    </row>
    <row r="141" spans="1:6" ht="21" customHeight="1" x14ac:dyDescent="0.25">
      <c r="A141" s="87"/>
      <c r="B141" s="87"/>
      <c r="C141" s="87"/>
      <c r="D141" s="87"/>
      <c r="E141" s="87"/>
      <c r="F141" s="88"/>
    </row>
    <row r="142" spans="1:6" ht="21" customHeight="1" x14ac:dyDescent="0.25">
      <c r="A142" s="87"/>
      <c r="B142" s="87"/>
      <c r="C142" s="87"/>
      <c r="D142" s="87"/>
      <c r="E142" s="87"/>
      <c r="F142" s="88"/>
    </row>
    <row r="143" spans="1:6" ht="21" customHeight="1" x14ac:dyDescent="0.25">
      <c r="A143" s="87"/>
      <c r="B143" s="87"/>
      <c r="C143" s="87"/>
      <c r="D143" s="87"/>
      <c r="E143" s="87"/>
      <c r="F143" s="88"/>
    </row>
    <row r="144" spans="1:6" ht="21" customHeight="1" x14ac:dyDescent="0.25">
      <c r="A144" s="87"/>
      <c r="B144" s="87"/>
      <c r="C144" s="87"/>
      <c r="D144" s="87"/>
      <c r="E144" s="87"/>
      <c r="F144" s="88"/>
    </row>
    <row r="145" spans="1:6" ht="21" customHeight="1" x14ac:dyDescent="0.25">
      <c r="A145" s="87"/>
      <c r="B145" s="87"/>
      <c r="C145" s="87"/>
      <c r="D145" s="87"/>
      <c r="E145" s="87"/>
      <c r="F145" s="88"/>
    </row>
    <row r="146" spans="1:6" ht="21" customHeight="1" x14ac:dyDescent="0.25">
      <c r="A146" s="87"/>
      <c r="B146" s="87"/>
      <c r="C146" s="87"/>
      <c r="D146" s="87"/>
      <c r="E146" s="87"/>
      <c r="F146" s="88"/>
    </row>
    <row r="147" spans="1:6" ht="21" customHeight="1" x14ac:dyDescent="0.25">
      <c r="A147" s="87"/>
      <c r="B147" s="87"/>
      <c r="C147" s="87"/>
      <c r="D147" s="87"/>
      <c r="E147" s="87"/>
      <c r="F147" s="88"/>
    </row>
    <row r="148" spans="1:6" ht="21" customHeight="1" x14ac:dyDescent="0.25">
      <c r="A148" s="87"/>
      <c r="B148" s="87"/>
      <c r="C148" s="87"/>
      <c r="D148" s="87"/>
      <c r="E148" s="87"/>
      <c r="F148" s="88"/>
    </row>
    <row r="149" spans="1:6" ht="21" customHeight="1" x14ac:dyDescent="0.25">
      <c r="A149" s="87"/>
      <c r="B149" s="87"/>
      <c r="C149" s="87"/>
      <c r="D149" s="87"/>
      <c r="E149" s="87"/>
      <c r="F149" s="88"/>
    </row>
    <row r="150" spans="1:6" ht="21" customHeight="1" x14ac:dyDescent="0.25">
      <c r="A150" s="87"/>
      <c r="B150" s="87"/>
      <c r="C150" s="87"/>
      <c r="D150" s="87"/>
      <c r="E150" s="87"/>
      <c r="F150" s="88"/>
    </row>
    <row r="151" spans="1:6" ht="21" customHeight="1" x14ac:dyDescent="0.25">
      <c r="A151" s="87"/>
      <c r="B151" s="87"/>
      <c r="C151" s="87"/>
      <c r="D151" s="87"/>
      <c r="E151" s="87"/>
      <c r="F151" s="88"/>
    </row>
    <row r="152" spans="1:6" ht="21" customHeight="1" x14ac:dyDescent="0.25">
      <c r="A152" s="87"/>
      <c r="B152" s="87"/>
      <c r="C152" s="87"/>
      <c r="D152" s="87"/>
      <c r="E152" s="87"/>
      <c r="F152" s="88"/>
    </row>
    <row r="153" spans="1:6" ht="21" customHeight="1" x14ac:dyDescent="0.25">
      <c r="A153" s="87"/>
      <c r="B153" s="87"/>
      <c r="C153" s="87"/>
      <c r="D153" s="87"/>
      <c r="E153" s="87"/>
      <c r="F153" s="88"/>
    </row>
    <row r="154" spans="1:6" ht="21" customHeight="1" x14ac:dyDescent="0.25">
      <c r="A154" s="87"/>
      <c r="B154" s="87"/>
      <c r="C154" s="87"/>
      <c r="D154" s="87"/>
      <c r="E154" s="87"/>
      <c r="F154" s="88"/>
    </row>
    <row r="155" spans="1:6" ht="21" customHeight="1" x14ac:dyDescent="0.25">
      <c r="A155" s="87"/>
      <c r="B155" s="87"/>
      <c r="C155" s="87"/>
      <c r="D155" s="87"/>
      <c r="E155" s="87"/>
      <c r="F155" s="88"/>
    </row>
    <row r="156" spans="1:6" ht="21" customHeight="1" x14ac:dyDescent="0.25">
      <c r="A156" s="87"/>
      <c r="B156" s="87"/>
      <c r="C156" s="87"/>
      <c r="D156" s="87"/>
      <c r="E156" s="87"/>
      <c r="F156" s="88"/>
    </row>
    <row r="157" spans="1:6" ht="21" customHeight="1" x14ac:dyDescent="0.25">
      <c r="A157" s="87"/>
      <c r="B157" s="87"/>
      <c r="C157" s="87"/>
      <c r="D157" s="87"/>
      <c r="E157" s="87"/>
      <c r="F157" s="88"/>
    </row>
    <row r="158" spans="1:6" ht="21" customHeight="1" x14ac:dyDescent="0.25">
      <c r="A158" s="87"/>
      <c r="B158" s="87"/>
      <c r="C158" s="87"/>
      <c r="D158" s="87"/>
      <c r="E158" s="87"/>
      <c r="F158" s="88"/>
    </row>
    <row r="159" spans="1:6" ht="21" customHeight="1" x14ac:dyDescent="0.25">
      <c r="A159" s="87"/>
      <c r="B159" s="87"/>
      <c r="C159" s="87"/>
      <c r="D159" s="87"/>
      <c r="E159" s="87"/>
      <c r="F159" s="88"/>
    </row>
    <row r="160" spans="1:6" ht="21" customHeight="1" x14ac:dyDescent="0.25">
      <c r="A160" s="87"/>
      <c r="B160" s="87"/>
      <c r="C160" s="87"/>
      <c r="D160" s="87"/>
      <c r="E160" s="87"/>
      <c r="F160" s="88"/>
    </row>
    <row r="161" spans="1:6" ht="21" customHeight="1" x14ac:dyDescent="0.25">
      <c r="A161" s="87"/>
      <c r="B161" s="87"/>
      <c r="C161" s="87"/>
      <c r="D161" s="87"/>
      <c r="E161" s="87"/>
      <c r="F161" s="88"/>
    </row>
    <row r="162" spans="1:6" ht="21" customHeight="1" x14ac:dyDescent="0.25">
      <c r="A162" s="87"/>
      <c r="B162" s="87"/>
      <c r="C162" s="87"/>
      <c r="D162" s="87"/>
      <c r="E162" s="87"/>
      <c r="F162" s="88"/>
    </row>
    <row r="163" spans="1:6" ht="21" customHeight="1" x14ac:dyDescent="0.25">
      <c r="A163" s="87"/>
      <c r="B163" s="87"/>
      <c r="C163" s="87"/>
      <c r="D163" s="87"/>
      <c r="E163" s="87"/>
      <c r="F163" s="88"/>
    </row>
    <row r="164" spans="1:6" ht="21" customHeight="1" x14ac:dyDescent="0.25">
      <c r="A164" s="87"/>
      <c r="B164" s="87"/>
      <c r="C164" s="87"/>
      <c r="D164" s="87"/>
      <c r="E164" s="87"/>
      <c r="F164" s="88"/>
    </row>
    <row r="165" spans="1:6" ht="21" customHeight="1" x14ac:dyDescent="0.25">
      <c r="A165" s="87"/>
      <c r="B165" s="87"/>
      <c r="C165" s="87"/>
      <c r="D165" s="87"/>
      <c r="E165" s="87"/>
      <c r="F165" s="88"/>
    </row>
    <row r="166" spans="1:6" ht="21" customHeight="1" x14ac:dyDescent="0.25">
      <c r="A166" s="87"/>
      <c r="B166" s="87"/>
      <c r="C166" s="87"/>
      <c r="D166" s="87"/>
      <c r="E166" s="87"/>
      <c r="F166" s="88"/>
    </row>
    <row r="167" spans="1:6" ht="21" customHeight="1" x14ac:dyDescent="0.25">
      <c r="A167" s="87"/>
      <c r="B167" s="87"/>
      <c r="C167" s="87"/>
      <c r="D167" s="87"/>
      <c r="E167" s="87"/>
      <c r="F167" s="88"/>
    </row>
    <row r="168" spans="1:6" ht="21" customHeight="1" x14ac:dyDescent="0.25">
      <c r="A168" s="87"/>
      <c r="B168" s="87"/>
      <c r="C168" s="87"/>
      <c r="D168" s="87"/>
      <c r="E168" s="87"/>
      <c r="F168" s="88"/>
    </row>
    <row r="169" spans="1:6" ht="21" customHeight="1" x14ac:dyDescent="0.25">
      <c r="A169" s="87"/>
      <c r="B169" s="87"/>
      <c r="C169" s="87"/>
      <c r="D169" s="87"/>
      <c r="E169" s="87"/>
      <c r="F169" s="88"/>
    </row>
    <row r="170" spans="1:6" ht="21" customHeight="1" x14ac:dyDescent="0.25">
      <c r="A170" s="87"/>
      <c r="B170" s="87"/>
      <c r="C170" s="87"/>
      <c r="D170" s="87"/>
      <c r="E170" s="87"/>
      <c r="F170" s="88"/>
    </row>
    <row r="171" spans="1:6" ht="21" customHeight="1" x14ac:dyDescent="0.25">
      <c r="A171" s="87"/>
      <c r="B171" s="87"/>
      <c r="C171" s="87"/>
      <c r="D171" s="87"/>
      <c r="E171" s="87"/>
      <c r="F171" s="88"/>
    </row>
    <row r="172" spans="1:6" ht="21" customHeight="1" x14ac:dyDescent="0.25">
      <c r="A172" s="87"/>
      <c r="B172" s="87"/>
      <c r="C172" s="87"/>
      <c r="D172" s="87"/>
      <c r="E172" s="87"/>
      <c r="F172" s="88"/>
    </row>
    <row r="173" spans="1:6" ht="21" customHeight="1" x14ac:dyDescent="0.25">
      <c r="A173" s="87"/>
      <c r="B173" s="87"/>
      <c r="C173" s="87"/>
      <c r="D173" s="87"/>
      <c r="E173" s="87"/>
      <c r="F173" s="88"/>
    </row>
    <row r="174" spans="1:6" ht="21" customHeight="1" x14ac:dyDescent="0.25">
      <c r="A174" s="87"/>
      <c r="B174" s="87"/>
      <c r="C174" s="87"/>
      <c r="D174" s="87"/>
      <c r="E174" s="87"/>
      <c r="F174" s="88"/>
    </row>
    <row r="175" spans="1:6" ht="21" customHeight="1" x14ac:dyDescent="0.25">
      <c r="A175" s="87"/>
      <c r="B175" s="87"/>
      <c r="C175" s="87"/>
      <c r="D175" s="87"/>
      <c r="E175" s="87"/>
      <c r="F175" s="88"/>
    </row>
    <row r="176" spans="1:6" ht="21" customHeight="1" x14ac:dyDescent="0.25">
      <c r="A176" s="87"/>
      <c r="B176" s="87"/>
      <c r="C176" s="87"/>
      <c r="D176" s="87"/>
      <c r="E176" s="87"/>
      <c r="F176" s="88"/>
    </row>
    <row r="177" spans="1:6" ht="21" customHeight="1" x14ac:dyDescent="0.25">
      <c r="A177" s="87"/>
      <c r="B177" s="87"/>
      <c r="C177" s="87"/>
      <c r="D177" s="87"/>
      <c r="E177" s="87"/>
      <c r="F177" s="88"/>
    </row>
    <row r="178" spans="1:6" ht="21" customHeight="1" x14ac:dyDescent="0.25">
      <c r="A178" s="87"/>
      <c r="B178" s="87"/>
      <c r="C178" s="87"/>
      <c r="D178" s="87"/>
      <c r="E178" s="87"/>
      <c r="F178" s="88"/>
    </row>
    <row r="179" spans="1:6" ht="21" customHeight="1" x14ac:dyDescent="0.25">
      <c r="A179" s="87"/>
      <c r="B179" s="87"/>
      <c r="C179" s="87"/>
      <c r="D179" s="87"/>
      <c r="E179" s="87"/>
      <c r="F179" s="88"/>
    </row>
    <row r="180" spans="1:6" ht="21" customHeight="1" x14ac:dyDescent="0.25">
      <c r="A180" s="87"/>
      <c r="B180" s="87"/>
      <c r="C180" s="87"/>
      <c r="D180" s="87"/>
      <c r="E180" s="87"/>
      <c r="F180" s="88"/>
    </row>
    <row r="181" spans="1:6" ht="21" customHeight="1" x14ac:dyDescent="0.25">
      <c r="A181" s="87"/>
      <c r="B181" s="87"/>
      <c r="C181" s="87"/>
      <c r="D181" s="87"/>
      <c r="E181" s="87"/>
      <c r="F181" s="88"/>
    </row>
    <row r="182" spans="1:6" ht="21" customHeight="1" x14ac:dyDescent="0.25">
      <c r="A182" s="87"/>
      <c r="B182" s="87"/>
      <c r="C182" s="87"/>
      <c r="D182" s="87"/>
      <c r="E182" s="87"/>
      <c r="F182" s="88"/>
    </row>
    <row r="183" spans="1:6" ht="21" customHeight="1" x14ac:dyDescent="0.25">
      <c r="A183" s="87"/>
      <c r="B183" s="87"/>
      <c r="C183" s="87"/>
      <c r="D183" s="87"/>
      <c r="E183" s="87"/>
      <c r="F183" s="88"/>
    </row>
    <row r="184" spans="1:6" ht="21" customHeight="1" x14ac:dyDescent="0.25">
      <c r="A184" s="87"/>
      <c r="B184" s="87"/>
      <c r="C184" s="87"/>
      <c r="D184" s="87"/>
      <c r="E184" s="87"/>
      <c r="F184" s="88"/>
    </row>
    <row r="185" spans="1:6" ht="21" customHeight="1" x14ac:dyDescent="0.25">
      <c r="A185" s="87"/>
      <c r="B185" s="87"/>
      <c r="C185" s="87"/>
      <c r="D185" s="87"/>
      <c r="E185" s="87"/>
      <c r="F185" s="88"/>
    </row>
    <row r="186" spans="1:6" ht="21" customHeight="1" x14ac:dyDescent="0.25">
      <c r="A186" s="87"/>
      <c r="B186" s="87"/>
      <c r="C186" s="87"/>
      <c r="D186" s="87"/>
      <c r="E186" s="87"/>
      <c r="F186" s="88"/>
    </row>
    <row r="187" spans="1:6" ht="21" customHeight="1" x14ac:dyDescent="0.25">
      <c r="A187" s="87"/>
      <c r="B187" s="87"/>
      <c r="C187" s="87"/>
      <c r="D187" s="87"/>
      <c r="E187" s="87"/>
      <c r="F187" s="88"/>
    </row>
    <row r="188" spans="1:6" ht="21" customHeight="1" x14ac:dyDescent="0.25">
      <c r="A188" s="87"/>
      <c r="B188" s="87"/>
      <c r="C188" s="87"/>
      <c r="D188" s="87"/>
      <c r="E188" s="87"/>
      <c r="F188" s="88"/>
    </row>
    <row r="189" spans="1:6" ht="21" customHeight="1" x14ac:dyDescent="0.25">
      <c r="A189" s="87"/>
      <c r="B189" s="87"/>
      <c r="C189" s="87"/>
      <c r="D189" s="87"/>
      <c r="E189" s="87"/>
      <c r="F189" s="88"/>
    </row>
    <row r="190" spans="1:6" ht="21" customHeight="1" x14ac:dyDescent="0.25">
      <c r="A190" s="87"/>
      <c r="B190" s="87"/>
      <c r="C190" s="87"/>
      <c r="D190" s="87"/>
      <c r="E190" s="87"/>
      <c r="F190" s="88"/>
    </row>
    <row r="191" spans="1:6" ht="21" customHeight="1" x14ac:dyDescent="0.25">
      <c r="A191" s="87"/>
      <c r="B191" s="87"/>
      <c r="C191" s="87"/>
      <c r="D191" s="87"/>
      <c r="E191" s="87"/>
      <c r="F191" s="88"/>
    </row>
    <row r="192" spans="1:6" ht="21" customHeight="1" x14ac:dyDescent="0.25">
      <c r="A192" s="87"/>
      <c r="B192" s="87"/>
      <c r="C192" s="87"/>
      <c r="D192" s="87"/>
      <c r="E192" s="87"/>
      <c r="F192" s="88"/>
    </row>
    <row r="193" spans="1:6" ht="21" customHeight="1" x14ac:dyDescent="0.25">
      <c r="A193" s="87"/>
      <c r="B193" s="87"/>
      <c r="C193" s="87"/>
      <c r="D193" s="87"/>
      <c r="E193" s="87"/>
      <c r="F193" s="88"/>
    </row>
    <row r="194" spans="1:6" ht="21" customHeight="1" x14ac:dyDescent="0.25">
      <c r="A194" s="87"/>
      <c r="B194" s="87"/>
      <c r="C194" s="87"/>
      <c r="D194" s="87"/>
      <c r="E194" s="87"/>
      <c r="F194" s="88"/>
    </row>
    <row r="195" spans="1:6" ht="21" customHeight="1" x14ac:dyDescent="0.25">
      <c r="A195" s="87"/>
      <c r="B195" s="87"/>
      <c r="C195" s="87"/>
      <c r="D195" s="87"/>
      <c r="E195" s="87"/>
      <c r="F195" s="88"/>
    </row>
    <row r="196" spans="1:6" ht="21" customHeight="1" x14ac:dyDescent="0.25">
      <c r="A196" s="87"/>
      <c r="B196" s="87"/>
      <c r="C196" s="87"/>
      <c r="D196" s="87"/>
      <c r="E196" s="87"/>
      <c r="F196" s="88"/>
    </row>
    <row r="197" spans="1:6" ht="21" customHeight="1" x14ac:dyDescent="0.25">
      <c r="A197" s="87"/>
      <c r="B197" s="87"/>
      <c r="C197" s="87"/>
      <c r="D197" s="87"/>
      <c r="E197" s="87"/>
      <c r="F197" s="88"/>
    </row>
    <row r="198" spans="1:6" ht="21" customHeight="1" x14ac:dyDescent="0.25">
      <c r="A198" s="87"/>
      <c r="B198" s="87"/>
      <c r="C198" s="87"/>
      <c r="D198" s="87"/>
      <c r="E198" s="87"/>
      <c r="F198" s="88"/>
    </row>
    <row r="199" spans="1:6" ht="21" customHeight="1" x14ac:dyDescent="0.25">
      <c r="A199" s="87"/>
      <c r="B199" s="87"/>
      <c r="C199" s="87"/>
      <c r="D199" s="87"/>
      <c r="E199" s="87"/>
      <c r="F199" s="88"/>
    </row>
    <row r="200" spans="1:6" ht="21" customHeight="1" x14ac:dyDescent="0.25">
      <c r="A200" s="87"/>
      <c r="B200" s="87"/>
      <c r="C200" s="87"/>
      <c r="D200" s="87"/>
      <c r="E200" s="87"/>
      <c r="F200" s="88"/>
    </row>
    <row r="201" spans="1:6" ht="21" customHeight="1" x14ac:dyDescent="0.25">
      <c r="A201" s="87"/>
      <c r="B201" s="87"/>
      <c r="C201" s="87"/>
      <c r="D201" s="87"/>
      <c r="E201" s="87"/>
      <c r="F201" s="88"/>
    </row>
    <row r="202" spans="1:6" ht="21" customHeight="1" x14ac:dyDescent="0.25">
      <c r="A202" s="87"/>
      <c r="B202" s="87"/>
      <c r="C202" s="87"/>
      <c r="D202" s="87"/>
      <c r="E202" s="87"/>
      <c r="F202" s="88"/>
    </row>
    <row r="203" spans="1:6" ht="21" customHeight="1" x14ac:dyDescent="0.25">
      <c r="A203" s="87"/>
      <c r="B203" s="87"/>
      <c r="C203" s="87"/>
      <c r="D203" s="87"/>
      <c r="E203" s="87"/>
      <c r="F203" s="88"/>
    </row>
    <row r="204" spans="1:6" ht="21" customHeight="1" x14ac:dyDescent="0.25">
      <c r="A204" s="87"/>
      <c r="B204" s="87"/>
      <c r="C204" s="87"/>
      <c r="D204" s="87"/>
      <c r="E204" s="87"/>
      <c r="F204" s="88"/>
    </row>
    <row r="205" spans="1:6" ht="21" customHeight="1" x14ac:dyDescent="0.25">
      <c r="A205" s="87"/>
      <c r="B205" s="87"/>
      <c r="C205" s="87"/>
      <c r="D205" s="87"/>
      <c r="E205" s="87"/>
      <c r="F205" s="88"/>
    </row>
    <row r="206" spans="1:6" ht="21" customHeight="1" x14ac:dyDescent="0.25">
      <c r="A206" s="87"/>
      <c r="B206" s="87"/>
      <c r="C206" s="87"/>
      <c r="D206" s="87"/>
      <c r="E206" s="87"/>
      <c r="F206" s="88"/>
    </row>
    <row r="207" spans="1:6" ht="21" customHeight="1" x14ac:dyDescent="0.25">
      <c r="A207" s="87"/>
      <c r="B207" s="87"/>
      <c r="C207" s="87"/>
      <c r="D207" s="87"/>
      <c r="E207" s="87"/>
      <c r="F207" s="88"/>
    </row>
    <row r="208" spans="1:6" ht="21" customHeight="1" x14ac:dyDescent="0.25">
      <c r="A208" s="87"/>
      <c r="B208" s="87"/>
      <c r="C208" s="87"/>
      <c r="D208" s="87"/>
      <c r="E208" s="87"/>
      <c r="F208" s="88"/>
    </row>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selectLockedCells="1" sort="0" autoFilter="0"/>
  <protectedRanges>
    <protectedRange sqref="A1:F3" name="EditRgScores"/>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6" t="s">
        <v>58</v>
      </c>
      <c r="D1" s="76" t="s">
        <v>59</v>
      </c>
      <c r="E1" s="76" t="s">
        <v>60</v>
      </c>
      <c r="F1" s="76" t="s">
        <v>61</v>
      </c>
      <c r="G1" s="76" t="s">
        <v>62</v>
      </c>
      <c r="H1" s="76" t="s">
        <v>63</v>
      </c>
      <c r="I1" s="76" t="s">
        <v>64</v>
      </c>
      <c r="J1" s="76" t="s">
        <v>65</v>
      </c>
      <c r="K1" s="76" t="s">
        <v>66</v>
      </c>
      <c r="L1" s="76" t="s">
        <v>67</v>
      </c>
      <c r="M1" s="70" t="s">
        <v>68</v>
      </c>
      <c r="N1" s="71" t="s">
        <v>43</v>
      </c>
    </row>
    <row r="2" spans="1:14" ht="21" customHeight="1" x14ac:dyDescent="0.25">
      <c r="A2" s="81">
        <v>1</v>
      </c>
      <c r="B2" s="81" t="e">
        <f>INDEX(OfficialTeamList[Team Name],MATCH(InnovationProjectResults[[#This Row],[Team Number]], OfficialTeamList[Team Number],0))</f>
        <v>#N/A</v>
      </c>
      <c r="C2" s="82"/>
      <c r="D2" s="82"/>
      <c r="E2" s="82"/>
      <c r="F2" s="82"/>
      <c r="G2" s="82"/>
      <c r="H2" s="82"/>
      <c r="I2" s="82"/>
      <c r="J2" s="82"/>
      <c r="K2" s="82"/>
      <c r="L2" s="82"/>
      <c r="M2" s="98">
        <f>SUM(InnovationProjectResults[[#This Row],[Identify - Define]:[Communicate - Fun (CV)]])</f>
        <v>0</v>
      </c>
      <c r="N2" s="85">
        <f>_xlfn.RANK.EQ(InnovationProjectResults[[#This Row],[Innovation Project Score]],InnovationProjectResults[Innovation Project Score],0)</f>
        <v>1</v>
      </c>
    </row>
    <row r="3" spans="1:14" ht="21" customHeight="1" x14ac:dyDescent="0.25">
      <c r="A3" s="81">
        <v>2</v>
      </c>
      <c r="B3" s="81" t="e">
        <f>INDEX(OfficialTeamList[Team Name],MATCH(InnovationProjectResults[[#This Row],[Team Number]], OfficialTeamList[Team Number],0))</f>
        <v>#N/A</v>
      </c>
      <c r="C3" s="82"/>
      <c r="D3" s="82"/>
      <c r="E3" s="82"/>
      <c r="F3" s="82"/>
      <c r="G3" s="82"/>
      <c r="H3" s="82"/>
      <c r="I3" s="82"/>
      <c r="J3" s="82"/>
      <c r="K3" s="82"/>
      <c r="L3" s="82"/>
      <c r="M3" s="98">
        <f>SUM(InnovationProjectResults[[#This Row],[Identify - Define]:[Communicate - Fun (CV)]])</f>
        <v>0</v>
      </c>
      <c r="N3" s="85">
        <f>_xlfn.RANK.EQ(InnovationProjectResults[[#This Row],[Innovation Project Score]],InnovationProjectResults[Innovation Project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5" t="s">
        <v>69</v>
      </c>
      <c r="D1" s="75" t="s">
        <v>59</v>
      </c>
      <c r="E1" s="75" t="s">
        <v>70</v>
      </c>
      <c r="F1" s="75" t="s">
        <v>71</v>
      </c>
      <c r="G1" s="75" t="s">
        <v>72</v>
      </c>
      <c r="H1" s="75" t="s">
        <v>73</v>
      </c>
      <c r="I1" s="75" t="s">
        <v>74</v>
      </c>
      <c r="J1" s="75" t="s">
        <v>75</v>
      </c>
      <c r="K1" s="75" t="s">
        <v>66</v>
      </c>
      <c r="L1" s="75" t="s">
        <v>67</v>
      </c>
      <c r="M1" s="73" t="s">
        <v>51</v>
      </c>
      <c r="N1" s="74" t="s">
        <v>44</v>
      </c>
    </row>
    <row r="2" spans="1:14" ht="21" customHeight="1" x14ac:dyDescent="0.25">
      <c r="A2" s="81">
        <v>1</v>
      </c>
      <c r="B2" s="81" t="e">
        <f>INDEX(OfficialTeamList[Team Name],MATCH(RobotDesignResults[[#This Row],[Team Number]], OfficialTeamList[Team Number],0))</f>
        <v>#N/A</v>
      </c>
      <c r="C2" s="82"/>
      <c r="D2" s="82"/>
      <c r="E2" s="82"/>
      <c r="F2" s="82"/>
      <c r="G2" s="82"/>
      <c r="H2" s="82"/>
      <c r="I2" s="82"/>
      <c r="J2" s="82"/>
      <c r="K2" s="82"/>
      <c r="L2" s="82"/>
      <c r="M2" s="98">
        <f>SUM(RobotDesignResults[[#This Row],[Identify - Strategy]:[Communicate - Fun (CV)]])</f>
        <v>0</v>
      </c>
      <c r="N2" s="85">
        <f>_xlfn.RANK.EQ(RobotDesignResults[[#This Row],[Robot Design Score]],RobotDesignResults[Robot Design Score],0)</f>
        <v>1</v>
      </c>
    </row>
    <row r="3" spans="1:14" ht="21" customHeight="1" x14ac:dyDescent="0.25">
      <c r="A3" s="81">
        <v>2</v>
      </c>
      <c r="B3" s="81" t="e">
        <f>INDEX(OfficialTeamList[Team Name],MATCH(RobotDesignResults[[#This Row],[Team Number]], OfficialTeamList[Team Number],0))</f>
        <v>#N/A</v>
      </c>
      <c r="C3" s="82"/>
      <c r="D3" s="82"/>
      <c r="E3" s="82"/>
      <c r="F3" s="82"/>
      <c r="G3" s="82"/>
      <c r="H3" s="82"/>
      <c r="I3" s="82"/>
      <c r="J3" s="82"/>
      <c r="K3" s="82"/>
      <c r="L3" s="82"/>
      <c r="M3" s="98">
        <f>SUM(RobotDesignResults[[#This Row],[Identify - Strategy]:[Communicate - Fun (CV)]])</f>
        <v>0</v>
      </c>
      <c r="N3" s="85">
        <f>_xlfn.RANK.EQ(RobotDesignResults[[#This Row],[Robot Design Score]],RobotDesignResults[Robot Design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S2" sqref="S2"/>
    </sheetView>
  </sheetViews>
  <sheetFormatPr defaultColWidth="8.42578125" defaultRowHeight="30" customHeight="1" x14ac:dyDescent="0.25"/>
  <cols>
    <col min="1" max="1" width="16.7109375" customWidth="1"/>
    <col min="2" max="2" width="32.7109375" customWidth="1"/>
    <col min="3" max="3" width="7" style="51" customWidth="1"/>
    <col min="4" max="5" width="5.85546875" style="51" customWidth="1"/>
    <col min="6" max="6" width="6.28515625" style="51" customWidth="1"/>
    <col min="7" max="12" width="5.85546875" style="51" customWidth="1"/>
    <col min="13" max="17" width="7.42578125" customWidth="1"/>
    <col min="18" max="18" width="10.42578125" customWidth="1"/>
    <col min="19" max="19" width="15.42578125" customWidth="1"/>
    <col min="20" max="20" width="8.42578125" style="43" customWidth="1"/>
    <col min="23" max="25" width="13" hidden="1" customWidth="1"/>
  </cols>
  <sheetData>
    <row r="1" spans="1:24" ht="99.95" customHeight="1" x14ac:dyDescent="0.25">
      <c r="A1" s="66" t="s">
        <v>21</v>
      </c>
      <c r="B1" s="67" t="s">
        <v>22</v>
      </c>
      <c r="C1" s="78" t="s">
        <v>76</v>
      </c>
      <c r="D1" s="78" t="s">
        <v>77</v>
      </c>
      <c r="E1" s="78" t="s">
        <v>78</v>
      </c>
      <c r="F1" s="78" t="s">
        <v>79</v>
      </c>
      <c r="G1" s="78" t="s">
        <v>80</v>
      </c>
      <c r="H1" s="78" t="s">
        <v>81</v>
      </c>
      <c r="I1" s="78" t="s">
        <v>82</v>
      </c>
      <c r="J1" s="78" t="s">
        <v>83</v>
      </c>
      <c r="K1" s="78" t="s">
        <v>84</v>
      </c>
      <c r="L1" s="78" t="s">
        <v>85</v>
      </c>
      <c r="M1" s="79" t="s">
        <v>86</v>
      </c>
      <c r="N1" s="79" t="s">
        <v>87</v>
      </c>
      <c r="O1" s="79" t="s">
        <v>88</v>
      </c>
      <c r="P1" s="79" t="s">
        <v>89</v>
      </c>
      <c r="Q1" s="80" t="s">
        <v>90</v>
      </c>
      <c r="R1" s="80" t="s">
        <v>49</v>
      </c>
      <c r="S1" s="80" t="s">
        <v>42</v>
      </c>
      <c r="X1" s="35"/>
    </row>
    <row r="2" spans="1:24" ht="21" customHeight="1" x14ac:dyDescent="0.25">
      <c r="A2" s="81">
        <v>1</v>
      </c>
      <c r="B2" s="81" t="e">
        <f>INDEX(OfficialTeamList[Team Name],MATCH(CoreValuesResults[[#This Row],[Team Number]], OfficialTeamList[Team Number],0))</f>
        <v>#N/A</v>
      </c>
      <c r="C2" s="89">
        <f>INDEX(InnovationProjectResults[Identify - Research (CV)],MATCH(CoreValuesResults[[#This Row],[Team Number]],InnovationProjectResults[Team Number],0))</f>
        <v>0</v>
      </c>
      <c r="D2" s="89">
        <f>INDEX(InnovationProjectResults[Design - Teamwork (CV)],MATCH(CoreValuesResults[[#This Row],[Team Number]],InnovationProjectResults[Team Number],0))</f>
        <v>0</v>
      </c>
      <c r="E2" s="89">
        <f>INDEX(InnovationProjectResults[Create - Innovation (CV)],MATCH(CoreValuesResults[[#This Row],[Team Number]],InnovationProjectResults[Team Number],0))</f>
        <v>0</v>
      </c>
      <c r="F2" s="89">
        <f>INDEX(InnovationProjectResults[Communicate - Impact (CV)],MATCH(CoreValuesResults[[#This Row],[Team Number]],InnovationProjectResults[Team Number],0))</f>
        <v>0</v>
      </c>
      <c r="G2" s="89">
        <f>INDEX(InnovationProjectResults[Communicate - Fun (CV)],MATCH(CoreValuesResults[[#This Row],[Team Number]],InnovationProjectResults[Team Number],0))</f>
        <v>0</v>
      </c>
      <c r="H2" s="89">
        <f>INDEX(RobotDesignResults[Identify - Research (CV)],MATCH(CoreValuesResults[[#This Row],[Team Number]],RobotDesignResults[Team Number],0))</f>
        <v>0</v>
      </c>
      <c r="I2" s="89">
        <f>INDEX(RobotDesignResults[Design - Ideas (CV)],MATCH(CoreValuesResults[[#This Row],[Team Number]],RobotDesignResults[Team Number],0))</f>
        <v>0</v>
      </c>
      <c r="J2" s="89">
        <f>INDEX(RobotDesignResults[Iterate - Improvements (CV)],MATCH(CoreValuesResults[[#This Row],[Team Number]],RobotDesignResults[Team Number],0))</f>
        <v>0</v>
      </c>
      <c r="K2" s="89">
        <f>INDEX(RobotDesignResults[Communicate - Impact (CV)],MATCH(CoreValuesResults[[#This Row],[Team Number]],RobotDesignResults[Team Number],0))</f>
        <v>0</v>
      </c>
      <c r="L2" s="89">
        <f>INDEX(RobotDesignResults[Communicate - Fun (CV)],MATCH(CoreValuesResults[[#This Row],[Team Number]],RobotDesignResults[Team Number],0))</f>
        <v>0</v>
      </c>
      <c r="M2" s="82"/>
      <c r="N2" s="82"/>
      <c r="O2" s="82"/>
      <c r="P2" s="81">
        <f>SUM(CoreValuesResults[[#This Row],[Gracious Professionalism 1]:[Gracious Professionalism 3]])</f>
        <v>0</v>
      </c>
      <c r="Q2" s="81">
        <f t="shared" ref="Q2:Q3" si="0">SUM(M2:P2)</f>
        <v>0</v>
      </c>
      <c r="R2" s="98">
        <f>SUM(CoreValuesResults[[#This Row],[Identify - Research (CV-IP)]:[Communicate - Fun (CV-RD)]],CoreValuesResults[[#This Row],[Gracious Professionalism Score]])</f>
        <v>0</v>
      </c>
      <c r="S2" s="85">
        <f>_xlfn.RANK.EQ(CoreValuesResults[[#This Row],[Core Values Score]],CoreValuesResults[Core Values Score],0)</f>
        <v>1</v>
      </c>
    </row>
    <row r="3" spans="1:24" ht="21" customHeight="1" x14ac:dyDescent="0.25">
      <c r="A3" s="81">
        <v>2</v>
      </c>
      <c r="B3" s="81" t="e">
        <f>INDEX(OfficialTeamList[Team Name],MATCH(CoreValuesResults[[#This Row],[Team Number]], OfficialTeamList[Team Number],0))</f>
        <v>#N/A</v>
      </c>
      <c r="C3" s="89">
        <f>INDEX(InnovationProjectResults[Identify - Research (CV)],MATCH(CoreValuesResults[[#This Row],[Team Number]],InnovationProjectResults[Team Number],0))</f>
        <v>0</v>
      </c>
      <c r="D3" s="89">
        <f>INDEX(InnovationProjectResults[Design - Teamwork (CV)],MATCH(CoreValuesResults[[#This Row],[Team Number]],InnovationProjectResults[Team Number],0))</f>
        <v>0</v>
      </c>
      <c r="E3" s="89">
        <f>INDEX(InnovationProjectResults[Create - Innovation (CV)],MATCH(CoreValuesResults[[#This Row],[Team Number]],InnovationProjectResults[Team Number],0))</f>
        <v>0</v>
      </c>
      <c r="F3" s="89">
        <f>INDEX(InnovationProjectResults[Communicate - Impact (CV)],MATCH(CoreValuesResults[[#This Row],[Team Number]],InnovationProjectResults[Team Number],0))</f>
        <v>0</v>
      </c>
      <c r="G3" s="89">
        <f>INDEX(InnovationProjectResults[Communicate - Fun (CV)],MATCH(CoreValuesResults[[#This Row],[Team Number]],InnovationProjectResults[Team Number],0))</f>
        <v>0</v>
      </c>
      <c r="H3" s="89">
        <f>INDEX(RobotDesignResults[Identify - Research (CV)],MATCH(CoreValuesResults[[#This Row],[Team Number]],RobotDesignResults[Team Number],0))</f>
        <v>0</v>
      </c>
      <c r="I3" s="89">
        <f>INDEX(RobotDesignResults[Design - Ideas (CV)],MATCH(CoreValuesResults[[#This Row],[Team Number]],RobotDesignResults[Team Number],0))</f>
        <v>0</v>
      </c>
      <c r="J3" s="89">
        <f>INDEX(RobotDesignResults[Iterate - Improvements (CV)],MATCH(CoreValuesResults[[#This Row],[Team Number]],RobotDesignResults[Team Number],0))</f>
        <v>0</v>
      </c>
      <c r="K3" s="89">
        <f>INDEX(RobotDesignResults[Communicate - Impact (CV)],MATCH(CoreValuesResults[[#This Row],[Team Number]],RobotDesignResults[Team Number],0))</f>
        <v>0</v>
      </c>
      <c r="L3" s="89">
        <f>INDEX(RobotDesignResults[Communicate - Fun (CV)],MATCH(CoreValuesResults[[#This Row],[Team Number]],RobotDesignResults[Team Number],0))</f>
        <v>0</v>
      </c>
      <c r="M3" s="82"/>
      <c r="N3" s="82"/>
      <c r="O3" s="82"/>
      <c r="P3" s="81">
        <f>SUM(CoreValuesResults[[#This Row],[Gracious Professionalism 1]:[Gracious Professionalism 3]])</f>
        <v>0</v>
      </c>
      <c r="Q3" s="81">
        <f t="shared" si="0"/>
        <v>0</v>
      </c>
      <c r="R3" s="98">
        <f>SUM(CoreValuesResults[[#This Row],[Identify - Research (CV-IP)]:[Communicate - Fun (CV-RD)]],CoreValuesResults[[#This Row],[Gracious Professionalism Score]])</f>
        <v>0</v>
      </c>
      <c r="S3" s="85">
        <f>_xlfn.RANK.EQ(CoreValuesResults[[#This Row],[Core Values Score]],CoreValuesResults[Core Values Score],0)</f>
        <v>1</v>
      </c>
    </row>
    <row r="4" spans="1:24" ht="21" customHeight="1" x14ac:dyDescent="0.25">
      <c r="A4" s="81"/>
      <c r="B4" s="81"/>
      <c r="C4" s="89"/>
      <c r="D4" s="89"/>
      <c r="E4" s="89"/>
      <c r="F4" s="89"/>
      <c r="G4" s="89"/>
      <c r="H4" s="89"/>
      <c r="I4" s="89"/>
      <c r="J4" s="89"/>
      <c r="K4" s="89"/>
      <c r="L4" s="89"/>
      <c r="M4" s="81"/>
      <c r="N4" s="81"/>
      <c r="O4" s="81"/>
      <c r="P4" s="81"/>
      <c r="Q4" s="81"/>
      <c r="R4" s="81"/>
      <c r="S4" s="81"/>
    </row>
    <row r="5" spans="1:24" ht="21" customHeight="1" x14ac:dyDescent="0.25">
      <c r="A5" s="81"/>
      <c r="B5" s="81"/>
      <c r="C5" s="89"/>
      <c r="D5" s="89"/>
      <c r="E5" s="89"/>
      <c r="F5" s="89"/>
      <c r="G5" s="89"/>
      <c r="H5" s="89"/>
      <c r="I5" s="89"/>
      <c r="J5" s="89"/>
      <c r="K5" s="89"/>
      <c r="L5" s="89"/>
      <c r="M5" s="81"/>
      <c r="N5" s="81"/>
      <c r="O5" s="81"/>
      <c r="P5" s="81"/>
      <c r="Q5" s="81"/>
      <c r="R5" s="81"/>
      <c r="S5" s="81"/>
    </row>
    <row r="6" spans="1:24" ht="21" customHeight="1" x14ac:dyDescent="0.25">
      <c r="A6" s="81"/>
      <c r="B6" s="81"/>
      <c r="C6" s="89"/>
      <c r="D6" s="89"/>
      <c r="E6" s="89"/>
      <c r="F6" s="89"/>
      <c r="G6" s="89"/>
      <c r="H6" s="89"/>
      <c r="I6" s="89"/>
      <c r="J6" s="89"/>
      <c r="K6" s="89"/>
      <c r="L6" s="89"/>
      <c r="M6" s="81"/>
      <c r="N6" s="81"/>
      <c r="O6" s="81"/>
      <c r="P6" s="81"/>
      <c r="Q6" s="81"/>
      <c r="R6" s="81"/>
      <c r="S6" s="81"/>
    </row>
    <row r="7" spans="1:24" ht="21" customHeight="1" x14ac:dyDescent="0.25">
      <c r="A7" s="81"/>
      <c r="B7" s="81"/>
      <c r="C7" s="89"/>
      <c r="D7" s="89"/>
      <c r="E7" s="89"/>
      <c r="F7" s="89"/>
      <c r="G7" s="89"/>
      <c r="H7" s="89"/>
      <c r="I7" s="89"/>
      <c r="J7" s="89"/>
      <c r="K7" s="89"/>
      <c r="L7" s="89"/>
      <c r="M7" s="81"/>
      <c r="N7" s="81"/>
      <c r="O7" s="81"/>
      <c r="P7" s="81"/>
      <c r="Q7" s="81"/>
      <c r="R7" s="81"/>
      <c r="S7" s="81"/>
    </row>
    <row r="8" spans="1:24" ht="21" customHeight="1" x14ac:dyDescent="0.25">
      <c r="A8" s="81"/>
      <c r="B8" s="81"/>
      <c r="C8" s="89"/>
      <c r="D8" s="89"/>
      <c r="E8" s="89"/>
      <c r="F8" s="89"/>
      <c r="G8" s="89"/>
      <c r="H8" s="89"/>
      <c r="I8" s="89"/>
      <c r="J8" s="89"/>
      <c r="K8" s="89"/>
      <c r="L8" s="89"/>
      <c r="M8" s="81"/>
      <c r="N8" s="81"/>
      <c r="O8" s="81"/>
      <c r="P8" s="81"/>
      <c r="Q8" s="81"/>
      <c r="R8" s="81"/>
      <c r="S8" s="81"/>
    </row>
    <row r="9" spans="1:24" ht="21" customHeight="1" x14ac:dyDescent="0.25">
      <c r="A9" s="81"/>
      <c r="B9" s="81"/>
      <c r="C9" s="89"/>
      <c r="D9" s="89"/>
      <c r="E9" s="89"/>
      <c r="F9" s="89"/>
      <c r="G9" s="89"/>
      <c r="H9" s="89"/>
      <c r="I9" s="89"/>
      <c r="J9" s="89"/>
      <c r="K9" s="89"/>
      <c r="L9" s="89"/>
      <c r="M9" s="81"/>
      <c r="N9" s="81"/>
      <c r="O9" s="81"/>
      <c r="P9" s="81"/>
      <c r="Q9" s="81"/>
      <c r="R9" s="81"/>
      <c r="S9" s="81"/>
    </row>
    <row r="10" spans="1:24" ht="21" customHeight="1" x14ac:dyDescent="0.25">
      <c r="A10" s="81"/>
      <c r="B10" s="81"/>
      <c r="C10" s="89"/>
      <c r="D10" s="89"/>
      <c r="E10" s="89"/>
      <c r="F10" s="89"/>
      <c r="G10" s="89"/>
      <c r="H10" s="89"/>
      <c r="I10" s="89"/>
      <c r="J10" s="89"/>
      <c r="K10" s="89"/>
      <c r="L10" s="89"/>
      <c r="M10" s="81"/>
      <c r="N10" s="81"/>
      <c r="O10" s="81"/>
      <c r="P10" s="81"/>
      <c r="Q10" s="81"/>
      <c r="R10" s="81"/>
      <c r="S10" s="81"/>
    </row>
    <row r="11" spans="1:24" ht="21" customHeight="1" x14ac:dyDescent="0.25">
      <c r="A11" s="81"/>
      <c r="B11" s="81"/>
      <c r="C11" s="89"/>
      <c r="D11" s="89"/>
      <c r="E11" s="89"/>
      <c r="F11" s="89"/>
      <c r="G11" s="89"/>
      <c r="H11" s="89"/>
      <c r="I11" s="89"/>
      <c r="J11" s="89"/>
      <c r="K11" s="89"/>
      <c r="L11" s="89"/>
      <c r="M11" s="81"/>
      <c r="N11" s="81"/>
      <c r="O11" s="81"/>
      <c r="P11" s="81"/>
      <c r="Q11" s="81"/>
      <c r="R11" s="81"/>
      <c r="S11" s="81"/>
    </row>
    <row r="12" spans="1:24" ht="21" customHeight="1" x14ac:dyDescent="0.25">
      <c r="A12" s="81"/>
      <c r="B12" s="81"/>
      <c r="C12" s="89"/>
      <c r="D12" s="89"/>
      <c r="E12" s="89"/>
      <c r="F12" s="89"/>
      <c r="G12" s="89"/>
      <c r="H12" s="89"/>
      <c r="I12" s="89"/>
      <c r="J12" s="89"/>
      <c r="K12" s="89"/>
      <c r="L12" s="89"/>
      <c r="M12" s="81"/>
      <c r="N12" s="81"/>
      <c r="O12" s="81"/>
      <c r="P12" s="81"/>
      <c r="Q12" s="81"/>
      <c r="R12" s="81"/>
      <c r="S12" s="81"/>
    </row>
    <row r="13" spans="1:24" ht="21" customHeight="1" x14ac:dyDescent="0.25">
      <c r="A13" s="81"/>
      <c r="B13" s="81"/>
      <c r="C13" s="89"/>
      <c r="D13" s="89"/>
      <c r="E13" s="89"/>
      <c r="F13" s="89"/>
      <c r="G13" s="89"/>
      <c r="H13" s="89"/>
      <c r="I13" s="89"/>
      <c r="J13" s="89"/>
      <c r="K13" s="89"/>
      <c r="L13" s="89"/>
      <c r="M13" s="81"/>
      <c r="N13" s="81"/>
      <c r="O13" s="81"/>
      <c r="P13" s="81"/>
      <c r="Q13" s="81"/>
      <c r="R13" s="81"/>
      <c r="S13" s="81"/>
    </row>
    <row r="14" spans="1:24" ht="21" customHeight="1" x14ac:dyDescent="0.25">
      <c r="A14" s="81"/>
      <c r="B14" s="81"/>
      <c r="C14" s="89"/>
      <c r="D14" s="89"/>
      <c r="E14" s="89"/>
      <c r="F14" s="89"/>
      <c r="G14" s="89"/>
      <c r="H14" s="89"/>
      <c r="I14" s="89"/>
      <c r="J14" s="89"/>
      <c r="K14" s="89"/>
      <c r="L14" s="89"/>
      <c r="M14" s="81"/>
      <c r="N14" s="81"/>
      <c r="O14" s="81"/>
      <c r="P14" s="81"/>
      <c r="Q14" s="81"/>
      <c r="R14" s="81"/>
      <c r="S14" s="81"/>
    </row>
    <row r="15" spans="1:24" ht="21" customHeight="1" x14ac:dyDescent="0.25">
      <c r="A15" s="81"/>
      <c r="B15" s="81"/>
      <c r="C15" s="89"/>
      <c r="D15" s="89"/>
      <c r="E15" s="89"/>
      <c r="F15" s="89"/>
      <c r="G15" s="89"/>
      <c r="H15" s="89"/>
      <c r="I15" s="89"/>
      <c r="J15" s="89"/>
      <c r="K15" s="89"/>
      <c r="L15" s="89"/>
      <c r="M15" s="81"/>
      <c r="N15" s="81"/>
      <c r="O15" s="81"/>
      <c r="P15" s="81"/>
      <c r="Q15" s="81"/>
      <c r="R15" s="81"/>
      <c r="S15" s="81"/>
    </row>
    <row r="16" spans="1:24" ht="21" customHeight="1" x14ac:dyDescent="0.25">
      <c r="A16" s="81"/>
      <c r="B16" s="81"/>
      <c r="C16" s="89"/>
      <c r="D16" s="89"/>
      <c r="E16" s="89"/>
      <c r="F16" s="89"/>
      <c r="G16" s="89"/>
      <c r="H16" s="89"/>
      <c r="I16" s="89"/>
      <c r="J16" s="89"/>
      <c r="K16" s="89"/>
      <c r="L16" s="89"/>
      <c r="M16" s="81"/>
      <c r="N16" s="81"/>
      <c r="O16" s="81"/>
      <c r="P16" s="81"/>
      <c r="Q16" s="81"/>
      <c r="R16" s="81"/>
      <c r="S16" s="81"/>
    </row>
    <row r="17" spans="1:19" ht="21" customHeight="1" x14ac:dyDescent="0.25">
      <c r="A17" s="81"/>
      <c r="B17" s="81"/>
      <c r="C17" s="89"/>
      <c r="D17" s="89"/>
      <c r="E17" s="89"/>
      <c r="F17" s="89"/>
      <c r="G17" s="89"/>
      <c r="H17" s="89"/>
      <c r="I17" s="89"/>
      <c r="J17" s="89"/>
      <c r="K17" s="89"/>
      <c r="L17" s="89"/>
      <c r="M17" s="81"/>
      <c r="N17" s="81"/>
      <c r="O17" s="81"/>
      <c r="P17" s="81"/>
      <c r="Q17" s="81"/>
      <c r="R17" s="81"/>
      <c r="S17" s="81"/>
    </row>
    <row r="18" spans="1:19" ht="21" customHeight="1" x14ac:dyDescent="0.25">
      <c r="A18" s="81"/>
      <c r="B18" s="81"/>
      <c r="C18" s="89"/>
      <c r="D18" s="89"/>
      <c r="E18" s="89"/>
      <c r="F18" s="89"/>
      <c r="G18" s="89"/>
      <c r="H18" s="89"/>
      <c r="I18" s="89"/>
      <c r="J18" s="89"/>
      <c r="K18" s="89"/>
      <c r="L18" s="89"/>
      <c r="M18" s="81"/>
      <c r="N18" s="81"/>
      <c r="O18" s="81"/>
      <c r="P18" s="81"/>
      <c r="Q18" s="81"/>
      <c r="R18" s="81"/>
      <c r="S18" s="81"/>
    </row>
    <row r="19" spans="1:19" ht="21" customHeight="1" x14ac:dyDescent="0.25">
      <c r="A19" s="81"/>
      <c r="B19" s="81"/>
      <c r="C19" s="89"/>
      <c r="D19" s="89"/>
      <c r="E19" s="89"/>
      <c r="F19" s="89"/>
      <c r="G19" s="89"/>
      <c r="H19" s="89"/>
      <c r="I19" s="89"/>
      <c r="J19" s="89"/>
      <c r="K19" s="89"/>
      <c r="L19" s="89"/>
      <c r="M19" s="81"/>
      <c r="N19" s="81"/>
      <c r="O19" s="81"/>
      <c r="P19" s="81"/>
      <c r="Q19" s="81"/>
      <c r="R19" s="81"/>
      <c r="S19" s="81"/>
    </row>
    <row r="20" spans="1:19" ht="21" customHeight="1" x14ac:dyDescent="0.25">
      <c r="A20" s="81"/>
      <c r="B20" s="81"/>
      <c r="C20" s="89"/>
      <c r="D20" s="89"/>
      <c r="E20" s="89"/>
      <c r="F20" s="89"/>
      <c r="G20" s="89"/>
      <c r="H20" s="89"/>
      <c r="I20" s="89"/>
      <c r="J20" s="89"/>
      <c r="K20" s="89"/>
      <c r="L20" s="89"/>
      <c r="M20" s="81"/>
      <c r="N20" s="81"/>
      <c r="O20" s="81"/>
      <c r="P20" s="81"/>
      <c r="Q20" s="81"/>
      <c r="R20" s="81"/>
      <c r="S20" s="81"/>
    </row>
    <row r="21" spans="1:19" ht="21" customHeight="1" x14ac:dyDescent="0.25">
      <c r="A21" s="81"/>
      <c r="B21" s="81"/>
      <c r="C21" s="89"/>
      <c r="D21" s="89"/>
      <c r="E21" s="89"/>
      <c r="F21" s="89"/>
      <c r="G21" s="89"/>
      <c r="H21" s="89"/>
      <c r="I21" s="89"/>
      <c r="J21" s="89"/>
      <c r="K21" s="89"/>
      <c r="L21" s="89"/>
      <c r="M21" s="81"/>
      <c r="N21" s="81"/>
      <c r="O21" s="81"/>
      <c r="P21" s="81"/>
      <c r="Q21" s="81"/>
      <c r="R21" s="81"/>
      <c r="S21" s="81"/>
    </row>
    <row r="22" spans="1:19" ht="21" customHeight="1" x14ac:dyDescent="0.25">
      <c r="A22" s="81"/>
      <c r="B22" s="81"/>
      <c r="C22" s="89"/>
      <c r="D22" s="89"/>
      <c r="E22" s="89"/>
      <c r="F22" s="89"/>
      <c r="G22" s="89"/>
      <c r="H22" s="89"/>
      <c r="I22" s="89"/>
      <c r="J22" s="89"/>
      <c r="K22" s="89"/>
      <c r="L22" s="89"/>
      <c r="M22" s="81"/>
      <c r="N22" s="81"/>
      <c r="O22" s="81"/>
      <c r="P22" s="81"/>
      <c r="Q22" s="81"/>
      <c r="R22" s="81"/>
      <c r="S22" s="81"/>
    </row>
    <row r="23" spans="1:19" ht="21" customHeight="1" x14ac:dyDescent="0.25">
      <c r="A23" s="81"/>
      <c r="B23" s="81"/>
      <c r="C23" s="89"/>
      <c r="D23" s="89"/>
      <c r="E23" s="89"/>
      <c r="F23" s="89"/>
      <c r="G23" s="89"/>
      <c r="H23" s="89"/>
      <c r="I23" s="89"/>
      <c r="J23" s="89"/>
      <c r="K23" s="89"/>
      <c r="L23" s="89"/>
      <c r="M23" s="81"/>
      <c r="N23" s="81"/>
      <c r="O23" s="81"/>
      <c r="P23" s="81"/>
      <c r="Q23" s="81"/>
      <c r="R23" s="81"/>
      <c r="S23" s="81"/>
    </row>
    <row r="24" spans="1:19" ht="21" customHeight="1" x14ac:dyDescent="0.25">
      <c r="A24" s="81"/>
      <c r="B24" s="81"/>
      <c r="C24" s="89"/>
      <c r="D24" s="89"/>
      <c r="E24" s="89"/>
      <c r="F24" s="89"/>
      <c r="G24" s="89"/>
      <c r="H24" s="89"/>
      <c r="I24" s="89"/>
      <c r="J24" s="89"/>
      <c r="K24" s="89"/>
      <c r="L24" s="89"/>
      <c r="M24" s="81"/>
      <c r="N24" s="81"/>
      <c r="O24" s="81"/>
      <c r="P24" s="81"/>
      <c r="Q24" s="81"/>
      <c r="R24" s="81"/>
      <c r="S24" s="81"/>
    </row>
    <row r="25" spans="1:19" ht="21" customHeight="1" x14ac:dyDescent="0.25">
      <c r="A25" s="81"/>
      <c r="B25" s="81"/>
      <c r="C25" s="89"/>
      <c r="D25" s="89"/>
      <c r="E25" s="89"/>
      <c r="F25" s="89"/>
      <c r="G25" s="89"/>
      <c r="H25" s="89"/>
      <c r="I25" s="89"/>
      <c r="J25" s="89"/>
      <c r="K25" s="89"/>
      <c r="L25" s="89"/>
      <c r="M25" s="81"/>
      <c r="N25" s="81"/>
      <c r="O25" s="81"/>
      <c r="P25" s="81"/>
      <c r="Q25" s="81"/>
      <c r="R25" s="81"/>
      <c r="S25" s="81"/>
    </row>
    <row r="26" spans="1:19" ht="21" customHeight="1" x14ac:dyDescent="0.25">
      <c r="A26" s="81"/>
      <c r="B26" s="81"/>
      <c r="C26" s="89"/>
      <c r="D26" s="89"/>
      <c r="E26" s="89"/>
      <c r="F26" s="89"/>
      <c r="G26" s="89"/>
      <c r="H26" s="89"/>
      <c r="I26" s="89"/>
      <c r="J26" s="89"/>
      <c r="K26" s="89"/>
      <c r="L26" s="89"/>
      <c r="M26" s="81"/>
      <c r="N26" s="81"/>
      <c r="O26" s="81"/>
      <c r="P26" s="81"/>
      <c r="Q26" s="81"/>
      <c r="R26" s="81"/>
      <c r="S26" s="81"/>
    </row>
    <row r="27" spans="1:19" ht="21" customHeight="1" x14ac:dyDescent="0.25">
      <c r="A27" s="81"/>
      <c r="B27" s="81"/>
      <c r="C27" s="89"/>
      <c r="D27" s="89"/>
      <c r="E27" s="89"/>
      <c r="F27" s="89"/>
      <c r="G27" s="89"/>
      <c r="H27" s="89"/>
      <c r="I27" s="89"/>
      <c r="J27" s="89"/>
      <c r="K27" s="89"/>
      <c r="L27" s="89"/>
      <c r="M27" s="81"/>
      <c r="N27" s="81"/>
      <c r="O27" s="81"/>
      <c r="P27" s="81"/>
      <c r="Q27" s="81"/>
      <c r="R27" s="81"/>
      <c r="S27" s="81"/>
    </row>
    <row r="28" spans="1:19" ht="21" customHeight="1" x14ac:dyDescent="0.25">
      <c r="A28" s="81"/>
      <c r="B28" s="81"/>
      <c r="C28" s="89"/>
      <c r="D28" s="89"/>
      <c r="E28" s="89"/>
      <c r="F28" s="89"/>
      <c r="G28" s="89"/>
      <c r="H28" s="89"/>
      <c r="I28" s="89"/>
      <c r="J28" s="89"/>
      <c r="K28" s="89"/>
      <c r="L28" s="89"/>
      <c r="M28" s="81"/>
      <c r="N28" s="81"/>
      <c r="O28" s="81"/>
      <c r="P28" s="81"/>
      <c r="Q28" s="81"/>
      <c r="R28" s="81"/>
      <c r="S28" s="81"/>
    </row>
    <row r="29" spans="1:19" ht="21" customHeight="1" x14ac:dyDescent="0.25">
      <c r="A29" s="81"/>
      <c r="B29" s="81"/>
      <c r="C29" s="89"/>
      <c r="D29" s="89"/>
      <c r="E29" s="89"/>
      <c r="F29" s="89"/>
      <c r="G29" s="89"/>
      <c r="H29" s="89"/>
      <c r="I29" s="89"/>
      <c r="J29" s="89"/>
      <c r="K29" s="89"/>
      <c r="L29" s="89"/>
      <c r="M29" s="81"/>
      <c r="N29" s="81"/>
      <c r="O29" s="81"/>
      <c r="P29" s="81"/>
      <c r="Q29" s="81"/>
      <c r="R29" s="81"/>
      <c r="S29" s="81"/>
    </row>
    <row r="30" spans="1:19" ht="21" customHeight="1" x14ac:dyDescent="0.25">
      <c r="A30" s="81"/>
      <c r="B30" s="81"/>
      <c r="C30" s="89"/>
      <c r="D30" s="89"/>
      <c r="E30" s="89"/>
      <c r="F30" s="89"/>
      <c r="G30" s="89"/>
      <c r="H30" s="89"/>
      <c r="I30" s="89"/>
      <c r="J30" s="89"/>
      <c r="K30" s="89"/>
      <c r="L30" s="89"/>
      <c r="M30" s="81"/>
      <c r="N30" s="81"/>
      <c r="O30" s="81"/>
      <c r="P30" s="81"/>
      <c r="Q30" s="81"/>
      <c r="R30" s="81"/>
      <c r="S30" s="81"/>
    </row>
    <row r="31" spans="1:19" ht="21" customHeight="1" x14ac:dyDescent="0.25">
      <c r="A31" s="81"/>
      <c r="B31" s="81"/>
      <c r="C31" s="89"/>
      <c r="D31" s="89"/>
      <c r="E31" s="89"/>
      <c r="F31" s="89"/>
      <c r="G31" s="89"/>
      <c r="H31" s="89"/>
      <c r="I31" s="89"/>
      <c r="J31" s="89"/>
      <c r="K31" s="89"/>
      <c r="L31" s="89"/>
      <c r="M31" s="81"/>
      <c r="N31" s="81"/>
      <c r="O31" s="81"/>
      <c r="P31" s="81"/>
      <c r="Q31" s="81"/>
      <c r="R31" s="81"/>
      <c r="S31" s="81"/>
    </row>
    <row r="32" spans="1:19" ht="21" customHeight="1" x14ac:dyDescent="0.25">
      <c r="A32" s="81"/>
      <c r="B32" s="81"/>
      <c r="C32" s="89"/>
      <c r="D32" s="89"/>
      <c r="E32" s="89"/>
      <c r="F32" s="89"/>
      <c r="G32" s="89"/>
      <c r="H32" s="89"/>
      <c r="I32" s="89"/>
      <c r="J32" s="89"/>
      <c r="K32" s="89"/>
      <c r="L32" s="89"/>
      <c r="M32" s="81"/>
      <c r="N32" s="81"/>
      <c r="O32" s="81"/>
      <c r="P32" s="81"/>
      <c r="Q32" s="81"/>
      <c r="R32" s="81"/>
      <c r="S32" s="81"/>
    </row>
    <row r="33" spans="1:19" ht="21" customHeight="1" x14ac:dyDescent="0.25">
      <c r="A33" s="81"/>
      <c r="B33" s="81"/>
      <c r="C33" s="89"/>
      <c r="D33" s="89"/>
      <c r="E33" s="89"/>
      <c r="F33" s="89"/>
      <c r="G33" s="89"/>
      <c r="H33" s="89"/>
      <c r="I33" s="89"/>
      <c r="J33" s="89"/>
      <c r="K33" s="89"/>
      <c r="L33" s="89"/>
      <c r="M33" s="81"/>
      <c r="N33" s="81"/>
      <c r="O33" s="81"/>
      <c r="P33" s="81"/>
      <c r="Q33" s="81"/>
      <c r="R33" s="81"/>
      <c r="S33" s="81"/>
    </row>
    <row r="34" spans="1:19" ht="21" customHeight="1" x14ac:dyDescent="0.25">
      <c r="A34" s="81"/>
      <c r="B34" s="81"/>
      <c r="C34" s="89"/>
      <c r="D34" s="89"/>
      <c r="E34" s="89"/>
      <c r="F34" s="89"/>
      <c r="G34" s="89"/>
      <c r="H34" s="89"/>
      <c r="I34" s="89"/>
      <c r="J34" s="89"/>
      <c r="K34" s="89"/>
      <c r="L34" s="89"/>
      <c r="M34" s="81"/>
      <c r="N34" s="81"/>
      <c r="O34" s="81"/>
      <c r="P34" s="81"/>
      <c r="Q34" s="81"/>
      <c r="R34" s="81"/>
      <c r="S34" s="81"/>
    </row>
    <row r="35" spans="1:19" ht="21" customHeight="1" x14ac:dyDescent="0.25">
      <c r="A35" s="81"/>
      <c r="B35" s="81"/>
      <c r="C35" s="89"/>
      <c r="D35" s="89"/>
      <c r="E35" s="89"/>
      <c r="F35" s="89"/>
      <c r="G35" s="89"/>
      <c r="H35" s="89"/>
      <c r="I35" s="89"/>
      <c r="J35" s="89"/>
      <c r="K35" s="89"/>
      <c r="L35" s="89"/>
      <c r="M35" s="81"/>
      <c r="N35" s="81"/>
      <c r="O35" s="81"/>
      <c r="P35" s="81"/>
      <c r="Q35" s="81"/>
      <c r="R35" s="81"/>
      <c r="S35" s="81"/>
    </row>
    <row r="36" spans="1:19" ht="21" customHeight="1" x14ac:dyDescent="0.25">
      <c r="A36" s="81"/>
      <c r="B36" s="81"/>
      <c r="C36" s="89"/>
      <c r="D36" s="89"/>
      <c r="E36" s="89"/>
      <c r="F36" s="89"/>
      <c r="G36" s="89"/>
      <c r="H36" s="89"/>
      <c r="I36" s="89"/>
      <c r="J36" s="89"/>
      <c r="K36" s="89"/>
      <c r="L36" s="89"/>
      <c r="M36" s="81"/>
      <c r="N36" s="81"/>
      <c r="O36" s="81"/>
      <c r="P36" s="81"/>
      <c r="Q36" s="81"/>
      <c r="R36" s="81"/>
      <c r="S36" s="81"/>
    </row>
    <row r="37" spans="1:19" ht="21" customHeight="1" x14ac:dyDescent="0.25">
      <c r="A37" s="81"/>
      <c r="B37" s="81"/>
      <c r="C37" s="89"/>
      <c r="D37" s="89"/>
      <c r="E37" s="89"/>
      <c r="F37" s="89"/>
      <c r="G37" s="89"/>
      <c r="H37" s="89"/>
      <c r="I37" s="89"/>
      <c r="J37" s="89"/>
      <c r="K37" s="89"/>
      <c r="L37" s="89"/>
      <c r="M37" s="81"/>
      <c r="N37" s="81"/>
      <c r="O37" s="81"/>
      <c r="P37" s="81"/>
      <c r="Q37" s="81"/>
      <c r="R37" s="81"/>
      <c r="S37" s="81"/>
    </row>
    <row r="38" spans="1:19" ht="21" customHeight="1" x14ac:dyDescent="0.25">
      <c r="A38" s="81"/>
      <c r="B38" s="81"/>
      <c r="C38" s="89"/>
      <c r="D38" s="89"/>
      <c r="E38" s="89"/>
      <c r="F38" s="89"/>
      <c r="G38" s="89"/>
      <c r="H38" s="89"/>
      <c r="I38" s="89"/>
      <c r="J38" s="89"/>
      <c r="K38" s="89"/>
      <c r="L38" s="89"/>
      <c r="M38" s="81"/>
      <c r="N38" s="81"/>
      <c r="O38" s="81"/>
      <c r="P38" s="81"/>
      <c r="Q38" s="81"/>
      <c r="R38" s="81"/>
      <c r="S38" s="81"/>
    </row>
    <row r="39" spans="1:19" ht="21" customHeight="1" x14ac:dyDescent="0.25">
      <c r="A39" s="81"/>
      <c r="B39" s="81"/>
      <c r="C39" s="89"/>
      <c r="D39" s="89"/>
      <c r="E39" s="89"/>
      <c r="F39" s="89"/>
      <c r="G39" s="89"/>
      <c r="H39" s="89"/>
      <c r="I39" s="89"/>
      <c r="J39" s="89"/>
      <c r="K39" s="89"/>
      <c r="L39" s="89"/>
      <c r="M39" s="81"/>
      <c r="N39" s="81"/>
      <c r="O39" s="81"/>
      <c r="P39" s="81"/>
      <c r="Q39" s="81"/>
      <c r="R39" s="81"/>
      <c r="S39" s="81"/>
    </row>
    <row r="40" spans="1:19" ht="21" customHeight="1" x14ac:dyDescent="0.25">
      <c r="A40" s="81"/>
      <c r="B40" s="81"/>
      <c r="C40" s="89"/>
      <c r="D40" s="89"/>
      <c r="E40" s="89"/>
      <c r="F40" s="89"/>
      <c r="G40" s="89"/>
      <c r="H40" s="89"/>
      <c r="I40" s="89"/>
      <c r="J40" s="89"/>
      <c r="K40" s="89"/>
      <c r="L40" s="89"/>
      <c r="M40" s="81"/>
      <c r="N40" s="81"/>
      <c r="O40" s="81"/>
      <c r="P40" s="81"/>
      <c r="Q40" s="81"/>
      <c r="R40" s="81"/>
      <c r="S40" s="81"/>
    </row>
    <row r="41" spans="1:19" ht="21" customHeight="1" x14ac:dyDescent="0.25">
      <c r="A41" s="81"/>
      <c r="B41" s="81"/>
      <c r="C41" s="89"/>
      <c r="D41" s="89"/>
      <c r="E41" s="89"/>
      <c r="F41" s="89"/>
      <c r="G41" s="89"/>
      <c r="H41" s="89"/>
      <c r="I41" s="89"/>
      <c r="J41" s="89"/>
      <c r="K41" s="89"/>
      <c r="L41" s="89"/>
      <c r="M41" s="81"/>
      <c r="N41" s="81"/>
      <c r="O41" s="81"/>
      <c r="P41" s="81"/>
      <c r="Q41" s="81"/>
      <c r="R41" s="81"/>
      <c r="S41" s="81"/>
    </row>
    <row r="42" spans="1:19" ht="21" customHeight="1" x14ac:dyDescent="0.25">
      <c r="A42" s="81"/>
      <c r="B42" s="81"/>
      <c r="C42" s="89"/>
      <c r="D42" s="89"/>
      <c r="E42" s="89"/>
      <c r="F42" s="89"/>
      <c r="G42" s="89"/>
      <c r="H42" s="89"/>
      <c r="I42" s="89"/>
      <c r="J42" s="89"/>
      <c r="K42" s="89"/>
      <c r="L42" s="89"/>
      <c r="M42" s="81"/>
      <c r="N42" s="81"/>
      <c r="O42" s="81"/>
      <c r="P42" s="81"/>
      <c r="Q42" s="81"/>
      <c r="R42" s="81"/>
      <c r="S42" s="81"/>
    </row>
    <row r="43" spans="1:19" ht="21" customHeight="1" x14ac:dyDescent="0.25">
      <c r="A43" s="81"/>
      <c r="B43" s="81"/>
      <c r="C43" s="89"/>
      <c r="D43" s="89"/>
      <c r="E43" s="89"/>
      <c r="F43" s="89"/>
      <c r="G43" s="89"/>
      <c r="H43" s="89"/>
      <c r="I43" s="89"/>
      <c r="J43" s="89"/>
      <c r="K43" s="89"/>
      <c r="L43" s="89"/>
      <c r="M43" s="81"/>
      <c r="N43" s="81"/>
      <c r="O43" s="81"/>
      <c r="P43" s="81"/>
      <c r="Q43" s="81"/>
      <c r="R43" s="81"/>
      <c r="S43" s="81"/>
    </row>
    <row r="44" spans="1:19" ht="21" customHeight="1" x14ac:dyDescent="0.25">
      <c r="A44" s="81"/>
      <c r="B44" s="81"/>
      <c r="C44" s="89"/>
      <c r="D44" s="89"/>
      <c r="E44" s="89"/>
      <c r="F44" s="89"/>
      <c r="G44" s="89"/>
      <c r="H44" s="89"/>
      <c r="I44" s="89"/>
      <c r="J44" s="89"/>
      <c r="K44" s="89"/>
      <c r="L44" s="89"/>
      <c r="M44" s="81"/>
      <c r="N44" s="81"/>
      <c r="O44" s="81"/>
      <c r="P44" s="81"/>
      <c r="Q44" s="81"/>
      <c r="R44" s="81"/>
      <c r="S44" s="81"/>
    </row>
    <row r="45" spans="1:19" ht="21" customHeight="1" x14ac:dyDescent="0.25">
      <c r="A45" s="81"/>
      <c r="B45" s="81"/>
      <c r="C45" s="89"/>
      <c r="D45" s="89"/>
      <c r="E45" s="89"/>
      <c r="F45" s="89"/>
      <c r="G45" s="89"/>
      <c r="H45" s="89"/>
      <c r="I45" s="89"/>
      <c r="J45" s="89"/>
      <c r="K45" s="89"/>
      <c r="L45" s="89"/>
      <c r="M45" s="81"/>
      <c r="N45" s="81"/>
      <c r="O45" s="81"/>
      <c r="P45" s="81"/>
      <c r="Q45" s="81"/>
      <c r="R45" s="81"/>
      <c r="S45" s="81"/>
    </row>
    <row r="46" spans="1:19" ht="21" customHeight="1" x14ac:dyDescent="0.25">
      <c r="A46" s="81"/>
      <c r="B46" s="81"/>
      <c r="C46" s="89"/>
      <c r="D46" s="89"/>
      <c r="E46" s="89"/>
      <c r="F46" s="89"/>
      <c r="G46" s="89"/>
      <c r="H46" s="89"/>
      <c r="I46" s="89"/>
      <c r="J46" s="89"/>
      <c r="K46" s="89"/>
      <c r="L46" s="89"/>
      <c r="M46" s="81"/>
      <c r="N46" s="81"/>
      <c r="O46" s="81"/>
      <c r="P46" s="81"/>
      <c r="Q46" s="81"/>
      <c r="R46" s="81"/>
      <c r="S46" s="81"/>
    </row>
    <row r="47" spans="1:19" ht="21" customHeight="1" x14ac:dyDescent="0.25">
      <c r="A47" s="81"/>
      <c r="B47" s="81"/>
      <c r="C47" s="89"/>
      <c r="D47" s="89"/>
      <c r="E47" s="89"/>
      <c r="F47" s="89"/>
      <c r="G47" s="89"/>
      <c r="H47" s="89"/>
      <c r="I47" s="89"/>
      <c r="J47" s="89"/>
      <c r="K47" s="89"/>
      <c r="L47" s="89"/>
      <c r="M47" s="81"/>
      <c r="N47" s="81"/>
      <c r="O47" s="81"/>
      <c r="P47" s="81"/>
      <c r="Q47" s="81"/>
      <c r="R47" s="81"/>
      <c r="S47" s="81"/>
    </row>
    <row r="48" spans="1:19" ht="21" customHeight="1" x14ac:dyDescent="0.25">
      <c r="A48" s="81"/>
      <c r="B48" s="81"/>
      <c r="C48" s="89"/>
      <c r="D48" s="89"/>
      <c r="E48" s="89"/>
      <c r="F48" s="89"/>
      <c r="G48" s="89"/>
      <c r="H48" s="89"/>
      <c r="I48" s="89"/>
      <c r="J48" s="89"/>
      <c r="K48" s="89"/>
      <c r="L48" s="89"/>
      <c r="M48" s="81"/>
      <c r="N48" s="81"/>
      <c r="O48" s="81"/>
      <c r="P48" s="81"/>
      <c r="Q48" s="81"/>
      <c r="R48" s="81"/>
      <c r="S48" s="81"/>
    </row>
    <row r="49" spans="1:19" ht="21" customHeight="1" x14ac:dyDescent="0.25">
      <c r="A49" s="81"/>
      <c r="B49" s="81"/>
      <c r="C49" s="89"/>
      <c r="D49" s="89"/>
      <c r="E49" s="89"/>
      <c r="F49" s="89"/>
      <c r="G49" s="89"/>
      <c r="H49" s="89"/>
      <c r="I49" s="89"/>
      <c r="J49" s="89"/>
      <c r="K49" s="89"/>
      <c r="L49" s="89"/>
      <c r="M49" s="81"/>
      <c r="N49" s="81"/>
      <c r="O49" s="81"/>
      <c r="P49" s="81"/>
      <c r="Q49" s="81"/>
      <c r="R49" s="81"/>
      <c r="S49" s="81"/>
    </row>
    <row r="50" spans="1:19" ht="21" customHeight="1" x14ac:dyDescent="0.25">
      <c r="A50" s="81"/>
      <c r="B50" s="81"/>
      <c r="C50" s="89"/>
      <c r="D50" s="89"/>
      <c r="E50" s="89"/>
      <c r="F50" s="89"/>
      <c r="G50" s="89"/>
      <c r="H50" s="89"/>
      <c r="I50" s="89"/>
      <c r="J50" s="89"/>
      <c r="K50" s="89"/>
      <c r="L50" s="89"/>
      <c r="M50" s="81"/>
      <c r="N50" s="81"/>
      <c r="O50" s="81"/>
      <c r="P50" s="81"/>
      <c r="Q50" s="81"/>
      <c r="R50" s="81"/>
      <c r="S50" s="81"/>
    </row>
    <row r="51" spans="1:19" ht="21" customHeight="1" x14ac:dyDescent="0.25">
      <c r="A51" s="81"/>
      <c r="B51" s="81"/>
      <c r="C51" s="89"/>
      <c r="D51" s="89"/>
      <c r="E51" s="89"/>
      <c r="F51" s="89"/>
      <c r="G51" s="89"/>
      <c r="H51" s="89"/>
      <c r="I51" s="89"/>
      <c r="J51" s="89"/>
      <c r="K51" s="89"/>
      <c r="L51" s="89"/>
      <c r="M51" s="81"/>
      <c r="N51" s="81"/>
      <c r="O51" s="81"/>
      <c r="P51" s="81"/>
      <c r="Q51" s="81"/>
      <c r="R51" s="81"/>
      <c r="S51" s="81"/>
    </row>
    <row r="52" spans="1:19" ht="21" customHeight="1" x14ac:dyDescent="0.25">
      <c r="A52" s="81"/>
      <c r="B52" s="81"/>
      <c r="C52" s="89"/>
      <c r="D52" s="89"/>
      <c r="E52" s="89"/>
      <c r="F52" s="89"/>
      <c r="G52" s="89"/>
      <c r="H52" s="89"/>
      <c r="I52" s="89"/>
      <c r="J52" s="89"/>
      <c r="K52" s="89"/>
      <c r="L52" s="89"/>
      <c r="M52" s="81"/>
      <c r="N52" s="81"/>
      <c r="O52" s="81"/>
      <c r="P52" s="81"/>
      <c r="Q52" s="81"/>
      <c r="R52" s="81"/>
      <c r="S52" s="81"/>
    </row>
    <row r="53" spans="1:19" ht="21" customHeight="1" x14ac:dyDescent="0.25">
      <c r="A53" s="81"/>
      <c r="B53" s="81"/>
      <c r="C53" s="89"/>
      <c r="D53" s="89"/>
      <c r="E53" s="89"/>
      <c r="F53" s="89"/>
      <c r="G53" s="89"/>
      <c r="H53" s="89"/>
      <c r="I53" s="89"/>
      <c r="J53" s="89"/>
      <c r="K53" s="89"/>
      <c r="L53" s="89"/>
      <c r="M53" s="81"/>
      <c r="N53" s="81"/>
      <c r="O53" s="81"/>
      <c r="P53" s="81"/>
      <c r="Q53" s="81"/>
      <c r="R53" s="81"/>
      <c r="S53" s="81"/>
    </row>
    <row r="54" spans="1:19" ht="21" customHeight="1" x14ac:dyDescent="0.25">
      <c r="A54" s="81"/>
      <c r="B54" s="81"/>
      <c r="C54" s="89"/>
      <c r="D54" s="89"/>
      <c r="E54" s="89"/>
      <c r="F54" s="89"/>
      <c r="G54" s="89"/>
      <c r="H54" s="89"/>
      <c r="I54" s="89"/>
      <c r="J54" s="89"/>
      <c r="K54" s="89"/>
      <c r="L54" s="89"/>
      <c r="M54" s="81"/>
      <c r="N54" s="81"/>
      <c r="O54" s="81"/>
      <c r="P54" s="81"/>
      <c r="Q54" s="81"/>
      <c r="R54" s="81"/>
      <c r="S54" s="81"/>
    </row>
    <row r="55" spans="1:19" ht="21" customHeight="1" x14ac:dyDescent="0.25">
      <c r="A55" s="81"/>
      <c r="B55" s="81"/>
      <c r="C55" s="89"/>
      <c r="D55" s="89"/>
      <c r="E55" s="89"/>
      <c r="F55" s="89"/>
      <c r="G55" s="89"/>
      <c r="H55" s="89"/>
      <c r="I55" s="89"/>
      <c r="J55" s="89"/>
      <c r="K55" s="89"/>
      <c r="L55" s="89"/>
      <c r="M55" s="81"/>
      <c r="N55" s="81"/>
      <c r="O55" s="81"/>
      <c r="P55" s="81"/>
      <c r="Q55" s="81"/>
      <c r="R55" s="81"/>
      <c r="S55" s="81"/>
    </row>
    <row r="56" spans="1:19" ht="21" customHeight="1" x14ac:dyDescent="0.25">
      <c r="A56" s="81"/>
      <c r="B56" s="81"/>
      <c r="C56" s="89"/>
      <c r="D56" s="89"/>
      <c r="E56" s="89"/>
      <c r="F56" s="89"/>
      <c r="G56" s="89"/>
      <c r="H56" s="89"/>
      <c r="I56" s="89"/>
      <c r="J56" s="89"/>
      <c r="K56" s="89"/>
      <c r="L56" s="89"/>
      <c r="M56" s="81"/>
      <c r="N56" s="81"/>
      <c r="O56" s="81"/>
      <c r="P56" s="81"/>
      <c r="Q56" s="81"/>
      <c r="R56" s="81"/>
      <c r="S56" s="81"/>
    </row>
    <row r="57" spans="1:19" ht="21" customHeight="1" x14ac:dyDescent="0.25">
      <c r="A57" s="81"/>
      <c r="B57" s="81"/>
      <c r="C57" s="89"/>
      <c r="D57" s="89"/>
      <c r="E57" s="89"/>
      <c r="F57" s="89"/>
      <c r="G57" s="89"/>
      <c r="H57" s="89"/>
      <c r="I57" s="89"/>
      <c r="J57" s="89"/>
      <c r="K57" s="89"/>
      <c r="L57" s="89"/>
      <c r="M57" s="81"/>
      <c r="N57" s="81"/>
      <c r="O57" s="81"/>
      <c r="P57" s="81"/>
      <c r="Q57" s="81"/>
      <c r="R57" s="81"/>
      <c r="S57" s="81"/>
    </row>
    <row r="58" spans="1:19" ht="21" customHeight="1" x14ac:dyDescent="0.25">
      <c r="A58" s="81"/>
      <c r="B58" s="81"/>
      <c r="C58" s="89"/>
      <c r="D58" s="89"/>
      <c r="E58" s="89"/>
      <c r="F58" s="89"/>
      <c r="G58" s="89"/>
      <c r="H58" s="89"/>
      <c r="I58" s="89"/>
      <c r="J58" s="89"/>
      <c r="K58" s="89"/>
      <c r="L58" s="89"/>
      <c r="M58" s="81"/>
      <c r="N58" s="81"/>
      <c r="O58" s="81"/>
      <c r="P58" s="81"/>
      <c r="Q58" s="81"/>
      <c r="R58" s="81"/>
      <c r="S58" s="81"/>
    </row>
    <row r="59" spans="1:19" ht="21" customHeight="1" x14ac:dyDescent="0.25">
      <c r="A59" s="81"/>
      <c r="B59" s="81"/>
      <c r="C59" s="89"/>
      <c r="D59" s="89"/>
      <c r="E59" s="89"/>
      <c r="F59" s="89"/>
      <c r="G59" s="89"/>
      <c r="H59" s="89"/>
      <c r="I59" s="89"/>
      <c r="J59" s="89"/>
      <c r="K59" s="89"/>
      <c r="L59" s="89"/>
      <c r="M59" s="81"/>
      <c r="N59" s="81"/>
      <c r="O59" s="81"/>
      <c r="P59" s="81"/>
      <c r="Q59" s="81"/>
      <c r="R59" s="81"/>
      <c r="S59" s="81"/>
    </row>
    <row r="60" spans="1:19" ht="21" customHeight="1" x14ac:dyDescent="0.25">
      <c r="A60" s="81"/>
      <c r="B60" s="81"/>
      <c r="C60" s="89"/>
      <c r="D60" s="89"/>
      <c r="E60" s="89"/>
      <c r="F60" s="89"/>
      <c r="G60" s="89"/>
      <c r="H60" s="89"/>
      <c r="I60" s="89"/>
      <c r="J60" s="89"/>
      <c r="K60" s="89"/>
      <c r="L60" s="89"/>
      <c r="M60" s="81"/>
      <c r="N60" s="81"/>
      <c r="O60" s="81"/>
      <c r="P60" s="81"/>
      <c r="Q60" s="81"/>
      <c r="R60" s="81"/>
      <c r="S60" s="81"/>
    </row>
    <row r="61" spans="1:19" ht="21" customHeight="1" x14ac:dyDescent="0.25">
      <c r="A61" s="81"/>
      <c r="B61" s="81"/>
      <c r="C61" s="89"/>
      <c r="D61" s="89"/>
      <c r="E61" s="89"/>
      <c r="F61" s="89"/>
      <c r="G61" s="89"/>
      <c r="H61" s="89"/>
      <c r="I61" s="89"/>
      <c r="J61" s="89"/>
      <c r="K61" s="89"/>
      <c r="L61" s="89"/>
      <c r="M61" s="81"/>
      <c r="N61" s="81"/>
      <c r="O61" s="81"/>
      <c r="P61" s="81"/>
      <c r="Q61" s="81"/>
      <c r="R61" s="81"/>
      <c r="S61" s="81"/>
    </row>
    <row r="62" spans="1:19" ht="21" customHeight="1" x14ac:dyDescent="0.25">
      <c r="A62" s="81"/>
      <c r="B62" s="81"/>
      <c r="C62" s="89"/>
      <c r="D62" s="89"/>
      <c r="E62" s="89"/>
      <c r="F62" s="89"/>
      <c r="G62" s="89"/>
      <c r="H62" s="89"/>
      <c r="I62" s="89"/>
      <c r="J62" s="89"/>
      <c r="K62" s="89"/>
      <c r="L62" s="89"/>
      <c r="M62" s="81"/>
      <c r="N62" s="81"/>
      <c r="O62" s="81"/>
      <c r="P62" s="81"/>
      <c r="Q62" s="81"/>
      <c r="R62" s="81"/>
      <c r="S62" s="81"/>
    </row>
    <row r="63" spans="1:19" ht="21" customHeight="1" x14ac:dyDescent="0.25">
      <c r="A63" s="81"/>
      <c r="B63" s="81"/>
      <c r="C63" s="89"/>
      <c r="D63" s="89"/>
      <c r="E63" s="89"/>
      <c r="F63" s="89"/>
      <c r="G63" s="89"/>
      <c r="H63" s="89"/>
      <c r="I63" s="89"/>
      <c r="J63" s="89"/>
      <c r="K63" s="89"/>
      <c r="L63" s="89"/>
      <c r="M63" s="81"/>
      <c r="N63" s="81"/>
      <c r="O63" s="81"/>
      <c r="P63" s="81"/>
      <c r="Q63" s="81"/>
      <c r="R63" s="81"/>
      <c r="S63" s="81"/>
    </row>
    <row r="64" spans="1:19" ht="21" customHeight="1" x14ac:dyDescent="0.25">
      <c r="A64" s="81"/>
      <c r="B64" s="81"/>
      <c r="C64" s="89"/>
      <c r="D64" s="89"/>
      <c r="E64" s="89"/>
      <c r="F64" s="89"/>
      <c r="G64" s="89"/>
      <c r="H64" s="89"/>
      <c r="I64" s="89"/>
      <c r="J64" s="89"/>
      <c r="K64" s="89"/>
      <c r="L64" s="89"/>
      <c r="M64" s="81"/>
      <c r="N64" s="81"/>
      <c r="O64" s="81"/>
      <c r="P64" s="81"/>
      <c r="Q64" s="81"/>
      <c r="R64" s="81"/>
      <c r="S64" s="81"/>
    </row>
    <row r="65" spans="1:19" ht="21" customHeight="1" x14ac:dyDescent="0.25">
      <c r="A65" s="81"/>
      <c r="B65" s="81"/>
      <c r="C65" s="89"/>
      <c r="D65" s="89"/>
      <c r="E65" s="89"/>
      <c r="F65" s="89"/>
      <c r="G65" s="89"/>
      <c r="H65" s="89"/>
      <c r="I65" s="89"/>
      <c r="J65" s="89"/>
      <c r="K65" s="89"/>
      <c r="L65" s="89"/>
      <c r="M65" s="81"/>
      <c r="N65" s="81"/>
      <c r="O65" s="81"/>
      <c r="P65" s="81"/>
      <c r="Q65" s="81"/>
      <c r="R65" s="81"/>
      <c r="S65" s="81"/>
    </row>
    <row r="66" spans="1:19" ht="21" customHeight="1" x14ac:dyDescent="0.25">
      <c r="A66" s="81"/>
      <c r="B66" s="81"/>
      <c r="C66" s="89"/>
      <c r="D66" s="89"/>
      <c r="E66" s="89"/>
      <c r="F66" s="89"/>
      <c r="G66" s="89"/>
      <c r="H66" s="89"/>
      <c r="I66" s="89"/>
      <c r="J66" s="89"/>
      <c r="K66" s="89"/>
      <c r="L66" s="89"/>
      <c r="M66" s="81"/>
      <c r="N66" s="81"/>
      <c r="O66" s="81"/>
      <c r="P66" s="81"/>
      <c r="Q66" s="81"/>
      <c r="R66" s="81"/>
      <c r="S66" s="81"/>
    </row>
    <row r="67" spans="1:19" ht="21" customHeight="1" x14ac:dyDescent="0.25">
      <c r="A67" s="81"/>
      <c r="B67" s="81"/>
      <c r="C67" s="89"/>
      <c r="D67" s="89"/>
      <c r="E67" s="89"/>
      <c r="F67" s="89"/>
      <c r="G67" s="89"/>
      <c r="H67" s="89"/>
      <c r="I67" s="89"/>
      <c r="J67" s="89"/>
      <c r="K67" s="89"/>
      <c r="L67" s="89"/>
      <c r="M67" s="81"/>
      <c r="N67" s="81"/>
      <c r="O67" s="81"/>
      <c r="P67" s="81"/>
      <c r="Q67" s="81"/>
      <c r="R67" s="81"/>
      <c r="S67" s="81"/>
    </row>
    <row r="68" spans="1:19" ht="21" customHeight="1" x14ac:dyDescent="0.25">
      <c r="A68" s="81"/>
      <c r="B68" s="81"/>
      <c r="C68" s="89"/>
      <c r="D68" s="89"/>
      <c r="E68" s="89"/>
      <c r="F68" s="89"/>
      <c r="G68" s="89"/>
      <c r="H68" s="89"/>
      <c r="I68" s="89"/>
      <c r="J68" s="89"/>
      <c r="K68" s="89"/>
      <c r="L68" s="89"/>
      <c r="M68" s="81"/>
      <c r="N68" s="81"/>
      <c r="O68" s="81"/>
      <c r="P68" s="81"/>
      <c r="Q68" s="81"/>
      <c r="R68" s="81"/>
      <c r="S68" s="81"/>
    </row>
    <row r="69" spans="1:19" ht="21" customHeight="1" x14ac:dyDescent="0.25">
      <c r="A69" s="81"/>
      <c r="B69" s="81"/>
      <c r="C69" s="89"/>
      <c r="D69" s="89"/>
      <c r="E69" s="89"/>
      <c r="F69" s="89"/>
      <c r="G69" s="89"/>
      <c r="H69" s="89"/>
      <c r="I69" s="89"/>
      <c r="J69" s="89"/>
      <c r="K69" s="89"/>
      <c r="L69" s="89"/>
      <c r="M69" s="81"/>
      <c r="N69" s="81"/>
      <c r="O69" s="81"/>
      <c r="P69" s="81"/>
      <c r="Q69" s="81"/>
      <c r="R69" s="81"/>
      <c r="S69" s="81"/>
    </row>
    <row r="70" spans="1:19" ht="21" customHeight="1" x14ac:dyDescent="0.25">
      <c r="A70" s="81"/>
      <c r="B70" s="81"/>
      <c r="C70" s="89"/>
      <c r="D70" s="89"/>
      <c r="E70" s="89"/>
      <c r="F70" s="89"/>
      <c r="G70" s="89"/>
      <c r="H70" s="89"/>
      <c r="I70" s="89"/>
      <c r="J70" s="89"/>
      <c r="K70" s="89"/>
      <c r="L70" s="89"/>
      <c r="M70" s="81"/>
      <c r="N70" s="81"/>
      <c r="O70" s="81"/>
      <c r="P70" s="81"/>
      <c r="Q70" s="81"/>
      <c r="R70" s="81"/>
      <c r="S70" s="81"/>
    </row>
    <row r="71" spans="1:19" ht="21" customHeight="1" x14ac:dyDescent="0.25">
      <c r="A71" s="81"/>
      <c r="B71" s="81"/>
      <c r="C71" s="89"/>
      <c r="D71" s="89"/>
      <c r="E71" s="89"/>
      <c r="F71" s="89"/>
      <c r="G71" s="89"/>
      <c r="H71" s="89"/>
      <c r="I71" s="89"/>
      <c r="J71" s="89"/>
      <c r="K71" s="89"/>
      <c r="L71" s="89"/>
      <c r="M71" s="81"/>
      <c r="N71" s="81"/>
      <c r="O71" s="81"/>
      <c r="P71" s="81"/>
      <c r="Q71" s="81"/>
      <c r="R71" s="81"/>
      <c r="S71" s="81"/>
    </row>
    <row r="72" spans="1:19" ht="21" customHeight="1" x14ac:dyDescent="0.25">
      <c r="A72" s="81"/>
      <c r="B72" s="81"/>
      <c r="C72" s="89"/>
      <c r="D72" s="89"/>
      <c r="E72" s="89"/>
      <c r="F72" s="89"/>
      <c r="G72" s="89"/>
      <c r="H72" s="89"/>
      <c r="I72" s="89"/>
      <c r="J72" s="89"/>
      <c r="K72" s="89"/>
      <c r="L72" s="89"/>
      <c r="M72" s="81"/>
      <c r="N72" s="81"/>
      <c r="O72" s="81"/>
      <c r="P72" s="81"/>
      <c r="Q72" s="81"/>
      <c r="R72" s="81"/>
      <c r="S72" s="81"/>
    </row>
    <row r="73" spans="1:19" ht="21" customHeight="1" x14ac:dyDescent="0.25">
      <c r="A73" s="81"/>
      <c r="B73" s="81"/>
      <c r="C73" s="89"/>
      <c r="D73" s="89"/>
      <c r="E73" s="89"/>
      <c r="F73" s="89"/>
      <c r="G73" s="89"/>
      <c r="H73" s="89"/>
      <c r="I73" s="89"/>
      <c r="J73" s="89"/>
      <c r="K73" s="89"/>
      <c r="L73" s="89"/>
      <c r="M73" s="81"/>
      <c r="N73" s="81"/>
      <c r="O73" s="81"/>
      <c r="P73" s="81"/>
      <c r="Q73" s="81"/>
      <c r="R73" s="81"/>
      <c r="S73" s="81"/>
    </row>
    <row r="74" spans="1:19" ht="21" customHeight="1" x14ac:dyDescent="0.25">
      <c r="A74" s="81"/>
      <c r="B74" s="81"/>
      <c r="C74" s="89"/>
      <c r="D74" s="89"/>
      <c r="E74" s="89"/>
      <c r="F74" s="89"/>
      <c r="G74" s="89"/>
      <c r="H74" s="89"/>
      <c r="I74" s="89"/>
      <c r="J74" s="89"/>
      <c r="K74" s="89"/>
      <c r="L74" s="89"/>
      <c r="M74" s="81"/>
      <c r="N74" s="81"/>
      <c r="O74" s="81"/>
      <c r="P74" s="81"/>
      <c r="Q74" s="81"/>
      <c r="R74" s="81"/>
      <c r="S74" s="81"/>
    </row>
    <row r="75" spans="1:19" ht="21" customHeight="1" x14ac:dyDescent="0.25">
      <c r="A75" s="81"/>
      <c r="B75" s="81"/>
      <c r="C75" s="89"/>
      <c r="D75" s="89"/>
      <c r="E75" s="89"/>
      <c r="F75" s="89"/>
      <c r="G75" s="89"/>
      <c r="H75" s="89"/>
      <c r="I75" s="89"/>
      <c r="J75" s="89"/>
      <c r="K75" s="89"/>
      <c r="L75" s="89"/>
      <c r="M75" s="81"/>
      <c r="N75" s="81"/>
      <c r="O75" s="81"/>
      <c r="P75" s="81"/>
      <c r="Q75" s="81"/>
      <c r="R75" s="81"/>
      <c r="S75" s="81"/>
    </row>
    <row r="76" spans="1:19" ht="21" customHeight="1" x14ac:dyDescent="0.25">
      <c r="A76" s="81"/>
      <c r="B76" s="81"/>
      <c r="C76" s="89"/>
      <c r="D76" s="89"/>
      <c r="E76" s="89"/>
      <c r="F76" s="89"/>
      <c r="G76" s="89"/>
      <c r="H76" s="89"/>
      <c r="I76" s="89"/>
      <c r="J76" s="89"/>
      <c r="K76" s="89"/>
      <c r="L76" s="89"/>
      <c r="M76" s="81"/>
      <c r="N76" s="81"/>
      <c r="O76" s="81"/>
      <c r="P76" s="81"/>
      <c r="Q76" s="81"/>
      <c r="R76" s="81"/>
      <c r="S76" s="81"/>
    </row>
    <row r="77" spans="1:19" ht="21" customHeight="1" x14ac:dyDescent="0.25">
      <c r="A77" s="81"/>
      <c r="B77" s="81"/>
      <c r="C77" s="89"/>
      <c r="D77" s="89"/>
      <c r="E77" s="89"/>
      <c r="F77" s="89"/>
      <c r="G77" s="89"/>
      <c r="H77" s="89"/>
      <c r="I77" s="89"/>
      <c r="J77" s="89"/>
      <c r="K77" s="89"/>
      <c r="L77" s="89"/>
      <c r="M77" s="81"/>
      <c r="N77" s="81"/>
      <c r="O77" s="81"/>
      <c r="P77" s="81"/>
      <c r="Q77" s="81"/>
      <c r="R77" s="81"/>
      <c r="S77" s="81"/>
    </row>
    <row r="78" spans="1:19" ht="21" customHeight="1" x14ac:dyDescent="0.25">
      <c r="A78" s="81"/>
      <c r="B78" s="81"/>
      <c r="C78" s="89"/>
      <c r="D78" s="89"/>
      <c r="E78" s="89"/>
      <c r="F78" s="89"/>
      <c r="G78" s="89"/>
      <c r="H78" s="89"/>
      <c r="I78" s="89"/>
      <c r="J78" s="89"/>
      <c r="K78" s="89"/>
      <c r="L78" s="89"/>
      <c r="M78" s="81"/>
      <c r="N78" s="81"/>
      <c r="O78" s="81"/>
      <c r="P78" s="81"/>
      <c r="Q78" s="81"/>
      <c r="R78" s="81"/>
      <c r="S78" s="81"/>
    </row>
    <row r="79" spans="1:19" ht="21" customHeight="1" x14ac:dyDescent="0.25">
      <c r="A79" s="81"/>
      <c r="B79" s="81"/>
      <c r="C79" s="89"/>
      <c r="D79" s="89"/>
      <c r="E79" s="89"/>
      <c r="F79" s="89"/>
      <c r="G79" s="89"/>
      <c r="H79" s="89"/>
      <c r="I79" s="89"/>
      <c r="J79" s="89"/>
      <c r="K79" s="89"/>
      <c r="L79" s="89"/>
      <c r="M79" s="81"/>
      <c r="N79" s="81"/>
      <c r="O79" s="81"/>
      <c r="P79" s="81"/>
      <c r="Q79" s="81"/>
      <c r="R79" s="81"/>
      <c r="S79" s="81"/>
    </row>
    <row r="80" spans="1:19" ht="21" customHeight="1" x14ac:dyDescent="0.25">
      <c r="A80" s="81"/>
      <c r="B80" s="81"/>
      <c r="C80" s="89"/>
      <c r="D80" s="89"/>
      <c r="E80" s="89"/>
      <c r="F80" s="89"/>
      <c r="G80" s="89"/>
      <c r="H80" s="89"/>
      <c r="I80" s="89"/>
      <c r="J80" s="89"/>
      <c r="K80" s="89"/>
      <c r="L80" s="89"/>
      <c r="M80" s="81"/>
      <c r="N80" s="81"/>
      <c r="O80" s="81"/>
      <c r="P80" s="81"/>
      <c r="Q80" s="81"/>
      <c r="R80" s="81"/>
      <c r="S80" s="81"/>
    </row>
    <row r="81" spans="1:19" ht="21" customHeight="1" x14ac:dyDescent="0.25">
      <c r="A81" s="81"/>
      <c r="B81" s="81"/>
      <c r="C81" s="89"/>
      <c r="D81" s="89"/>
      <c r="E81" s="89"/>
      <c r="F81" s="89"/>
      <c r="G81" s="89"/>
      <c r="H81" s="89"/>
      <c r="I81" s="89"/>
      <c r="J81" s="89"/>
      <c r="K81" s="89"/>
      <c r="L81" s="89"/>
      <c r="M81" s="81"/>
      <c r="N81" s="81"/>
      <c r="O81" s="81"/>
      <c r="P81" s="81"/>
      <c r="Q81" s="81"/>
      <c r="R81" s="81"/>
      <c r="S81" s="81"/>
    </row>
    <row r="82" spans="1:19" ht="21" customHeight="1" x14ac:dyDescent="0.25">
      <c r="A82" s="81"/>
      <c r="B82" s="81"/>
      <c r="C82" s="89"/>
      <c r="D82" s="89"/>
      <c r="E82" s="89"/>
      <c r="F82" s="89"/>
      <c r="G82" s="89"/>
      <c r="H82" s="89"/>
      <c r="I82" s="89"/>
      <c r="J82" s="89"/>
      <c r="K82" s="89"/>
      <c r="L82" s="89"/>
      <c r="M82" s="81"/>
      <c r="N82" s="81"/>
      <c r="O82" s="81"/>
      <c r="P82" s="81"/>
      <c r="Q82" s="81"/>
      <c r="R82" s="81"/>
      <c r="S82" s="81"/>
    </row>
    <row r="83" spans="1:19" ht="21" customHeight="1" x14ac:dyDescent="0.25">
      <c r="A83" s="81"/>
      <c r="B83" s="81"/>
      <c r="C83" s="89"/>
      <c r="D83" s="89"/>
      <c r="E83" s="89"/>
      <c r="F83" s="89"/>
      <c r="G83" s="89"/>
      <c r="H83" s="89"/>
      <c r="I83" s="89"/>
      <c r="J83" s="89"/>
      <c r="K83" s="89"/>
      <c r="L83" s="89"/>
      <c r="M83" s="81"/>
      <c r="N83" s="81"/>
      <c r="O83" s="81"/>
      <c r="P83" s="81"/>
      <c r="Q83" s="81"/>
      <c r="R83" s="81"/>
      <c r="S83" s="81"/>
    </row>
    <row r="84" spans="1:19" ht="21" customHeight="1" x14ac:dyDescent="0.25">
      <c r="A84" s="81"/>
      <c r="B84" s="81"/>
      <c r="C84" s="89"/>
      <c r="D84" s="89"/>
      <c r="E84" s="89"/>
      <c r="F84" s="89"/>
      <c r="G84" s="89"/>
      <c r="H84" s="89"/>
      <c r="I84" s="89"/>
      <c r="J84" s="89"/>
      <c r="K84" s="89"/>
      <c r="L84" s="89"/>
      <c r="M84" s="81"/>
      <c r="N84" s="81"/>
      <c r="O84" s="81"/>
      <c r="P84" s="81"/>
      <c r="Q84" s="81"/>
      <c r="R84" s="81"/>
      <c r="S84" s="81"/>
    </row>
    <row r="85" spans="1:19" ht="21" customHeight="1" x14ac:dyDescent="0.25">
      <c r="A85" s="81"/>
      <c r="B85" s="81"/>
      <c r="C85" s="89"/>
      <c r="D85" s="89"/>
      <c r="E85" s="89"/>
      <c r="F85" s="89"/>
      <c r="G85" s="89"/>
      <c r="H85" s="89"/>
      <c r="I85" s="89"/>
      <c r="J85" s="89"/>
      <c r="K85" s="89"/>
      <c r="L85" s="89"/>
      <c r="M85" s="81"/>
      <c r="N85" s="81"/>
      <c r="O85" s="81"/>
      <c r="P85" s="81"/>
      <c r="Q85" s="81"/>
      <c r="R85" s="81"/>
      <c r="S85" s="81"/>
    </row>
    <row r="86" spans="1:19" ht="21" customHeight="1" x14ac:dyDescent="0.25">
      <c r="A86" s="81"/>
      <c r="B86" s="81"/>
      <c r="C86" s="89"/>
      <c r="D86" s="89"/>
      <c r="E86" s="89"/>
      <c r="F86" s="89"/>
      <c r="G86" s="89"/>
      <c r="H86" s="89"/>
      <c r="I86" s="89"/>
      <c r="J86" s="89"/>
      <c r="K86" s="89"/>
      <c r="L86" s="89"/>
      <c r="M86" s="81"/>
      <c r="N86" s="81"/>
      <c r="O86" s="81"/>
      <c r="P86" s="81"/>
      <c r="Q86" s="81"/>
      <c r="R86" s="81"/>
      <c r="S86" s="81"/>
    </row>
    <row r="87" spans="1:19" ht="21" customHeight="1" x14ac:dyDescent="0.25">
      <c r="A87" s="81"/>
      <c r="B87" s="81"/>
      <c r="C87" s="89"/>
      <c r="D87" s="89"/>
      <c r="E87" s="89"/>
      <c r="F87" s="89"/>
      <c r="G87" s="89"/>
      <c r="H87" s="89"/>
      <c r="I87" s="89"/>
      <c r="J87" s="89"/>
      <c r="K87" s="89"/>
      <c r="L87" s="89"/>
      <c r="M87" s="81"/>
      <c r="N87" s="81"/>
      <c r="O87" s="81"/>
      <c r="P87" s="81"/>
      <c r="Q87" s="81"/>
      <c r="R87" s="81"/>
      <c r="S87" s="81"/>
    </row>
    <row r="88" spans="1:19" ht="21" customHeight="1" x14ac:dyDescent="0.25">
      <c r="A88" s="81"/>
      <c r="B88" s="81"/>
      <c r="C88" s="89"/>
      <c r="D88" s="89"/>
      <c r="E88" s="89"/>
      <c r="F88" s="89"/>
      <c r="G88" s="89"/>
      <c r="H88" s="89"/>
      <c r="I88" s="89"/>
      <c r="J88" s="89"/>
      <c r="K88" s="89"/>
      <c r="L88" s="89"/>
      <c r="M88" s="81"/>
      <c r="N88" s="81"/>
      <c r="O88" s="81"/>
      <c r="P88" s="81"/>
      <c r="Q88" s="81"/>
      <c r="R88" s="81"/>
      <c r="S88" s="81"/>
    </row>
    <row r="89" spans="1:19" ht="21" customHeight="1" x14ac:dyDescent="0.25">
      <c r="A89" s="81"/>
      <c r="B89" s="81"/>
      <c r="C89" s="89"/>
      <c r="D89" s="89"/>
      <c r="E89" s="89"/>
      <c r="F89" s="89"/>
      <c r="G89" s="89"/>
      <c r="H89" s="89"/>
      <c r="I89" s="89"/>
      <c r="J89" s="89"/>
      <c r="K89" s="89"/>
      <c r="L89" s="89"/>
      <c r="M89" s="81"/>
      <c r="N89" s="81"/>
      <c r="O89" s="81"/>
      <c r="P89" s="81"/>
      <c r="Q89" s="81"/>
      <c r="R89" s="81"/>
      <c r="S89" s="81"/>
    </row>
    <row r="90" spans="1:19" ht="21" customHeight="1" x14ac:dyDescent="0.25">
      <c r="A90" s="81"/>
      <c r="B90" s="81"/>
      <c r="C90" s="89"/>
      <c r="D90" s="89"/>
      <c r="E90" s="89"/>
      <c r="F90" s="89"/>
      <c r="G90" s="89"/>
      <c r="H90" s="89"/>
      <c r="I90" s="89"/>
      <c r="J90" s="89"/>
      <c r="K90" s="89"/>
      <c r="L90" s="89"/>
      <c r="M90" s="81"/>
      <c r="N90" s="81"/>
      <c r="O90" s="81"/>
      <c r="P90" s="81"/>
      <c r="Q90" s="81"/>
      <c r="R90" s="81"/>
      <c r="S90" s="81"/>
    </row>
    <row r="91" spans="1:19" ht="21" customHeight="1" x14ac:dyDescent="0.25">
      <c r="A91" s="81"/>
      <c r="B91" s="81"/>
      <c r="C91" s="89"/>
      <c r="D91" s="89"/>
      <c r="E91" s="89"/>
      <c r="F91" s="89"/>
      <c r="G91" s="89"/>
      <c r="H91" s="89"/>
      <c r="I91" s="89"/>
      <c r="J91" s="89"/>
      <c r="K91" s="89"/>
      <c r="L91" s="89"/>
      <c r="M91" s="81"/>
      <c r="N91" s="81"/>
      <c r="O91" s="81"/>
      <c r="P91" s="81"/>
      <c r="Q91" s="81"/>
      <c r="R91" s="81"/>
      <c r="S91" s="81"/>
    </row>
    <row r="92" spans="1:19" ht="21" customHeight="1" x14ac:dyDescent="0.25">
      <c r="A92" s="81"/>
      <c r="B92" s="81"/>
      <c r="C92" s="89"/>
      <c r="D92" s="89"/>
      <c r="E92" s="89"/>
      <c r="F92" s="89"/>
      <c r="G92" s="89"/>
      <c r="H92" s="89"/>
      <c r="I92" s="89"/>
      <c r="J92" s="89"/>
      <c r="K92" s="89"/>
      <c r="L92" s="89"/>
      <c r="M92" s="81"/>
      <c r="N92" s="81"/>
      <c r="O92" s="81"/>
      <c r="P92" s="81"/>
      <c r="Q92" s="81"/>
      <c r="R92" s="81"/>
      <c r="S92" s="81"/>
    </row>
    <row r="93" spans="1:19" ht="21" customHeight="1" x14ac:dyDescent="0.25">
      <c r="A93" s="81"/>
      <c r="B93" s="81"/>
      <c r="C93" s="89"/>
      <c r="D93" s="89"/>
      <c r="E93" s="89"/>
      <c r="F93" s="89"/>
      <c r="G93" s="89"/>
      <c r="H93" s="89"/>
      <c r="I93" s="89"/>
      <c r="J93" s="89"/>
      <c r="K93" s="89"/>
      <c r="L93" s="89"/>
      <c r="M93" s="81"/>
      <c r="N93" s="81"/>
      <c r="O93" s="81"/>
      <c r="P93" s="81"/>
      <c r="Q93" s="81"/>
      <c r="R93" s="81"/>
      <c r="S93" s="81"/>
    </row>
    <row r="94" spans="1:19" ht="21" customHeight="1" x14ac:dyDescent="0.25">
      <c r="A94" s="81"/>
      <c r="B94" s="81"/>
      <c r="C94" s="89"/>
      <c r="D94" s="89"/>
      <c r="E94" s="89"/>
      <c r="F94" s="89"/>
      <c r="G94" s="89"/>
      <c r="H94" s="89"/>
      <c r="I94" s="89"/>
      <c r="J94" s="89"/>
      <c r="K94" s="89"/>
      <c r="L94" s="89"/>
      <c r="M94" s="81"/>
      <c r="N94" s="81"/>
      <c r="O94" s="81"/>
      <c r="P94" s="81"/>
      <c r="Q94" s="81"/>
      <c r="R94" s="81"/>
      <c r="S94" s="81"/>
    </row>
    <row r="95" spans="1:19" ht="21" customHeight="1" x14ac:dyDescent="0.25">
      <c r="A95" s="81"/>
      <c r="B95" s="81"/>
      <c r="C95" s="89"/>
      <c r="D95" s="89"/>
      <c r="E95" s="89"/>
      <c r="F95" s="89"/>
      <c r="G95" s="89"/>
      <c r="H95" s="89"/>
      <c r="I95" s="89"/>
      <c r="J95" s="89"/>
      <c r="K95" s="89"/>
      <c r="L95" s="89"/>
      <c r="M95" s="81"/>
      <c r="N95" s="81"/>
      <c r="O95" s="81"/>
      <c r="P95" s="81"/>
      <c r="Q95" s="81"/>
      <c r="R95" s="81"/>
      <c r="S95" s="81"/>
    </row>
    <row r="96" spans="1:19" ht="21" customHeight="1" x14ac:dyDescent="0.25">
      <c r="A96" s="81"/>
      <c r="B96" s="81"/>
      <c r="C96" s="89"/>
      <c r="D96" s="89"/>
      <c r="E96" s="89"/>
      <c r="F96" s="89"/>
      <c r="G96" s="89"/>
      <c r="H96" s="89"/>
      <c r="I96" s="89"/>
      <c r="J96" s="89"/>
      <c r="K96" s="89"/>
      <c r="L96" s="89"/>
      <c r="M96" s="81"/>
      <c r="N96" s="81"/>
      <c r="O96" s="81"/>
      <c r="P96" s="81"/>
      <c r="Q96" s="81"/>
      <c r="R96" s="81"/>
      <c r="S96" s="81"/>
    </row>
    <row r="97" spans="1:19" ht="21" customHeight="1" x14ac:dyDescent="0.25">
      <c r="A97" s="81"/>
      <c r="B97" s="81"/>
      <c r="C97" s="89"/>
      <c r="D97" s="89"/>
      <c r="E97" s="89"/>
      <c r="F97" s="89"/>
      <c r="G97" s="89"/>
      <c r="H97" s="89"/>
      <c r="I97" s="89"/>
      <c r="J97" s="89"/>
      <c r="K97" s="89"/>
      <c r="L97" s="89"/>
      <c r="M97" s="81"/>
      <c r="N97" s="81"/>
      <c r="O97" s="81"/>
      <c r="P97" s="81"/>
      <c r="Q97" s="81"/>
      <c r="R97" s="81"/>
      <c r="S97" s="81"/>
    </row>
    <row r="98" spans="1:19" ht="21" customHeight="1" x14ac:dyDescent="0.25">
      <c r="A98" s="81"/>
      <c r="B98" s="81"/>
      <c r="C98" s="89"/>
      <c r="D98" s="89"/>
      <c r="E98" s="89"/>
      <c r="F98" s="89"/>
      <c r="G98" s="89"/>
      <c r="H98" s="89"/>
      <c r="I98" s="89"/>
      <c r="J98" s="89"/>
      <c r="K98" s="89"/>
      <c r="L98" s="89"/>
      <c r="M98" s="81"/>
      <c r="N98" s="81"/>
      <c r="O98" s="81"/>
      <c r="P98" s="81"/>
      <c r="Q98" s="81"/>
      <c r="R98" s="81"/>
      <c r="S98" s="81"/>
    </row>
    <row r="99" spans="1:19" ht="21" customHeight="1" x14ac:dyDescent="0.25">
      <c r="A99" s="81"/>
      <c r="B99" s="81"/>
      <c r="C99" s="89"/>
      <c r="D99" s="89"/>
      <c r="E99" s="89"/>
      <c r="F99" s="89"/>
      <c r="G99" s="89"/>
      <c r="H99" s="89"/>
      <c r="I99" s="89"/>
      <c r="J99" s="89"/>
      <c r="K99" s="89"/>
      <c r="L99" s="89"/>
      <c r="M99" s="81"/>
      <c r="N99" s="81"/>
      <c r="O99" s="81"/>
      <c r="P99" s="81"/>
      <c r="Q99" s="81"/>
      <c r="R99" s="81"/>
      <c r="S99" s="81"/>
    </row>
    <row r="100" spans="1:19" ht="21" customHeight="1" x14ac:dyDescent="0.25"/>
    <row r="101" spans="1:19" ht="21" customHeight="1" x14ac:dyDescent="0.25"/>
    <row r="102" spans="1:19" ht="21" customHeight="1" x14ac:dyDescent="0.25"/>
    <row r="103" spans="1:19" ht="21" customHeight="1" x14ac:dyDescent="0.25"/>
    <row r="104" spans="1:19" ht="21" customHeight="1" x14ac:dyDescent="0.25"/>
    <row r="105" spans="1:19" ht="21" customHeight="1" x14ac:dyDescent="0.25"/>
    <row r="106" spans="1:19" ht="21" customHeight="1" x14ac:dyDescent="0.25"/>
    <row r="107" spans="1:19" ht="21" customHeight="1" x14ac:dyDescent="0.25"/>
    <row r="108" spans="1:19" ht="21" customHeight="1" x14ac:dyDescent="0.25"/>
    <row r="109" spans="1:19" ht="21" customHeight="1" x14ac:dyDescent="0.25"/>
    <row r="110" spans="1:19" ht="21" customHeight="1" x14ac:dyDescent="0.25"/>
    <row r="111" spans="1:19" ht="21" customHeight="1" x14ac:dyDescent="0.25"/>
    <row r="112" spans="1:19"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8" t="s">
        <v>91</v>
      </c>
      <c r="B1" s="28" t="s">
        <v>92</v>
      </c>
      <c r="C1" s="28" t="s">
        <v>93</v>
      </c>
      <c r="D1" s="28">
        <v>1</v>
      </c>
      <c r="E1" s="28">
        <v>2</v>
      </c>
      <c r="F1" s="28">
        <v>3</v>
      </c>
      <c r="G1" s="28">
        <v>4</v>
      </c>
      <c r="H1" s="28">
        <v>5</v>
      </c>
    </row>
    <row r="2" spans="1:8" x14ac:dyDescent="0.25">
      <c r="A2" s="28"/>
      <c r="B2" s="28"/>
      <c r="C2" s="28"/>
      <c r="D2" s="28"/>
      <c r="E2" s="28"/>
      <c r="F2" s="28"/>
      <c r="G2" s="28"/>
      <c r="H2" s="28"/>
    </row>
    <row r="3" spans="1:8" x14ac:dyDescent="0.25">
      <c r="A3" s="28"/>
      <c r="B3" s="28"/>
      <c r="C3" s="28"/>
      <c r="D3" s="28"/>
      <c r="E3" s="28"/>
      <c r="F3" s="28"/>
      <c r="G3" s="28"/>
      <c r="H3" s="28"/>
    </row>
    <row r="4" spans="1:8" x14ac:dyDescent="0.25">
      <c r="A4" s="28"/>
      <c r="B4" s="28"/>
      <c r="C4" s="28"/>
      <c r="D4" s="28"/>
      <c r="E4" s="28"/>
      <c r="F4" s="28"/>
      <c r="G4" s="28"/>
      <c r="H4" s="28"/>
    </row>
    <row r="5" spans="1:8" x14ac:dyDescent="0.25">
      <c r="A5" s="28"/>
      <c r="B5" s="28"/>
      <c r="C5" s="28"/>
      <c r="D5" s="28"/>
      <c r="E5" s="28"/>
      <c r="F5" s="28"/>
      <c r="G5" s="28"/>
      <c r="H5" s="28"/>
    </row>
    <row r="6" spans="1:8" x14ac:dyDescent="0.25">
      <c r="A6" s="28"/>
      <c r="B6" s="28"/>
      <c r="C6" s="28"/>
      <c r="D6" s="28"/>
      <c r="E6" s="28"/>
      <c r="F6" s="28"/>
      <c r="G6" s="28"/>
      <c r="H6" s="28"/>
    </row>
    <row r="7" spans="1:8" x14ac:dyDescent="0.25">
      <c r="A7" s="28"/>
      <c r="B7" s="28"/>
      <c r="C7" s="28"/>
      <c r="D7" s="28"/>
      <c r="E7" s="28"/>
      <c r="F7" s="28"/>
      <c r="G7" s="28"/>
      <c r="H7" s="28"/>
    </row>
    <row r="8" spans="1:8" x14ac:dyDescent="0.25">
      <c r="A8" s="28"/>
      <c r="B8" s="28"/>
      <c r="C8" s="28"/>
      <c r="D8" s="28"/>
      <c r="E8" s="28"/>
      <c r="F8" s="28"/>
      <c r="G8" s="28"/>
      <c r="H8" s="28"/>
    </row>
    <row r="9" spans="1:8" x14ac:dyDescent="0.25">
      <c r="A9" s="28"/>
      <c r="B9" s="28"/>
      <c r="C9" s="28"/>
      <c r="D9" s="28"/>
      <c r="E9" s="28"/>
      <c r="F9" s="28"/>
      <c r="G9" s="28"/>
      <c r="H9" s="28"/>
    </row>
    <row r="10" spans="1:8" x14ac:dyDescent="0.25">
      <c r="A10" s="28"/>
      <c r="B10" s="28"/>
      <c r="C10" s="28"/>
      <c r="D10" s="28"/>
      <c r="E10" s="28"/>
      <c r="F10" s="28"/>
      <c r="G10" s="28"/>
      <c r="H10" s="28"/>
    </row>
    <row r="11" spans="1:8" x14ac:dyDescent="0.25">
      <c r="A11" s="28"/>
      <c r="B11" s="28"/>
      <c r="C11" s="28"/>
      <c r="D11" s="28"/>
      <c r="E11" s="28"/>
      <c r="F11" s="28"/>
      <c r="G11" s="28"/>
      <c r="H11" s="28"/>
    </row>
    <row r="12" spans="1:8" x14ac:dyDescent="0.25">
      <c r="A12" s="28"/>
      <c r="B12" s="28"/>
      <c r="C12" s="28"/>
      <c r="D12" s="28"/>
      <c r="E12" s="28"/>
      <c r="F12" s="28"/>
      <c r="G12" s="28"/>
      <c r="H12" s="28"/>
    </row>
    <row r="13" spans="1:8" x14ac:dyDescent="0.25">
      <c r="A13" s="28"/>
      <c r="B13" s="28"/>
      <c r="C13" s="28"/>
      <c r="D13" s="28"/>
      <c r="E13" s="28"/>
      <c r="F13" s="28"/>
      <c r="G13" s="28"/>
      <c r="H13" s="28"/>
    </row>
    <row r="14" spans="1:8" x14ac:dyDescent="0.25">
      <c r="A14" s="28"/>
      <c r="B14" s="28"/>
      <c r="C14" s="28"/>
      <c r="D14" s="28"/>
      <c r="E14" s="28"/>
      <c r="F14" s="28"/>
      <c r="G14" s="28"/>
      <c r="H14" s="28"/>
    </row>
    <row r="15" spans="1:8" x14ac:dyDescent="0.25">
      <c r="A15" s="28"/>
      <c r="B15" s="28"/>
      <c r="C15" s="28"/>
      <c r="D15" s="28"/>
      <c r="E15" s="28"/>
      <c r="F15" s="28"/>
      <c r="G15" s="28"/>
      <c r="H15" s="28"/>
    </row>
    <row r="16" spans="1:8" x14ac:dyDescent="0.25">
      <c r="A16" s="28"/>
      <c r="B16" s="28"/>
      <c r="C16" s="28"/>
      <c r="D16" s="28"/>
      <c r="E16" s="28"/>
      <c r="F16" s="28"/>
      <c r="G16" s="28"/>
      <c r="H16" s="28"/>
    </row>
    <row r="17" spans="1:8" x14ac:dyDescent="0.25">
      <c r="A17" s="28"/>
      <c r="B17" s="28"/>
      <c r="C17" s="28"/>
      <c r="D17" s="28"/>
      <c r="E17" s="28"/>
      <c r="F17" s="28"/>
      <c r="G17" s="28"/>
      <c r="H17" s="28"/>
    </row>
    <row r="18" spans="1:8" x14ac:dyDescent="0.25">
      <c r="A18" s="28"/>
      <c r="B18" s="28"/>
      <c r="C18" s="28"/>
      <c r="D18" s="28"/>
      <c r="E18" s="28"/>
      <c r="F18" s="28"/>
      <c r="G18" s="28"/>
      <c r="H18" s="28"/>
    </row>
    <row r="19" spans="1:8" x14ac:dyDescent="0.25">
      <c r="A19" s="28"/>
      <c r="B19" s="28"/>
      <c r="C19" s="28"/>
      <c r="D19" s="28"/>
      <c r="E19" s="28"/>
      <c r="F19" s="28"/>
      <c r="G19" s="28"/>
      <c r="H19" s="28"/>
    </row>
    <row r="20" spans="1:8" x14ac:dyDescent="0.25">
      <c r="A20" s="28"/>
      <c r="B20" s="28"/>
      <c r="C20" s="28"/>
      <c r="D20" s="28"/>
      <c r="E20" s="28"/>
      <c r="F20" s="28"/>
      <c r="G20" s="28"/>
      <c r="H20" s="28"/>
    </row>
    <row r="21" spans="1:8" x14ac:dyDescent="0.25">
      <c r="A21" s="28"/>
      <c r="B21" s="28"/>
      <c r="C21" s="28"/>
      <c r="D21" s="28"/>
      <c r="E21" s="28"/>
      <c r="F21" s="28"/>
      <c r="G21" s="28"/>
      <c r="H21" s="28"/>
    </row>
    <row r="22" spans="1:8" x14ac:dyDescent="0.25">
      <c r="A22" s="28"/>
      <c r="B22" s="28"/>
      <c r="C22" s="28"/>
      <c r="D22" s="28"/>
      <c r="E22" s="28"/>
      <c r="F22" s="28"/>
      <c r="G22" s="28"/>
      <c r="H22" s="28"/>
    </row>
    <row r="23" spans="1:8" x14ac:dyDescent="0.25">
      <c r="A23" s="28"/>
      <c r="B23" s="28"/>
      <c r="C23" s="28"/>
      <c r="D23" s="28"/>
      <c r="E23" s="28"/>
      <c r="F23" s="28"/>
      <c r="G23" s="28"/>
      <c r="H23" s="28"/>
    </row>
    <row r="24" spans="1:8" x14ac:dyDescent="0.25">
      <c r="A24" s="28"/>
      <c r="B24" s="28"/>
      <c r="C24" s="28"/>
      <c r="D24" s="28"/>
      <c r="E24" s="28"/>
      <c r="F24" s="28"/>
      <c r="G24" s="28"/>
      <c r="H24" s="28"/>
    </row>
    <row r="25" spans="1:8" x14ac:dyDescent="0.25">
      <c r="A25" s="28"/>
      <c r="B25" s="28"/>
      <c r="C25" s="28"/>
      <c r="D25" s="28"/>
      <c r="E25" s="28"/>
      <c r="F25" s="28"/>
      <c r="G25" s="28"/>
      <c r="H25" s="28"/>
    </row>
    <row r="26" spans="1:8" x14ac:dyDescent="0.25">
      <c r="A26" s="28"/>
      <c r="B26" s="28"/>
      <c r="C26" s="28"/>
      <c r="D26" s="28"/>
      <c r="E26" s="28"/>
      <c r="F26" s="28"/>
      <c r="G26" s="28"/>
      <c r="H26" s="28"/>
    </row>
    <row r="27" spans="1:8" x14ac:dyDescent="0.25">
      <c r="A27" s="28"/>
      <c r="B27" s="28"/>
      <c r="C27" s="28"/>
      <c r="D27" s="28"/>
      <c r="E27" s="28"/>
      <c r="F27" s="28"/>
      <c r="G27" s="28"/>
      <c r="H27" s="28"/>
    </row>
    <row r="28" spans="1:8" x14ac:dyDescent="0.25">
      <c r="A28" s="28"/>
      <c r="B28" s="28"/>
      <c r="C28" s="28"/>
      <c r="D28" s="28"/>
      <c r="E28" s="28"/>
      <c r="F28" s="28"/>
      <c r="G28" s="28"/>
      <c r="H28" s="28"/>
    </row>
    <row r="29" spans="1:8" x14ac:dyDescent="0.25">
      <c r="A29" s="28"/>
      <c r="B29" s="28"/>
      <c r="C29" s="28"/>
      <c r="D29" s="28"/>
      <c r="E29" s="28"/>
      <c r="F29" s="28"/>
      <c r="G29" s="28"/>
      <c r="H29" s="28"/>
    </row>
    <row r="30" spans="1:8" x14ac:dyDescent="0.25">
      <c r="A30" s="28"/>
      <c r="B30" s="28"/>
      <c r="C30" s="28"/>
      <c r="D30" s="28"/>
      <c r="E30" s="28"/>
      <c r="F30" s="28"/>
      <c r="G30" s="28"/>
      <c r="H30" s="28"/>
    </row>
    <row r="31" spans="1:8" x14ac:dyDescent="0.25">
      <c r="A31" s="28"/>
      <c r="B31" s="28"/>
      <c r="C31" s="28"/>
      <c r="D31" s="28"/>
      <c r="E31" s="28"/>
      <c r="F31" s="28"/>
      <c r="G31" s="28"/>
      <c r="H31" s="28"/>
    </row>
    <row r="32" spans="1:8" x14ac:dyDescent="0.25">
      <c r="A32" s="28"/>
      <c r="B32" s="28"/>
      <c r="C32" s="28"/>
      <c r="D32" s="28"/>
      <c r="E32" s="28"/>
      <c r="F32" s="28"/>
      <c r="G32" s="28"/>
      <c r="H32" s="28"/>
    </row>
    <row r="33" spans="1:8" x14ac:dyDescent="0.25">
      <c r="A33" s="28"/>
      <c r="B33" s="28"/>
      <c r="C33" s="28"/>
      <c r="D33" s="28"/>
      <c r="E33" s="28"/>
      <c r="F33" s="28"/>
      <c r="G33" s="28"/>
      <c r="H33" s="28"/>
    </row>
    <row r="34" spans="1:8" x14ac:dyDescent="0.25">
      <c r="A34" s="28"/>
      <c r="B34" s="28"/>
      <c r="C34" s="28"/>
      <c r="D34" s="28"/>
      <c r="E34" s="28"/>
      <c r="F34" s="28"/>
      <c r="G34" s="28"/>
      <c r="H34" s="28"/>
    </row>
    <row r="35" spans="1:8" x14ac:dyDescent="0.25">
      <c r="A35" s="28"/>
      <c r="B35" s="28"/>
      <c r="C35" s="28"/>
      <c r="D35" s="28"/>
      <c r="E35" s="28"/>
      <c r="F35" s="28"/>
      <c r="G35" s="28"/>
      <c r="H35" s="28"/>
    </row>
    <row r="36" spans="1:8" x14ac:dyDescent="0.25">
      <c r="A36" s="28"/>
      <c r="B36" s="28"/>
      <c r="C36" s="28"/>
      <c r="D36" s="28"/>
      <c r="E36" s="28"/>
      <c r="F36" s="28"/>
      <c r="G36" s="28"/>
      <c r="H36" s="28"/>
    </row>
    <row r="37" spans="1:8" x14ac:dyDescent="0.25">
      <c r="A37" s="28"/>
      <c r="B37" s="28"/>
      <c r="C37" s="28"/>
      <c r="D37" s="28"/>
      <c r="E37" s="28"/>
      <c r="F37" s="28"/>
      <c r="G37" s="28"/>
      <c r="H37" s="28"/>
    </row>
    <row r="38" spans="1:8" x14ac:dyDescent="0.25">
      <c r="A38" s="28"/>
      <c r="B38" s="28"/>
      <c r="C38" s="28"/>
      <c r="D38" s="28"/>
      <c r="E38" s="28"/>
      <c r="F38" s="28"/>
      <c r="G38" s="28"/>
      <c r="H38" s="28"/>
    </row>
    <row r="39" spans="1:8" x14ac:dyDescent="0.25">
      <c r="A39" s="28"/>
      <c r="B39" s="28"/>
      <c r="C39" s="28"/>
      <c r="D39" s="28"/>
      <c r="E39" s="28"/>
      <c r="F39" s="28"/>
      <c r="G39" s="28"/>
      <c r="H39" s="28"/>
    </row>
    <row r="40" spans="1:8" x14ac:dyDescent="0.25">
      <c r="A40" s="28"/>
      <c r="B40" s="28"/>
      <c r="C40" s="28"/>
      <c r="D40" s="28"/>
      <c r="E40" s="28"/>
      <c r="F40" s="28"/>
      <c r="G40" s="28"/>
      <c r="H40" s="28"/>
    </row>
    <row r="41" spans="1:8" x14ac:dyDescent="0.25">
      <c r="A41" s="28"/>
      <c r="B41" s="28"/>
      <c r="C41" s="28"/>
      <c r="D41" s="28"/>
      <c r="E41" s="28"/>
      <c r="F41" s="28"/>
      <c r="G41" s="28"/>
      <c r="H41" s="28"/>
    </row>
    <row r="42" spans="1:8" x14ac:dyDescent="0.25">
      <c r="A42" s="28"/>
      <c r="B42" s="28"/>
      <c r="C42" s="28"/>
      <c r="D42" s="28"/>
      <c r="E42" s="28"/>
      <c r="F42" s="28"/>
      <c r="G42" s="28"/>
      <c r="H42" s="28"/>
    </row>
    <row r="43" spans="1:8" x14ac:dyDescent="0.25">
      <c r="A43" s="28"/>
      <c r="B43" s="28"/>
      <c r="C43" s="28"/>
      <c r="D43" s="28"/>
      <c r="E43" s="28"/>
      <c r="F43" s="28"/>
      <c r="G43" s="28"/>
      <c r="H43" s="28"/>
    </row>
    <row r="44" spans="1:8" x14ac:dyDescent="0.25">
      <c r="A44" s="28"/>
      <c r="B44" s="28"/>
      <c r="C44" s="28"/>
      <c r="D44" s="28"/>
      <c r="E44" s="28"/>
      <c r="F44" s="28"/>
      <c r="G44" s="28"/>
      <c r="H44" s="28"/>
    </row>
    <row r="45" spans="1:8" x14ac:dyDescent="0.25">
      <c r="A45" s="28"/>
      <c r="B45" s="28"/>
      <c r="C45" s="28"/>
      <c r="D45" s="28"/>
      <c r="E45" s="28"/>
      <c r="F45" s="28"/>
      <c r="G45" s="28"/>
      <c r="H45" s="28"/>
    </row>
    <row r="46" spans="1:8" x14ac:dyDescent="0.25">
      <c r="A46" s="28"/>
      <c r="B46" s="28"/>
      <c r="C46" s="28"/>
      <c r="D46" s="28"/>
      <c r="E46" s="28"/>
      <c r="F46" s="28"/>
      <c r="G46" s="28"/>
      <c r="H46" s="28"/>
    </row>
    <row r="47" spans="1:8" x14ac:dyDescent="0.25">
      <c r="A47" s="28"/>
      <c r="B47" s="28"/>
      <c r="C47" s="28"/>
      <c r="D47" s="28"/>
      <c r="E47" s="28"/>
      <c r="F47" s="28"/>
      <c r="G47" s="28"/>
      <c r="H47" s="28"/>
    </row>
    <row r="48" spans="1:8" x14ac:dyDescent="0.25">
      <c r="A48" s="28"/>
      <c r="B48" s="28"/>
      <c r="C48" s="28"/>
      <c r="D48" s="28"/>
      <c r="E48" s="28"/>
      <c r="F48" s="28"/>
      <c r="G48" s="28"/>
      <c r="H48" s="28"/>
    </row>
    <row r="49" spans="1:8" x14ac:dyDescent="0.25">
      <c r="A49" s="28"/>
      <c r="B49" s="28"/>
      <c r="C49" s="28"/>
      <c r="D49" s="28"/>
      <c r="E49" s="28"/>
      <c r="F49" s="28"/>
      <c r="G49" s="28"/>
      <c r="H49" s="28"/>
    </row>
    <row r="50" spans="1:8" x14ac:dyDescent="0.25">
      <c r="A50" s="28"/>
      <c r="B50" s="28"/>
      <c r="C50" s="28"/>
      <c r="D50" s="28"/>
      <c r="E50" s="28"/>
      <c r="F50" s="28"/>
      <c r="G50" s="28"/>
      <c r="H50" s="28"/>
    </row>
    <row r="51" spans="1:8" x14ac:dyDescent="0.25">
      <c r="A51" s="28"/>
      <c r="B51" s="28"/>
      <c r="C51" s="28"/>
      <c r="D51" s="28"/>
      <c r="E51" s="28"/>
      <c r="F51" s="28"/>
      <c r="G51" s="28"/>
      <c r="H51" s="28"/>
    </row>
    <row r="52" spans="1:8" x14ac:dyDescent="0.25">
      <c r="A52" s="28"/>
      <c r="B52" s="28"/>
      <c r="C52" s="28"/>
      <c r="D52" s="28"/>
      <c r="E52" s="28"/>
      <c r="F52" s="28"/>
      <c r="G52" s="28"/>
      <c r="H52" s="28"/>
    </row>
    <row r="53" spans="1:8" x14ac:dyDescent="0.25">
      <c r="A53" s="28"/>
      <c r="B53" s="28"/>
      <c r="C53" s="28"/>
      <c r="D53" s="28"/>
      <c r="E53" s="28"/>
      <c r="F53" s="28"/>
      <c r="G53" s="28"/>
      <c r="H53" s="28"/>
    </row>
    <row r="54" spans="1:8" x14ac:dyDescent="0.25">
      <c r="A54" s="28"/>
      <c r="B54" s="28"/>
      <c r="C54" s="28"/>
      <c r="D54" s="28"/>
      <c r="E54" s="28"/>
      <c r="F54" s="28"/>
      <c r="G54" s="28"/>
      <c r="H54" s="28"/>
    </row>
    <row r="55" spans="1:8" x14ac:dyDescent="0.25">
      <c r="A55" s="28"/>
      <c r="B55" s="28"/>
      <c r="C55" s="28"/>
      <c r="D55" s="28"/>
      <c r="E55" s="28"/>
      <c r="F55" s="28"/>
      <c r="G55" s="28"/>
      <c r="H55" s="28"/>
    </row>
    <row r="56" spans="1:8" x14ac:dyDescent="0.25">
      <c r="A56" s="28"/>
      <c r="B56" s="28"/>
      <c r="C56" s="28"/>
      <c r="D56" s="28"/>
      <c r="E56" s="28"/>
      <c r="F56" s="28"/>
      <c r="G56" s="28"/>
      <c r="H56" s="28"/>
    </row>
    <row r="57" spans="1:8" x14ac:dyDescent="0.25">
      <c r="A57" s="28"/>
      <c r="B57" s="28"/>
      <c r="C57" s="28"/>
      <c r="D57" s="28"/>
      <c r="E57" s="28"/>
      <c r="F57" s="28"/>
      <c r="G57" s="28"/>
      <c r="H57" s="28"/>
    </row>
    <row r="58" spans="1:8" x14ac:dyDescent="0.25">
      <c r="A58" s="28"/>
      <c r="B58" s="28"/>
      <c r="C58" s="28"/>
      <c r="D58" s="28"/>
      <c r="E58" s="28"/>
      <c r="F58" s="28"/>
      <c r="G58" s="28"/>
      <c r="H58" s="28"/>
    </row>
    <row r="59" spans="1:8" x14ac:dyDescent="0.25">
      <c r="A59" s="28"/>
      <c r="B59" s="28"/>
      <c r="C59" s="28"/>
      <c r="D59" s="28"/>
      <c r="E59" s="28"/>
      <c r="F59" s="28"/>
      <c r="G59" s="28"/>
      <c r="H59" s="28"/>
    </row>
    <row r="60" spans="1:8" x14ac:dyDescent="0.25">
      <c r="A60" s="28"/>
      <c r="B60" s="28"/>
      <c r="C60" s="28"/>
      <c r="D60" s="28"/>
      <c r="E60" s="28"/>
      <c r="F60" s="28"/>
      <c r="G60" s="28"/>
      <c r="H60" s="28"/>
    </row>
    <row r="61" spans="1:8" x14ac:dyDescent="0.25">
      <c r="A61" s="28"/>
      <c r="B61" s="28"/>
      <c r="C61" s="28"/>
      <c r="D61" s="28"/>
      <c r="E61" s="28"/>
      <c r="F61" s="28"/>
      <c r="G61" s="28"/>
      <c r="H61" s="28"/>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94</v>
      </c>
      <c r="G2" s="6" t="s">
        <v>95</v>
      </c>
    </row>
    <row r="3" spans="2:10" ht="39.950000000000003" customHeight="1" x14ac:dyDescent="0.25">
      <c r="B3" s="11" t="s">
        <v>21</v>
      </c>
      <c r="C3" s="11" t="s">
        <v>22</v>
      </c>
      <c r="D3" s="12" t="s">
        <v>46</v>
      </c>
      <c r="E3" s="12" t="s">
        <v>96</v>
      </c>
      <c r="G3" s="21" t="s">
        <v>21</v>
      </c>
      <c r="H3" s="21" t="s">
        <v>22</v>
      </c>
      <c r="I3" s="22" t="s">
        <v>46</v>
      </c>
      <c r="J3" s="22" t="s">
        <v>96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t="e">
        <f>IF(ISNA(INDEX(TournamentData[Champion''s Rank],MATCH(ChampionsDelib[[#This Row],[Team Number]],TournamentData[Team Number],0))),NumberOfTeams+1,INDEX(TournamentData[Champion''s Rank],MATCH(ChampionsDelib[[#This Row],[Team Number]],TournamentData[Team Number],0)))</f>
        <v>#REF!</v>
      </c>
      <c r="H4" s="6" t="str">
        <f>IF(ISNA(INDEX(OfficialTeamList[Team Name],MATCH(RobotGameDelib[[#This Row],[Team Number]], OfficialTeamList[Team Number],0))),"",INDEX(OfficialTeamList[Team Name],MATCH(RobotGameDelib[[#This Row],[Team Number]], OfficialTeamList[Team Number],0)))</f>
        <v/>
      </c>
      <c r="I4" s="6"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t="e">
        <f>IF(ISNA(INDEX(TournamentData[Champion''s Rank],MATCH(ChampionsDelib[[#This Row],[Team Number]],TournamentData[Team Number],0))),NumberOfTeams+1,INDEX(TournamentData[Champion''s Rank],MATCH(ChampionsDelib[[#This Row],[Team Number]],TournamentData[Team Number],0)))</f>
        <v>#REF!</v>
      </c>
      <c r="H5" s="6" t="str">
        <f>IF(ISNA(INDEX(OfficialTeamList[Team Name],MATCH(RobotGameDelib[[#This Row],[Team Number]], OfficialTeamList[Team Number],0))),"",INDEX(OfficialTeamList[Team Name],MATCH(RobotGameDelib[[#This Row],[Team Number]], OfficialTeamList[Team Number],0)))</f>
        <v/>
      </c>
      <c r="I5" s="6"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t="e">
        <f>IF(ISNA(INDEX(TournamentData[Champion''s Rank],MATCH(ChampionsDelib[[#This Row],[Team Number]],TournamentData[Team Number],0))),NumberOfTeams+1,INDEX(TournamentData[Champion''s Rank],MATCH(ChampionsDelib[[#This Row],[Team Number]],TournamentData[Team Number],0)))</f>
        <v>#REF!</v>
      </c>
      <c r="H6" s="6" t="str">
        <f>IF(ISNA(INDEX(OfficialTeamList[Team Name],MATCH(RobotGameDelib[[#This Row],[Team Number]], OfficialTeamList[Team Number],0))),"",INDEX(OfficialTeamList[Team Name],MATCH(RobotGameDelib[[#This Row],[Team Number]], OfficialTeamList[Team Number],0)))</f>
        <v/>
      </c>
      <c r="I6" s="6"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t="e">
        <f>IF(ISNA(INDEX(TournamentData[Champion''s Rank],MATCH(ChampionsDelib[[#This Row],[Team Number]],TournamentData[Team Number],0))),NumberOfTeams+1,INDEX(TournamentData[Champion''s Rank],MATCH(ChampionsDelib[[#This Row],[Team Number]],TournamentData[Team Number],0)))</f>
        <v>#REF!</v>
      </c>
      <c r="H7" s="6" t="str">
        <f>IF(ISNA(INDEX(OfficialTeamList[Team Name],MATCH(RobotGameDelib[[#This Row],[Team Number]], OfficialTeamList[Team Number],0))),"",INDEX(OfficialTeamList[Team Name],MATCH(RobotGameDelib[[#This Row],[Team Number]], OfficialTeamList[Team Number],0)))</f>
        <v/>
      </c>
      <c r="I7" s="6"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t="e">
        <f>IF(ISNA(INDEX(TournamentData[Champion''s Rank],MATCH(ChampionsDelib[[#This Row],[Team Number]],TournamentData[Team Number],0))),NumberOfTeams+1,INDEX(TournamentData[Champion''s Rank],MATCH(ChampionsDelib[[#This Row],[Team Number]],TournamentData[Team Number],0)))</f>
        <v>#REF!</v>
      </c>
      <c r="H8" s="6" t="str">
        <f>IF(ISNA(INDEX(OfficialTeamList[Team Name],MATCH(RobotGameDelib[[#This Row],[Team Number]], OfficialTeamList[Team Number],0))),"",INDEX(OfficialTeamList[Team Name],MATCH(RobotGameDelib[[#This Row],[Team Number]], OfficialTeamList[Team Number],0)))</f>
        <v/>
      </c>
      <c r="I8" s="6"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t="e">
        <f>IF(ISNA(INDEX(TournamentData[Champion''s Rank],MATCH(ChampionsDelib[[#This Row],[Team Number]],TournamentData[Team Number],0))),NumberOfTeams+1,INDEX(TournamentData[Champion''s Rank],MATCH(ChampionsDelib[[#This Row],[Team Number]],TournamentData[Team Number],0)))</f>
        <v>#REF!</v>
      </c>
      <c r="H9" s="6" t="str">
        <f>IF(ISNA(INDEX(OfficialTeamList[Team Name],MATCH(RobotGameDelib[[#This Row],[Team Number]], OfficialTeamList[Team Number],0))),"",INDEX(OfficialTeamList[Team Name],MATCH(RobotGameDelib[[#This Row],[Team Number]], OfficialTeamList[Team Number],0)))</f>
        <v/>
      </c>
      <c r="I9" s="6"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t="e">
        <f>IF(ISNA(INDEX(TournamentData[Champion''s Rank],MATCH(ChampionsDelib[[#This Row],[Team Number]],TournamentData[Team Number],0))),NumberOfTeams+1,INDEX(TournamentData[Champion''s Rank],MATCH(ChampionsDelib[[#This Row],[Team Number]],TournamentData[Team Number],0)))</f>
        <v>#REF!</v>
      </c>
      <c r="H10" s="6" t="str">
        <f>IF(ISNA(INDEX(OfficialTeamList[Team Name],MATCH(RobotGameDelib[[#This Row],[Team Number]], OfficialTeamList[Team Number],0))),"",INDEX(OfficialTeamList[Team Name],MATCH(RobotGameDelib[[#This Row],[Team Number]], OfficialTeamList[Team Number],0)))</f>
        <v/>
      </c>
      <c r="I10" s="6"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t="e">
        <f>IF(ISNA(INDEX(TournamentData[Champion''s Rank],MATCH(ChampionsDelib[[#This Row],[Team Number]],TournamentData[Team Number],0))),NumberOfTeams+1,INDEX(TournamentData[Champion''s Rank],MATCH(ChampionsDelib[[#This Row],[Team Number]],TournamentData[Team Number],0)))</f>
        <v>#REF!</v>
      </c>
      <c r="H11" s="6" t="str">
        <f>IF(ISNA(INDEX(OfficialTeamList[Team Name],MATCH(RobotGameDelib[[#This Row],[Team Number]], OfficialTeamList[Team Number],0))),"",INDEX(OfficialTeamList[Team Name],MATCH(RobotGameDelib[[#This Row],[Team Number]], OfficialTeamList[Team Number],0)))</f>
        <v/>
      </c>
      <c r="I11" s="6"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t="e">
        <f>IF(ISNA(INDEX(TournamentData[Champion''s Rank],MATCH(ChampionsDelib[[#This Row],[Team Number]],TournamentData[Team Number],0))),NumberOfTeams+1,INDEX(TournamentData[Champion''s Rank],MATCH(ChampionsDelib[[#This Row],[Team Number]],TournamentData[Team Number],0)))</f>
        <v>#REF!</v>
      </c>
      <c r="H12" s="6" t="str">
        <f>IF(ISNA(INDEX(OfficialTeamList[Team Name],MATCH(RobotGameDelib[[#This Row],[Team Number]], OfficialTeamList[Team Number],0))),"",INDEX(OfficialTeamList[Team Name],MATCH(RobotGameDelib[[#This Row],[Team Number]], OfficialTeamList[Team Number],0)))</f>
        <v/>
      </c>
      <c r="I12" s="6"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t="e">
        <f>IF(ISNA(INDEX(TournamentData[Champion''s Rank],MATCH(ChampionsDelib[[#This Row],[Team Number]],TournamentData[Team Number],0))),NumberOfTeams+1,INDEX(TournamentData[Champion''s Rank],MATCH(ChampionsDelib[[#This Row],[Team Number]],TournamentData[Team Number],0)))</f>
        <v>#REF!</v>
      </c>
      <c r="H13" s="6" t="str">
        <f>IF(ISNA(INDEX(OfficialTeamList[Team Name],MATCH(RobotGameDelib[[#This Row],[Team Number]], OfficialTeamList[Team Number],0))),"",INDEX(OfficialTeamList[Team Name],MATCH(RobotGameDelib[[#This Row],[Team Number]], OfficialTeamList[Team Number],0)))</f>
        <v/>
      </c>
      <c r="I13" s="6"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t="e">
        <f>IF(ISNA(INDEX(TournamentData[Champion''s Rank],MATCH(ChampionsDelib[[#This Row],[Team Number]],TournamentData[Team Number],0))),NumberOfTeams+1,INDEX(TournamentData[Champion''s Rank],MATCH(ChampionsDelib[[#This Row],[Team Number]],TournamentData[Team Number],0)))</f>
        <v>#REF!</v>
      </c>
      <c r="H14" s="6" t="str">
        <f>IF(ISNA(INDEX(OfficialTeamList[Team Name],MATCH(RobotGameDelib[[#This Row],[Team Number]], OfficialTeamList[Team Number],0))),"",INDEX(OfficialTeamList[Team Name],MATCH(RobotGameDelib[[#This Row],[Team Number]], OfficialTeamList[Team Number],0)))</f>
        <v/>
      </c>
      <c r="I14" s="6"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t="e">
        <f>IF(ISNA(INDEX(TournamentData[Champion''s Rank],MATCH(ChampionsDelib[[#This Row],[Team Number]],TournamentData[Team Number],0))),NumberOfTeams+1,INDEX(TournamentData[Champion''s Rank],MATCH(ChampionsDelib[[#This Row],[Team Number]],TournamentData[Team Number],0)))</f>
        <v>#REF!</v>
      </c>
      <c r="H15" s="6" t="str">
        <f>IF(ISNA(INDEX(OfficialTeamList[Team Name],MATCH(RobotGameDelib[[#This Row],[Team Number]], OfficialTeamList[Team Number],0))),"",INDEX(OfficialTeamList[Team Name],MATCH(RobotGameDelib[[#This Row],[Team Number]], OfficialTeamList[Team Number],0)))</f>
        <v/>
      </c>
      <c r="I15" s="6"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t="e">
        <f>IF(ISNA(INDEX(TournamentData[Champion''s Rank],MATCH(ChampionsDelib[[#This Row],[Team Number]],TournamentData[Team Number],0))),NumberOfTeams+1,INDEX(TournamentData[Champion''s Rank],MATCH(ChampionsDelib[[#This Row],[Team Number]],TournamentData[Team Number],0)))</f>
        <v>#REF!</v>
      </c>
      <c r="H16" s="6" t="str">
        <f>IF(ISNA(INDEX(OfficialTeamList[Team Name],MATCH(RobotGameDelib[[#This Row],[Team Number]], OfficialTeamList[Team Number],0))),"",INDEX(OfficialTeamList[Team Name],MATCH(RobotGameDelib[[#This Row],[Team Number]], OfficialTeamList[Team Number],0)))</f>
        <v/>
      </c>
      <c r="I16" s="6"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t="e">
        <f>IF(ISNA(INDEX(TournamentData[Champion''s Rank],MATCH(ChampionsDelib[[#This Row],[Team Number]],TournamentData[Team Number],0))),NumberOfTeams+1,INDEX(TournamentData[Champion''s Rank],MATCH(ChampionsDelib[[#This Row],[Team Number]],TournamentData[Team Number],0)))</f>
        <v>#REF!</v>
      </c>
      <c r="H17" s="6" t="str">
        <f>IF(ISNA(INDEX(OfficialTeamList[Team Name],MATCH(RobotGameDelib[[#This Row],[Team Number]], OfficialTeamList[Team Number],0))),"",INDEX(OfficialTeamList[Team Name],MATCH(RobotGameDelib[[#This Row],[Team Number]], OfficialTeamList[Team Number],0)))</f>
        <v/>
      </c>
      <c r="I17" s="6"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t="e">
        <f>IF(ISNA(INDEX(TournamentData[Champion''s Rank],MATCH(ChampionsDelib[[#This Row],[Team Number]],TournamentData[Team Number],0))),NumberOfTeams+1,INDEX(TournamentData[Champion''s Rank],MATCH(ChampionsDelib[[#This Row],[Team Number]],TournamentData[Team Number],0)))</f>
        <v>#REF!</v>
      </c>
      <c r="H18" s="6" t="str">
        <f>IF(ISNA(INDEX(OfficialTeamList[Team Name],MATCH(RobotGameDelib[[#This Row],[Team Number]], OfficialTeamList[Team Number],0))),"",INDEX(OfficialTeamList[Team Name],MATCH(RobotGameDelib[[#This Row],[Team Number]], OfficialTeamList[Team Number],0)))</f>
        <v/>
      </c>
      <c r="I18" s="6"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6" t="s">
        <v>97</v>
      </c>
      <c r="G20" s="6" t="s">
        <v>98</v>
      </c>
      <c r="L20" s="6" t="s">
        <v>99</v>
      </c>
    </row>
    <row r="21" spans="2:15" ht="39.950000000000003" customHeight="1" x14ac:dyDescent="0.25">
      <c r="B21" s="15" t="s">
        <v>21</v>
      </c>
      <c r="C21" s="15" t="s">
        <v>22</v>
      </c>
      <c r="D21" s="16" t="s">
        <v>42</v>
      </c>
      <c r="E21" s="16" t="s">
        <v>96</v>
      </c>
      <c r="G21" s="19" t="s">
        <v>21</v>
      </c>
      <c r="H21" s="19" t="s">
        <v>22</v>
      </c>
      <c r="I21" s="20" t="s">
        <v>44</v>
      </c>
      <c r="J21" s="20" t="s">
        <v>96</v>
      </c>
      <c r="L21" s="17" t="s">
        <v>21</v>
      </c>
      <c r="M21" s="17" t="s">
        <v>22</v>
      </c>
      <c r="N21" s="18" t="s">
        <v>43</v>
      </c>
      <c r="O21" s="18" t="s">
        <v>96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t="e">
        <f>IF(ISNA(INDEX(CoreValuesResults[Core Values Rank],MATCH(CoreValuesDelib[[#This Row],[Team Number]],CoreValuesResults[Team Number],0))),NumberOfTeams+1,INDEX(CoreValuesResults[Core Values Rank],MATCH(CoreValuesDelib[[#This Row],[Team Number]],CoreValuesResults[Team Number],0)))</f>
        <v>#REF!</v>
      </c>
      <c r="H22" s="6" t="str">
        <f>IF(ISNA(INDEX(OfficialTeamList[Team Name],MATCH(RobotDesignDelib[[#This Row],[Team Number]], OfficialTeamList[Team Number],0))),"",INDEX(OfficialTeamList[Team Name],MATCH(RobotDesignDelib[[#This Row],[Team Number]], OfficialTeamList[Team Number],0)))</f>
        <v/>
      </c>
      <c r="I22" s="6" t="e">
        <f>IF(ISNA(INDEX(RobotDesignResults[Robot Design Rank],MATCH(RobotDesignDelib[[#This Row],[Team Number]],RobotDesignResults[Team Number],0))),NumberOfTeams+1,INDEX(RobotDesignResults[Robot Design Rank],MATCH(RobotDesignDelib[[#This Row],[Team Number]],RobotDesignResults[Team Number],0)))</f>
        <v>#REF!</v>
      </c>
      <c r="M22" s="6" t="str">
        <f>IF(ISNA(INDEX(OfficialTeamList[Team Name],MATCH(InnovationProjectDelib[[#This Row],[Team Number]], OfficialTeamList[Team Number],0))),"",INDEX(OfficialTeamList[Team Name],MATCH(InnovationProjectDelib[[#This Row],[Team Number]], OfficialTeamList[Team Number],0)))</f>
        <v/>
      </c>
      <c r="N2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t="e">
        <f>IF(ISNA(INDEX(CoreValuesResults[Core Values Rank],MATCH(CoreValuesDelib[[#This Row],[Team Number]],CoreValuesResults[Team Number],0))),NumberOfTeams+1,INDEX(CoreValuesResults[Core Values Rank],MATCH(CoreValuesDelib[[#This Row],[Team Number]],CoreValuesResults[Team Number],0)))</f>
        <v>#REF!</v>
      </c>
      <c r="H23" s="6" t="str">
        <f>IF(ISNA(INDEX(OfficialTeamList[Team Name],MATCH(RobotDesignDelib[[#This Row],[Team Number]], OfficialTeamList[Team Number],0))),"",INDEX(OfficialTeamList[Team Name],MATCH(RobotDesignDelib[[#This Row],[Team Number]], OfficialTeamList[Team Number],0)))</f>
        <v/>
      </c>
      <c r="I23" s="6" t="e">
        <f>IF(ISNA(INDEX(RobotDesignResults[Robot Design Rank],MATCH(RobotDesignDelib[[#This Row],[Team Number]],RobotDesignResults[Team Number],0))),NumberOfTeams+1,INDEX(RobotDesignResults[Robot Design Rank],MATCH(RobotDesignDelib[[#This Row],[Team Number]],RobotDesignResults[Team Number],0)))</f>
        <v>#REF!</v>
      </c>
      <c r="M23" s="6" t="str">
        <f>IF(ISNA(INDEX(OfficialTeamList[Team Name],MATCH(InnovationProjectDelib[[#This Row],[Team Number]], OfficialTeamList[Team Number],0))),"",INDEX(OfficialTeamList[Team Name],MATCH(InnovationProjectDelib[[#This Row],[Team Number]], OfficialTeamList[Team Number],0)))</f>
        <v/>
      </c>
      <c r="N2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t="e">
        <f>IF(ISNA(INDEX(CoreValuesResults[Core Values Rank],MATCH(CoreValuesDelib[[#This Row],[Team Number]],CoreValuesResults[Team Number],0))),NumberOfTeams+1,INDEX(CoreValuesResults[Core Values Rank],MATCH(CoreValuesDelib[[#This Row],[Team Number]],CoreValuesResults[Team Number],0)))</f>
        <v>#REF!</v>
      </c>
      <c r="H24" s="6" t="str">
        <f>IF(ISNA(INDEX(OfficialTeamList[Team Name],MATCH(RobotDesignDelib[[#This Row],[Team Number]], OfficialTeamList[Team Number],0))),"",INDEX(OfficialTeamList[Team Name],MATCH(RobotDesignDelib[[#This Row],[Team Number]], OfficialTeamList[Team Number],0)))</f>
        <v/>
      </c>
      <c r="I24" s="6" t="e">
        <f>IF(ISNA(INDEX(RobotDesignResults[Robot Design Rank],MATCH(RobotDesignDelib[[#This Row],[Team Number]],RobotDesignResults[Team Number],0))),NumberOfTeams+1,INDEX(RobotDesignResults[Robot Design Rank],MATCH(RobotDesignDelib[[#This Row],[Team Number]],RobotDesignResults[Team Number],0)))</f>
        <v>#REF!</v>
      </c>
      <c r="M24" s="6" t="str">
        <f>IF(ISNA(INDEX(OfficialTeamList[Team Name],MATCH(InnovationProjectDelib[[#This Row],[Team Number]], OfficialTeamList[Team Number],0))),"",INDEX(OfficialTeamList[Team Name],MATCH(InnovationProjectDelib[[#This Row],[Team Number]], OfficialTeamList[Team Number],0)))</f>
        <v/>
      </c>
      <c r="N2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t="e">
        <f>IF(ISNA(INDEX(CoreValuesResults[Core Values Rank],MATCH(CoreValuesDelib[[#This Row],[Team Number]],CoreValuesResults[Team Number],0))),NumberOfTeams+1,INDEX(CoreValuesResults[Core Values Rank],MATCH(CoreValuesDelib[[#This Row],[Team Number]],CoreValuesResults[Team Number],0)))</f>
        <v>#REF!</v>
      </c>
      <c r="H25" s="6" t="str">
        <f>IF(ISNA(INDEX(OfficialTeamList[Team Name],MATCH(RobotDesignDelib[[#This Row],[Team Number]], OfficialTeamList[Team Number],0))),"",INDEX(OfficialTeamList[Team Name],MATCH(RobotDesignDelib[[#This Row],[Team Number]], OfficialTeamList[Team Number],0)))</f>
        <v/>
      </c>
      <c r="I25" s="6" t="e">
        <f>IF(ISNA(INDEX(RobotDesignResults[Robot Design Rank],MATCH(RobotDesignDelib[[#This Row],[Team Number]],RobotDesignResults[Team Number],0))),NumberOfTeams+1,INDEX(RobotDesignResults[Robot Design Rank],MATCH(RobotDesignDelib[[#This Row],[Team Number]],RobotDesignResults[Team Number],0)))</f>
        <v>#REF!</v>
      </c>
      <c r="M25" s="6" t="str">
        <f>IF(ISNA(INDEX(OfficialTeamList[Team Name],MATCH(InnovationProjectDelib[[#This Row],[Team Number]], OfficialTeamList[Team Number],0))),"",INDEX(OfficialTeamList[Team Name],MATCH(InnovationProjectDelib[[#This Row],[Team Number]], OfficialTeamList[Team Number],0)))</f>
        <v/>
      </c>
      <c r="N2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t="e">
        <f>IF(ISNA(INDEX(CoreValuesResults[Core Values Rank],MATCH(CoreValuesDelib[[#This Row],[Team Number]],CoreValuesResults[Team Number],0))),NumberOfTeams+1,INDEX(CoreValuesResults[Core Values Rank],MATCH(CoreValuesDelib[[#This Row],[Team Number]],CoreValuesResults[Team Number],0)))</f>
        <v>#REF!</v>
      </c>
      <c r="H26" s="6" t="str">
        <f>IF(ISNA(INDEX(OfficialTeamList[Team Name],MATCH(RobotDesignDelib[[#This Row],[Team Number]], OfficialTeamList[Team Number],0))),"",INDEX(OfficialTeamList[Team Name],MATCH(RobotDesignDelib[[#This Row],[Team Number]], OfficialTeamList[Team Number],0)))</f>
        <v/>
      </c>
      <c r="I26" s="6" t="e">
        <f>IF(ISNA(INDEX(RobotDesignResults[Robot Design Rank],MATCH(RobotDesignDelib[[#This Row],[Team Number]],RobotDesignResults[Team Number],0))),NumberOfTeams+1,INDEX(RobotDesignResults[Robot Design Rank],MATCH(RobotDesignDelib[[#This Row],[Team Number]],RobotDesignResults[Team Number],0)))</f>
        <v>#REF!</v>
      </c>
      <c r="M26" s="6" t="str">
        <f>IF(ISNA(INDEX(OfficialTeamList[Team Name],MATCH(InnovationProjectDelib[[#This Row],[Team Number]], OfficialTeamList[Team Number],0))),"",INDEX(OfficialTeamList[Team Name],MATCH(InnovationProjectDelib[[#This Row],[Team Number]], OfficialTeamList[Team Number],0)))</f>
        <v/>
      </c>
      <c r="N2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t="e">
        <f>IF(ISNA(INDEX(CoreValuesResults[Core Values Rank],MATCH(CoreValuesDelib[[#This Row],[Team Number]],CoreValuesResults[Team Number],0))),NumberOfTeams+1,INDEX(CoreValuesResults[Core Values Rank],MATCH(CoreValuesDelib[[#This Row],[Team Number]],CoreValuesResults[Team Number],0)))</f>
        <v>#REF!</v>
      </c>
      <c r="H27" s="6" t="str">
        <f>IF(ISNA(INDEX(OfficialTeamList[Team Name],MATCH(RobotDesignDelib[[#This Row],[Team Number]], OfficialTeamList[Team Number],0))),"",INDEX(OfficialTeamList[Team Name],MATCH(RobotDesignDelib[[#This Row],[Team Number]], OfficialTeamList[Team Number],0)))</f>
        <v/>
      </c>
      <c r="I27" s="6" t="e">
        <f>IF(ISNA(INDEX(RobotDesignResults[Robot Design Rank],MATCH(RobotDesignDelib[[#This Row],[Team Number]],RobotDesignResults[Team Number],0))),NumberOfTeams+1,INDEX(RobotDesignResults[Robot Design Rank],MATCH(RobotDesignDelib[[#This Row],[Team Number]],RobotDesignResults[Team Number],0)))</f>
        <v>#REF!</v>
      </c>
      <c r="M27" s="6" t="str">
        <f>IF(ISNA(INDEX(OfficialTeamList[Team Name],MATCH(InnovationProjectDelib[[#This Row],[Team Number]], OfficialTeamList[Team Number],0))),"",INDEX(OfficialTeamList[Team Name],MATCH(InnovationProjectDelib[[#This Row],[Team Number]], OfficialTeamList[Team Number],0)))</f>
        <v/>
      </c>
      <c r="N27"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t="e">
        <f>IF(ISNA(INDEX(CoreValuesResults[Core Values Rank],MATCH(CoreValuesDelib[[#This Row],[Team Number]],CoreValuesResults[Team Number],0))),NumberOfTeams+1,INDEX(CoreValuesResults[Core Values Rank],MATCH(CoreValuesDelib[[#This Row],[Team Number]],CoreValuesResults[Team Number],0)))</f>
        <v>#REF!</v>
      </c>
      <c r="H28" s="6" t="str">
        <f>IF(ISNA(INDEX(OfficialTeamList[Team Name],MATCH(RobotDesignDelib[[#This Row],[Team Number]], OfficialTeamList[Team Number],0))),"",INDEX(OfficialTeamList[Team Name],MATCH(RobotDesignDelib[[#This Row],[Team Number]], OfficialTeamList[Team Number],0)))</f>
        <v/>
      </c>
      <c r="I28" s="6" t="e">
        <f>IF(ISNA(INDEX(RobotDesignResults[Robot Design Rank],MATCH(RobotDesignDelib[[#This Row],[Team Number]],RobotDesignResults[Team Number],0))),NumberOfTeams+1,INDEX(RobotDesignResults[Robot Design Rank],MATCH(RobotDesignDelib[[#This Row],[Team Number]],RobotDesignResults[Team Number],0)))</f>
        <v>#REF!</v>
      </c>
      <c r="M28" s="6" t="str">
        <f>IF(ISNA(INDEX(OfficialTeamList[Team Name],MATCH(InnovationProjectDelib[[#This Row],[Team Number]], OfficialTeamList[Team Number],0))),"",INDEX(OfficialTeamList[Team Name],MATCH(InnovationProjectDelib[[#This Row],[Team Number]], OfficialTeamList[Team Number],0)))</f>
        <v/>
      </c>
      <c r="N28"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t="e">
        <f>IF(ISNA(INDEX(CoreValuesResults[Core Values Rank],MATCH(CoreValuesDelib[[#This Row],[Team Number]],CoreValuesResults[Team Number],0))),NumberOfTeams+1,INDEX(CoreValuesResults[Core Values Rank],MATCH(CoreValuesDelib[[#This Row],[Team Number]],CoreValuesResults[Team Number],0)))</f>
        <v>#REF!</v>
      </c>
      <c r="H29" s="6" t="str">
        <f>IF(ISNA(INDEX(OfficialTeamList[Team Name],MATCH(RobotDesignDelib[[#This Row],[Team Number]], OfficialTeamList[Team Number],0))),"",INDEX(OfficialTeamList[Team Name],MATCH(RobotDesignDelib[[#This Row],[Team Number]], OfficialTeamList[Team Number],0)))</f>
        <v/>
      </c>
      <c r="I29" s="6" t="e">
        <f>IF(ISNA(INDEX(RobotDesignResults[Robot Design Rank],MATCH(RobotDesignDelib[[#This Row],[Team Number]],RobotDesignResults[Team Number],0))),NumberOfTeams+1,INDEX(RobotDesignResults[Robot Design Rank],MATCH(RobotDesignDelib[[#This Row],[Team Number]],RobotDesignResults[Team Number],0)))</f>
        <v>#REF!</v>
      </c>
      <c r="M29" s="6" t="str">
        <f>IF(ISNA(INDEX(OfficialTeamList[Team Name],MATCH(InnovationProjectDelib[[#This Row],[Team Number]], OfficialTeamList[Team Number],0))),"",INDEX(OfficialTeamList[Team Name],MATCH(InnovationProjectDelib[[#This Row],[Team Number]], OfficialTeamList[Team Number],0)))</f>
        <v/>
      </c>
      <c r="N29"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t="e">
        <f>IF(ISNA(INDEX(CoreValuesResults[Core Values Rank],MATCH(CoreValuesDelib[[#This Row],[Team Number]],CoreValuesResults[Team Number],0))),NumberOfTeams+1,INDEX(CoreValuesResults[Core Values Rank],MATCH(CoreValuesDelib[[#This Row],[Team Number]],CoreValuesResults[Team Number],0)))</f>
        <v>#REF!</v>
      </c>
      <c r="H30" s="6" t="str">
        <f>IF(ISNA(INDEX(OfficialTeamList[Team Name],MATCH(RobotDesignDelib[[#This Row],[Team Number]], OfficialTeamList[Team Number],0))),"",INDEX(OfficialTeamList[Team Name],MATCH(RobotDesignDelib[[#This Row],[Team Number]], OfficialTeamList[Team Number],0)))</f>
        <v/>
      </c>
      <c r="I30" s="6" t="e">
        <f>IF(ISNA(INDEX(RobotDesignResults[Robot Design Rank],MATCH(RobotDesignDelib[[#This Row],[Team Number]],RobotDesignResults[Team Number],0))),NumberOfTeams+1,INDEX(RobotDesignResults[Robot Design Rank],MATCH(RobotDesignDelib[[#This Row],[Team Number]],RobotDesignResults[Team Number],0)))</f>
        <v>#REF!</v>
      </c>
      <c r="M30" s="6" t="str">
        <f>IF(ISNA(INDEX(OfficialTeamList[Team Name],MATCH(InnovationProjectDelib[[#This Row],[Team Number]], OfficialTeamList[Team Number],0))),"",INDEX(OfficialTeamList[Team Name],MATCH(InnovationProjectDelib[[#This Row],[Team Number]], OfficialTeamList[Team Number],0)))</f>
        <v/>
      </c>
      <c r="N30"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t="e">
        <f>IF(ISNA(INDEX(CoreValuesResults[Core Values Rank],MATCH(CoreValuesDelib[[#This Row],[Team Number]],CoreValuesResults[Team Number],0))),NumberOfTeams+1,INDEX(CoreValuesResults[Core Values Rank],MATCH(CoreValuesDelib[[#This Row],[Team Number]],CoreValuesResults[Team Number],0)))</f>
        <v>#REF!</v>
      </c>
      <c r="H31" s="6" t="str">
        <f>IF(ISNA(INDEX(OfficialTeamList[Team Name],MATCH(RobotDesignDelib[[#This Row],[Team Number]], OfficialTeamList[Team Number],0))),"",INDEX(OfficialTeamList[Team Name],MATCH(RobotDesignDelib[[#This Row],[Team Number]], OfficialTeamList[Team Number],0)))</f>
        <v/>
      </c>
      <c r="I31" s="6" t="e">
        <f>IF(ISNA(INDEX(RobotDesignResults[Robot Design Rank],MATCH(RobotDesignDelib[[#This Row],[Team Number]],RobotDesignResults[Team Number],0))),NumberOfTeams+1,INDEX(RobotDesignResults[Robot Design Rank],MATCH(RobotDesignDelib[[#This Row],[Team Number]],RobotDesignResults[Team Number],0)))</f>
        <v>#REF!</v>
      </c>
      <c r="M31" s="6" t="str">
        <f>IF(ISNA(INDEX(OfficialTeamList[Team Name],MATCH(InnovationProjectDelib[[#This Row],[Team Number]], OfficialTeamList[Team Number],0))),"",INDEX(OfficialTeamList[Team Name],MATCH(InnovationProjectDelib[[#This Row],[Team Number]], OfficialTeamList[Team Number],0)))</f>
        <v/>
      </c>
      <c r="N31"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t="e">
        <f>IF(ISNA(INDEX(CoreValuesResults[Core Values Rank],MATCH(CoreValuesDelib[[#This Row],[Team Number]],CoreValuesResults[Team Number],0))),NumberOfTeams+1,INDEX(CoreValuesResults[Core Values Rank],MATCH(CoreValuesDelib[[#This Row],[Team Number]],CoreValuesResults[Team Number],0)))</f>
        <v>#REF!</v>
      </c>
      <c r="H32" s="6" t="str">
        <f>IF(ISNA(INDEX(OfficialTeamList[Team Name],MATCH(RobotDesignDelib[[#This Row],[Team Number]], OfficialTeamList[Team Number],0))),"",INDEX(OfficialTeamList[Team Name],MATCH(RobotDesignDelib[[#This Row],[Team Number]], OfficialTeamList[Team Number],0)))</f>
        <v/>
      </c>
      <c r="I32" s="6" t="e">
        <f>IF(ISNA(INDEX(RobotDesignResults[Robot Design Rank],MATCH(RobotDesignDelib[[#This Row],[Team Number]],RobotDesignResults[Team Number],0))),NumberOfTeams+1,INDEX(RobotDesignResults[Robot Design Rank],MATCH(RobotDesignDelib[[#This Row],[Team Number]],RobotDesignResults[Team Number],0)))</f>
        <v>#REF!</v>
      </c>
      <c r="M32" s="6" t="str">
        <f>IF(ISNA(INDEX(OfficialTeamList[Team Name],MATCH(InnovationProjectDelib[[#This Row],[Team Number]], OfficialTeamList[Team Number],0))),"",INDEX(OfficialTeamList[Team Name],MATCH(InnovationProjectDelib[[#This Row],[Team Number]], OfficialTeamList[Team Number],0)))</f>
        <v/>
      </c>
      <c r="N3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t="e">
        <f>IF(ISNA(INDEX(CoreValuesResults[Core Values Rank],MATCH(CoreValuesDelib[[#This Row],[Team Number]],CoreValuesResults[Team Number],0))),NumberOfTeams+1,INDEX(CoreValuesResults[Core Values Rank],MATCH(CoreValuesDelib[[#This Row],[Team Number]],CoreValuesResults[Team Number],0)))</f>
        <v>#REF!</v>
      </c>
      <c r="H33" s="6" t="str">
        <f>IF(ISNA(INDEX(OfficialTeamList[Team Name],MATCH(RobotDesignDelib[[#This Row],[Team Number]], OfficialTeamList[Team Number],0))),"",INDEX(OfficialTeamList[Team Name],MATCH(RobotDesignDelib[[#This Row],[Team Number]], OfficialTeamList[Team Number],0)))</f>
        <v/>
      </c>
      <c r="I33" s="6" t="e">
        <f>IF(ISNA(INDEX(RobotDesignResults[Robot Design Rank],MATCH(RobotDesignDelib[[#This Row],[Team Number]],RobotDesignResults[Team Number],0))),NumberOfTeams+1,INDEX(RobotDesignResults[Robot Design Rank],MATCH(RobotDesignDelib[[#This Row],[Team Number]],RobotDesignResults[Team Number],0)))</f>
        <v>#REF!</v>
      </c>
      <c r="M33" s="6" t="str">
        <f>IF(ISNA(INDEX(OfficialTeamList[Team Name],MATCH(InnovationProjectDelib[[#This Row],[Team Number]], OfficialTeamList[Team Number],0))),"",INDEX(OfficialTeamList[Team Name],MATCH(InnovationProjectDelib[[#This Row],[Team Number]], OfficialTeamList[Team Number],0)))</f>
        <v/>
      </c>
      <c r="N3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t="e">
        <f>IF(ISNA(INDEX(CoreValuesResults[Core Values Rank],MATCH(CoreValuesDelib[[#This Row],[Team Number]],CoreValuesResults[Team Number],0))),NumberOfTeams+1,INDEX(CoreValuesResults[Core Values Rank],MATCH(CoreValuesDelib[[#This Row],[Team Number]],CoreValuesResults[Team Number],0)))</f>
        <v>#REF!</v>
      </c>
      <c r="H34" s="6" t="str">
        <f>IF(ISNA(INDEX(OfficialTeamList[Team Name],MATCH(RobotDesignDelib[[#This Row],[Team Number]], OfficialTeamList[Team Number],0))),"",INDEX(OfficialTeamList[Team Name],MATCH(RobotDesignDelib[[#This Row],[Team Number]], OfficialTeamList[Team Number],0)))</f>
        <v/>
      </c>
      <c r="I34" s="6" t="e">
        <f>IF(ISNA(INDEX(RobotDesignResults[Robot Design Rank],MATCH(RobotDesignDelib[[#This Row],[Team Number]],RobotDesignResults[Team Number],0))),NumberOfTeams+1,INDEX(RobotDesignResults[Robot Design Rank],MATCH(RobotDesignDelib[[#This Row],[Team Number]],RobotDesignResults[Team Number],0)))</f>
        <v>#REF!</v>
      </c>
      <c r="M34" s="6" t="str">
        <f>IF(ISNA(INDEX(OfficialTeamList[Team Name],MATCH(InnovationProjectDelib[[#This Row],[Team Number]], OfficialTeamList[Team Number],0))),"",INDEX(OfficialTeamList[Team Name],MATCH(InnovationProjectDelib[[#This Row],[Team Number]], OfficialTeamList[Team Number],0)))</f>
        <v/>
      </c>
      <c r="N3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t="e">
        <f>IF(ISNA(INDEX(CoreValuesResults[Core Values Rank],MATCH(CoreValuesDelib[[#This Row],[Team Number]],CoreValuesResults[Team Number],0))),NumberOfTeams+1,INDEX(CoreValuesResults[Core Values Rank],MATCH(CoreValuesDelib[[#This Row],[Team Number]],CoreValuesResults[Team Number],0)))</f>
        <v>#REF!</v>
      </c>
      <c r="H35" s="6" t="str">
        <f>IF(ISNA(INDEX(OfficialTeamList[Team Name],MATCH(RobotDesignDelib[[#This Row],[Team Number]], OfficialTeamList[Team Number],0))),"",INDEX(OfficialTeamList[Team Name],MATCH(RobotDesignDelib[[#This Row],[Team Number]], OfficialTeamList[Team Number],0)))</f>
        <v/>
      </c>
      <c r="I35" s="6" t="e">
        <f>IF(ISNA(INDEX(RobotDesignResults[Robot Design Rank],MATCH(RobotDesignDelib[[#This Row],[Team Number]],RobotDesignResults[Team Number],0))),NumberOfTeams+1,INDEX(RobotDesignResults[Robot Design Rank],MATCH(RobotDesignDelib[[#This Row],[Team Number]],RobotDesignResults[Team Number],0)))</f>
        <v>#REF!</v>
      </c>
      <c r="M35" s="6" t="str">
        <f>IF(ISNA(INDEX(OfficialTeamList[Team Name],MATCH(InnovationProjectDelib[[#This Row],[Team Number]], OfficialTeamList[Team Number],0))),"",INDEX(OfficialTeamList[Team Name],MATCH(InnovationProjectDelib[[#This Row],[Team Number]], OfficialTeamList[Team Number],0)))</f>
        <v/>
      </c>
      <c r="N3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t="e">
        <f>IF(ISNA(INDEX(CoreValuesResults[Core Values Rank],MATCH(CoreValuesDelib[[#This Row],[Team Number]],CoreValuesResults[Team Number],0))),NumberOfTeams+1,INDEX(CoreValuesResults[Core Values Rank],MATCH(CoreValuesDelib[[#This Row],[Team Number]],CoreValuesResults[Team Number],0)))</f>
        <v>#REF!</v>
      </c>
      <c r="H36" s="6" t="str">
        <f>IF(ISNA(INDEX(OfficialTeamList[Team Name],MATCH(RobotDesignDelib[[#This Row],[Team Number]], OfficialTeamList[Team Number],0))),"",INDEX(OfficialTeamList[Team Name],MATCH(RobotDesignDelib[[#This Row],[Team Number]], OfficialTeamList[Team Number],0)))</f>
        <v/>
      </c>
      <c r="I36" s="6" t="e">
        <f>IF(ISNA(INDEX(RobotDesignResults[Robot Design Rank],MATCH(RobotDesignDelib[[#This Row],[Team Number]],RobotDesignResults[Team Number],0))),NumberOfTeams+1,INDEX(RobotDesignResults[Robot Design Rank],MATCH(RobotDesignDelib[[#This Row],[Team Number]],RobotDesignResults[Team Number],0)))</f>
        <v>#REF!</v>
      </c>
      <c r="M36" s="6" t="str">
        <f>IF(ISNA(INDEX(OfficialTeamList[Team Name],MATCH(InnovationProjectDelib[[#This Row],[Team Number]], OfficialTeamList[Team Number],0))),"",INDEX(OfficialTeamList[Team Name],MATCH(InnovationProjectDelib[[#This Row],[Team Number]], OfficialTeamList[Team Number],0)))</f>
        <v/>
      </c>
      <c r="N3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6" t="s">
        <v>100</v>
      </c>
      <c r="G38" s="6" t="s">
        <v>101</v>
      </c>
      <c r="L38" s="6" t="s">
        <v>102</v>
      </c>
    </row>
    <row r="39" spans="2:15" ht="39.950000000000003" customHeight="1" x14ac:dyDescent="0.25">
      <c r="B39" s="13" t="s">
        <v>21</v>
      </c>
      <c r="C39" s="13" t="s">
        <v>22</v>
      </c>
      <c r="D39" s="14" t="s">
        <v>46</v>
      </c>
      <c r="E39" s="14" t="s">
        <v>96</v>
      </c>
      <c r="G39" s="13" t="s">
        <v>21</v>
      </c>
      <c r="H39" s="13" t="s">
        <v>22</v>
      </c>
      <c r="I39" s="14" t="s">
        <v>46</v>
      </c>
      <c r="J39" s="14" t="s">
        <v>96</v>
      </c>
      <c r="L39" s="13" t="s">
        <v>21</v>
      </c>
      <c r="M39" s="13" t="s">
        <v>22</v>
      </c>
      <c r="N39" s="14" t="s">
        <v>46</v>
      </c>
      <c r="O39" s="14" t="s">
        <v>96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t="e">
        <f>IF(ISNA(INDEX(TournamentData[Champion''s Rank],MATCH(BreakthroughDelib[[#This Row],[Team Number]],TournamentData[Team Number],0))),NumberOfTeams+1,INDEX(TournamentData[Champion''s Rank],MATCH(BreakthroughDelib[[#This Row],[Team Number]],TournamentData[Team Number],0)))</f>
        <v>#REF!</v>
      </c>
      <c r="H40" s="6" t="str">
        <f>IF(ISNA(INDEX(OfficialTeamList[Team Name],MATCH(RookiAllStarDelib[[#This Row],[Team Number]], OfficialTeamList[Team Number],0))),"",INDEX(OfficialTeamList[Team Name],MATCH(RookiAllStarDelib[[#This Row],[Team Number]], OfficialTeamList[Team Number],0)))</f>
        <v/>
      </c>
      <c r="I40" s="6" t="e">
        <f>IF(ISNA(INDEX(TournamentData[Champion''s Rank],MATCH(RookiAllStarDelib[[#This Row],[Team Number]],TournamentData[Team Number],0))),NumberOfTeams+1,INDEX(TournamentData[Champion''s Rank],MATCH(RookiAllStarDelib[[#This Row],[Team Number]],TournamentData[Team Number],0)))</f>
        <v>#REF!</v>
      </c>
      <c r="M40" s="6" t="str">
        <f>IF(ISNA(INDEX(OfficialTeamList[Team Name],MATCH(MotivateDelib[[#This Row],[Team Number]], OfficialTeamList[Team Number],0))),"",INDEX(OfficialTeamList[Team Name],MATCH(MotivateDelib[[#This Row],[Team Number]], OfficialTeamList[Team Number],0)))</f>
        <v/>
      </c>
      <c r="N40" s="6"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t="e">
        <f>IF(ISNA(INDEX(TournamentData[Champion''s Rank],MATCH(BreakthroughDelib[[#This Row],[Team Number]],TournamentData[Team Number],0))),NumberOfTeams+1,INDEX(TournamentData[Champion''s Rank],MATCH(BreakthroughDelib[[#This Row],[Team Number]],TournamentData[Team Number],0)))</f>
        <v>#REF!</v>
      </c>
      <c r="H41" s="6" t="str">
        <f>IF(ISNA(INDEX(OfficialTeamList[Team Name],MATCH(RookiAllStarDelib[[#This Row],[Team Number]], OfficialTeamList[Team Number],0))),"",INDEX(OfficialTeamList[Team Name],MATCH(RookiAllStarDelib[[#This Row],[Team Number]], OfficialTeamList[Team Number],0)))</f>
        <v/>
      </c>
      <c r="I41" s="6" t="e">
        <f>IF(ISNA(INDEX(TournamentData[Champion''s Rank],MATCH(RookiAllStarDelib[[#This Row],[Team Number]],TournamentData[Team Number],0))),NumberOfTeams+1,INDEX(TournamentData[Champion''s Rank],MATCH(RookiAllStarDelib[[#This Row],[Team Number]],TournamentData[Team Number],0)))</f>
        <v>#REF!</v>
      </c>
      <c r="M41" s="6" t="str">
        <f>IF(ISNA(INDEX(OfficialTeamList[Team Name],MATCH(MotivateDelib[[#This Row],[Team Number]], OfficialTeamList[Team Number],0))),"",INDEX(OfficialTeamList[Team Name],MATCH(MotivateDelib[[#This Row],[Team Number]], OfficialTeamList[Team Number],0)))</f>
        <v/>
      </c>
      <c r="N41" s="6"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t="e">
        <f>IF(ISNA(INDEX(TournamentData[Champion''s Rank],MATCH(BreakthroughDelib[[#This Row],[Team Number]],TournamentData[Team Number],0))),NumberOfTeams+1,INDEX(TournamentData[Champion''s Rank],MATCH(BreakthroughDelib[[#This Row],[Team Number]],TournamentData[Team Number],0)))</f>
        <v>#REF!</v>
      </c>
      <c r="H42" s="6" t="str">
        <f>IF(ISNA(INDEX(OfficialTeamList[Team Name],MATCH(RookiAllStarDelib[[#This Row],[Team Number]], OfficialTeamList[Team Number],0))),"",INDEX(OfficialTeamList[Team Name],MATCH(RookiAllStarDelib[[#This Row],[Team Number]], OfficialTeamList[Team Number],0)))</f>
        <v/>
      </c>
      <c r="I42" s="6" t="e">
        <f>IF(ISNA(INDEX(TournamentData[Champion''s Rank],MATCH(RookiAllStarDelib[[#This Row],[Team Number]],TournamentData[Team Number],0))),NumberOfTeams+1,INDEX(TournamentData[Champion''s Rank],MATCH(RookiAllStarDelib[[#This Row],[Team Number]],TournamentData[Team Number],0)))</f>
        <v>#REF!</v>
      </c>
      <c r="M42" s="6" t="str">
        <f>IF(ISNA(INDEX(OfficialTeamList[Team Name],MATCH(MotivateDelib[[#This Row],[Team Number]], OfficialTeamList[Team Number],0))),"",INDEX(OfficialTeamList[Team Name],MATCH(MotivateDelib[[#This Row],[Team Number]], OfficialTeamList[Team Number],0)))</f>
        <v/>
      </c>
      <c r="N42" s="6"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t="e">
        <f>IF(ISNA(INDEX(TournamentData[Champion''s Rank],MATCH(BreakthroughDelib[[#This Row],[Team Number]],TournamentData[Team Number],0))),NumberOfTeams+1,INDEX(TournamentData[Champion''s Rank],MATCH(BreakthroughDelib[[#This Row],[Team Number]],TournamentData[Team Number],0)))</f>
        <v>#REF!</v>
      </c>
      <c r="H43" s="6" t="str">
        <f>IF(ISNA(INDEX(OfficialTeamList[Team Name],MATCH(RookiAllStarDelib[[#This Row],[Team Number]], OfficialTeamList[Team Number],0))),"",INDEX(OfficialTeamList[Team Name],MATCH(RookiAllStarDelib[[#This Row],[Team Number]], OfficialTeamList[Team Number],0)))</f>
        <v/>
      </c>
      <c r="I43" s="6" t="e">
        <f>IF(ISNA(INDEX(TournamentData[Champion''s Rank],MATCH(RookiAllStarDelib[[#This Row],[Team Number]],TournamentData[Team Number],0))),NumberOfTeams+1,INDEX(TournamentData[Champion''s Rank],MATCH(RookiAllStarDelib[[#This Row],[Team Number]],TournamentData[Team Number],0)))</f>
        <v>#REF!</v>
      </c>
      <c r="M43" s="6" t="str">
        <f>IF(ISNA(INDEX(OfficialTeamList[Team Name],MATCH(MotivateDelib[[#This Row],[Team Number]], OfficialTeamList[Team Number],0))),"",INDEX(OfficialTeamList[Team Name],MATCH(MotivateDelib[[#This Row],[Team Number]], OfficialTeamList[Team Number],0)))</f>
        <v/>
      </c>
      <c r="N43" s="6"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t="e">
        <f>IF(ISNA(INDEX(TournamentData[Champion''s Rank],MATCH(BreakthroughDelib[[#This Row],[Team Number]],TournamentData[Team Number],0))),NumberOfTeams+1,INDEX(TournamentData[Champion''s Rank],MATCH(BreakthroughDelib[[#This Row],[Team Number]],TournamentData[Team Number],0)))</f>
        <v>#REF!</v>
      </c>
      <c r="H44" s="6" t="str">
        <f>IF(ISNA(INDEX(OfficialTeamList[Team Name],MATCH(RookiAllStarDelib[[#This Row],[Team Number]], OfficialTeamList[Team Number],0))),"",INDEX(OfficialTeamList[Team Name],MATCH(RookiAllStarDelib[[#This Row],[Team Number]], OfficialTeamList[Team Number],0)))</f>
        <v/>
      </c>
      <c r="I44" s="6" t="e">
        <f>IF(ISNA(INDEX(TournamentData[Champion''s Rank],MATCH(RookiAllStarDelib[[#This Row],[Team Number]],TournamentData[Team Number],0))),NumberOfTeams+1,INDEX(TournamentData[Champion''s Rank],MATCH(RookiAllStarDelib[[#This Row],[Team Number]],TournamentData[Team Number],0)))</f>
        <v>#REF!</v>
      </c>
      <c r="M44" s="6" t="str">
        <f>IF(ISNA(INDEX(OfficialTeamList[Team Name],MATCH(MotivateDelib[[#This Row],[Team Number]], OfficialTeamList[Team Number],0))),"",INDEX(OfficialTeamList[Team Name],MATCH(MotivateDelib[[#This Row],[Team Number]], OfficialTeamList[Team Number],0)))</f>
        <v/>
      </c>
      <c r="N44" s="6"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t="e">
        <f>IF(ISNA(INDEX(TournamentData[Champion''s Rank],MATCH(BreakthroughDelib[[#This Row],[Team Number]],TournamentData[Team Number],0))),NumberOfTeams+1,INDEX(TournamentData[Champion''s Rank],MATCH(BreakthroughDelib[[#This Row],[Team Number]],TournamentData[Team Number],0)))</f>
        <v>#REF!</v>
      </c>
      <c r="H45" s="6" t="str">
        <f>IF(ISNA(INDEX(OfficialTeamList[Team Name],MATCH(RookiAllStarDelib[[#This Row],[Team Number]], OfficialTeamList[Team Number],0))),"",INDEX(OfficialTeamList[Team Name],MATCH(RookiAllStarDelib[[#This Row],[Team Number]], OfficialTeamList[Team Number],0)))</f>
        <v/>
      </c>
      <c r="I45" s="6" t="e">
        <f>IF(ISNA(INDEX(TournamentData[Champion''s Rank],MATCH(RookiAllStarDelib[[#This Row],[Team Number]],TournamentData[Team Number],0))),NumberOfTeams+1,INDEX(TournamentData[Champion''s Rank],MATCH(RookiAllStarDelib[[#This Row],[Team Number]],TournamentData[Team Number],0)))</f>
        <v>#REF!</v>
      </c>
      <c r="M45" s="6" t="str">
        <f>IF(ISNA(INDEX(OfficialTeamList[Team Name],MATCH(MotivateDelib[[#This Row],[Team Number]], OfficialTeamList[Team Number],0))),"",INDEX(OfficialTeamList[Team Name],MATCH(MotivateDelib[[#This Row],[Team Number]], OfficialTeamList[Team Number],0)))</f>
        <v/>
      </c>
      <c r="N45" s="6"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t="e">
        <f>IF(ISNA(INDEX(TournamentData[Champion''s Rank],MATCH(BreakthroughDelib[[#This Row],[Team Number]],TournamentData[Team Number],0))),NumberOfTeams+1,INDEX(TournamentData[Champion''s Rank],MATCH(BreakthroughDelib[[#This Row],[Team Number]],TournamentData[Team Number],0)))</f>
        <v>#REF!</v>
      </c>
      <c r="H46" s="6" t="str">
        <f>IF(ISNA(INDEX(OfficialTeamList[Team Name],MATCH(RookiAllStarDelib[[#This Row],[Team Number]], OfficialTeamList[Team Number],0))),"",INDEX(OfficialTeamList[Team Name],MATCH(RookiAllStarDelib[[#This Row],[Team Number]], OfficialTeamList[Team Number],0)))</f>
        <v/>
      </c>
      <c r="I46" s="6" t="e">
        <f>IF(ISNA(INDEX(TournamentData[Champion''s Rank],MATCH(RookiAllStarDelib[[#This Row],[Team Number]],TournamentData[Team Number],0))),NumberOfTeams+1,INDEX(TournamentData[Champion''s Rank],MATCH(RookiAllStarDelib[[#This Row],[Team Number]],TournamentData[Team Number],0)))</f>
        <v>#REF!</v>
      </c>
      <c r="M46" s="6" t="str">
        <f>IF(ISNA(INDEX(OfficialTeamList[Team Name],MATCH(MotivateDelib[[#This Row],[Team Number]], OfficialTeamList[Team Number],0))),"",INDEX(OfficialTeamList[Team Name],MATCH(MotivateDelib[[#This Row],[Team Number]], OfficialTeamList[Team Number],0)))</f>
        <v/>
      </c>
      <c r="N46" s="6"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t="e">
        <f>IF(ISNA(INDEX(TournamentData[Champion''s Rank],MATCH(BreakthroughDelib[[#This Row],[Team Number]],TournamentData[Team Number],0))),NumberOfTeams+1,INDEX(TournamentData[Champion''s Rank],MATCH(BreakthroughDelib[[#This Row],[Team Number]],TournamentData[Team Number],0)))</f>
        <v>#REF!</v>
      </c>
      <c r="H47" s="6" t="str">
        <f>IF(ISNA(INDEX(OfficialTeamList[Team Name],MATCH(RookiAllStarDelib[[#This Row],[Team Number]], OfficialTeamList[Team Number],0))),"",INDEX(OfficialTeamList[Team Name],MATCH(RookiAllStarDelib[[#This Row],[Team Number]], OfficialTeamList[Team Number],0)))</f>
        <v/>
      </c>
      <c r="I47" s="6" t="e">
        <f>IF(ISNA(INDEX(TournamentData[Champion''s Rank],MATCH(RookiAllStarDelib[[#This Row],[Team Number]],TournamentData[Team Number],0))),NumberOfTeams+1,INDEX(TournamentData[Champion''s Rank],MATCH(RookiAllStarDelib[[#This Row],[Team Number]],TournamentData[Team Number],0)))</f>
        <v>#REF!</v>
      </c>
      <c r="M47" s="6" t="str">
        <f>IF(ISNA(INDEX(OfficialTeamList[Team Name],MATCH(MotivateDelib[[#This Row],[Team Number]], OfficialTeamList[Team Number],0))),"",INDEX(OfficialTeamList[Team Name],MATCH(MotivateDelib[[#This Row],[Team Number]], OfficialTeamList[Team Number],0)))</f>
        <v/>
      </c>
      <c r="N47" s="6"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t="e">
        <f>IF(ISNA(INDEX(TournamentData[Champion''s Rank],MATCH(BreakthroughDelib[[#This Row],[Team Number]],TournamentData[Team Number],0))),NumberOfTeams+1,INDEX(TournamentData[Champion''s Rank],MATCH(BreakthroughDelib[[#This Row],[Team Number]],TournamentData[Team Number],0)))</f>
        <v>#REF!</v>
      </c>
      <c r="H48" s="6" t="str">
        <f>IF(ISNA(INDEX(OfficialTeamList[Team Name],MATCH(RookiAllStarDelib[[#This Row],[Team Number]], OfficialTeamList[Team Number],0))),"",INDEX(OfficialTeamList[Team Name],MATCH(RookiAllStarDelib[[#This Row],[Team Number]], OfficialTeamList[Team Number],0)))</f>
        <v/>
      </c>
      <c r="I48" s="6" t="e">
        <f>IF(ISNA(INDEX(TournamentData[Champion''s Rank],MATCH(RookiAllStarDelib[[#This Row],[Team Number]],TournamentData[Team Number],0))),NumberOfTeams+1,INDEX(TournamentData[Champion''s Rank],MATCH(RookiAllStarDelib[[#This Row],[Team Number]],TournamentData[Team Number],0)))</f>
        <v>#REF!</v>
      </c>
      <c r="M48" s="6" t="str">
        <f>IF(ISNA(INDEX(OfficialTeamList[Team Name],MATCH(MotivateDelib[[#This Row],[Team Number]], OfficialTeamList[Team Number],0))),"",INDEX(OfficialTeamList[Team Name],MATCH(MotivateDelib[[#This Row],[Team Number]], OfficialTeamList[Team Number],0)))</f>
        <v/>
      </c>
      <c r="N48" s="6"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t="e">
        <f>IF(ISNA(INDEX(TournamentData[Champion''s Rank],MATCH(BreakthroughDelib[[#This Row],[Team Number]],TournamentData[Team Number],0))),NumberOfTeams+1,INDEX(TournamentData[Champion''s Rank],MATCH(BreakthroughDelib[[#This Row],[Team Number]],TournamentData[Team Number],0)))</f>
        <v>#REF!</v>
      </c>
      <c r="H49" s="6" t="str">
        <f>IF(ISNA(INDEX(OfficialTeamList[Team Name],MATCH(RookiAllStarDelib[[#This Row],[Team Number]], OfficialTeamList[Team Number],0))),"",INDEX(OfficialTeamList[Team Name],MATCH(RookiAllStarDelib[[#This Row],[Team Number]], OfficialTeamList[Team Number],0)))</f>
        <v/>
      </c>
      <c r="I49" s="6" t="e">
        <f>IF(ISNA(INDEX(TournamentData[Champion''s Rank],MATCH(RookiAllStarDelib[[#This Row],[Team Number]],TournamentData[Team Number],0))),NumberOfTeams+1,INDEX(TournamentData[Champion''s Rank],MATCH(RookiAllStarDelib[[#This Row],[Team Number]],TournamentData[Team Number],0)))</f>
        <v>#REF!</v>
      </c>
      <c r="M49" s="6" t="str">
        <f>IF(ISNA(INDEX(OfficialTeamList[Team Name],MATCH(MotivateDelib[[#This Row],[Team Number]], OfficialTeamList[Team Number],0))),"",INDEX(OfficialTeamList[Team Name],MATCH(MotivateDelib[[#This Row],[Team Number]], OfficialTeamList[Team Number],0)))</f>
        <v/>
      </c>
      <c r="N49" s="6"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t="e">
        <f>IF(ISNA(INDEX(TournamentData[Champion''s Rank],MATCH(BreakthroughDelib[[#This Row],[Team Number]],TournamentData[Team Number],0))),NumberOfTeams+1,INDEX(TournamentData[Champion''s Rank],MATCH(BreakthroughDelib[[#This Row],[Team Number]],TournamentData[Team Number],0)))</f>
        <v>#REF!</v>
      </c>
      <c r="H50" s="6" t="str">
        <f>IF(ISNA(INDEX(OfficialTeamList[Team Name],MATCH(RookiAllStarDelib[[#This Row],[Team Number]], OfficialTeamList[Team Number],0))),"",INDEX(OfficialTeamList[Team Name],MATCH(RookiAllStarDelib[[#This Row],[Team Number]], OfficialTeamList[Team Number],0)))</f>
        <v/>
      </c>
      <c r="I50" s="6" t="e">
        <f>IF(ISNA(INDEX(TournamentData[Champion''s Rank],MATCH(RookiAllStarDelib[[#This Row],[Team Number]],TournamentData[Team Number],0))),NumberOfTeams+1,INDEX(TournamentData[Champion''s Rank],MATCH(RookiAllStarDelib[[#This Row],[Team Number]],TournamentData[Team Number],0)))</f>
        <v>#REF!</v>
      </c>
      <c r="M50" s="6" t="str">
        <f>IF(ISNA(INDEX(OfficialTeamList[Team Name],MATCH(MotivateDelib[[#This Row],[Team Number]], OfficialTeamList[Team Number],0))),"",INDEX(OfficialTeamList[Team Name],MATCH(MotivateDelib[[#This Row],[Team Number]], OfficialTeamList[Team Number],0)))</f>
        <v/>
      </c>
      <c r="N50" s="6"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t="e">
        <f>IF(ISNA(INDEX(TournamentData[Champion''s Rank],MATCH(BreakthroughDelib[[#This Row],[Team Number]],TournamentData[Team Number],0))),NumberOfTeams+1,INDEX(TournamentData[Champion''s Rank],MATCH(BreakthroughDelib[[#This Row],[Team Number]],TournamentData[Team Number],0)))</f>
        <v>#REF!</v>
      </c>
      <c r="H51" s="6" t="str">
        <f>IF(ISNA(INDEX(OfficialTeamList[Team Name],MATCH(RookiAllStarDelib[[#This Row],[Team Number]], OfficialTeamList[Team Number],0))),"",INDEX(OfficialTeamList[Team Name],MATCH(RookiAllStarDelib[[#This Row],[Team Number]], OfficialTeamList[Team Number],0)))</f>
        <v/>
      </c>
      <c r="I51" s="6" t="e">
        <f>IF(ISNA(INDEX(TournamentData[Champion''s Rank],MATCH(RookiAllStarDelib[[#This Row],[Team Number]],TournamentData[Team Number],0))),NumberOfTeams+1,INDEX(TournamentData[Champion''s Rank],MATCH(RookiAllStarDelib[[#This Row],[Team Number]],TournamentData[Team Number],0)))</f>
        <v>#REF!</v>
      </c>
      <c r="M51" s="6" t="str">
        <f>IF(ISNA(INDEX(OfficialTeamList[Team Name],MATCH(MotivateDelib[[#This Row],[Team Number]], OfficialTeamList[Team Number],0))),"",INDEX(OfficialTeamList[Team Name],MATCH(MotivateDelib[[#This Row],[Team Number]], OfficialTeamList[Team Number],0)))</f>
        <v/>
      </c>
      <c r="N51" s="6"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t="e">
        <f>IF(ISNA(INDEX(TournamentData[Champion''s Rank],MATCH(BreakthroughDelib[[#This Row],[Team Number]],TournamentData[Team Number],0))),NumberOfTeams+1,INDEX(TournamentData[Champion''s Rank],MATCH(BreakthroughDelib[[#This Row],[Team Number]],TournamentData[Team Number],0)))</f>
        <v>#REF!</v>
      </c>
      <c r="H52" s="6" t="str">
        <f>IF(ISNA(INDEX(OfficialTeamList[Team Name],MATCH(RookiAllStarDelib[[#This Row],[Team Number]], OfficialTeamList[Team Number],0))),"",INDEX(OfficialTeamList[Team Name],MATCH(RookiAllStarDelib[[#This Row],[Team Number]], OfficialTeamList[Team Number],0)))</f>
        <v/>
      </c>
      <c r="I52" s="6" t="e">
        <f>IF(ISNA(INDEX(TournamentData[Champion''s Rank],MATCH(RookiAllStarDelib[[#This Row],[Team Number]],TournamentData[Team Number],0))),NumberOfTeams+1,INDEX(TournamentData[Champion''s Rank],MATCH(RookiAllStarDelib[[#This Row],[Team Number]],TournamentData[Team Number],0)))</f>
        <v>#REF!</v>
      </c>
      <c r="M52" s="6" t="str">
        <f>IF(ISNA(INDEX(OfficialTeamList[Team Name],MATCH(MotivateDelib[[#This Row],[Team Number]], OfficialTeamList[Team Number],0))),"",INDEX(OfficialTeamList[Team Name],MATCH(MotivateDelib[[#This Row],[Team Number]], OfficialTeamList[Team Number],0)))</f>
        <v/>
      </c>
      <c r="N52" s="6"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t="e">
        <f>IF(ISNA(INDEX(TournamentData[Champion''s Rank],MATCH(BreakthroughDelib[[#This Row],[Team Number]],TournamentData[Team Number],0))),NumberOfTeams+1,INDEX(TournamentData[Champion''s Rank],MATCH(BreakthroughDelib[[#This Row],[Team Number]],TournamentData[Team Number],0)))</f>
        <v>#REF!</v>
      </c>
      <c r="H53" s="6" t="str">
        <f>IF(ISNA(INDEX(OfficialTeamList[Team Name],MATCH(RookiAllStarDelib[[#This Row],[Team Number]], OfficialTeamList[Team Number],0))),"",INDEX(OfficialTeamList[Team Name],MATCH(RookiAllStarDelib[[#This Row],[Team Number]], OfficialTeamList[Team Number],0)))</f>
        <v/>
      </c>
      <c r="I53" s="6" t="e">
        <f>IF(ISNA(INDEX(TournamentData[Champion''s Rank],MATCH(RookiAllStarDelib[[#This Row],[Team Number]],TournamentData[Team Number],0))),NumberOfTeams+1,INDEX(TournamentData[Champion''s Rank],MATCH(RookiAllStarDelib[[#This Row],[Team Number]],TournamentData[Team Number],0)))</f>
        <v>#REF!</v>
      </c>
      <c r="M53" s="6" t="str">
        <f>IF(ISNA(INDEX(OfficialTeamList[Team Name],MATCH(MotivateDelib[[#This Row],[Team Number]], OfficialTeamList[Team Number],0))),"",INDEX(OfficialTeamList[Team Name],MATCH(MotivateDelib[[#This Row],[Team Number]], OfficialTeamList[Team Number],0)))</f>
        <v/>
      </c>
      <c r="N53" s="6"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t="e">
        <f>IF(ISNA(INDEX(TournamentData[Champion''s Rank],MATCH(BreakthroughDelib[[#This Row],[Team Number]],TournamentData[Team Number],0))),NumberOfTeams+1,INDEX(TournamentData[Champion''s Rank],MATCH(BreakthroughDelib[[#This Row],[Team Number]],TournamentData[Team Number],0)))</f>
        <v>#REF!</v>
      </c>
      <c r="H54" s="6" t="str">
        <f>IF(ISNA(INDEX(OfficialTeamList[Team Name],MATCH(RookiAllStarDelib[[#This Row],[Team Number]], OfficialTeamList[Team Number],0))),"",INDEX(OfficialTeamList[Team Name],MATCH(RookiAllStarDelib[[#This Row],[Team Number]], OfficialTeamList[Team Number],0)))</f>
        <v/>
      </c>
      <c r="I54" s="6" t="e">
        <f>IF(ISNA(INDEX(TournamentData[Champion''s Rank],MATCH(RookiAllStarDelib[[#This Row],[Team Number]],TournamentData[Team Number],0))),NumberOfTeams+1,INDEX(TournamentData[Champion''s Rank],MATCH(RookiAllStarDelib[[#This Row],[Team Number]],TournamentData[Team Number],0)))</f>
        <v>#REF!</v>
      </c>
      <c r="M54" s="6" t="str">
        <f>IF(ISNA(INDEX(OfficialTeamList[Team Name],MATCH(MotivateDelib[[#This Row],[Team Number]], OfficialTeamList[Team Number],0))),"",INDEX(OfficialTeamList[Team Name],MATCH(MotivateDelib[[#This Row],[Team Number]], OfficialTeamList[Team Number],0)))</f>
        <v/>
      </c>
      <c r="N54" s="6" t="e">
        <f>IF(ISNA(INDEX(TournamentData[Champion''s Rank],MATCH(MotivateDelib[[#This Row],[Team Number]],TournamentData[Team Number],0))),NumberOfTeams+1,INDEX(TournamentData[Champion''s Rank],MATCH(MotivateDelib[[#This Row],[Team Number]],TournamentData[Team Number],0)))</f>
        <v>#REF!</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2c0cb9a3-7624-4113-a29a-0269933c9023.png"/><Relationship Id="unlock" Type="http://schemas.openxmlformats.org/officeDocument/2006/relationships/image" Target="images/9429ba58-550e-497d-b526-9292f73901a0.png"/><Relationship Id="dice" Type="http://schemas.openxmlformats.org/officeDocument/2006/relationships/image" Target="images/4d963131-2177-405e-a53d-efc0314bf56e.png"/><Relationship Id="team" Type="http://schemas.openxmlformats.org/officeDocument/2006/relationships/image" Target="images/d6abfe42-b1b3-4a77-8c31-d84353c62f92.png"/><Relationship Id="lock" Type="http://schemas.openxmlformats.org/officeDocument/2006/relationships/image" Target="images/23640c22-5e6d-42b6-9fa3-89a149a0e5e2.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button id="btnRandomScores" label="Enter Random Scores" image="dice" onAction="cbRandomize"/>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Team and Program Information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2025-01-01T00:34:54Z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