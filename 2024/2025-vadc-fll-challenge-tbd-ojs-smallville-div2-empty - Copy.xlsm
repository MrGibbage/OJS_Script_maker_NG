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Github-Projects\OJS_Script_maker_NG\"/>
    </mc:Choice>
  </mc:AlternateContent>
  <xr:revisionPtr revIDLastSave="0" documentId="13_ncr:1_{FC93E76E-057B-4E52-95DD-DC96F91BB2EB}" xr6:coauthVersionLast="47" xr6:coauthVersionMax="47" xr10:uidLastSave="{00000000-0000-0000-0000-000000000000}"/>
  <bookViews>
    <workbookView xWindow="-120" yWindow="-120" windowWidth="38640" windowHeight="21120" tabRatio="879" activeTab="8" xr2:uid="{00000000-000D-0000-FFFF-FFFF00000000}"/>
  </bookViews>
  <sheets>
    <sheet name="Instructions" sheetId="1" r:id="rId1"/>
    <sheet name="Team and Program Information" sheetId="2" r:id="rId2"/>
    <sheet name="Meta" sheetId="3" r:id="rId3"/>
    <sheet name="AwardList" sheetId="11" r:id="rId4"/>
    <sheet name="Results and Rankings" sheetId="4" r:id="rId5"/>
    <sheet name="Robot Game Scores" sheetId="5" r:id="rId6"/>
    <sheet name="Innovation Project Input" sheetId="6" r:id="rId7"/>
    <sheet name="Robot Design Input" sheetId="7" r:id="rId8"/>
    <sheet name="Core Values Input" sheetId="8" r:id="rId9"/>
    <sheet name="GP Scores" sheetId="9" state="hidden" r:id="rId10"/>
    <sheet name="Area Deliberations" sheetId="10" state="hidden" r:id="rId11"/>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Information'!$A$11</definedName>
    <definedName name="DynamicTeams">OFFSET('Results and Rankings'!#REF!,0,0,COUNTA('Results and Rankings'!$A$3:$A$1048576),16)</definedName>
    <definedName name="GPScores">'GP Scores'!$A:$C</definedName>
    <definedName name="NumberofTeamAdvancing">'Team and Program Information'!$A$8</definedName>
    <definedName name="NumberOfTeams">'Team and Program Information'!$A$5</definedName>
    <definedName name="NumberofTeamsAdvancing">'Team and Program Information'!$A$8</definedName>
    <definedName name="_xlnm.Print_Titles" localSheetId="4">'Results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4" l="1"/>
  <c r="D10" i="4"/>
  <c r="E4" i="4"/>
  <c r="D4" i="4"/>
  <c r="F6" i="5"/>
  <c r="F7" i="5"/>
  <c r="C11" i="4"/>
  <c r="F11" i="5"/>
  <c r="F8" i="5"/>
  <c r="F14" i="5"/>
  <c r="G5" i="4"/>
  <c r="G4" i="4"/>
  <c r="F5" i="4"/>
  <c r="F4" i="4"/>
  <c r="E7" i="4"/>
  <c r="E6" i="4"/>
  <c r="D5" i="4"/>
  <c r="P2" i="8"/>
  <c r="P3" i="8"/>
  <c r="P4" i="8"/>
  <c r="P5" i="8"/>
  <c r="P6" i="8"/>
  <c r="P7" i="8"/>
  <c r="P8" i="8"/>
  <c r="P9" i="8"/>
  <c r="P10" i="8"/>
  <c r="P11" i="8"/>
  <c r="P12" i="8"/>
  <c r="P13" i="8"/>
  <c r="P14" i="8"/>
  <c r="B14" i="8"/>
  <c r="C14" i="8"/>
  <c r="D14" i="8"/>
  <c r="E14" i="8"/>
  <c r="F14" i="8"/>
  <c r="G14" i="8"/>
  <c r="H14" i="8"/>
  <c r="I14" i="8"/>
  <c r="J14" i="8"/>
  <c r="K14" i="8"/>
  <c r="L14" i="8"/>
  <c r="B14" i="7"/>
  <c r="M14" i="7"/>
  <c r="B14" i="6"/>
  <c r="M14" i="6"/>
  <c r="B14" i="5"/>
  <c r="B15" i="4"/>
  <c r="D15" i="4"/>
  <c r="E15" i="4"/>
  <c r="F15" i="4"/>
  <c r="G15" i="4"/>
  <c r="B4" i="8"/>
  <c r="C4" i="8"/>
  <c r="D4" i="8"/>
  <c r="E4" i="8"/>
  <c r="F4" i="8"/>
  <c r="G4" i="8"/>
  <c r="H4" i="8"/>
  <c r="I4" i="8"/>
  <c r="J4" i="8"/>
  <c r="K4" i="8"/>
  <c r="L4" i="8"/>
  <c r="B4" i="7"/>
  <c r="M4" i="7"/>
  <c r="B4" i="6"/>
  <c r="M4" i="6"/>
  <c r="B4" i="5"/>
  <c r="B5" i="4"/>
  <c r="C5" i="4"/>
  <c r="E5" i="4"/>
  <c r="B5" i="3"/>
  <c r="B6" i="8"/>
  <c r="C6" i="8"/>
  <c r="D6" i="8"/>
  <c r="E6" i="8"/>
  <c r="F6" i="8"/>
  <c r="G6" i="8"/>
  <c r="H6" i="8"/>
  <c r="I6" i="8"/>
  <c r="J6" i="8"/>
  <c r="K6" i="8"/>
  <c r="L6" i="8"/>
  <c r="B6" i="7"/>
  <c r="M6" i="7"/>
  <c r="B6" i="6"/>
  <c r="M6" i="6"/>
  <c r="B6" i="5"/>
  <c r="B7" i="4"/>
  <c r="C7" i="4"/>
  <c r="D7" i="4"/>
  <c r="F7" i="4"/>
  <c r="G7" i="4"/>
  <c r="B5" i="8"/>
  <c r="C5" i="8"/>
  <c r="D5" i="8"/>
  <c r="E5" i="8"/>
  <c r="F5" i="8"/>
  <c r="G5" i="8"/>
  <c r="H5" i="8"/>
  <c r="I5" i="8"/>
  <c r="J5" i="8"/>
  <c r="K5" i="8"/>
  <c r="L5" i="8"/>
  <c r="B5" i="7"/>
  <c r="M5" i="7"/>
  <c r="B5" i="6"/>
  <c r="M5" i="6"/>
  <c r="B5" i="5"/>
  <c r="B6" i="4"/>
  <c r="C6" i="4"/>
  <c r="F6" i="4"/>
  <c r="G6" i="4"/>
  <c r="B2" i="8"/>
  <c r="B3" i="8"/>
  <c r="B7" i="8"/>
  <c r="B8" i="8"/>
  <c r="B9" i="8"/>
  <c r="B10" i="8"/>
  <c r="B11" i="8"/>
  <c r="B12" i="8"/>
  <c r="B13" i="8"/>
  <c r="B2" i="7"/>
  <c r="B3" i="7"/>
  <c r="B7" i="7"/>
  <c r="B8" i="7"/>
  <c r="B9" i="7"/>
  <c r="B10" i="7"/>
  <c r="B11" i="7"/>
  <c r="B12" i="7"/>
  <c r="B13" i="7"/>
  <c r="B2" i="6"/>
  <c r="B3" i="6"/>
  <c r="B7" i="6"/>
  <c r="B8" i="6"/>
  <c r="B9" i="6"/>
  <c r="B10" i="6"/>
  <c r="B11" i="6"/>
  <c r="B12" i="6"/>
  <c r="B13" i="6"/>
  <c r="B3" i="4"/>
  <c r="B4" i="4"/>
  <c r="B8" i="4"/>
  <c r="B9" i="4"/>
  <c r="B10" i="4"/>
  <c r="B11" i="4"/>
  <c r="B12" i="4"/>
  <c r="B13" i="4"/>
  <c r="B14"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L13" i="8"/>
  <c r="K13" i="8"/>
  <c r="J13" i="8"/>
  <c r="I13" i="8"/>
  <c r="H13" i="8"/>
  <c r="G13" i="8"/>
  <c r="F13" i="8"/>
  <c r="E13" i="8"/>
  <c r="D13" i="8"/>
  <c r="C13" i="8"/>
  <c r="L8" i="8"/>
  <c r="K8" i="8"/>
  <c r="J8" i="8"/>
  <c r="I8" i="8"/>
  <c r="H8" i="8"/>
  <c r="G8" i="8"/>
  <c r="F8" i="8"/>
  <c r="E8" i="8"/>
  <c r="D8" i="8"/>
  <c r="C8" i="8"/>
  <c r="L7" i="8"/>
  <c r="K7" i="8"/>
  <c r="J7" i="8"/>
  <c r="I7" i="8"/>
  <c r="H7" i="8"/>
  <c r="G7" i="8"/>
  <c r="F7" i="8"/>
  <c r="E7" i="8"/>
  <c r="D7" i="8"/>
  <c r="C7" i="8"/>
  <c r="L10" i="8"/>
  <c r="K10" i="8"/>
  <c r="J10" i="8"/>
  <c r="I10" i="8"/>
  <c r="H10" i="8"/>
  <c r="G10" i="8"/>
  <c r="F10" i="8"/>
  <c r="E10" i="8"/>
  <c r="D10" i="8"/>
  <c r="C10" i="8"/>
  <c r="L12" i="8"/>
  <c r="K12" i="8"/>
  <c r="J12" i="8"/>
  <c r="I12" i="8"/>
  <c r="H12" i="8"/>
  <c r="G12" i="8"/>
  <c r="F12" i="8"/>
  <c r="E12" i="8"/>
  <c r="D12" i="8"/>
  <c r="C12" i="8"/>
  <c r="L9" i="8"/>
  <c r="K9" i="8"/>
  <c r="J9" i="8"/>
  <c r="I9" i="8"/>
  <c r="H9" i="8"/>
  <c r="G9" i="8"/>
  <c r="F9" i="8"/>
  <c r="E9" i="8"/>
  <c r="D9" i="8"/>
  <c r="C9" i="8"/>
  <c r="L3" i="8"/>
  <c r="K3" i="8"/>
  <c r="J3" i="8"/>
  <c r="I3" i="8"/>
  <c r="H3" i="8"/>
  <c r="G3" i="8"/>
  <c r="F3" i="8"/>
  <c r="E3" i="8"/>
  <c r="D3" i="8"/>
  <c r="C3" i="8"/>
  <c r="L2" i="8"/>
  <c r="K2" i="8"/>
  <c r="J2" i="8"/>
  <c r="I2" i="8"/>
  <c r="H2" i="8"/>
  <c r="G2" i="8"/>
  <c r="F2" i="8"/>
  <c r="E2" i="8"/>
  <c r="D2" i="8"/>
  <c r="C2" i="8"/>
  <c r="L11" i="8"/>
  <c r="K11" i="8"/>
  <c r="J11" i="8"/>
  <c r="I11" i="8"/>
  <c r="H11" i="8"/>
  <c r="G11" i="8"/>
  <c r="F11" i="8"/>
  <c r="E11" i="8"/>
  <c r="D11" i="8"/>
  <c r="C11" i="8"/>
  <c r="M13" i="7"/>
  <c r="S15" i="4" s="1"/>
  <c r="M12" i="7"/>
  <c r="M11" i="7"/>
  <c r="M10" i="7"/>
  <c r="M9" i="7"/>
  <c r="M8" i="7"/>
  <c r="M7" i="7"/>
  <c r="M3" i="7"/>
  <c r="M2" i="7"/>
  <c r="S3" i="4" s="1"/>
  <c r="M13" i="6"/>
  <c r="M12" i="6"/>
  <c r="M11" i="6"/>
  <c r="M10" i="6"/>
  <c r="M9" i="6"/>
  <c r="M8" i="6"/>
  <c r="M7" i="6"/>
  <c r="M3" i="6"/>
  <c r="M2" i="6"/>
  <c r="B13" i="5"/>
  <c r="B12" i="5"/>
  <c r="B11" i="5"/>
  <c r="B10" i="5"/>
  <c r="B9" i="5"/>
  <c r="B8" i="5"/>
  <c r="B7" i="5"/>
  <c r="B3" i="5"/>
  <c r="F2" i="5"/>
  <c r="B2" i="5"/>
  <c r="G14" i="4"/>
  <c r="F14" i="4"/>
  <c r="E14" i="4"/>
  <c r="D14" i="4"/>
  <c r="G11" i="4"/>
  <c r="F11" i="4"/>
  <c r="E11" i="4"/>
  <c r="D11" i="4"/>
  <c r="G10" i="4"/>
  <c r="F10" i="4"/>
  <c r="G12" i="4"/>
  <c r="F12" i="4"/>
  <c r="E12" i="4"/>
  <c r="D12" i="4"/>
  <c r="G13" i="4"/>
  <c r="F13" i="4"/>
  <c r="E13" i="4"/>
  <c r="D13" i="4"/>
  <c r="G8" i="4"/>
  <c r="F8" i="4"/>
  <c r="E8" i="4"/>
  <c r="C8" i="4"/>
  <c r="C4" i="4"/>
  <c r="G3" i="4"/>
  <c r="F3" i="4"/>
  <c r="E3" i="4"/>
  <c r="D3" i="4"/>
  <c r="C3" i="4"/>
  <c r="G9" i="4"/>
  <c r="F9" i="4"/>
  <c r="E9" i="4"/>
  <c r="D9" i="4"/>
  <c r="N54" i="10"/>
  <c r="R15" i="4" l="1"/>
  <c r="R14" i="8"/>
  <c r="N14" i="6"/>
  <c r="K15" i="4" s="1"/>
  <c r="H7" i="4"/>
  <c r="H4" i="4"/>
  <c r="H3" i="4"/>
  <c r="H5" i="4"/>
  <c r="H11" i="4"/>
  <c r="C15" i="4"/>
  <c r="H15" i="4" s="1"/>
  <c r="F9" i="5"/>
  <c r="F12" i="5"/>
  <c r="D8" i="4"/>
  <c r="H8" i="4" s="1"/>
  <c r="C9" i="4"/>
  <c r="H9" i="4" s="1"/>
  <c r="C10" i="4"/>
  <c r="H10" i="4" s="1"/>
  <c r="F5" i="5"/>
  <c r="D6" i="4"/>
  <c r="H6" i="4" s="1"/>
  <c r="F4" i="5"/>
  <c r="C12" i="4"/>
  <c r="H12" i="4" s="1"/>
  <c r="F3" i="5"/>
  <c r="F13" i="5"/>
  <c r="C13" i="4"/>
  <c r="H13" i="4" s="1"/>
  <c r="F10" i="5"/>
  <c r="C14" i="4"/>
  <c r="H14" i="4" s="1"/>
  <c r="N14" i="7"/>
  <c r="L15" i="4" s="1"/>
  <c r="R14" i="4"/>
  <c r="R9" i="4"/>
  <c r="S7" i="4"/>
  <c r="S13" i="4"/>
  <c r="S5" i="4"/>
  <c r="R7" i="4"/>
  <c r="R4" i="8"/>
  <c r="N4" i="6"/>
  <c r="K5" i="4" s="1"/>
  <c r="R5" i="4"/>
  <c r="N4" i="7"/>
  <c r="L5" i="4" s="1"/>
  <c r="R6" i="8"/>
  <c r="N6" i="6"/>
  <c r="K7" i="4" s="1"/>
  <c r="N6" i="7"/>
  <c r="L7" i="4" s="1"/>
  <c r="N5" i="6"/>
  <c r="K6" i="4" s="1"/>
  <c r="N5" i="7"/>
  <c r="L6" i="4" s="1"/>
  <c r="R5" i="8"/>
  <c r="S14" i="4"/>
  <c r="S6" i="4"/>
  <c r="R6" i="4"/>
  <c r="R13" i="8"/>
  <c r="Q15" i="4" s="1"/>
  <c r="S8" i="4"/>
  <c r="R4" i="4"/>
  <c r="S9" i="4"/>
  <c r="S12" i="4"/>
  <c r="R12" i="8"/>
  <c r="R11" i="4"/>
  <c r="R12" i="4"/>
  <c r="R10" i="4"/>
  <c r="S11" i="4"/>
  <c r="R8" i="4"/>
  <c r="N10" i="7"/>
  <c r="R11" i="8"/>
  <c r="N10" i="6"/>
  <c r="K11" i="4" s="1"/>
  <c r="R2" i="8"/>
  <c r="R3" i="8"/>
  <c r="N7" i="6"/>
  <c r="K8" i="4" s="1"/>
  <c r="N8" i="6"/>
  <c r="N11" i="7"/>
  <c r="N3" i="7"/>
  <c r="L4" i="4" s="1"/>
  <c r="N2" i="6"/>
  <c r="K3" i="4" s="1"/>
  <c r="N9" i="6"/>
  <c r="N7" i="7"/>
  <c r="L8" i="4" s="1"/>
  <c r="R9" i="8"/>
  <c r="R10" i="8"/>
  <c r="R7" i="8"/>
  <c r="R8" i="8"/>
  <c r="N8" i="7"/>
  <c r="L9" i="4" s="1"/>
  <c r="S10" i="4"/>
  <c r="N12" i="7"/>
  <c r="L13" i="4" s="1"/>
  <c r="R13" i="4"/>
  <c r="N3" i="6"/>
  <c r="K4" i="4" s="1"/>
  <c r="N12" i="6"/>
  <c r="D4" i="10"/>
  <c r="D7" i="10"/>
  <c r="D10" i="10"/>
  <c r="D13" i="10"/>
  <c r="D16" i="10"/>
  <c r="D22" i="10"/>
  <c r="D24" i="10"/>
  <c r="D26" i="10"/>
  <c r="D28" i="10"/>
  <c r="D30" i="10"/>
  <c r="D32" i="10"/>
  <c r="D34" i="10"/>
  <c r="D36" i="10"/>
  <c r="D41" i="10"/>
  <c r="D43" i="10"/>
  <c r="D45" i="10"/>
  <c r="D47" i="10"/>
  <c r="D49" i="10"/>
  <c r="D51" i="10"/>
  <c r="D53" i="10"/>
  <c r="N2" i="7"/>
  <c r="L3" i="4" s="1"/>
  <c r="N9" i="7"/>
  <c r="L10" i="4" s="1"/>
  <c r="N13" i="7"/>
  <c r="L14" i="4" s="1"/>
  <c r="I4" i="10"/>
  <c r="I7" i="10"/>
  <c r="I10" i="10"/>
  <c r="I13" i="10"/>
  <c r="I16" i="10"/>
  <c r="I22" i="10"/>
  <c r="I24" i="10"/>
  <c r="I26" i="10"/>
  <c r="I28" i="10"/>
  <c r="I30" i="10"/>
  <c r="I32" i="10"/>
  <c r="I34" i="10"/>
  <c r="I36" i="10"/>
  <c r="I41" i="10"/>
  <c r="I43" i="10"/>
  <c r="I45" i="10"/>
  <c r="I47" i="10"/>
  <c r="I49" i="10"/>
  <c r="I51" i="10"/>
  <c r="I53" i="10"/>
  <c r="S4" i="4"/>
  <c r="R3" i="4"/>
  <c r="N13" i="6"/>
  <c r="K14" i="4" s="1"/>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N11" i="6"/>
  <c r="K12" i="4" s="1"/>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L11" i="4" l="1"/>
  <c r="L12" i="4"/>
  <c r="K10" i="4"/>
  <c r="K13" i="4"/>
  <c r="K9" i="4"/>
  <c r="I10" i="4"/>
  <c r="I14" i="4"/>
  <c r="I3" i="4"/>
  <c r="I13" i="4"/>
  <c r="I12" i="4"/>
  <c r="I8" i="4"/>
  <c r="I4" i="4"/>
  <c r="I6" i="4"/>
  <c r="I7" i="4"/>
  <c r="I15" i="4"/>
  <c r="I11" i="4"/>
  <c r="I9" i="4"/>
  <c r="I5" i="4"/>
  <c r="S14" i="8"/>
  <c r="J15" i="4" s="1"/>
  <c r="T15" i="4"/>
  <c r="U15" i="4" s="1"/>
  <c r="Q5" i="4"/>
  <c r="T5" i="4" s="1"/>
  <c r="U5" i="4" s="1"/>
  <c r="Q7" i="4"/>
  <c r="T7" i="4" s="1"/>
  <c r="U7" i="4" s="1"/>
  <c r="S4" i="8"/>
  <c r="J5" i="4" s="1"/>
  <c r="S6" i="8"/>
  <c r="J7" i="4" s="1"/>
  <c r="S5" i="8"/>
  <c r="J6" i="4" s="1"/>
  <c r="Q14" i="4"/>
  <c r="T14" i="4" s="1"/>
  <c r="U14" i="4" s="1"/>
  <c r="Q6" i="4"/>
  <c r="T6" i="4" s="1"/>
  <c r="U6" i="4" s="1"/>
  <c r="Q4" i="4"/>
  <c r="T4" i="4" s="1"/>
  <c r="U4" i="4" s="1"/>
  <c r="Q13" i="4"/>
  <c r="T13" i="4" s="1"/>
  <c r="U13" i="4" s="1"/>
  <c r="Q11" i="4"/>
  <c r="T11" i="4" s="1"/>
  <c r="U11" i="4" s="1"/>
  <c r="Q8" i="4"/>
  <c r="T8" i="4" s="1"/>
  <c r="U8" i="4" s="1"/>
  <c r="Q12" i="4"/>
  <c r="T12" i="4" s="1"/>
  <c r="U12" i="4" s="1"/>
  <c r="S3" i="8"/>
  <c r="J4" i="4" s="1"/>
  <c r="S13" i="8"/>
  <c r="J14" i="4" s="1"/>
  <c r="S8" i="8"/>
  <c r="J9" i="4" s="1"/>
  <c r="S2" i="8"/>
  <c r="J3" i="4" s="1"/>
  <c r="S11" i="8"/>
  <c r="Q9" i="4"/>
  <c r="T9" i="4" s="1"/>
  <c r="U9" i="4" s="1"/>
  <c r="S12" i="8"/>
  <c r="Q10" i="4"/>
  <c r="T10" i="4" s="1"/>
  <c r="U10" i="4" s="1"/>
  <c r="S7" i="8"/>
  <c r="S10" i="8"/>
  <c r="S9" i="8"/>
  <c r="Q3" i="4"/>
  <c r="T3" i="4" s="1"/>
  <c r="U3" i="4" s="1"/>
  <c r="J10" i="4" l="1"/>
  <c r="J12" i="4"/>
  <c r="J8" i="4"/>
  <c r="M8" i="4" s="1"/>
  <c r="J11" i="4"/>
  <c r="M11" i="4" s="1"/>
  <c r="J13" i="4"/>
  <c r="M15" i="4"/>
  <c r="M7" i="4"/>
  <c r="M6" i="4"/>
  <c r="M4" i="4"/>
  <c r="M12" i="4"/>
  <c r="M13" i="4"/>
  <c r="M3" i="4"/>
  <c r="M9" i="4"/>
  <c r="M14" i="4"/>
  <c r="M5" i="4"/>
  <c r="M10" i="4"/>
  <c r="N13" i="4" l="1"/>
  <c r="N11" i="4"/>
  <c r="N9" i="4"/>
  <c r="N14" i="4"/>
  <c r="N8" i="4"/>
  <c r="N3" i="4"/>
  <c r="N10" i="4"/>
  <c r="N12" i="4"/>
  <c r="N6" i="4"/>
  <c r="N7" i="4"/>
  <c r="N5" i="4"/>
  <c r="N4" i="4"/>
  <c r="N15" i="4"/>
</calcChain>
</file>

<file path=xl/sharedStrings.xml><?xml version="1.0" encoding="utf-8"?>
<sst xmlns="http://schemas.openxmlformats.org/spreadsheetml/2006/main" count="192" uniqueCount="137">
  <si>
    <t>DESIGNED FOR USE IN MICROSOFT EXCEL (DESKTOP APP).
SOME FUNCTIONALITY WILL BE LOST IN WEB OR OTHER APPLICATIONS.</t>
  </si>
  <si>
    <t>1.</t>
  </si>
  <si>
    <t>Open the 'Team and Program Information' page. Enter the team numbers and the team names. Also, the number of teams advancing from this event in the box on the left.</t>
  </si>
  <si>
    <t>2.</t>
  </si>
  <si>
    <t xml:space="preserve">If you have Macros enabled then you can press the 'Update Teams' button. This will copy the team information onto each corresponding page. If not, then you need to copy and paste the team numbers into the 'Results and Rankings', 'Robot Game Scores' and all 'Input' pages. </t>
  </si>
  <si>
    <t>You may notice that the team names do not appear on the 'Robot Game Scores' page - don’t worry, some events use an import for this page, you can still enter the scores manually and the data will still populate the results and ranking list. Columns C-L in 'Core Values Input' are intentially hidden and no data should be typed in those cells.</t>
  </si>
  <si>
    <t>3.</t>
  </si>
  <si>
    <t>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</si>
  <si>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C-L on the 'Core Values Input' page.</t>
  </si>
  <si>
    <t>4.</t>
  </si>
  <si>
    <t>When all the data has been inputted, go the 'Results and Rankings' page to view all of the information in one place.</t>
  </si>
  <si>
    <t>5.</t>
  </si>
  <si>
    <t>You are now ready to allocate your awards based on your rankings using the 'Awards and Allocations' document in the judging toolkit.</t>
  </si>
  <si>
    <t>Useful Tips:</t>
  </si>
  <si>
    <t>If you are copying data into the Input pages please remember to use the 'Paste Values' or 'Use Destination Formatting' option.</t>
  </si>
  <si>
    <t>You can sort your data by a specific column by clicking on the small arrow in the column header box and selecting 'sort smallest to largest' or 'A to Z'.</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</si>
  <si>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</si>
  <si>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</si>
  <si>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(This stops the formatting and formulae being overwritten)</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</si>
  <si>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</si>
  <si>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</si>
  <si>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</si>
  <si>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</si>
  <si>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</si>
  <si>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</si>
  <si>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DO NOT CLICK THIS BUTTON AFTER SCORE ENTRY HAS BEGUN. IF TEAM INFORMATION NEEDS UPDATING IT MUST BE CHANGED MANUALLY ON EACH PAGE.</t>
  </si>
  <si>
    <t>Key</t>
  </si>
  <si>
    <t>Value</t>
  </si>
  <si>
    <t>Comment</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</si>
  <si>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</si>
  <si>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</si>
  <si>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</si>
  <si>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</si>
  <si>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</si>
  <si>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</si>
  <si>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</si>
  <si>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</si>
  <si>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</si>
  <si>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</si>
  <si>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</si>
  <si>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</si>
  <si>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</si>
  <si>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</si>
  <si>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</si>
  <si>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</si>
  <si>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</si>
  <si>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</si>
  <si>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</si>
  <si>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</si>
  <si>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</si>
  <si>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</si>
  <si>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</si>
  <si>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</si>
  <si>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</si>
  <si>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</si>
  <si>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Yes</t>
  </si>
  <si>
    <t>Robot Design 1st Place</t>
  </si>
  <si>
    <t>Innovation Project 1st Place</t>
  </si>
  <si>
    <t>Core Values 1st Place</t>
  </si>
  <si>
    <t>Judges Award 1</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</si>
  <si>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</si>
  <si>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</si>
  <si>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</si>
  <si>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</si>
  <si>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</si>
  <si>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</si>
  <si>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</si>
  <si>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</si>
  <si>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</si>
  <si>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</si>
  <si>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</si>
  <si>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</si>
  <si>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</si>
  <si>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</si>
  <si>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</si>
  <si>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</si>
  <si>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</si>
  <si>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</si>
  <si>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</si>
  <si>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</si>
  <si>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</si>
  <si>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</si>
  <si>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</si>
  <si>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</si>
  <si>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</si>
  <si>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</si>
  <si>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</si>
  <si>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</si>
  <si>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</si>
  <si>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</si>
  <si>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</si>
  <si>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</si>
  <si>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</si>
  <si>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</si>
  <si>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</si>
  <si>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</si>
  <si>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</si>
  <si>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</si>
  <si>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</si>
  <si>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</si>
  <si>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</si>
  <si>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</si>
  <si>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</si>
  <si>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</si>
  <si>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</si>
  <si>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</si>
  <si>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</si>
  <si>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</si>
  <si>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</si>
  <si>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</si>
  <si>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</si>
  <si>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</si>
  <si>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</si>
  <si>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</si>
  <si>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Champions 2nd Place</t>
  </si>
  <si>
    <t>Judges</t>
  </si>
  <si>
    <t>RG2 CV9 IP11 RD1 CR6</t>
  </si>
  <si>
    <t>RG6 CV1 IP2 RD1 CR1</t>
  </si>
  <si>
    <t>RG10 CV10 IP9 RD9 CR11</t>
  </si>
  <si>
    <t>RG3 CV3 IP4 RD6 CR3</t>
  </si>
  <si>
    <t>RG8 CV5 IP1 RD6 CR5</t>
  </si>
  <si>
    <t>RG7 CV2 IP4 RD3 CR3</t>
  </si>
  <si>
    <t>RG1 CV5 IP2 RD3 CR2</t>
  </si>
  <si>
    <t>RG4 CV10 IP10 RD3 CR8</t>
  </si>
  <si>
    <t>RG5 CV8 IP8 RD6 CR8</t>
  </si>
  <si>
    <t>RG11 CV7 IP4 RD11 CR10</t>
  </si>
  <si>
    <t>RG9 CV3 IP4 RD9 CR7</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</si>
  <si>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</si>
  <si>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</si>
  <si>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</si>
  <si>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Tournament Name</t>
  </si>
  <si>
    <t>Smallville Regional Qualifying Tournament FILLED</t>
  </si>
  <si>
    <t>Submerged</t>
  </si>
  <si>
    <t>Completed Script File</t>
  </si>
  <si>
    <t>TestTeamAdd3</t>
  </si>
  <si>
    <t>skip</t>
  </si>
  <si>
    <t>TestTeam12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</si>
</sst>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
    <numFmt numFmtId="165" formatCode="0;\-0;;@"/>
    <numFmt numFmtId="166" formatCode="0.0"/>
  </numFmts>
  <fonts count="34"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4"/>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22"/>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b/>
      <sz val="11"/>
      <color rgb="FFFF0000"/>
      <name val="Calibri"/>
      <family val="2"/>
      <scheme val="minor"/>
    </font>
    <font>
      <b/>
      <sz val="9"/>
      <color rgb="FFFF0000"/>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sz val="14"/>
      <color rgb="FF000000"/>
      <name val="Calibri"/>
      <family val="2"/>
    </font>
    <font>
      <b/>
      <i/>
      <sz val="11"/>
      <color theme="0"/>
      <name val="Calibri"/>
      <family val="2"/>
      <scheme val="minor"/>
    </font>
    <font>
      <b/>
      <sz val="12"/>
      <color theme="0"/>
      <name val="Calibri"/>
      <family val="2"/>
      <scheme val="minor"/>
    </font>
    <font>
      <b/>
      <sz val="1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89999084444715716"/>
        <bgColor indexed="64"/>
      </patternFill>
    </fill>
    <fill>
      <patternFill patternType="solid">
        <fgColor theme="0" tint="-0.14999847407452621"/>
        <bgColor indexed="64"/>
      </patternFill>
    </fill>
    <fill>
      <patternFill patternType="solid">
        <fgColor theme="7" tint="0.79998168889431442"/>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48">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wrapText="1"/>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10" fillId="0" borderId="0" xfId="0" applyFont="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0" fontId="3" fillId="9" borderId="1" xfId="0" applyFont="1" applyFill="1" applyBorder="1" applyAlignment="1">
      <alignment horizontal="center" vertical="center" textRotation="90" wrapText="1"/>
    </xf>
    <xf numFmtId="2" fontId="0" fillId="0" borderId="0" xfId="0" applyNumberFormat="1"/>
    <xf numFmtId="1" fontId="0" fillId="0" borderId="0" xfId="0" applyNumberFormat="1"/>
    <xf numFmtId="0" fontId="12" fillId="0" borderId="0" xfId="0" applyFont="1" applyAlignment="1" applyProtection="1">
      <alignment horizontal="center" vertical="center"/>
      <protection locked="0"/>
    </xf>
    <xf numFmtId="164" fontId="12" fillId="0" borderId="0" xfId="0" applyNumberFormat="1" applyFont="1" applyAlignment="1" applyProtection="1">
      <alignment horizontal="center" vertical="center"/>
      <protection locked="0"/>
    </xf>
    <xf numFmtId="0" fontId="14" fillId="0" borderId="0" xfId="0" applyFont="1"/>
    <xf numFmtId="1" fontId="13" fillId="14" borderId="1" xfId="0" applyNumberFormat="1" applyFont="1" applyFill="1" applyBorder="1" applyAlignment="1">
      <alignment horizontal="center" vertical="center" textRotation="90" wrapText="1"/>
    </xf>
    <xf numFmtId="1" fontId="13" fillId="10" borderId="1" xfId="0" applyNumberFormat="1" applyFont="1" applyFill="1" applyBorder="1" applyAlignment="1">
      <alignment horizontal="center" vertical="center" textRotation="90" wrapText="1"/>
    </xf>
    <xf numFmtId="1" fontId="13" fillId="13" borderId="1" xfId="0" applyNumberFormat="1" applyFont="1" applyFill="1" applyBorder="1" applyAlignment="1">
      <alignment horizontal="center" vertical="center" textRotation="90" wrapText="1"/>
    </xf>
    <xf numFmtId="2" fontId="13" fillId="15" borderId="1" xfId="0" applyNumberFormat="1" applyFont="1" applyFill="1" applyBorder="1" applyAlignment="1">
      <alignment horizontal="center" vertical="center" textRotation="90" wrapText="1"/>
    </xf>
    <xf numFmtId="0" fontId="13"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5" fillId="0" borderId="0" xfId="0" applyFont="1"/>
    <xf numFmtId="0" fontId="10" fillId="3" borderId="0" xfId="0" applyFont="1" applyFill="1" applyAlignment="1">
      <alignment horizontal="center" vertical="center"/>
    </xf>
    <xf numFmtId="0" fontId="0" fillId="3" borderId="0" xfId="0" applyFill="1" applyAlignment="1">
      <alignment horizontal="center" vertical="center"/>
    </xf>
    <xf numFmtId="0" fontId="18" fillId="3" borderId="0" xfId="0" applyFont="1" applyFill="1" applyAlignment="1">
      <alignment horizontal="left" vertical="center"/>
    </xf>
    <xf numFmtId="0" fontId="19" fillId="3" borderId="0" xfId="0" applyFont="1" applyFill="1" applyAlignment="1">
      <alignment horizontal="left" vertical="center"/>
    </xf>
    <xf numFmtId="0" fontId="18" fillId="3" borderId="0" xfId="0" applyFont="1" applyFill="1" applyAlignment="1">
      <alignment vertical="top" wrapText="1"/>
    </xf>
    <xf numFmtId="49" fontId="18" fillId="3" borderId="0" xfId="0" applyNumberFormat="1" applyFont="1" applyFill="1" applyAlignment="1">
      <alignment horizontal="left" vertical="center"/>
    </xf>
    <xf numFmtId="0" fontId="16" fillId="0" borderId="0" xfId="0" applyFont="1" applyAlignment="1">
      <alignment horizontal="center" vertical="center"/>
    </xf>
    <xf numFmtId="0" fontId="0" fillId="0" borderId="12" xfId="0" applyBorder="1"/>
    <xf numFmtId="0" fontId="20" fillId="0" borderId="0" xfId="0" applyFont="1" applyAlignment="1">
      <alignment horizontal="center" vertical="center" textRotation="90"/>
    </xf>
    <xf numFmtId="0" fontId="4" fillId="20" borderId="3" xfId="0" applyFont="1" applyFill="1" applyBorder="1" applyAlignment="1">
      <alignment horizontal="left" vertical="center"/>
    </xf>
    <xf numFmtId="0" fontId="4" fillId="20" borderId="4" xfId="0" applyFont="1" applyFill="1" applyBorder="1" applyAlignment="1">
      <alignment horizontal="left" vertical="center"/>
    </xf>
    <xf numFmtId="0" fontId="0" fillId="20" borderId="5" xfId="0" applyFill="1" applyBorder="1" applyAlignment="1">
      <alignment vertical="center"/>
    </xf>
    <xf numFmtId="0" fontId="0" fillId="20" borderId="6" xfId="0" applyFill="1" applyBorder="1" applyAlignment="1">
      <alignment horizontal="center" vertical="center"/>
    </xf>
    <xf numFmtId="0" fontId="0" fillId="20" borderId="0" xfId="0" applyFill="1" applyAlignment="1">
      <alignment horizontal="center" vertical="center"/>
    </xf>
    <xf numFmtId="0" fontId="0" fillId="20" borderId="7" xfId="0" applyFill="1" applyBorder="1" applyAlignment="1">
      <alignment horizontal="center" vertical="center"/>
    </xf>
    <xf numFmtId="0" fontId="0" fillId="20" borderId="8" xfId="0" applyFill="1" applyBorder="1" applyAlignment="1">
      <alignment horizontal="center" vertical="center"/>
    </xf>
    <xf numFmtId="0" fontId="0" fillId="20" borderId="9" xfId="0" applyFill="1" applyBorder="1" applyAlignment="1">
      <alignment horizontal="center" vertical="center"/>
    </xf>
    <xf numFmtId="0" fontId="0" fillId="20" borderId="10" xfId="0" applyFill="1" applyBorder="1" applyAlignment="1">
      <alignment horizontal="center" vertical="center"/>
    </xf>
    <xf numFmtId="0" fontId="10" fillId="3" borderId="0" xfId="0" applyFont="1" applyFill="1" applyAlignment="1">
      <alignment horizontal="center" vertical="top"/>
    </xf>
    <xf numFmtId="0" fontId="0" fillId="3" borderId="0" xfId="0" applyFill="1" applyAlignment="1">
      <alignment horizontal="center" vertical="top"/>
    </xf>
    <xf numFmtId="0" fontId="18" fillId="3" borderId="0" xfId="0" applyFont="1" applyFill="1" applyAlignment="1">
      <alignment horizontal="left" vertical="top"/>
    </xf>
    <xf numFmtId="0" fontId="17" fillId="3" borderId="0" xfId="0" applyFont="1" applyFill="1" applyAlignment="1">
      <alignment horizontal="left" vertical="top"/>
    </xf>
    <xf numFmtId="0" fontId="22" fillId="0" borderId="0" xfId="0" applyFont="1" applyAlignment="1">
      <alignment vertical="center" wrapText="1"/>
    </xf>
    <xf numFmtId="0" fontId="21" fillId="3" borderId="0" xfId="0" applyFont="1" applyFill="1" applyAlignment="1">
      <alignment vertical="center" wrapText="1"/>
    </xf>
    <xf numFmtId="0" fontId="1" fillId="0" borderId="0" xfId="0" applyFont="1" applyAlignment="1">
      <alignment horizontal="center" vertical="center"/>
    </xf>
    <xf numFmtId="0" fontId="25" fillId="0" borderId="0" xfId="0" applyFont="1"/>
    <xf numFmtId="165" fontId="16" fillId="0" borderId="0" xfId="0" applyNumberFormat="1" applyFont="1" applyAlignment="1">
      <alignment horizontal="center" vertical="center"/>
    </xf>
    <xf numFmtId="0" fontId="21" fillId="3" borderId="0" xfId="0" applyFont="1" applyFill="1" applyAlignment="1">
      <alignment horizontal="left" vertical="top"/>
    </xf>
    <xf numFmtId="0" fontId="27" fillId="0" borderId="0" xfId="0" applyFont="1" applyAlignment="1">
      <alignment horizontal="left" vertical="center"/>
    </xf>
    <xf numFmtId="0" fontId="9" fillId="0" borderId="0" xfId="0" applyFont="1" applyAlignment="1">
      <alignment horizontal="center" vertical="center" wrapText="1"/>
    </xf>
    <xf numFmtId="0" fontId="28" fillId="0" borderId="0" xfId="0" applyFont="1" applyAlignment="1">
      <alignment horizontal="left" vertical="center" wrapText="1"/>
    </xf>
    <xf numFmtId="0" fontId="29"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9" fillId="17" borderId="1" xfId="0" applyFont="1" applyFill="1" applyBorder="1" applyAlignment="1">
      <alignment horizontal="center" vertical="center" wrapText="1"/>
    </xf>
    <xf numFmtId="0" fontId="8" fillId="6"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19" borderId="1" xfId="0" applyFont="1" applyFill="1" applyBorder="1" applyAlignment="1">
      <alignment horizontal="center" vertical="center" wrapText="1"/>
    </xf>
    <xf numFmtId="1" fontId="9" fillId="8" borderId="1" xfId="0" applyNumberFormat="1" applyFont="1" applyFill="1" applyBorder="1" applyAlignment="1">
      <alignment horizontal="center" vertical="center" wrapText="1"/>
    </xf>
    <xf numFmtId="0" fontId="9"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11" xfId="0" applyFont="1" applyFill="1" applyBorder="1" applyAlignment="1">
      <alignment horizontal="center" vertical="center" wrapText="1"/>
    </xf>
    <xf numFmtId="165" fontId="9" fillId="17" borderId="11" xfId="0" applyNumberFormat="1" applyFont="1" applyFill="1" applyBorder="1" applyAlignment="1">
      <alignment horizontal="center" vertical="center" textRotation="90" wrapText="1"/>
    </xf>
    <xf numFmtId="1" fontId="6" fillId="5" borderId="0" xfId="0" applyNumberFormat="1" applyFont="1" applyFill="1" applyAlignment="1">
      <alignment horizontal="center" vertical="center" textRotation="90"/>
    </xf>
    <xf numFmtId="0" fontId="6" fillId="5" borderId="0" xfId="0" applyFont="1" applyFill="1" applyAlignment="1">
      <alignment horizontal="center" vertical="center" textRotation="90"/>
    </xf>
    <xf numFmtId="0" fontId="1" fillId="22" borderId="0" xfId="0" applyFont="1" applyFill="1" applyAlignment="1">
      <alignment horizontal="center" vertical="center"/>
    </xf>
    <xf numFmtId="0" fontId="0" fillId="0" borderId="0" xfId="0" applyAlignment="1">
      <alignment wrapText="1"/>
    </xf>
    <xf numFmtId="0" fontId="17" fillId="3" borderId="0" xfId="0" applyFont="1" applyFill="1" applyAlignment="1">
      <alignment horizontal="left" vertical="top" wrapText="1"/>
    </xf>
    <xf numFmtId="0" fontId="0" fillId="3" borderId="0" xfId="0" applyFill="1" applyAlignment="1">
      <alignment horizontal="center" vertical="top"/>
    </xf>
    <xf numFmtId="0" fontId="0" fillId="3" borderId="0" xfId="0" applyFill="1" applyAlignment="1">
      <alignment horizontal="center" vertical="center"/>
    </xf>
    <xf numFmtId="0" fontId="18" fillId="3" borderId="0" xfId="0" applyFont="1" applyFill="1" applyAlignment="1">
      <alignment horizontal="left" vertical="center"/>
    </xf>
    <xf numFmtId="0" fontId="21" fillId="21" borderId="15" xfId="0" applyFont="1"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26" fillId="3" borderId="0" xfId="0" applyFont="1" applyFill="1" applyAlignment="1">
      <alignment horizontal="center" vertical="center" wrapText="1"/>
    </xf>
    <xf numFmtId="0" fontId="18" fillId="3" borderId="0" xfId="0" applyFont="1" applyFill="1" applyAlignment="1">
      <alignment horizontal="left" vertical="top" wrapText="1"/>
    </xf>
    <xf numFmtId="0" fontId="10" fillId="3" borderId="0" xfId="0" applyFont="1" applyFill="1" applyAlignment="1">
      <alignment horizontal="center" vertical="center"/>
    </xf>
    <xf numFmtId="0" fontId="21" fillId="21" borderId="14" xfId="0" applyFont="1" applyFill="1" applyBorder="1" applyAlignment="1">
      <alignment horizontal="center" vertical="center" wrapText="1"/>
    </xf>
    <xf numFmtId="0" fontId="21" fillId="21" borderId="13" xfId="0" applyFont="1" applyFill="1" applyBorder="1" applyAlignment="1">
      <alignment horizontal="center" vertical="center" wrapText="1"/>
    </xf>
    <xf numFmtId="0" fontId="23" fillId="0" borderId="4" xfId="0" applyFont="1" applyBorder="1" applyAlignment="1">
      <alignment horizontal="center" vertical="center" wrapText="1"/>
    </xf>
    <xf numFmtId="0" fontId="0" fillId="0" borderId="0" xfId="0" applyAlignment="1">
      <alignment horizontal="center" vertical="center"/>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7" fillId="0" borderId="0" xfId="0" applyFont="1" applyAlignment="1">
      <alignment horizontal="left" vertical="center"/>
    </xf>
    <xf numFmtId="0" fontId="0" fillId="0" borderId="0" xfId="0" applyFont="1" applyFill="1" applyAlignment="1">
      <alignment horizontal="center" vertical="center"/>
    </xf>
    <xf numFmtId="0" fontId="1" fillId="0" borderId="0" xfId="0" applyFont="1" applyFill="1" applyAlignment="1">
      <alignment horizontal="center" vertical="center"/>
    </xf>
    <xf numFmtId="0" fontId="7" fillId="0" borderId="0" xfId="0" applyFont="1" applyFill="1" applyAlignment="1">
      <alignment vertical="top"/>
    </xf>
    <xf numFmtId="0" fontId="0" fillId="0" borderId="0" xfId="0" applyFill="1" applyAlignment="1">
      <alignment horizontal="center" vertical="center"/>
    </xf>
    <xf numFmtId="0" fontId="12" fillId="0" borderId="0" xfId="0" applyFont="1" applyFill="1" applyAlignment="1">
      <alignment horizontal="left" vertical="center"/>
    </xf>
    <xf numFmtId="1" fontId="12" fillId="0" borderId="0" xfId="0" applyNumberFormat="1" applyFont="1" applyFill="1" applyAlignment="1">
      <alignment horizontal="center" vertical="center"/>
    </xf>
    <xf numFmtId="1" fontId="0" fillId="0" borderId="0" xfId="0" applyNumberFormat="1" applyFill="1" applyAlignment="1">
      <alignment horizontal="center" vertical="center"/>
    </xf>
    <xf numFmtId="0" fontId="12" fillId="0" borderId="0" xfId="0" applyFont="1" applyFill="1" applyAlignment="1" applyProtection="1">
      <alignment horizontal="center" vertical="center"/>
      <protection locked="0"/>
    </xf>
    <xf numFmtId="164" fontId="12" fillId="0" borderId="0" xfId="0" applyNumberFormat="1" applyFont="1" applyFill="1" applyAlignment="1" applyProtection="1">
      <alignment horizontal="center" vertical="center"/>
      <protection locked="0"/>
    </xf>
    <xf numFmtId="1" fontId="12" fillId="0" borderId="0" xfId="0" applyNumberFormat="1" applyFont="1" applyFill="1" applyAlignment="1" applyProtection="1">
      <alignment horizontal="center" vertical="center"/>
      <protection locked="0"/>
    </xf>
    <xf numFmtId="2" fontId="12" fillId="0" borderId="0" xfId="0" applyNumberFormat="1" applyFont="1" applyFill="1" applyAlignment="1" applyProtection="1">
      <alignment horizontal="center" vertical="center"/>
      <protection locked="0"/>
    </xf>
    <xf numFmtId="0" fontId="0" fillId="0" borderId="0" xfId="0" applyFill="1" applyAlignment="1" applyProtection="1">
      <alignment horizontal="center" vertical="center"/>
      <protection locked="0"/>
    </xf>
    <xf numFmtId="0" fontId="12" fillId="0" borderId="0" xfId="0" applyNumberFormat="1" applyFont="1" applyFill="1" applyAlignment="1" applyProtection="1">
      <alignment horizontal="left" vertical="center"/>
    </xf>
    <xf numFmtId="1" fontId="12" fillId="0" borderId="0" xfId="0" applyNumberFormat="1" applyFont="1" applyFill="1" applyAlignment="1" applyProtection="1">
      <alignment horizontal="center" vertical="center"/>
    </xf>
    <xf numFmtId="0" fontId="0" fillId="0" borderId="0" xfId="0" applyNumberFormat="1" applyFont="1" applyFill="1" applyAlignment="1" applyProtection="1">
      <alignment horizontal="center" vertical="center"/>
      <protection locked="0"/>
    </xf>
    <xf numFmtId="0" fontId="12" fillId="0" borderId="0" xfId="0" applyNumberFormat="1" applyFont="1" applyFill="1" applyAlignment="1" applyProtection="1">
      <alignment horizontal="center" vertical="center"/>
      <protection locked="0"/>
    </xf>
    <xf numFmtId="0" fontId="0" fillId="0" borderId="0" xfId="0" applyFont="1" applyFill="1" applyAlignment="1" applyProtection="1">
      <alignment horizontal="center" vertical="center"/>
      <protection locked="0"/>
    </xf>
    <xf numFmtId="165" fontId="7" fillId="0" borderId="0" xfId="0" applyNumberFormat="1" applyFont="1" applyFill="1" applyAlignment="1">
      <alignment horizontal="center" vertical="center"/>
    </xf>
    <xf numFmtId="0" fontId="1" fillId="0" borderId="0" xfId="0" applyNumberFormat="1" applyFont="1" applyFill="1" applyAlignment="1" applyProtection="1">
      <alignment horizontal="center" vertical="center"/>
    </xf>
    <xf numFmtId="165" fontId="7" fillId="0" borderId="0" xfId="0" applyNumberFormat="1" applyFont="1" applyFill="1" applyAlignment="1" applyProtection="1">
      <alignment horizontal="center" vertical="center"/>
    </xf>
    <xf numFmtId="0" fontId="1" fillId="0" borderId="0" xfId="0" applyFont="1" applyFill="1" applyAlignment="1">
      <alignment horizontal="left" vertical="center"/>
    </xf>
    <xf numFmtId="0" fontId="1" fillId="0" borderId="0" xfId="0" applyFont="1" applyFill="1" applyAlignment="1" applyProtection="1">
      <alignment horizontal="center" vertical="center"/>
      <protection locked="0"/>
    </xf>
    <xf numFmtId="1" fontId="7" fillId="0" borderId="0" xfId="0" applyNumberFormat="1" applyFont="1" applyFill="1" applyAlignment="1">
      <alignment horizontal="center" vertical="center"/>
    </xf>
    <xf numFmtId="0" fontId="7" fillId="0" borderId="0" xfId="0" applyFont="1" applyFill="1" applyAlignment="1">
      <alignment horizontal="center" vertical="center"/>
    </xf>
    <xf numFmtId="0" fontId="1" fillId="0" borderId="0" xfId="0" applyNumberFormat="1" applyFont="1" applyFill="1" applyAlignment="1" applyProtection="1">
      <alignment horizontal="left" vertical="center"/>
    </xf>
    <xf numFmtId="0" fontId="1" fillId="0" borderId="0" xfId="0" applyNumberFormat="1" applyFont="1" applyFill="1" applyAlignment="1" applyProtection="1">
      <alignment horizontal="center" vertical="center"/>
      <protection locked="0"/>
    </xf>
    <xf numFmtId="1" fontId="7" fillId="0" borderId="0" xfId="0" applyNumberFormat="1" applyFont="1" applyFill="1" applyAlignment="1" applyProtection="1">
      <alignment horizontal="center" vertical="center"/>
    </xf>
    <xf numFmtId="0" fontId="7" fillId="0" borderId="0" xfId="0" applyNumberFormat="1" applyFont="1" applyFill="1" applyAlignment="1" applyProtection="1">
      <alignment horizontal="center" vertical="center"/>
    </xf>
    <xf numFmtId="0" fontId="24" fillId="0" borderId="0" xfId="0" applyFont="1" applyFill="1" applyAlignment="1">
      <alignment horizontal="center" vertical="center"/>
    </xf>
    <xf numFmtId="166" fontId="7" fillId="0" borderId="0" xfId="0" applyNumberFormat="1" applyFont="1" applyFill="1" applyAlignment="1">
      <alignment horizontal="center" vertical="center"/>
    </xf>
    <xf numFmtId="0" fontId="24" fillId="0" borderId="0" xfId="0" applyNumberFormat="1" applyFont="1" applyFill="1" applyAlignment="1" applyProtection="1">
      <alignment horizontal="center" vertical="center"/>
    </xf>
    <xf numFmtId="0" fontId="1" fillId="0" borderId="0" xfId="0" applyNumberFormat="1" applyFont="1" applyFill="1" applyAlignment="1">
      <alignment horizontal="center" vertical="center"/>
    </xf>
    <xf numFmtId="1" fontId="32" fillId="19" borderId="0" xfId="0" applyNumberFormat="1" applyFont="1" applyFill="1" applyAlignment="1">
      <alignment horizontal="center" vertical="center" textRotation="90" wrapText="1"/>
    </xf>
    <xf numFmtId="0" fontId="32" fillId="19" borderId="0" xfId="0" applyFont="1" applyFill="1" applyAlignment="1">
      <alignment horizontal="center" vertical="center" textRotation="90" wrapText="1"/>
    </xf>
    <xf numFmtId="0" fontId="33" fillId="18" borderId="0" xfId="0" applyFont="1" applyFill="1" applyAlignment="1">
      <alignment horizontal="center" vertical="center" textRotation="90" wrapText="1"/>
    </xf>
    <xf numFmtId="0" fontId="33" fillId="10" borderId="0" xfId="0" applyFont="1" applyFill="1" applyAlignment="1">
      <alignment horizontal="center" vertical="center" textRotation="90" wrapText="1"/>
    </xf>
    <xf numFmtId="0" fontId="33" fillId="18" borderId="11" xfId="0" applyFont="1" applyFill="1" applyBorder="1" applyAlignment="1">
      <alignment horizontal="center" vertical="center" textRotation="90" wrapText="1"/>
    </xf>
    <xf numFmtId="0" fontId="31" fillId="16" borderId="0" xfId="0" applyFont="1" applyFill="1" applyAlignment="1">
      <alignment horizontal="center" vertical="center" textRotation="90" wrapText="1"/>
    </xf>
    <xf numFmtId="0" fontId="33" fillId="11" borderId="0" xfId="0" applyFont="1" applyFill="1" applyAlignment="1">
      <alignment horizontal="center" vertical="center" textRotation="90" wrapText="1"/>
    </xf>
    <xf numFmtId="0" fontId="8" fillId="6" borderId="0" xfId="0" applyFont="1" applyFill="1" applyAlignment="1">
      <alignment horizontal="center" vertical="center" textRotation="90" wrapText="1"/>
    </xf>
  </cellXfs>
  <cellStyles count="1">
    <cellStyle name="Normal" xfId="0" builtinId="0"/>
  </cellStyles>
  <dxfs count="168">
    <dxf>
      <fill>
        <patternFill>
          <bgColor theme="5"/>
        </patternFill>
      </fill>
    </dxf>
    <dxf>
      <fill>
        <patternFill>
          <bgColor theme="2" tint="-9.9948118533890809E-2"/>
        </patternFill>
      </fill>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border>
        <bottom style="thin">
          <color auto="1"/>
        </bottom>
        <vertical/>
        <horizontal/>
      </border>
    </dxf>
    <dxf>
      <font>
        <color theme="9" tint="-0.499984740745262"/>
      </font>
      <fill>
        <patternFill>
          <bgColor rgb="FF00B050"/>
        </patternFill>
      </fill>
    </dxf>
    <dxf>
      <font>
        <color rgb="FF9C0006"/>
      </font>
      <fill>
        <patternFill>
          <bgColor rgb="FFFFC7CE"/>
        </patternFill>
      </fill>
    </dxf>
    <dxf>
      <fill>
        <patternFill>
          <bgColor rgb="FF00B0F0"/>
        </patternFill>
      </fill>
    </dxf>
    <dxf>
      <fill>
        <patternFill>
          <bgColor theme="9" tint="0.59996337778862885"/>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FFFF99"/>
        </patternFill>
      </fill>
    </dxf>
    <dxf>
      <fill>
        <patternFill patternType="darkHorizontal">
          <fgColor theme="0"/>
          <bgColor rgb="FFFFC000"/>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strike val="0"/>
        <outline val="0"/>
        <shadow val="0"/>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strike val="0"/>
        <condense val="0"/>
        <extend val="0"/>
        <outline val="0"/>
        <shadow val="0"/>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protection locked="1" hidden="0"/>
    </dxf>
    <dxf>
      <font>
        <strike val="0"/>
        <condense val="0"/>
        <extend val="0"/>
        <outline val="0"/>
        <shadow val="0"/>
        <vertAlign val="baseline"/>
        <sz val="12"/>
        <color auto="1"/>
        <name val="Calibri"/>
        <scheme val="minor"/>
      </font>
      <numFmt numFmtId="1" formatCode="0"/>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vertAlign val="baseline"/>
        <sz val="12"/>
        <color theme="1"/>
        <name val="Calibri"/>
        <scheme val="minor"/>
      </font>
      <fill>
        <patternFill patternType="none">
          <fgColor indexed="64"/>
          <bgColor auto="1"/>
        </patternFill>
      </fill>
    </dxf>
    <dxf>
      <font>
        <strike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strike val="0"/>
        <condense val="0"/>
        <extend val="0"/>
        <outline val="0"/>
        <shadow val="0"/>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protection locked="1" hidden="0"/>
    </dxf>
    <dxf>
      <font>
        <strike val="0"/>
        <condense val="0"/>
        <extend val="0"/>
        <outline val="0"/>
        <shadow val="0"/>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protection locked="1" hidden="0"/>
    </dxf>
    <dxf>
      <font>
        <strike val="0"/>
        <condense val="0"/>
        <extend val="0"/>
        <outline val="0"/>
        <shadow val="0"/>
        <vertAlign val="baseline"/>
        <sz val="12"/>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b/>
        <strike val="0"/>
        <condense val="0"/>
        <extend val="0"/>
        <outline val="0"/>
        <shadow val="0"/>
        <vertAlign val="baseline"/>
        <sz val="12"/>
        <color theme="1"/>
        <name val="Calibri"/>
        <family val="2"/>
        <scheme val="minor"/>
      </font>
      <numFmt numFmtId="165" formatCode="0;\-0;;@"/>
      <fill>
        <patternFill patternType="none">
          <fgColor indexed="64"/>
          <bgColor auto="1"/>
        </patternFill>
      </fill>
      <alignment horizontal="center" vertical="center"/>
      <protection locked="1" hidden="0"/>
    </dxf>
    <dxf>
      <font>
        <strike val="0"/>
        <condense val="0"/>
        <extend val="0"/>
        <outline val="0"/>
        <shadow val="0"/>
        <vertAlign val="baseline"/>
        <sz val="12"/>
        <color theme="1"/>
        <name val="Calibri"/>
        <family val="2"/>
        <scheme val="minor"/>
      </font>
      <numFmt numFmtId="0" formatCode="General"/>
      <fill>
        <patternFill patternType="none">
          <fgColor indexed="64"/>
          <bgColor auto="1"/>
        </patternFill>
      </fill>
      <alignment horizontal="center" vertical="center"/>
      <protection locked="1" hidden="0"/>
    </dxf>
    <dxf>
      <border outline="0">
        <bottom style="thin">
          <color indexed="64"/>
        </bottom>
      </border>
    </dxf>
    <dxf>
      <font>
        <strike val="0"/>
        <condense val="0"/>
        <extend val="0"/>
        <outline val="0"/>
        <shadow val="0"/>
        <vertAlign val="baseline"/>
        <sz val="12"/>
        <color theme="1"/>
        <name val="Calibri"/>
        <family val="2"/>
        <scheme val="minor"/>
      </font>
      <fill>
        <patternFill patternType="none">
          <fgColor indexed="64"/>
          <bgColor auto="1"/>
        </patternFill>
      </fill>
      <alignment horizontal="center" vertical="center"/>
      <protection locked="1" hidden="0"/>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1" hidden="0"/>
    </dxf>
    <dxf>
      <font>
        <strike val="0"/>
        <outline val="0"/>
        <shadow val="0"/>
        <vertAlign val="baseline"/>
        <sz val="12"/>
        <color rgb="FF000000"/>
        <name val="Calibri"/>
      </font>
      <fill>
        <patternFill patternType="none">
          <fgColor indexed="64"/>
          <bgColor auto="1"/>
        </patternFill>
      </fill>
      <alignment horizontal="center" vertical="center"/>
      <protection locked="1" hidden="0"/>
    </dxf>
    <dxf>
      <font>
        <b/>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1" hidden="0"/>
    </dxf>
    <dxf>
      <font>
        <b/>
        <strike val="0"/>
        <outline val="0"/>
        <shadow val="0"/>
        <vertAlign val="baseline"/>
        <sz val="12"/>
        <color theme="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1" hidden="0"/>
    </dxf>
    <dxf>
      <font>
        <strike val="0"/>
        <condense val="0"/>
        <extend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condense val="0"/>
        <extend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condense val="0"/>
        <extend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i/>
        <strike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i/>
        <strike val="0"/>
        <condense val="0"/>
        <extend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i/>
        <strike val="0"/>
        <condense val="0"/>
        <extend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i/>
        <strike val="0"/>
        <condense val="0"/>
        <extend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i/>
        <strike val="0"/>
        <condense val="0"/>
        <extend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i/>
        <strike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i/>
        <strike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i/>
        <strike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i/>
        <strike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i/>
        <strike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strike val="0"/>
        <outline val="0"/>
        <shadow val="0"/>
        <vertAlign val="baseline"/>
        <sz val="12"/>
        <color theme="1"/>
        <name val="Calibri"/>
        <scheme val="minor"/>
      </font>
      <numFmt numFmtId="0" formatCode="General"/>
      <fill>
        <patternFill patternType="none">
          <fgColor indexed="64"/>
          <bgColor auto="1"/>
        </patternFill>
      </fill>
      <alignment horizontal="left" vertical="center"/>
      <protection locked="1" hidden="0"/>
    </dxf>
    <dxf>
      <font>
        <strike val="0"/>
        <outline val="0"/>
        <shadow val="0"/>
        <vertAlign val="baseline"/>
        <sz val="12"/>
        <color theme="1"/>
        <name val="Calibri"/>
        <scheme val="minor"/>
      </font>
      <fill>
        <patternFill patternType="none">
          <fgColor indexed="64"/>
          <bgColor auto="1"/>
        </patternFill>
      </fill>
      <alignment horizontal="center" vertical="center"/>
      <protection locked="1" hidden="0"/>
    </dxf>
    <dxf>
      <font>
        <b/>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1" hidden="0"/>
    </dxf>
    <dxf>
      <font>
        <b/>
        <strike val="0"/>
        <outline val="0"/>
        <shadow val="0"/>
        <vertAlign val="baseline"/>
        <sz val="12"/>
        <color theme="1"/>
        <name val="Calibri"/>
        <scheme val="minor"/>
      </font>
      <numFmt numFmtId="1" formatCode="0"/>
      <fill>
        <patternFill patternType="none">
          <fgColor indexed="64"/>
          <bgColor auto="1"/>
        </patternFill>
      </fill>
      <alignment horizontal="center" vertical="center"/>
      <protection locked="1"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condense val="0"/>
        <extend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left" vertical="center"/>
      <protection locked="1" hidden="0"/>
    </dxf>
    <dxf>
      <font>
        <b/>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1" hidden="0"/>
    </dxf>
    <dxf>
      <font>
        <b/>
        <strike val="0"/>
        <outline val="0"/>
        <shadow val="0"/>
        <vertAlign val="baseline"/>
        <sz val="12"/>
        <color theme="1"/>
        <name val="Calibri"/>
        <scheme val="minor"/>
      </font>
      <numFmt numFmtId="1" formatCode="0"/>
      <fill>
        <patternFill patternType="none">
          <fgColor indexed="64"/>
          <bgColor auto="1"/>
        </patternFill>
      </fill>
      <alignment horizontal="center" vertical="center"/>
      <protection locked="1"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condense val="0"/>
        <extend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left" vertical="center"/>
      <protection locked="1" hidden="0"/>
    </dxf>
    <dxf>
      <font>
        <strike val="0"/>
        <condense val="0"/>
        <extend val="0"/>
        <outline val="0"/>
        <shadow val="0"/>
        <vertAlign val="baseline"/>
        <sz val="12"/>
        <color auto="1"/>
        <name val="Calibri"/>
        <scheme val="minor"/>
      </font>
      <fill>
        <patternFill patternType="none">
          <fgColor indexed="64"/>
          <bgColor auto="1"/>
        </patternFill>
      </fill>
      <alignment horizontal="center" vertical="center"/>
      <protection locked="0" hidden="0"/>
    </dxf>
    <dxf>
      <font>
        <strike val="0"/>
        <condense val="0"/>
        <extend val="0"/>
        <outline val="0"/>
        <shadow val="0"/>
        <vertAlign val="baseline"/>
        <sz val="12"/>
        <color auto="1"/>
        <name val="Calibri"/>
        <scheme val="minor"/>
      </font>
      <numFmt numFmtId="0" formatCode="General"/>
      <fill>
        <patternFill patternType="none">
          <fgColor indexed="64"/>
          <bgColor auto="1"/>
        </patternFill>
      </fill>
      <alignment horizontal="center" vertical="center"/>
      <protection locked="0" hidden="0"/>
    </dxf>
    <dxf>
      <font>
        <strike val="0"/>
        <condense val="0"/>
        <extend val="0"/>
        <outline val="0"/>
        <shadow val="0"/>
        <vertAlign val="baseline"/>
        <sz val="12"/>
        <color auto="1"/>
        <name val="Calibri"/>
        <scheme val="minor"/>
      </font>
      <numFmt numFmtId="0" formatCode="General"/>
      <fill>
        <patternFill patternType="none">
          <fgColor indexed="64"/>
          <bgColor auto="1"/>
        </patternFill>
      </fill>
      <alignment horizontal="center" vertical="center"/>
      <protection locked="0" hidden="0"/>
    </dxf>
    <dxf>
      <font>
        <strike val="0"/>
        <condense val="0"/>
        <extend val="0"/>
        <outline val="0"/>
        <shadow val="0"/>
        <vertAlign val="baseline"/>
        <sz val="12"/>
        <color auto="1"/>
        <name val="Calibri"/>
        <scheme val="minor"/>
      </font>
      <numFmt numFmtId="2" formatCode="0.00"/>
      <fill>
        <patternFill patternType="none">
          <fgColor indexed="64"/>
          <bgColor auto="1"/>
        </patternFill>
      </fill>
      <alignment horizontal="center" vertical="center"/>
      <protection locked="0"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0"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0"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0" hidden="0"/>
    </dxf>
    <dxf>
      <font>
        <strike val="0"/>
        <condense val="0"/>
        <extend val="0"/>
        <outline val="0"/>
        <shadow val="0"/>
        <vertAlign val="baseline"/>
        <sz val="12"/>
        <color auto="1"/>
        <name val="Calibri"/>
        <scheme val="minor"/>
      </font>
      <numFmt numFmtId="164" formatCode=";;;"/>
      <fill>
        <patternFill patternType="none">
          <fgColor indexed="64"/>
          <bgColor auto="1"/>
        </patternFill>
      </fill>
      <alignment horizontal="center" vertical="center"/>
      <protection locked="0" hidden="0"/>
    </dxf>
    <dxf>
      <font>
        <strike val="0"/>
        <condense val="0"/>
        <extend val="0"/>
        <outline val="0"/>
        <shadow val="0"/>
        <vertAlign val="baseline"/>
        <sz val="12"/>
        <color auto="1"/>
        <name val="Calibri"/>
        <scheme val="minor"/>
      </font>
      <fill>
        <patternFill patternType="none">
          <fgColor indexed="64"/>
          <bgColor auto="1"/>
        </patternFill>
      </fill>
      <alignment horizontal="center" vertical="center"/>
      <protection locked="0"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0" formatCode="General"/>
      <fill>
        <patternFill patternType="none">
          <fgColor indexed="64"/>
          <bgColor auto="1"/>
        </patternFill>
      </fill>
      <alignment horizontal="left" vertical="center"/>
      <protection locked="1" hidden="0"/>
    </dxf>
    <dxf>
      <font>
        <strike val="0"/>
        <outline val="0"/>
        <shadow val="0"/>
        <vertAlign val="baseline"/>
        <sz val="12"/>
        <color theme="1"/>
        <name val="Calibri"/>
        <scheme val="minor"/>
      </font>
      <fill>
        <patternFill patternType="none">
          <fgColor indexed="64"/>
          <bgColor auto="1"/>
        </patternFill>
      </fill>
    </dxf>
    <dxf>
      <font>
        <b val="0"/>
        <strike val="0"/>
        <outline val="0"/>
        <shadow val="0"/>
        <vertAlign val="baseline"/>
        <sz val="12"/>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strike val="0"/>
        <outline val="0"/>
        <shadow val="0"/>
        <vertAlign val="baseline"/>
        <sz val="12"/>
        <color rgb="FF000000"/>
        <name val="Calibri"/>
      </font>
      <fill>
        <patternFill>
          <fgColor indexed="64"/>
          <bgColor theme="0"/>
        </patternFill>
      </fill>
      <alignment horizontal="center" vertical="center"/>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protection locked="1" hidden="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219075</xdr:colOff>
          <xdr:row>2</xdr:row>
          <xdr:rowOff>200025</xdr:rowOff>
        </xdr:from>
        <xdr:to>
          <xdr:col>9</xdr:col>
          <xdr:colOff>447675</xdr:colOff>
          <xdr:row>4</xdr:row>
          <xdr:rowOff>333375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ea typeface="Calibri"/>
                  <a:cs typeface="Calibri"/>
                </a:rPr>
                <a:t>Update Team Numbers</a:t>
              </a:r>
            </a:p>
            <a:p>
              <a:pPr algn="ctr" rtl="0">
                <a:defRPr sz="1000"/>
              </a:pPr>
              <a:r>
                <a:rPr lang="en-US" sz="1400" b="0" i="0" u="none" strike="noStrike" baseline="0">
                  <a:solidFill>
                    <a:srgbClr val="000000"/>
                  </a:solidFill>
                  <a:latin typeface="Calibri"/>
                  <a:ea typeface="Calibri"/>
                  <a:cs typeface="Calibri"/>
                </a:rPr>
                <a:t>(Adds/Deletes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123825</xdr:colOff>
          <xdr:row>7</xdr:row>
          <xdr:rowOff>466725</xdr:rowOff>
        </xdr:from>
        <xdr:to>
          <xdr:col>9</xdr:col>
          <xdr:colOff>552450</xdr:colOff>
          <xdr:row>10</xdr:row>
          <xdr:rowOff>38100</xdr:rowOff>
        </xdr:to>
        <xdr:sp macro="" textlink="">
          <xdr:nvSpPr>
            <xdr:cNvPr id="2051" name="CommandButton1"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371475</xdr:colOff>
          <xdr:row>6</xdr:row>
          <xdr:rowOff>28575</xdr:rowOff>
        </xdr:from>
        <xdr:to>
          <xdr:col>8</xdr:col>
          <xdr:colOff>247650</xdr:colOff>
          <xdr:row>9</xdr:row>
          <xdr:rowOff>142875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C2:F15" totalsRowShown="0" headerRowDxfId="167" dataDxfId="106">
  <autoFilter ref="C2:F15" xr:uid="{00000000-0009-0000-0100-000001000000}"/>
  <sortState xmlns:xlrd2="http://schemas.microsoft.com/office/spreadsheetml/2017/richdata2" ref="C3:F15">
    <sortCondition ref="C3:C15"/>
  </sortState>
  <tableColumns count="4">
    <tableColumn id="1" xr3:uid="{00000000-0010-0000-0000-000001000000}" name="Team Number" dataDxfId="29"/>
    <tableColumn id="2" xr3:uid="{00000000-0010-0000-0000-000002000000}" name="Team Name" dataDxfId="27"/>
    <tableColumn id="3" xr3:uid="{00000000-0010-0000-0000-000003000000}" name="Coach" dataDxfId="28"/>
    <tableColumn id="4" xr3:uid="{00000000-0010-0000-0000-000004000000}" name="Pod Number" dataDxfId="10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3" totalsRowShown="0" headerRowDxfId="166" dataDxfId="165">
  <autoFilter ref="A1:C13" xr:uid="{00000000-0009-0000-0100-000002000000}"/>
  <tableColumns count="3">
    <tableColumn id="1" xr3:uid="{00000000-0010-0000-0100-000001000000}" name="Key" dataDxfId="164"/>
    <tableColumn id="2" xr3:uid="{00000000-0010-0000-0100-000002000000}" name="Value" dataDxfId="163"/>
    <tableColumn id="3" xr3:uid="{00000000-0010-0000-0100-000003000000}" name="Comment" dataDxfId="16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7" totalsRowShown="0">
  <autoFilter ref="A1:A7" xr:uid="{935E6FC7-ABB3-44EF-8F9A-EBF699B1222F}"/>
  <tableColumns count="1">
    <tableColumn id="1" xr3:uid="{CE237E0F-E5C9-450C-B71B-1C7768DD5AEC}" name="Awar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V15" totalsRowShown="0" headerRowDxfId="161" dataDxfId="90" headerRowBorderDxfId="160">
  <autoFilter ref="A2:V15" xr:uid="{00000000-0009-0000-0100-000003000000}"/>
  <sortState xmlns:xlrd2="http://schemas.microsoft.com/office/spreadsheetml/2017/richdata2" ref="A3:V15">
    <sortCondition ref="A3:A15"/>
  </sortState>
  <tableColumns count="22">
    <tableColumn id="1" xr3:uid="{00000000-0010-0000-0200-000001000000}" name="Team Number" dataDxfId="26"/>
    <tableColumn id="2" xr3:uid="{00000000-0010-0000-0200-000002000000}" name="Team Name" dataDxfId="105">
      <calculatedColumnFormula>INDEX(OfficialTeamList[Team Name],MATCH(TournamentData[[#This Row],[Team Number]], OfficialTeamList[Team Number],0))</calculatedColumnFormula>
    </tableColumn>
    <tableColumn id="6" xr3:uid="{00000000-0010-0000-0200-000006000000}" name="Robot Game Score 1" dataDxfId="104">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03">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02">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01">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0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3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38">
      <calculatedColumnFormula>_xlfn.RANK.EQ(TournamentData[[#This Row],[Max Robot Game Score]],TournamentData[Max Robot Game Score])</calculatedColumnFormula>
    </tableColumn>
    <tableColumn id="3" xr3:uid="{00000000-0010-0000-0200-000003000000}" name="Core Values Rank" dataDxfId="36">
      <calculatedColumnFormula>INDEX(CoreValuesResults[Core Values Rank],MATCH(TournamentData[[#This Row],[Team Number]],CoreValuesResults[Team Number],0))</calculatedColumnFormula>
    </tableColumn>
    <tableColumn id="4" xr3:uid="{00000000-0010-0000-0200-000004000000}" name="Innovation Project Rank" dataDxfId="35">
      <calculatedColumnFormula>INDEX(InnovationProjectResults[Innovation Project Rank],MATCH(TournamentData[[#This Row],[Team Number]],InnovationProjectResults[Team Number],0))</calculatedColumnFormula>
    </tableColumn>
    <tableColumn id="5" xr3:uid="{00000000-0010-0000-0200-000005000000}" name="Robot Design Rank" dataDxfId="34">
      <calculatedColumnFormula>INDEX(RobotDesignResults[Robot Design Rank],MATCH(TournamentData[[#This Row],[Team Number]],RobotDesignResults[Team Number],0))</calculatedColumnFormula>
    </tableColumn>
    <tableColumn id="14" xr3:uid="{00000000-0010-0000-0200-00000E000000}" name="Champion's Score" dataDxfId="33">
      <calculatedColumnFormula>SUM(TournamentData[[#This Row],[Robot Game Rank]:[Robot Design Rank]])</calculatedColumnFormula>
    </tableColumn>
    <tableColumn id="11" xr3:uid="{00000000-0010-0000-0200-00000B000000}" name="Champion's Rank" dataDxfId="99">
      <calculatedColumnFormula>RANK(TournamentData[[#This Row],[Champion''s Score]],TournamentData[Champion''s Score],0)</calculatedColumnFormula>
    </tableColumn>
    <tableColumn id="12" xr3:uid="{00000000-0010-0000-0200-00000C000000}" name="Award" dataDxfId="98"/>
    <tableColumn id="21" xr3:uid="{00000000-0010-0000-0200-000015000000}" name="Advance?" dataDxfId="97"/>
    <tableColumn id="28" xr3:uid="{00000000-0010-0000-0200-00001C000000}" name="Core Values Score" dataDxfId="96">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95">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94">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93">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92">
      <calculatedColumnFormula>IF(T3,_xlfn.RANK.EQ(T3,T$3:T$17,0),NumberOfTeams)</calculatedColumnFormula>
    </tableColumn>
    <tableColumn id="20" xr3:uid="{00000000-0010-0000-0200-000014000000}" name="Comments" dataDxfId="9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4" totalsRowShown="0" headerRowDxfId="43" dataDxfId="42" headerRowBorderDxfId="41">
  <autoFilter ref="A1:F14" xr:uid="{00000000-0009-0000-0100-000004000000}"/>
  <sortState xmlns:xlrd2="http://schemas.microsoft.com/office/spreadsheetml/2017/richdata2" ref="A2:F14">
    <sortCondition ref="A2:A14"/>
  </sortState>
  <tableColumns count="6">
    <tableColumn id="2" xr3:uid="{00000000-0010-0000-0300-000002000000}" name="Team Number" dataDxfId="25"/>
    <tableColumn id="9" xr3:uid="{00000000-0010-0000-0300-000009000000}" name="Team Name" dataDxfId="40">
      <calculatedColumnFormula>INDEX(OfficialTeamList[Team Name],MATCH(RobotGameScores[[#This Row],[Team Number]], OfficialTeamList[Team Number],0))</calculatedColumnFormula>
    </tableColumn>
    <tableColumn id="3" xr3:uid="{00000000-0010-0000-0300-000003000000}" name="Robot Game 1 Score" dataDxfId="32"/>
    <tableColumn id="4" xr3:uid="{00000000-0010-0000-0300-000004000000}" name="Robot Game 2 Score" dataDxfId="31"/>
    <tableColumn id="5" xr3:uid="{00000000-0010-0000-0300-000005000000}" name="Robot Game 3 Score" dataDxfId="30"/>
    <tableColumn id="8" xr3:uid="{00000000-0010-0000-0300-000008000000}" name="Highest Robot Game Score" dataDxfId="39">
      <calculatedColumnFormula>MAX(C2:E2)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N14" totalsRowShown="0" headerRowDxfId="159" dataDxfId="158">
  <autoFilter ref="A1:N14" xr:uid="{00000000-0009-0000-0100-000005000000}"/>
  <sortState xmlns:xlrd2="http://schemas.microsoft.com/office/spreadsheetml/2017/richdata2" ref="A2:N14">
    <sortCondition ref="A2:A14"/>
  </sortState>
  <tableColumns count="14">
    <tableColumn id="1" xr3:uid="{00000000-0010-0000-0400-000001000000}" name="Team Number" dataDxfId="24"/>
    <tableColumn id="2" xr3:uid="{00000000-0010-0000-0400-000002000000}" name="Team Name" dataDxfId="89">
      <calculatedColumnFormula>INDEX(OfficialTeamList[Team Name],MATCH(InnovationProjectResults[[#This Row],[Team Number]], OfficialTeamList[Team Number],0))</calculatedColumnFormula>
    </tableColumn>
    <tableColumn id="3" xr3:uid="{00000000-0010-0000-0400-000003000000}" name="Identify - Define" dataDxfId="88"/>
    <tableColumn id="4" xr3:uid="{00000000-0010-0000-0400-000004000000}" name="Identify - Research (CV)" dataDxfId="87"/>
    <tableColumn id="5" xr3:uid="{00000000-0010-0000-0400-000005000000}" name="Design - Plan" dataDxfId="86"/>
    <tableColumn id="7" xr3:uid="{00000000-0010-0000-0400-000007000000}" name="Design - Teamwork (CV)" dataDxfId="85"/>
    <tableColumn id="10" xr3:uid="{00000000-0010-0000-0400-00000A000000}" name="Create - Innovation (CV)" dataDxfId="84"/>
    <tableColumn id="8" xr3:uid="{00000000-0010-0000-0400-000008000000}" name="Create - Model" dataDxfId="83"/>
    <tableColumn id="9" xr3:uid="{00000000-0010-0000-0400-000009000000}" name="Iterate - Sharing" dataDxfId="82"/>
    <tableColumn id="11" xr3:uid="{00000000-0010-0000-0400-00000B000000}" name="Iterate - Improvement" dataDxfId="81"/>
    <tableColumn id="12" xr3:uid="{00000000-0010-0000-0400-00000C000000}" name="Communicate - Impact (CV)" dataDxfId="80"/>
    <tableColumn id="13" xr3:uid="{00000000-0010-0000-0400-00000D000000}" name="Communicate - Fun (CV)" dataDxfId="79"/>
    <tableColumn id="19" xr3:uid="{00000000-0010-0000-0400-000013000000}" name="Innovation Project Score" dataDxfId="78">
      <calculatedColumnFormula>SUM(InnovationProjectResults[[#This Row],[Identify - Define]:[Communicate - Fun (CV)]])</calculatedColumnFormula>
    </tableColumn>
    <tableColumn id="20" xr3:uid="{00000000-0010-0000-0400-000014000000}" name="Innovation Project Rank" dataDxfId="77">
      <calculatedColumnFormula>IF(InnovationProjectResults[[#This Row],[Team Number]]&gt;0,MIN(_xlfn.RANK.EQ(InnovationProjectResults[[#This Row],[Innovation Project Score]],InnovationProjectResults[Innovation Project Score],0),NumberOfTeams),NumberOfTeams+1)</calculatedColumnFormula>
    </tableColumn>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N14" totalsRowShown="0" headerRowDxfId="157" dataDxfId="63">
  <autoFilter ref="A1:N14" xr:uid="{00000000-0009-0000-0100-000006000000}"/>
  <sortState xmlns:xlrd2="http://schemas.microsoft.com/office/spreadsheetml/2017/richdata2" ref="A2:N14">
    <sortCondition ref="A2:A14"/>
  </sortState>
  <tableColumns count="14">
    <tableColumn id="1" xr3:uid="{00000000-0010-0000-0500-000001000000}" name="Team Number" dataDxfId="23"/>
    <tableColumn id="2" xr3:uid="{00000000-0010-0000-0500-000002000000}" name="Team Name" dataDxfId="76">
      <calculatedColumnFormula>INDEX(OfficialTeamList[Team Name],MATCH(RobotDesignResults[[#This Row],[Team Number]], OfficialTeamList[Team Number],0))</calculatedColumnFormula>
    </tableColumn>
    <tableColumn id="3" xr3:uid="{00000000-0010-0000-0500-000003000000}" name="Identify - Strategy" dataDxfId="75"/>
    <tableColumn id="4" xr3:uid="{00000000-0010-0000-0500-000004000000}" name="Identify - Research (CV)" dataDxfId="74"/>
    <tableColumn id="5" xr3:uid="{00000000-0010-0000-0500-000005000000}" name="Design - Ideas (CV)" dataDxfId="73"/>
    <tableColumn id="7" xr3:uid="{00000000-0010-0000-0500-000007000000}" name="Design - Building/Coding" dataDxfId="72"/>
    <tableColumn id="6" xr3:uid="{00000000-0010-0000-0500-000006000000}" name="Create - Attachments" dataDxfId="71"/>
    <tableColumn id="8" xr3:uid="{00000000-0010-0000-0500-000008000000}" name="Create - Code/ Sensors" dataDxfId="70"/>
    <tableColumn id="9" xr3:uid="{00000000-0010-0000-0500-000009000000}" name="Iterate - Testing" dataDxfId="69"/>
    <tableColumn id="11" xr3:uid="{00000000-0010-0000-0500-00000B000000}" name="Iterate - Improvements (CV)" dataDxfId="68"/>
    <tableColumn id="12" xr3:uid="{00000000-0010-0000-0500-00000C000000}" name="Communicate - Impact (CV)" dataDxfId="67"/>
    <tableColumn id="13" xr3:uid="{00000000-0010-0000-0500-00000D000000}" name="Communicate - Fun (CV)" dataDxfId="66"/>
    <tableColumn id="19" xr3:uid="{00000000-0010-0000-0500-000013000000}" name="Robot Design Score" dataDxfId="65">
      <calculatedColumnFormula>SUM(RobotDesignResults[[#This Row],[Identify - Strategy]:[Communicate - Fun (CV)]])</calculatedColumnFormula>
    </tableColumn>
    <tableColumn id="20" xr3:uid="{00000000-0010-0000-0500-000014000000}" name="Robot Design Rank" dataDxfId="64">
      <calculatedColumnFormula>IF(RobotDesignResults[[#This Row],[Team Number]]&gt;0,MIN(_xlfn.RANK.EQ(RobotDesignResults[[#This Row],[Robot Design Score]],RobotDesignResults[Robot Design Score],0),NumberOfTeams),NumberOfTeams+1)</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S14" totalsRowShown="0" headerRowDxfId="156" dataDxfId="45">
  <autoFilter ref="A1:S14" xr:uid="{00000000-0009-0000-0100-000007000000}"/>
  <sortState xmlns:xlrd2="http://schemas.microsoft.com/office/spreadsheetml/2017/richdata2" ref="A2:S14">
    <sortCondition ref="A2:A14"/>
  </sortState>
  <tableColumns count="19">
    <tableColumn id="1" xr3:uid="{00000000-0010-0000-0600-000001000000}" name="Team Number" dataDxfId="22"/>
    <tableColumn id="2" xr3:uid="{00000000-0010-0000-0600-000002000000}" name="Team Name" dataDxfId="62">
      <calculatedColumnFormula>INDEX(OfficialTeamList[Team Name],MATCH(CoreValuesResults[[#This Row],[Team Number]], OfficialTeamList[Team Number],0))</calculatedColumnFormula>
    </tableColumn>
    <tableColumn id="3" xr3:uid="{00000000-0010-0000-0600-000003000000}" name="Identify - Research (CV-IP)" dataDxfId="61">
      <calculatedColumnFormula>INDEX(InnovationProjectResults[Identify - Research (CV)],MATCH(CoreValuesResults[[#This Row],[Team Number]],InnovationProjectResults[Team Number],0))</calculatedColumnFormula>
    </tableColumn>
    <tableColumn id="4" xr3:uid="{00000000-0010-0000-0600-000004000000}" name="Design - Teamwork (CV-IP)" dataDxfId="60">
      <calculatedColumnFormula>INDEX(InnovationProjectResults[Design - Teamwork (CV)],MATCH(CoreValuesResults[[#This Row],[Team Number]],InnovationProjectResults[Team Number],0))</calculatedColumnFormula>
    </tableColumn>
    <tableColumn id="5" xr3:uid="{00000000-0010-0000-0600-000005000000}" name="Create - Innovation (CV-IP)" dataDxfId="59">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58">
      <calculatedColumnFormula>INDEX(InnovationProjectResults[Communicate - Impact (CV)],MATCH(CoreValuesResults[[#This Row],[Team Number]],InnovationProjectResults[Team Number],0))</calculatedColumnFormula>
    </tableColumn>
    <tableColumn id="12" xr3:uid="{00000000-0010-0000-0600-00000C000000}" name="Communicate - Fun (CV-IP)" dataDxfId="57">
      <calculatedColumnFormula>INDEX(InnovationProjectResults[Communicate - Fun (CV)],MATCH(CoreValuesResults[[#This Row],[Team Number]],InnovationProjectResults[Team Number],0))</calculatedColumnFormula>
    </tableColumn>
    <tableColumn id="22" xr3:uid="{00000000-0010-0000-0600-000016000000}" name="Identify - Research (CV-RD)" dataDxfId="56">
      <calculatedColumnFormula>INDEX(RobotDesignResults[Identify - Research (CV)],MATCH(CoreValuesResults[[#This Row],[Team Number]],RobotDesignResults[Team Number],0))</calculatedColumnFormula>
    </tableColumn>
    <tableColumn id="25" xr3:uid="{00000000-0010-0000-0600-000019000000}" name="Design - Ideas (CV-RD)" dataDxfId="55">
      <calculatedColumnFormula>INDEX(RobotDesignResults[Design - Ideas (CV)],MATCH(CoreValuesResults[[#This Row],[Team Number]],RobotDesignResults[Team Number],0))</calculatedColumnFormula>
    </tableColumn>
    <tableColumn id="24" xr3:uid="{00000000-0010-0000-0600-000018000000}" name="Iterate - Improvements (CV-RD)" dataDxfId="54">
      <calculatedColumnFormula>INDEX(RobotDesignResults[Iterate - Improvements (CV)],MATCH(CoreValuesResults[[#This Row],[Team Number]],RobotDesignResults[Team Number],0))</calculatedColumnFormula>
    </tableColumn>
    <tableColumn id="23" xr3:uid="{00000000-0010-0000-0600-000017000000}" name="Communicate - Impact (CV-RD)" dataDxfId="53">
      <calculatedColumnFormula>INDEX(RobotDesignResults[Communicate - Impact (CV)],MATCH(CoreValuesResults[[#This Row],[Team Number]],RobotDesignResults[Team Number],0))</calculatedColumnFormula>
    </tableColumn>
    <tableColumn id="13" xr3:uid="{00000000-0010-0000-0600-00000D000000}" name="Communicate - Fun (CV-RD)" dataDxfId="52">
      <calculatedColumnFormula>INDEX(RobotDesignResults[Communicate - Fun (CV)],MATCH(CoreValuesResults[[#This Row],[Team Number]],RobotDesignResults[Team Number],0))</calculatedColumnFormula>
    </tableColumn>
    <tableColumn id="7" xr3:uid="{00000000-0010-0000-0600-000007000000}" name="Gracious Professionalism 1" dataDxfId="51"/>
    <tableColumn id="8" xr3:uid="{00000000-0010-0000-0600-000008000000}" name="Gracious Professionalism 2" dataDxfId="50"/>
    <tableColumn id="6" xr3:uid="{00000000-0010-0000-0600-000006000000}" name="Gracious Professionalism 3" dataDxfId="49"/>
    <tableColumn id="14" xr3:uid="{00000000-0010-0000-0600-00000E000000}" name="Gracious Professionalism Total" dataDxfId="44">
      <calculatedColumnFormula>SUM(CoreValuesResults[[#This Row],[Gracious Professionalism 1]:[Gracious Professionalism 3]])</calculatedColumnFormula>
    </tableColumn>
    <tableColumn id="18" xr3:uid="{00000000-0010-0000-0600-000012000000}" name="Gracious Professionalism Score" dataDxfId="48"/>
    <tableColumn id="19" xr3:uid="{00000000-0010-0000-0600-000013000000}" name="Core Values Score" dataDxfId="47">
      <calculatedColumnFormula>SUM(CoreValuesResults[[#This Row],[Identify - Research (CV-IP)]:[Communicate - Fun (CV-RD)]],CoreValuesResults[[#This Row],[Gracious Professionalism Score]])</calculatedColumnFormula>
    </tableColumn>
    <tableColumn id="20" xr3:uid="{00000000-0010-0000-0600-000014000000}" name="Core Values Rank" dataDxfId="46">
      <calculatedColumnFormula>IF(CoreValuesResults[[#This Row],[Team Number]]&gt;0,MIN(_xlfn.RANK.EQ(CoreValuesResults[[#This Row],[Core Values Score]],CoreValuesResults[Core Values Score],0),NumberOfTeams),NumberOfTeams+1)</calculatedColumnFormula>
    </tableColumn>
  </tableColumns>
  <tableStyleInfo name="TableStyleMedium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155" dataDxfId="154">
  <autoFilter ref="B3:E18" xr:uid="{00000000-0009-0000-0100-000008000000}"/>
  <tableColumns count="4">
    <tableColumn id="1" xr3:uid="{00000000-0010-0000-0700-000001000000}" name="Team Number" dataDxfId="153"/>
    <tableColumn id="2" xr3:uid="{00000000-0010-0000-0700-000002000000}" name="Team Name" dataDxfId="152">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151">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150"/>
  </tableColumns>
  <tableStyleInfo name="TableStyleMedium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149" dataDxfId="148">
  <autoFilter ref="G3:J18" xr:uid="{00000000-0009-0000-0100-000009000000}"/>
  <tableColumns count="4">
    <tableColumn id="1" xr3:uid="{00000000-0010-0000-0800-000001000000}" name="Team Number" dataDxfId="147"/>
    <tableColumn id="2" xr3:uid="{00000000-0010-0000-0800-000002000000}" name="Team Name" dataDxfId="146">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145">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144"/>
  </tableColumns>
  <tableStyleInfo name="TableStyleMedium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143" dataDxfId="142">
  <autoFilter ref="B21:E36" xr:uid="{00000000-0009-0000-0100-00000A000000}"/>
  <tableColumns count="4">
    <tableColumn id="1" xr3:uid="{00000000-0010-0000-0900-000001000000}" name="Team Number" dataDxfId="141"/>
    <tableColumn id="2" xr3:uid="{00000000-0010-0000-0900-000002000000}" name="Team Name" dataDxfId="140">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139">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138"/>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137" dataDxfId="136">
  <autoFilter ref="G21:J36" xr:uid="{00000000-0009-0000-0100-00000B000000}"/>
  <tableColumns count="4">
    <tableColumn id="1" xr3:uid="{00000000-0010-0000-0A00-000001000000}" name="Team Number" dataDxfId="135"/>
    <tableColumn id="2" xr3:uid="{00000000-0010-0000-0A00-000002000000}" name="Team Name" dataDxfId="134">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133">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132"/>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131" dataDxfId="130">
  <autoFilter ref="L21:O36" xr:uid="{00000000-0009-0000-0100-00000C000000}"/>
  <tableColumns count="4">
    <tableColumn id="1" xr3:uid="{00000000-0010-0000-0B00-000001000000}" name="Team Number" dataDxfId="129"/>
    <tableColumn id="2" xr3:uid="{00000000-0010-0000-0B00-000002000000}" name="Team Name" dataDxfId="128">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27">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26"/>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25" dataDxfId="124">
  <autoFilter ref="B39:E54" xr:uid="{00000000-0009-0000-0100-00000D000000}"/>
  <tableColumns count="4">
    <tableColumn id="1" xr3:uid="{00000000-0010-0000-0C00-000001000000}" name="Team Number" dataDxfId="123"/>
    <tableColumn id="2" xr3:uid="{00000000-0010-0000-0C00-000002000000}" name="Team Name" dataDxfId="122">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21">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0"/>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9" dataDxfId="118">
  <autoFilter ref="G39:J54" xr:uid="{00000000-0009-0000-0100-00000E000000}"/>
  <tableColumns count="4">
    <tableColumn id="1" xr3:uid="{00000000-0010-0000-0D00-000001000000}" name="Team Number" dataDxfId="117"/>
    <tableColumn id="2" xr3:uid="{00000000-0010-0000-0D00-000002000000}" name="Team Name" dataDxfId="116">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115">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114"/>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113" dataDxfId="112">
  <autoFilter ref="L39:O54" xr:uid="{00000000-0009-0000-0100-00000F000000}"/>
  <tableColumns count="4">
    <tableColumn id="1" xr3:uid="{00000000-0010-0000-0E00-000001000000}" name="Team Number" dataDxfId="111"/>
    <tableColumn id="2" xr3:uid="{00000000-0010-0000-0E00-000002000000}" name="Team Name" dataDxfId="110">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09">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108"/>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table" Target="../tables/table9.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S24"/>
  <sheetViews>
    <sheetView zoomScale="40" zoomScaleNormal="40" workbookViewId="0">
      <selection activeCell="BL6" sqref="BL6"/>
    </sheetView>
  </sheetViews>
  <sheetFormatPr defaultColWidth="9.140625" defaultRowHeight="39.950000000000003" customHeight="1" x14ac:dyDescent="0.25"/>
  <cols>
    <col min="1" max="1" width="9.140625" style="37" customWidth="1"/>
    <col min="2" max="34" width="9.140625" style="38" customWidth="1"/>
    <col min="35" max="16384" width="9.140625" style="38"/>
  </cols>
  <sheetData>
    <row r="1" spans="1:44" ht="45.6" customHeight="1" x14ac:dyDescent="0.25">
      <c r="A1" s="99"/>
      <c r="B1" s="87"/>
      <c r="C1" s="87"/>
      <c r="D1" s="87"/>
      <c r="E1" s="87"/>
      <c r="F1" s="87"/>
      <c r="G1" s="87"/>
      <c r="H1" s="87"/>
      <c r="I1" s="87"/>
      <c r="J1" s="87"/>
      <c r="K1" s="87"/>
      <c r="W1" s="97" t="s">
        <v>0</v>
      </c>
      <c r="X1" s="87"/>
      <c r="Y1" s="87"/>
      <c r="Z1" s="87"/>
      <c r="AA1" s="87"/>
      <c r="AB1" s="87"/>
      <c r="AC1" s="87"/>
      <c r="AD1" s="87"/>
      <c r="AE1" s="87"/>
      <c r="AF1" s="87"/>
      <c r="AG1" s="87"/>
      <c r="AH1" s="87"/>
      <c r="AI1" s="87"/>
      <c r="AJ1" s="87"/>
      <c r="AK1" s="87"/>
      <c r="AL1" s="87"/>
      <c r="AM1" s="87"/>
      <c r="AN1" s="87"/>
    </row>
    <row r="2" spans="1:44" ht="45.6" customHeight="1" x14ac:dyDescent="0.25">
      <c r="A2" s="99"/>
      <c r="B2" s="87"/>
      <c r="C2" s="87"/>
      <c r="D2" s="87"/>
      <c r="E2" s="87"/>
      <c r="F2" s="87"/>
      <c r="G2" s="87"/>
      <c r="H2" s="87"/>
      <c r="I2" s="87"/>
      <c r="J2" s="87"/>
      <c r="K2" s="87"/>
      <c r="W2" s="87"/>
      <c r="X2" s="87"/>
      <c r="Y2" s="87"/>
      <c r="Z2" s="87"/>
      <c r="AA2" s="87"/>
      <c r="AB2" s="87"/>
      <c r="AC2" s="87"/>
      <c r="AD2" s="87"/>
      <c r="AE2" s="87"/>
      <c r="AF2" s="87"/>
      <c r="AG2" s="87"/>
      <c r="AH2" s="87"/>
      <c r="AI2" s="87"/>
      <c r="AJ2" s="87"/>
      <c r="AK2" s="87"/>
      <c r="AL2" s="87"/>
      <c r="AM2" s="87"/>
      <c r="AN2" s="87"/>
    </row>
    <row r="3" spans="1:44" ht="45.6" customHeight="1" x14ac:dyDescent="0.25">
      <c r="W3" s="87"/>
      <c r="X3" s="87"/>
      <c r="Y3" s="87"/>
      <c r="Z3" s="87"/>
      <c r="AA3" s="87"/>
      <c r="AB3" s="87"/>
      <c r="AC3" s="87"/>
      <c r="AD3" s="87"/>
      <c r="AE3" s="87"/>
      <c r="AF3" s="87"/>
      <c r="AG3" s="87"/>
      <c r="AH3" s="87"/>
      <c r="AI3" s="87"/>
      <c r="AJ3" s="87"/>
      <c r="AK3" s="87"/>
      <c r="AL3" s="87"/>
      <c r="AM3" s="87"/>
      <c r="AN3" s="87"/>
    </row>
    <row r="4" spans="1:44" ht="47.1" customHeight="1" x14ac:dyDescent="0.25">
      <c r="D4" s="42" t="s">
        <v>1</v>
      </c>
      <c r="E4" s="98" t="s">
        <v>2</v>
      </c>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row>
    <row r="5" spans="1:44" ht="48" customHeight="1" x14ac:dyDescent="0.25">
      <c r="D5" s="41"/>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row>
    <row r="6" spans="1:44" ht="30" customHeight="1" x14ac:dyDescent="0.25">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row>
    <row r="7" spans="1:44" ht="39.950000000000003" customHeight="1" x14ac:dyDescent="0.25">
      <c r="D7" s="42" t="s">
        <v>3</v>
      </c>
      <c r="E7" s="98" t="s">
        <v>4</v>
      </c>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row>
    <row r="8" spans="1:44" ht="39.950000000000003" customHeight="1" x14ac:dyDescent="0.25">
      <c r="D8" s="39"/>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row>
    <row r="9" spans="1:44" ht="61.15" customHeight="1" x14ac:dyDescent="0.25">
      <c r="D9" s="39"/>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row>
    <row r="10" spans="1:44" s="56" customFormat="1" ht="61.9" customHeight="1" x14ac:dyDescent="0.25">
      <c r="A10" s="55"/>
      <c r="D10" s="57"/>
      <c r="F10" s="85" t="s">
        <v>5</v>
      </c>
      <c r="G10" s="86"/>
      <c r="H10" s="86"/>
      <c r="I10" s="86"/>
      <c r="J10" s="86"/>
      <c r="K10" s="86"/>
      <c r="L10" s="86"/>
      <c r="M10" s="86"/>
      <c r="N10" s="86"/>
      <c r="O10" s="86"/>
      <c r="P10" s="86"/>
      <c r="Q10" s="86"/>
      <c r="R10" s="86"/>
      <c r="S10" s="86"/>
      <c r="T10" s="86"/>
      <c r="U10" s="86"/>
      <c r="V10" s="86"/>
      <c r="W10" s="86"/>
      <c r="X10" s="86"/>
      <c r="Y10" s="86"/>
      <c r="Z10" s="86"/>
      <c r="AA10" s="86"/>
      <c r="AB10" s="86"/>
      <c r="AC10" s="86"/>
      <c r="AD10" s="86"/>
      <c r="AE10" s="86"/>
      <c r="AF10" s="86"/>
      <c r="AG10" s="86"/>
      <c r="AH10" s="86"/>
      <c r="AI10" s="86"/>
      <c r="AJ10" s="86"/>
      <c r="AK10" s="86"/>
      <c r="AL10" s="86"/>
      <c r="AM10" s="86"/>
      <c r="AN10" s="86"/>
      <c r="AO10" s="86"/>
      <c r="AP10" s="86"/>
      <c r="AQ10" s="86"/>
    </row>
    <row r="11" spans="1:44" s="56" customFormat="1" ht="20.45" customHeight="1" x14ac:dyDescent="0.25">
      <c r="A11" s="55"/>
      <c r="D11" s="57"/>
      <c r="F11" s="58"/>
    </row>
    <row r="12" spans="1:44" ht="46.35" customHeight="1" x14ac:dyDescent="0.25">
      <c r="D12" s="42" t="s">
        <v>6</v>
      </c>
      <c r="E12" s="98" t="s">
        <v>7</v>
      </c>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row>
    <row r="13" spans="1:44" ht="52.9" customHeight="1" x14ac:dyDescent="0.25">
      <c r="D13" s="39"/>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row>
    <row r="14" spans="1:44" ht="60" customHeight="1" x14ac:dyDescent="0.25">
      <c r="D14" s="39"/>
      <c r="F14" s="85" t="s">
        <v>8</v>
      </c>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row>
    <row r="15" spans="1:44" ht="1.9" customHeight="1" x14ac:dyDescent="0.25">
      <c r="D15" s="39"/>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row>
    <row r="16" spans="1:44" ht="20.45" customHeight="1" x14ac:dyDescent="0.25">
      <c r="D16" s="39"/>
      <c r="F16" s="64"/>
    </row>
    <row r="17" spans="2:45" ht="47.45" customHeight="1" x14ac:dyDescent="0.25">
      <c r="D17" s="42" t="s">
        <v>9</v>
      </c>
      <c r="E17" s="88" t="s">
        <v>10</v>
      </c>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row>
    <row r="18" spans="2:45" ht="30" customHeight="1" x14ac:dyDescent="0.25">
      <c r="D18" s="39"/>
    </row>
    <row r="19" spans="2:45" ht="39.950000000000003" customHeight="1" x14ac:dyDescent="0.25">
      <c r="D19" s="42" t="s">
        <v>11</v>
      </c>
      <c r="E19" s="88" t="s">
        <v>12</v>
      </c>
      <c r="F19" s="87"/>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row>
    <row r="20" spans="2:45" ht="30" customHeight="1" thickBot="1" x14ac:dyDescent="0.3">
      <c r="D20" s="42"/>
      <c r="E20" s="39"/>
    </row>
    <row r="21" spans="2:45" ht="39.950000000000003" customHeight="1" x14ac:dyDescent="0.25">
      <c r="B21" s="40" t="s">
        <v>13</v>
      </c>
      <c r="F21" s="101" t="s">
        <v>14</v>
      </c>
      <c r="G21" s="90"/>
      <c r="H21" s="90"/>
      <c r="I21" s="90"/>
      <c r="J21" s="90"/>
      <c r="K21" s="90"/>
      <c r="L21" s="90"/>
      <c r="M21" s="91"/>
      <c r="N21" s="60"/>
      <c r="O21" s="89" t="s">
        <v>15</v>
      </c>
      <c r="P21" s="90"/>
      <c r="Q21" s="90"/>
      <c r="R21" s="90"/>
      <c r="S21" s="90"/>
      <c r="T21" s="90"/>
      <c r="U21" s="90"/>
      <c r="V21" s="91"/>
      <c r="W21" s="60"/>
      <c r="X21" s="89" t="s">
        <v>16</v>
      </c>
      <c r="Y21" s="90"/>
      <c r="Z21" s="90"/>
      <c r="AA21" s="90"/>
      <c r="AB21" s="90"/>
      <c r="AC21" s="91"/>
      <c r="AD21" s="60"/>
      <c r="AE21" s="89" t="s">
        <v>17</v>
      </c>
      <c r="AF21" s="90"/>
      <c r="AG21" s="90"/>
      <c r="AH21" s="90"/>
      <c r="AI21" s="90"/>
      <c r="AJ21" s="90"/>
      <c r="AK21" s="90"/>
      <c r="AL21" s="90"/>
      <c r="AM21" s="90"/>
      <c r="AN21" s="90"/>
      <c r="AO21" s="90"/>
      <c r="AP21" s="90"/>
      <c r="AQ21" s="90"/>
      <c r="AR21" s="91"/>
    </row>
    <row r="22" spans="2:45" ht="49.35" customHeight="1" thickBot="1" x14ac:dyDescent="0.3">
      <c r="D22" s="39"/>
      <c r="F22" s="92"/>
      <c r="G22" s="87"/>
      <c r="H22" s="87"/>
      <c r="I22" s="87"/>
      <c r="J22" s="87"/>
      <c r="K22" s="87"/>
      <c r="L22" s="87"/>
      <c r="M22" s="93"/>
      <c r="N22" s="60"/>
      <c r="O22" s="92"/>
      <c r="P22" s="87"/>
      <c r="Q22" s="87"/>
      <c r="R22" s="87"/>
      <c r="S22" s="87"/>
      <c r="T22" s="87"/>
      <c r="U22" s="87"/>
      <c r="V22" s="93"/>
      <c r="W22" s="60"/>
      <c r="X22" s="92"/>
      <c r="Y22" s="87"/>
      <c r="Z22" s="87"/>
      <c r="AA22" s="87"/>
      <c r="AB22" s="87"/>
      <c r="AC22" s="93"/>
      <c r="AD22" s="60"/>
      <c r="AE22" s="94"/>
      <c r="AF22" s="95"/>
      <c r="AG22" s="95"/>
      <c r="AH22" s="95"/>
      <c r="AI22" s="95"/>
      <c r="AJ22" s="95"/>
      <c r="AK22" s="95"/>
      <c r="AL22" s="95"/>
      <c r="AM22" s="95"/>
      <c r="AN22" s="95"/>
      <c r="AO22" s="95"/>
      <c r="AP22" s="95"/>
      <c r="AQ22" s="95"/>
      <c r="AR22" s="96"/>
    </row>
    <row r="23" spans="2:45" ht="43.35" customHeight="1" x14ac:dyDescent="0.25">
      <c r="F23" s="100" t="s">
        <v>18</v>
      </c>
      <c r="G23" s="87"/>
      <c r="H23" s="87"/>
      <c r="I23" s="87"/>
      <c r="J23" s="87"/>
      <c r="K23" s="87"/>
      <c r="L23" s="87"/>
      <c r="M23" s="93"/>
      <c r="N23" s="60"/>
      <c r="O23" s="92"/>
      <c r="P23" s="87"/>
      <c r="Q23" s="87"/>
      <c r="R23" s="87"/>
      <c r="S23" s="87"/>
      <c r="T23" s="87"/>
      <c r="U23" s="87"/>
      <c r="V23" s="93"/>
      <c r="W23" s="60"/>
      <c r="X23" s="92"/>
      <c r="Y23" s="87"/>
      <c r="Z23" s="87"/>
      <c r="AA23" s="87"/>
      <c r="AB23" s="87"/>
      <c r="AC23" s="93"/>
      <c r="AD23" s="60"/>
      <c r="AE23" s="100" t="s">
        <v>19</v>
      </c>
      <c r="AF23" s="87"/>
      <c r="AG23" s="87"/>
      <c r="AH23" s="87"/>
      <c r="AI23" s="87"/>
      <c r="AJ23" s="87"/>
      <c r="AK23" s="87"/>
      <c r="AL23" s="87"/>
      <c r="AM23" s="87"/>
      <c r="AN23" s="87"/>
      <c r="AO23" s="87"/>
      <c r="AP23" s="87"/>
      <c r="AQ23" s="87"/>
      <c r="AR23" s="93"/>
    </row>
    <row r="24" spans="2:45" ht="39.6" customHeight="1" thickBot="1" x14ac:dyDescent="0.3">
      <c r="F24" s="94"/>
      <c r="G24" s="95"/>
      <c r="H24" s="95"/>
      <c r="I24" s="95"/>
      <c r="J24" s="95"/>
      <c r="K24" s="95"/>
      <c r="L24" s="95"/>
      <c r="M24" s="96"/>
      <c r="N24" s="60"/>
      <c r="O24" s="94"/>
      <c r="P24" s="95"/>
      <c r="Q24" s="95"/>
      <c r="R24" s="95"/>
      <c r="S24" s="95"/>
      <c r="T24" s="95"/>
      <c r="U24" s="95"/>
      <c r="V24" s="96"/>
      <c r="W24" s="60"/>
      <c r="X24" s="94"/>
      <c r="Y24" s="95"/>
      <c r="Z24" s="95"/>
      <c r="AA24" s="95"/>
      <c r="AB24" s="95"/>
      <c r="AC24" s="96"/>
      <c r="AD24" s="60"/>
      <c r="AE24" s="94"/>
      <c r="AF24" s="95"/>
      <c r="AG24" s="95"/>
      <c r="AH24" s="95"/>
      <c r="AI24" s="95"/>
      <c r="AJ24" s="95"/>
      <c r="AK24" s="95"/>
      <c r="AL24" s="95"/>
      <c r="AM24" s="95"/>
      <c r="AN24" s="95"/>
      <c r="AO24" s="95"/>
      <c r="AP24" s="95"/>
      <c r="AQ24" s="95"/>
      <c r="AR24" s="96"/>
    </row>
  </sheetData>
  <mergeCells count="15">
    <mergeCell ref="F10:AQ10"/>
    <mergeCell ref="F14:AR15"/>
    <mergeCell ref="E17:AQ17"/>
    <mergeCell ref="O21:V24"/>
    <mergeCell ref="W1:AN3"/>
    <mergeCell ref="E7:AQ9"/>
    <mergeCell ref="E19:AS19"/>
    <mergeCell ref="A1:K2"/>
    <mergeCell ref="E12:AQ13"/>
    <mergeCell ref="E4:AQ5"/>
    <mergeCell ref="F23:M24"/>
    <mergeCell ref="AE21:AR22"/>
    <mergeCell ref="AE23:AR24"/>
    <mergeCell ref="F21:M22"/>
    <mergeCell ref="X21:AC24"/>
  </mergeCells>
  <pageMargins left="0.7" right="0.7" top="0.75" bottom="0.75" header="0.3" footer="0.3"/>
  <pageSetup orientation="landscape" horizontalDpi="1200" verticalDpi="12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K15"/>
  <sheetViews>
    <sheetView zoomScaleNormal="100" workbookViewId="0">
      <selection activeCell="D6" sqref="D6"/>
    </sheetView>
  </sheetViews>
  <sheetFormatPr defaultColWidth="9.140625" defaultRowHeight="39.950000000000003" customHeight="1" x14ac:dyDescent="0.25"/>
  <cols>
    <col min="1" max="1" width="23.85546875" style="7" bestFit="1" customWidth="1"/>
    <col min="2" max="2" width="5.42578125" style="6" customWidth="1"/>
    <col min="3" max="3" width="23.85546875" style="6" bestFit="1" customWidth="1"/>
    <col min="4" max="4" width="69" style="6" customWidth="1"/>
    <col min="5" max="5" width="21.85546875" style="6" customWidth="1"/>
    <col min="6" max="6" width="21.5703125" style="6" bestFit="1" customWidth="1"/>
    <col min="7" max="10" width="9.140625" style="6" customWidth="1"/>
    <col min="11" max="16384" width="9.140625" style="6"/>
  </cols>
  <sheetData>
    <row r="1" spans="1:11" s="1" customFormat="1" ht="39.950000000000003" customHeight="1" x14ac:dyDescent="0.25">
      <c r="A1" s="7"/>
      <c r="B1" s="61"/>
      <c r="C1" s="104" t="s">
        <v>20</v>
      </c>
      <c r="D1" s="105"/>
      <c r="E1" s="105"/>
      <c r="F1" s="105"/>
      <c r="G1" s="61"/>
      <c r="H1" s="61"/>
      <c r="I1" s="83" t="s">
        <v>135</v>
      </c>
      <c r="J1" s="4"/>
      <c r="K1" s="4"/>
    </row>
    <row r="2" spans="1:11" s="2" customFormat="1" ht="39.950000000000003" customHeight="1" thickBot="1" x14ac:dyDescent="0.3">
      <c r="A2" s="7"/>
      <c r="B2" s="5"/>
      <c r="C2" s="8" t="s">
        <v>21</v>
      </c>
      <c r="D2" s="8" t="s">
        <v>22</v>
      </c>
      <c r="E2" s="7" t="s">
        <v>23</v>
      </c>
      <c r="F2" s="7" t="s">
        <v>24</v>
      </c>
      <c r="J2" s="4"/>
      <c r="K2" s="4"/>
    </row>
    <row r="3" spans="1:11" s="2" customFormat="1" ht="39.950000000000003" customHeight="1" x14ac:dyDescent="0.25">
      <c r="A3" s="61"/>
      <c r="B3" s="3"/>
      <c r="C3" s="108">
        <v>4079</v>
      </c>
      <c r="D3" s="111" t="s">
        <v>119</v>
      </c>
      <c r="E3" s="109"/>
      <c r="F3" s="109">
        <v>1</v>
      </c>
      <c r="H3" s="46"/>
      <c r="I3" s="47"/>
      <c r="J3" s="48"/>
      <c r="K3" s="4"/>
    </row>
    <row r="4" spans="1:11" ht="39.950000000000003" customHeight="1" x14ac:dyDescent="0.25">
      <c r="C4" s="108">
        <v>6818</v>
      </c>
      <c r="D4" s="111" t="s">
        <v>116</v>
      </c>
      <c r="E4" s="109"/>
      <c r="F4" s="109">
        <v>1</v>
      </c>
      <c r="H4" s="49"/>
      <c r="I4" s="50"/>
      <c r="J4" s="51"/>
    </row>
    <row r="5" spans="1:11" ht="39.950000000000003" customHeight="1" thickBot="1" x14ac:dyDescent="0.3">
      <c r="C5" s="108">
        <v>8913</v>
      </c>
      <c r="D5" s="111" t="s">
        <v>117</v>
      </c>
      <c r="E5" s="110"/>
      <c r="F5" s="109">
        <v>1</v>
      </c>
      <c r="H5" s="52"/>
      <c r="I5" s="53"/>
      <c r="J5" s="54"/>
    </row>
    <row r="6" spans="1:11" ht="39.950000000000003" customHeight="1" x14ac:dyDescent="0.25">
      <c r="C6" s="108">
        <v>12121</v>
      </c>
      <c r="D6" s="139" t="s">
        <v>136</v>
      </c>
      <c r="E6" s="109"/>
      <c r="F6" s="109"/>
      <c r="H6" s="102" t="s">
        <v>25</v>
      </c>
      <c r="I6" s="90"/>
      <c r="J6" s="90"/>
    </row>
    <row r="7" spans="1:11" ht="39.950000000000003" customHeight="1" x14ac:dyDescent="0.25">
      <c r="A7" s="21"/>
      <c r="C7" s="108">
        <v>29484</v>
      </c>
      <c r="D7" s="111" t="s">
        <v>120</v>
      </c>
      <c r="E7" s="109"/>
      <c r="F7" s="109">
        <v>1</v>
      </c>
      <c r="H7" s="103"/>
      <c r="I7" s="103"/>
      <c r="J7" s="103"/>
    </row>
    <row r="8" spans="1:11" ht="39.950000000000003" customHeight="1" x14ac:dyDescent="0.25">
      <c r="C8" s="108">
        <v>31415</v>
      </c>
      <c r="D8" s="109" t="s">
        <v>134</v>
      </c>
      <c r="E8" s="109"/>
      <c r="F8" s="109">
        <v>1</v>
      </c>
      <c r="H8" s="59"/>
      <c r="I8" s="59"/>
      <c r="J8" s="59"/>
    </row>
    <row r="9" spans="1:11" ht="39.950000000000003" customHeight="1" x14ac:dyDescent="0.25">
      <c r="C9" s="108">
        <v>34450</v>
      </c>
      <c r="D9" s="111" t="s">
        <v>121</v>
      </c>
      <c r="E9" s="109"/>
      <c r="F9" s="109">
        <v>2</v>
      </c>
    </row>
    <row r="10" spans="1:11" ht="39.950000000000003" customHeight="1" x14ac:dyDescent="0.25">
      <c r="C10" s="108">
        <v>43985</v>
      </c>
      <c r="D10" s="111" t="s">
        <v>122</v>
      </c>
      <c r="E10" s="109"/>
      <c r="F10" s="109">
        <v>2</v>
      </c>
    </row>
    <row r="11" spans="1:11" ht="39.950000000000003" customHeight="1" x14ac:dyDescent="0.25">
      <c r="C11" s="108">
        <v>48732</v>
      </c>
      <c r="D11" s="111" t="s">
        <v>123</v>
      </c>
      <c r="E11" s="109"/>
      <c r="F11" s="109">
        <v>2</v>
      </c>
    </row>
    <row r="12" spans="1:11" ht="39.950000000000003" customHeight="1" x14ac:dyDescent="0.25">
      <c r="C12" s="108">
        <v>58947</v>
      </c>
      <c r="D12" s="111" t="s">
        <v>124</v>
      </c>
      <c r="E12" s="109"/>
      <c r="F12" s="109">
        <v>2</v>
      </c>
    </row>
    <row r="13" spans="1:11" ht="39.950000000000003" customHeight="1" x14ac:dyDescent="0.25">
      <c r="C13" s="108">
        <v>69029</v>
      </c>
      <c r="D13" s="111" t="s">
        <v>126</v>
      </c>
      <c r="E13" s="109"/>
      <c r="F13" s="109">
        <v>3</v>
      </c>
    </row>
    <row r="14" spans="1:11" ht="39.950000000000003" customHeight="1" x14ac:dyDescent="0.25">
      <c r="C14" s="108">
        <v>88303</v>
      </c>
      <c r="D14" s="111" t="s">
        <v>125</v>
      </c>
      <c r="E14" s="109"/>
      <c r="F14" s="109">
        <v>3</v>
      </c>
    </row>
    <row r="15" spans="1:11" ht="39.950000000000003" customHeight="1" x14ac:dyDescent="0.25">
      <c r="C15" s="108">
        <v>89293</v>
      </c>
      <c r="D15" s="111" t="s">
        <v>118</v>
      </c>
      <c r="E15" s="109"/>
      <c r="F15" s="109">
        <v>3</v>
      </c>
    </row>
  </sheetData>
  <mergeCells count="2">
    <mergeCell ref="H6:J7"/>
    <mergeCell ref="C1:F1"/>
  </mergeCells>
  <pageMargins left="0.7" right="0.7" top="0.75" bottom="0.75" header="0.3" footer="0.3"/>
  <pageSetup orientation="portrait" horizontalDpi="1200" verticalDpi="1200"/>
  <drawing r:id="rId1"/>
  <legacyDrawing r:id="rId2"/>
  <controls>
    <mc:AlternateContent xmlns:mc="http://schemas.openxmlformats.org/markup-compatibility/2006">
      <mc:Choice Requires="x14">
        <control shapeId="2051" r:id="rId3" name="CommandButton1">
          <controlPr defaultSize="0" autoLine="0" r:id="rId4">
            <anchor moveWithCells="1">
              <from>
                <xdr:col>7</xdr:col>
                <xdr:colOff>123825</xdr:colOff>
                <xdr:row>7</xdr:row>
                <xdr:rowOff>466725</xdr:rowOff>
              </from>
              <to>
                <xdr:col>9</xdr:col>
                <xdr:colOff>552450</xdr:colOff>
                <xdr:row>10</xdr:row>
                <xdr:rowOff>38100</xdr:rowOff>
              </to>
            </anchor>
          </controlPr>
        </control>
      </mc:Choice>
      <mc:Fallback>
        <control shapeId="2051" r:id="rId3" name="CommandButton1"/>
      </mc:Fallback>
    </mc:AlternateContent>
    <mc:AlternateContent xmlns:mc="http://schemas.openxmlformats.org/markup-compatibility/2006">
      <mc:Choice Requires="x14">
        <control shapeId="2049" r:id="rId5" name="Button 1">
          <controlPr defaultSize="0" print="0" autoFill="0" autoPict="0" macro="[0]!Macro2">
            <anchor moveWithCells="1" sizeWithCells="1">
              <from>
                <xdr:col>7</xdr:col>
                <xdr:colOff>219075</xdr:colOff>
                <xdr:row>2</xdr:row>
                <xdr:rowOff>200025</xdr:rowOff>
              </from>
              <to>
                <xdr:col>9</xdr:col>
                <xdr:colOff>447675</xdr:colOff>
                <xdr:row>4</xdr:row>
                <xdr:rowOff>333375</xdr:rowOff>
              </to>
            </anchor>
          </controlPr>
        </control>
      </mc:Choice>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3"/>
  <sheetViews>
    <sheetView workbookViewId="0">
      <selection activeCell="B10" sqref="B10"/>
    </sheetView>
  </sheetViews>
  <sheetFormatPr defaultRowHeight="15" x14ac:dyDescent="0.25"/>
  <cols>
    <col min="1" max="1" width="29.42578125" customWidth="1"/>
    <col min="2" max="2" width="75.85546875" customWidth="1"/>
    <col min="3" max="3" width="49.7109375" customWidth="1"/>
  </cols>
  <sheetData>
    <row r="1" spans="1:3" x14ac:dyDescent="0.25">
      <c r="A1" t="s">
        <v>26</v>
      </c>
      <c r="B1" t="s">
        <v>27</v>
      </c>
      <c r="C1" t="s">
        <v>28</v>
      </c>
    </row>
    <row r="2" spans="1:3" x14ac:dyDescent="0.25">
      <c r="A2" t="s">
        <v>129</v>
      </c>
      <c r="B2">
        <v>2024</v>
      </c>
    </row>
    <row r="3" spans="1:3" x14ac:dyDescent="0.25">
      <c r="A3" t="s">
        <v>128</v>
      </c>
      <c r="B3" t="s">
        <v>132</v>
      </c>
    </row>
    <row r="4" spans="1:3" x14ac:dyDescent="0.25">
      <c r="A4" t="s">
        <v>130</v>
      </c>
      <c r="B4" t="s">
        <v>131</v>
      </c>
    </row>
    <row r="5" spans="1:3" x14ac:dyDescent="0.25">
      <c r="A5" t="s">
        <v>133</v>
      </c>
      <c r="B5" t="str">
        <f>B2&amp;"-"&amp;B3&amp;"-"&amp;SUBSTITUTE(B4," ","-")&amp;"-script.html"</f>
        <v>2024-Submerged-Smallville-Regional-Qualifying-Tournament-FILLED-script.html</v>
      </c>
    </row>
    <row r="6" spans="1:3" x14ac:dyDescent="0.25">
      <c r="A6" t="s">
        <v>109</v>
      </c>
      <c r="B6">
        <v>1</v>
      </c>
      <c r="C6" t="s">
        <v>110</v>
      </c>
    </row>
    <row r="7" spans="1:3" x14ac:dyDescent="0.25">
      <c r="A7" t="s">
        <v>30</v>
      </c>
      <c r="B7">
        <v>2</v>
      </c>
    </row>
    <row r="8" spans="1:3" x14ac:dyDescent="0.25">
      <c r="A8" t="s">
        <v>105</v>
      </c>
      <c r="B8">
        <v>1</v>
      </c>
    </row>
    <row r="9" spans="1:3" x14ac:dyDescent="0.25">
      <c r="A9" t="s">
        <v>103</v>
      </c>
      <c r="B9">
        <v>1</v>
      </c>
    </row>
    <row r="10" spans="1:3" x14ac:dyDescent="0.25">
      <c r="A10" t="s">
        <v>104</v>
      </c>
      <c r="B10">
        <v>1</v>
      </c>
    </row>
    <row r="11" spans="1:3" x14ac:dyDescent="0.25">
      <c r="A11" t="s">
        <v>111</v>
      </c>
      <c r="B11">
        <v>2</v>
      </c>
    </row>
    <row r="12" spans="1:3" x14ac:dyDescent="0.25">
      <c r="A12" t="s">
        <v>112</v>
      </c>
      <c r="B12">
        <v>3</v>
      </c>
    </row>
    <row r="13" spans="1:3" ht="90" x14ac:dyDescent="0.25">
      <c r="A13" t="s">
        <v>115</v>
      </c>
      <c r="B13">
        <v>1</v>
      </c>
      <c r="C13" s="84" t="s">
        <v>127</v>
      </c>
    </row>
  </sheetData>
  <sheetProtection selectLockedCells="1" sort="0" autoFilter="0"/>
  <dataValidations count="1">
    <dataValidation type="list" allowBlank="1" showInputMessage="1" showErrorMessage="1" sqref="B6" xr:uid="{1A6AE5B1-FBA2-4510-83CA-3699168BDC25}">
      <formula1>"1,2"</formula1>
    </dataValidation>
  </dataValidation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Line="0" r:id="rId4">
            <anchor moveWithCells="1">
              <from>
                <xdr:col>5</xdr:col>
                <xdr:colOff>371475</xdr:colOff>
                <xdr:row>6</xdr:row>
                <xdr:rowOff>28575</xdr:rowOff>
              </from>
              <to>
                <xdr:col>8</xdr:col>
                <xdr:colOff>247650</xdr:colOff>
                <xdr:row>9</xdr:row>
                <xdr:rowOff>142875</xdr:rowOff>
              </to>
            </anchor>
          </controlPr>
        </control>
      </mc:Choice>
      <mc:Fallback>
        <control shapeId="6145" r:id="rId3" name="CommandButton1"/>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A7"/>
  <sheetViews>
    <sheetView workbookViewId="0">
      <selection activeCell="A4" sqref="A4"/>
    </sheetView>
  </sheetViews>
  <sheetFormatPr defaultRowHeight="15" x14ac:dyDescent="0.25"/>
  <cols>
    <col min="1" max="1" width="34.5703125" customWidth="1"/>
  </cols>
  <sheetData>
    <row r="1" spans="1:1" x14ac:dyDescent="0.25">
      <c r="A1" t="s">
        <v>48</v>
      </c>
    </row>
    <row r="2" spans="1:1" x14ac:dyDescent="0.25">
      <c r="A2" t="s">
        <v>113</v>
      </c>
    </row>
    <row r="3" spans="1:1" x14ac:dyDescent="0.25">
      <c r="A3" t="s">
        <v>114</v>
      </c>
    </row>
    <row r="4" spans="1:1" x14ac:dyDescent="0.25">
      <c r="A4" t="s">
        <v>56</v>
      </c>
    </row>
    <row r="5" spans="1:1" x14ac:dyDescent="0.25">
      <c r="A5" t="s">
        <v>58</v>
      </c>
    </row>
    <row r="6" spans="1:1" x14ac:dyDescent="0.25">
      <c r="A6" t="s">
        <v>57</v>
      </c>
    </row>
    <row r="7" spans="1:1" x14ac:dyDescent="0.25">
      <c r="A7" t="s">
        <v>59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B42"/>
  <sheetViews>
    <sheetView zoomScaleNormal="100" workbookViewId="0">
      <pane xSplit="2" ySplit="2" topLeftCell="C3" activePane="bottomRight" state="frozen"/>
      <selection pane="topRight" activeCell="C1" sqref="C1"/>
      <selection pane="bottomLeft" activeCell="A3" sqref="A3"/>
      <selection pane="bottomRight" sqref="A1:B1"/>
    </sheetView>
  </sheetViews>
  <sheetFormatPr defaultColWidth="9.140625" defaultRowHeight="20.25" customHeight="1" x14ac:dyDescent="0.25"/>
  <cols>
    <col min="1" max="1" width="16.7109375" style="9" customWidth="1"/>
    <col min="2" max="2" width="32.7109375" style="1" customWidth="1"/>
    <col min="3" max="5" width="6.42578125" customWidth="1"/>
    <col min="6" max="7" width="6.42578125" style="1" hidden="1" customWidth="1"/>
    <col min="8" max="8" width="6.42578125" style="1" customWidth="1"/>
    <col min="9" max="12" width="10.42578125" style="1" customWidth="1"/>
    <col min="13" max="14" width="15.42578125" style="1" customWidth="1"/>
    <col min="15" max="15" width="26.140625" style="1" customWidth="1"/>
    <col min="16" max="16" width="8.42578125" customWidth="1"/>
    <col min="17" max="19" width="8.42578125" style="26" hidden="1" customWidth="1"/>
    <col min="20" max="20" width="8.42578125" style="25" hidden="1" customWidth="1"/>
    <col min="21" max="21" width="8.42578125" hidden="1" customWidth="1"/>
    <col min="22" max="22" width="80.42578125" style="9" customWidth="1"/>
    <col min="23" max="23" width="9.140625" style="9" customWidth="1"/>
    <col min="24" max="24" width="13" style="27" bestFit="1" customWidth="1"/>
    <col min="25" max="25" width="13" style="68" bestFit="1" customWidth="1"/>
    <col min="26" max="28" width="9.140625" style="28" customWidth="1"/>
    <col min="29" max="32" width="9.140625" style="27" customWidth="1"/>
    <col min="33" max="16384" width="9.140625" style="27"/>
  </cols>
  <sheetData>
    <row r="1" spans="1:28" s="65" customFormat="1" ht="39.950000000000003" customHeight="1" x14ac:dyDescent="0.25">
      <c r="A1" s="106" t="s">
        <v>29</v>
      </c>
      <c r="B1" s="107"/>
      <c r="C1" s="106" t="s">
        <v>30</v>
      </c>
      <c r="D1" s="107"/>
      <c r="E1" s="107"/>
      <c r="F1" s="107"/>
      <c r="G1" s="107"/>
      <c r="H1" s="107"/>
      <c r="I1" s="107"/>
      <c r="J1" s="106" t="s">
        <v>31</v>
      </c>
      <c r="K1" s="107"/>
      <c r="L1" s="107"/>
      <c r="M1" s="106" t="s">
        <v>32</v>
      </c>
      <c r="N1" s="107"/>
      <c r="O1" s="106" t="s">
        <v>33</v>
      </c>
      <c r="P1" s="107"/>
      <c r="Q1" s="106" t="s">
        <v>34</v>
      </c>
      <c r="R1" s="107"/>
      <c r="S1" s="107"/>
      <c r="T1" s="107"/>
      <c r="U1" s="107"/>
      <c r="V1" s="5" t="s">
        <v>35</v>
      </c>
      <c r="W1" s="5"/>
      <c r="Y1" s="67"/>
    </row>
    <row r="2" spans="1:28" s="10" customFormat="1" ht="118.5" customHeight="1" x14ac:dyDescent="0.25">
      <c r="A2" s="69" t="s">
        <v>21</v>
      </c>
      <c r="B2" s="69" t="s">
        <v>22</v>
      </c>
      <c r="C2" s="70" t="s">
        <v>36</v>
      </c>
      <c r="D2" s="70" t="s">
        <v>37</v>
      </c>
      <c r="E2" s="70" t="s">
        <v>38</v>
      </c>
      <c r="F2" s="70" t="s">
        <v>39</v>
      </c>
      <c r="G2" s="70" t="s">
        <v>40</v>
      </c>
      <c r="H2" s="70" t="s">
        <v>41</v>
      </c>
      <c r="I2" s="71" t="s">
        <v>42</v>
      </c>
      <c r="J2" s="72" t="s">
        <v>43</v>
      </c>
      <c r="K2" s="73" t="s">
        <v>44</v>
      </c>
      <c r="L2" s="74" t="s">
        <v>45</v>
      </c>
      <c r="M2" s="75" t="s">
        <v>46</v>
      </c>
      <c r="N2" s="76" t="s">
        <v>47</v>
      </c>
      <c r="O2" s="24" t="s">
        <v>48</v>
      </c>
      <c r="P2" s="24" t="s">
        <v>49</v>
      </c>
      <c r="Q2" s="30" t="s">
        <v>50</v>
      </c>
      <c r="R2" s="31" t="s">
        <v>51</v>
      </c>
      <c r="S2" s="32" t="s">
        <v>52</v>
      </c>
      <c r="T2" s="33" t="s">
        <v>53</v>
      </c>
      <c r="U2" s="34" t="s">
        <v>54</v>
      </c>
      <c r="V2" s="35" t="s">
        <v>35</v>
      </c>
      <c r="Y2" s="66" t="s">
        <v>55</v>
      </c>
    </row>
    <row r="3" spans="1:28" ht="20.25" customHeight="1" x14ac:dyDescent="0.25">
      <c r="A3" s="108">
        <v>4079</v>
      </c>
      <c r="B3" s="112" t="str">
        <f>INDEX(OfficialTeamList[Team Name],MATCH(TournamentData[[#This Row],[Team Number]], OfficialTeamList[Team Number],0))</f>
        <v>RG3 CV3 IP4 RD6 CR3</v>
      </c>
      <c r="C3" s="113">
        <f>IF(TournamentData[[#This Row],[Team Number]]="","",IF(ISNA(INDEX('Robot Game Scores'!C:C,MATCH(TournamentData[[#This Row],[Team Number]], 'Robot Game Scores'!$A:$A,0))),0,INDEX('Robot Game Scores'!C:C,MATCH(TournamentData[[#This Row],[Team Number]], 'Robot Game Scores'!$A:$A,0))))</f>
        <v>0</v>
      </c>
      <c r="D3" s="113">
        <f>IF(TournamentData[[#This Row],[Team Number]]="","",IF(ISNA(INDEX('Robot Game Scores'!D:D,MATCH(TournamentData[[#This Row],[Team Number]], 'Robot Game Scores'!$A:$A,0))),0,INDEX('Robot Game Scores'!D:D,MATCH(TournamentData[[#This Row],[Team Number]], 'Robot Game Scores'!$A:$A,0))))</f>
        <v>0</v>
      </c>
      <c r="E3" s="113">
        <f>IF(TournamentData[[#This Row],[Team Number]]="","",IF(ISNA(INDEX('Robot Game Scores'!E:E,MATCH(TournamentData[[#This Row],[Team Number]], 'Robot Game Scores'!$A:$A,0))),0,INDEX('Robot Game Scores'!E:E,MATCH(TournamentData[[#This Row],[Team Number]], 'Robot Game Scores'!$A:$A,0))))</f>
        <v>0</v>
      </c>
      <c r="F3" s="113" t="e">
        <f>IF(TournamentData[[#This Row],[Team Number]]="","",IF(ISNA(INDEX('Robot Game Scores'!#REF!,MATCH(TournamentData[[#This Row],[Team Number]], 'Robot Game Scores'!$A:$A,0))),0,INDEX('Robot Game Scores'!#REF!,MATCH(TournamentData[[#This Row],[Team Number]], 'Robot Game Scores'!$A:$A,0))))</f>
        <v>#REF!</v>
      </c>
      <c r="G3" s="113" t="e">
        <f>IF(TournamentData[[#This Row],[Team Number]]="","",IF(ISNA(INDEX('Robot Game Scores'!#REF!,MATCH(TournamentData[[#This Row],[Team Number]], 'Robot Game Scores'!$A:$A,0))),0,INDEX('Robot Game Scores'!#REF!,MATCH(TournamentData[[#This Row],[Team Number]], 'Robot Game Scores'!$A:$A,0))))</f>
        <v>#REF!</v>
      </c>
      <c r="H3" s="11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 s="113">
        <f>_xlfn.RANK.EQ(TournamentData[[#This Row],[Max Robot Game Score]],TournamentData[Max Robot Game Score])</f>
        <v>1</v>
      </c>
      <c r="J3" s="113">
        <f>INDEX(CoreValuesResults[Core Values Rank],MATCH(TournamentData[[#This Row],[Team Number]],CoreValuesResults[Team Number],0))</f>
        <v>1</v>
      </c>
      <c r="K3" s="113">
        <f>INDEX(InnovationProjectResults[Innovation Project Rank],MATCH(TournamentData[[#This Row],[Team Number]],InnovationProjectResults[Team Number],0))</f>
        <v>1</v>
      </c>
      <c r="L3" s="113">
        <f>INDEX(RobotDesignResults[Robot Design Rank],MATCH(TournamentData[[#This Row],[Team Number]],RobotDesignResults[Team Number],0))</f>
        <v>1</v>
      </c>
      <c r="M3" s="113">
        <f>SUM(TournamentData[[#This Row],[Robot Game Rank]:[Robot Design Rank]])</f>
        <v>4</v>
      </c>
      <c r="N3" s="114">
        <f>RANK(TournamentData[[#This Row],[Champion''s Score]],TournamentData[Champion''s Score],0)</f>
        <v>1</v>
      </c>
      <c r="O3" s="115"/>
      <c r="P3" s="116"/>
      <c r="Q3" s="117">
        <f>IF(ISNA(INDEX(CoreValuesResults[Core Values Score],MATCH(TournamentData[[#This Row],[Team Number]],CoreValuesResults[Team Number],0))),0,INDEX(CoreValuesResults[Core Values Score],MATCH(TournamentData[[#This Row],[Team Number]],CoreValuesResults[Team Number],0)))</f>
        <v>0</v>
      </c>
      <c r="R3" s="117">
        <f>IF(ISNA(INDEX(InnovationProjectResults[Innovation Project Score],MATCH(TournamentData[[#This Row],[Team Number]],InnovationProjectResults[Team Number],0))),0,INDEX(InnovationProjectResults[Innovation Project Score],MATCH(TournamentData[[#This Row],[Team Number]],InnovationProjectResults[Team Number],0)))</f>
        <v>0</v>
      </c>
      <c r="S3" s="117">
        <f>IF(ISNA(INDEX(RobotDesignResults[Robot Design Score],MATCH(TournamentData[[#This Row],[Team Number]],RobotDesignResults[Team Number],0))),0,INDEX(RobotDesignResults[Robot Design Score],MATCH(TournamentData[[#This Row],[Team Number]],RobotDesignResults[Team Number],0)))</f>
        <v>0</v>
      </c>
      <c r="T3" s="118">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 s="119">
        <f>IF(T3,_xlfn.RANK.EQ(T3,T$3:T$15,0),NumberOfTeams)</f>
        <v>0</v>
      </c>
      <c r="V3" s="115"/>
      <c r="W3" s="27"/>
      <c r="Z3" s="27"/>
      <c r="AA3" s="27"/>
      <c r="AB3" s="27"/>
    </row>
    <row r="4" spans="1:28" ht="20.25" customHeight="1" x14ac:dyDescent="0.25">
      <c r="A4" s="108">
        <v>6818</v>
      </c>
      <c r="B4" s="112" t="str">
        <f>INDEX(OfficialTeamList[Team Name],MATCH(TournamentData[[#This Row],[Team Number]], OfficialTeamList[Team Number],0))</f>
        <v>RG2 CV9 IP11 RD1 CR6</v>
      </c>
      <c r="C4" s="113">
        <f>IF(TournamentData[[#This Row],[Team Number]]="","",IF(ISNA(INDEX('Robot Game Scores'!C:C,MATCH(TournamentData[[#This Row],[Team Number]], 'Robot Game Scores'!$A:$A,0))),0,INDEX('Robot Game Scores'!C:C,MATCH(TournamentData[[#This Row],[Team Number]], 'Robot Game Scores'!$A:$A,0))))</f>
        <v>0</v>
      </c>
      <c r="D4" s="113">
        <f>IF(TournamentData[[#This Row],[Team Number]]="","",IF(ISNA(INDEX('Robot Game Scores'!D:D,MATCH(TournamentData[[#This Row],[Team Number]], 'Robot Game Scores'!$A:$A,0))),0,INDEX('Robot Game Scores'!D:D,MATCH(TournamentData[[#This Row],[Team Number]], 'Robot Game Scores'!$A:$A,0))))</f>
        <v>0</v>
      </c>
      <c r="E4" s="113">
        <f>IF(TournamentData[[#This Row],[Team Number]]="","",IF(ISNA(INDEX('Robot Game Scores'!E:E,MATCH(TournamentData[[#This Row],[Team Number]], 'Robot Game Scores'!$A:$A,0))),0,INDEX('Robot Game Scores'!E:E,MATCH(TournamentData[[#This Row],[Team Number]], 'Robot Game Scores'!$A:$A,0))))</f>
        <v>0</v>
      </c>
      <c r="F4" s="113" t="e">
        <f>IF(TournamentData[[#This Row],[Team Number]]="","",IF(ISNA(INDEX('Robot Game Scores'!#REF!,MATCH(TournamentData[[#This Row],[Team Number]], 'Robot Game Scores'!$A:$A,0))),0,INDEX('Robot Game Scores'!#REF!,MATCH(TournamentData[[#This Row],[Team Number]], 'Robot Game Scores'!$A:$A,0))))</f>
        <v>#REF!</v>
      </c>
      <c r="G4" s="113" t="e">
        <f>IF(TournamentData[[#This Row],[Team Number]]="","",IF(ISNA(INDEX('Robot Game Scores'!#REF!,MATCH(TournamentData[[#This Row],[Team Number]], 'Robot Game Scores'!$A:$A,0))),0,INDEX('Robot Game Scores'!#REF!,MATCH(TournamentData[[#This Row],[Team Number]], 'Robot Game Scores'!$A:$A,0))))</f>
        <v>#REF!</v>
      </c>
      <c r="H4" s="11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 s="113">
        <f>_xlfn.RANK.EQ(TournamentData[[#This Row],[Max Robot Game Score]],TournamentData[Max Robot Game Score])</f>
        <v>1</v>
      </c>
      <c r="J4" s="113">
        <f>INDEX(CoreValuesResults[Core Values Rank],MATCH(TournamentData[[#This Row],[Team Number]],CoreValuesResults[Team Number],0))</f>
        <v>1</v>
      </c>
      <c r="K4" s="113">
        <f>INDEX(InnovationProjectResults[Innovation Project Rank],MATCH(TournamentData[[#This Row],[Team Number]],InnovationProjectResults[Team Number],0))</f>
        <v>1</v>
      </c>
      <c r="L4" s="113">
        <f>INDEX(RobotDesignResults[Robot Design Rank],MATCH(TournamentData[[#This Row],[Team Number]],RobotDesignResults[Team Number],0))</f>
        <v>1</v>
      </c>
      <c r="M4" s="113">
        <f>SUM(TournamentData[[#This Row],[Robot Game Rank]:[Robot Design Rank]])</f>
        <v>4</v>
      </c>
      <c r="N4" s="114">
        <f>RANK(TournamentData[[#This Row],[Champion''s Score]],TournamentData[Champion''s Score],0)</f>
        <v>1</v>
      </c>
      <c r="O4" s="115"/>
      <c r="P4" s="116"/>
      <c r="Q4" s="117">
        <f>IF(ISNA(INDEX(CoreValuesResults[Core Values Score],MATCH(TournamentData[[#This Row],[Team Number]],CoreValuesResults[Team Number],0))),0,INDEX(CoreValuesResults[Core Values Score],MATCH(TournamentData[[#This Row],[Team Number]],CoreValuesResults[Team Number],0)))</f>
        <v>0</v>
      </c>
      <c r="R4" s="117">
        <f>IF(ISNA(INDEX(InnovationProjectResults[Innovation Project Score],MATCH(TournamentData[[#This Row],[Team Number]],InnovationProjectResults[Team Number],0))),0,INDEX(InnovationProjectResults[Innovation Project Score],MATCH(TournamentData[[#This Row],[Team Number]],InnovationProjectResults[Team Number],0)))</f>
        <v>0</v>
      </c>
      <c r="S4" s="117">
        <f>IF(ISNA(INDEX(RobotDesignResults[Robot Design Score],MATCH(TournamentData[[#This Row],[Team Number]],RobotDesignResults[Team Number],0))),0,INDEX(RobotDesignResults[Robot Design Score],MATCH(TournamentData[[#This Row],[Team Number]],RobotDesignResults[Team Number],0)))</f>
        <v>0</v>
      </c>
      <c r="T4" s="118">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 s="119">
        <f>IF(T4,_xlfn.RANK.EQ(T4,T$3:T$15,0),NumberOfTeams)</f>
        <v>0</v>
      </c>
      <c r="V4" s="115"/>
      <c r="W4" s="27"/>
      <c r="Z4" s="27"/>
      <c r="AA4" s="27"/>
      <c r="AB4" s="27"/>
    </row>
    <row r="5" spans="1:28" ht="20.25" customHeight="1" x14ac:dyDescent="0.25">
      <c r="A5" s="108">
        <v>8913</v>
      </c>
      <c r="B5" s="120" t="str">
        <f>INDEX(OfficialTeamList[Team Name],MATCH(TournamentData[[#This Row],[Team Number]], OfficialTeamList[Team Number],0))</f>
        <v>RG6 CV1 IP2 RD1 CR1</v>
      </c>
      <c r="C5" s="121">
        <f>IF(TournamentData[[#This Row],[Team Number]]="","",IF(ISNA(INDEX('Robot Game Scores'!C:C,MATCH(TournamentData[[#This Row],[Team Number]], 'Robot Game Scores'!$A:$A,0))),0,INDEX('Robot Game Scores'!C:C,MATCH(TournamentData[[#This Row],[Team Number]], 'Robot Game Scores'!$A:$A,0))))</f>
        <v>0</v>
      </c>
      <c r="D5" s="121">
        <f>IF(TournamentData[[#This Row],[Team Number]]="","",IF(ISNA(INDEX('Robot Game Scores'!D:D,MATCH(TournamentData[[#This Row],[Team Number]], 'Robot Game Scores'!$A:$A,0))),0,INDEX('Robot Game Scores'!D:D,MATCH(TournamentData[[#This Row],[Team Number]], 'Robot Game Scores'!$A:$A,0))))</f>
        <v>0</v>
      </c>
      <c r="E5" s="121">
        <f>IF(TournamentData[[#This Row],[Team Number]]="","",IF(ISNA(INDEX('Robot Game Scores'!E:E,MATCH(TournamentData[[#This Row],[Team Number]], 'Robot Game Scores'!$A:$A,0))),0,INDEX('Robot Game Scores'!E:E,MATCH(TournamentData[[#This Row],[Team Number]], 'Robot Game Scores'!$A:$A,0))))</f>
        <v>0</v>
      </c>
      <c r="F5" s="121" t="e">
        <f>IF(TournamentData[[#This Row],[Team Number]]="","",IF(ISNA(INDEX('Robot Game Scores'!#REF!,MATCH(TournamentData[[#This Row],[Team Number]], 'Robot Game Scores'!$A:$A,0))),0,INDEX('Robot Game Scores'!#REF!,MATCH(TournamentData[[#This Row],[Team Number]], 'Robot Game Scores'!$A:$A,0))))</f>
        <v>#REF!</v>
      </c>
      <c r="G5" s="121" t="e">
        <f>IF(TournamentData[[#This Row],[Team Number]]="","",IF(ISNA(INDEX('Robot Game Scores'!#REF!,MATCH(TournamentData[[#This Row],[Team Number]], 'Robot Game Scores'!$A:$A,0))),0,INDEX('Robot Game Scores'!#REF!,MATCH(TournamentData[[#This Row],[Team Number]], 'Robot Game Scores'!$A:$A,0))))</f>
        <v>#REF!</v>
      </c>
      <c r="H5" s="12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5" s="121">
        <f>_xlfn.RANK.EQ(TournamentData[[#This Row],[Max Robot Game Score]],TournamentData[Max Robot Game Score])</f>
        <v>1</v>
      </c>
      <c r="J5" s="121">
        <f>INDEX(CoreValuesResults[Core Values Rank],MATCH(TournamentData[[#This Row],[Team Number]],CoreValuesResults[Team Number],0))</f>
        <v>1</v>
      </c>
      <c r="K5" s="121">
        <f>INDEX(InnovationProjectResults[Innovation Project Rank],MATCH(TournamentData[[#This Row],[Team Number]],InnovationProjectResults[Team Number],0))</f>
        <v>1</v>
      </c>
      <c r="L5" s="121">
        <f>INDEX(RobotDesignResults[Robot Design Rank],MATCH(TournamentData[[#This Row],[Team Number]],RobotDesignResults[Team Number],0))</f>
        <v>1</v>
      </c>
      <c r="M5" s="121">
        <f>SUM(TournamentData[[#This Row],[Robot Game Rank]:[Robot Design Rank]])</f>
        <v>4</v>
      </c>
      <c r="N5" s="114">
        <f>RANK(TournamentData[[#This Row],[Champion''s Score]],TournamentData[Champion''s Score],0)</f>
        <v>1</v>
      </c>
      <c r="O5" s="115"/>
      <c r="P5" s="116"/>
      <c r="Q5" s="117">
        <f>IF(ISNA(INDEX(CoreValuesResults[Core Values Score],MATCH(TournamentData[[#This Row],[Team Number]],CoreValuesResults[Team Number],0))),0,INDEX(CoreValuesResults[Core Values Score],MATCH(TournamentData[[#This Row],[Team Number]],CoreValuesResults[Team Number],0)))</f>
        <v>0</v>
      </c>
      <c r="R5" s="117">
        <f>IF(ISNA(INDEX(InnovationProjectResults[Innovation Project Score],MATCH(TournamentData[[#This Row],[Team Number]],InnovationProjectResults[Team Number],0))),0,INDEX(InnovationProjectResults[Innovation Project Score],MATCH(TournamentData[[#This Row],[Team Number]],InnovationProjectResults[Team Number],0)))</f>
        <v>0</v>
      </c>
      <c r="S5" s="117">
        <f>IF(ISNA(INDEX(RobotDesignResults[Robot Design Score],MATCH(TournamentData[[#This Row],[Team Number]],RobotDesignResults[Team Number],0))),0,INDEX(RobotDesignResults[Robot Design Score],MATCH(TournamentData[[#This Row],[Team Number]],RobotDesignResults[Team Number],0)))</f>
        <v>0</v>
      </c>
      <c r="T5" s="118">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 s="122">
        <f>IF(T5,_xlfn.RANK.EQ(T5,T$3:T$15,0),NumberOfTeams)</f>
        <v>0</v>
      </c>
      <c r="V5" s="123"/>
      <c r="W5" s="27"/>
      <c r="Z5" s="27"/>
      <c r="AA5" s="27"/>
      <c r="AB5" s="27"/>
    </row>
    <row r="6" spans="1:28" ht="20.25" customHeight="1" x14ac:dyDescent="0.25">
      <c r="A6" s="108">
        <v>12121</v>
      </c>
      <c r="B6" s="112" t="str">
        <f>INDEX(OfficialTeamList[Team Name],MATCH(TournamentData[[#This Row],[Team Number]], OfficialTeamList[Team Number],0))</f>
        <v>TestTeam12</v>
      </c>
      <c r="C6" s="113">
        <f>IF(TournamentData[[#This Row],[Team Number]]="","",IF(ISNA(INDEX('Robot Game Scores'!C:C,MATCH(TournamentData[[#This Row],[Team Number]], 'Robot Game Scores'!$A:$A,0))),0,INDEX('Robot Game Scores'!C:C,MATCH(TournamentData[[#This Row],[Team Number]], 'Robot Game Scores'!$A:$A,0))))</f>
        <v>0</v>
      </c>
      <c r="D6" s="113">
        <f>IF(TournamentData[[#This Row],[Team Number]]="","",IF(ISNA(INDEX('Robot Game Scores'!D:D,MATCH(TournamentData[[#This Row],[Team Number]], 'Robot Game Scores'!$A:$A,0))),0,INDEX('Robot Game Scores'!D:D,MATCH(TournamentData[[#This Row],[Team Number]], 'Robot Game Scores'!$A:$A,0))))</f>
        <v>0</v>
      </c>
      <c r="E6" s="113">
        <f>IF(TournamentData[[#This Row],[Team Number]]="","",IF(ISNA(INDEX('Robot Game Scores'!E:E,MATCH(TournamentData[[#This Row],[Team Number]], 'Robot Game Scores'!$A:$A,0))),0,INDEX('Robot Game Scores'!E:E,MATCH(TournamentData[[#This Row],[Team Number]], 'Robot Game Scores'!$A:$A,0))))</f>
        <v>0</v>
      </c>
      <c r="F6" s="113" t="e">
        <f>IF(TournamentData[[#This Row],[Team Number]]="","",IF(ISNA(INDEX('Robot Game Scores'!#REF!,MATCH(TournamentData[[#This Row],[Team Number]], 'Robot Game Scores'!$A:$A,0))),0,INDEX('Robot Game Scores'!#REF!,MATCH(TournamentData[[#This Row],[Team Number]], 'Robot Game Scores'!$A:$A,0))))</f>
        <v>#REF!</v>
      </c>
      <c r="G6" s="113" t="e">
        <f>IF(TournamentData[[#This Row],[Team Number]]="","",IF(ISNA(INDEX('Robot Game Scores'!#REF!,MATCH(TournamentData[[#This Row],[Team Number]], 'Robot Game Scores'!$A:$A,0))),0,INDEX('Robot Game Scores'!#REF!,MATCH(TournamentData[[#This Row],[Team Number]], 'Robot Game Scores'!$A:$A,0))))</f>
        <v>#REF!</v>
      </c>
      <c r="H6" s="11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6" s="113">
        <f>_xlfn.RANK.EQ(TournamentData[[#This Row],[Max Robot Game Score]],TournamentData[Max Robot Game Score])</f>
        <v>1</v>
      </c>
      <c r="J6" s="113">
        <f>INDEX(CoreValuesResults[Core Values Rank],MATCH(TournamentData[[#This Row],[Team Number]],CoreValuesResults[Team Number],0))</f>
        <v>1</v>
      </c>
      <c r="K6" s="113">
        <f>INDEX(InnovationProjectResults[Innovation Project Rank],MATCH(TournamentData[[#This Row],[Team Number]],InnovationProjectResults[Team Number],0))</f>
        <v>1</v>
      </c>
      <c r="L6" s="113">
        <f>INDEX(RobotDesignResults[Robot Design Rank],MATCH(TournamentData[[#This Row],[Team Number]],RobotDesignResults[Team Number],0))</f>
        <v>1</v>
      </c>
      <c r="M6" s="113">
        <f>SUM(TournamentData[[#This Row],[Robot Game Rank]:[Robot Design Rank]])</f>
        <v>4</v>
      </c>
      <c r="N6" s="114">
        <f>RANK(TournamentData[[#This Row],[Champion''s Score]],TournamentData[Champion''s Score],0)</f>
        <v>1</v>
      </c>
      <c r="O6" s="115"/>
      <c r="P6" s="116"/>
      <c r="Q6" s="117">
        <f>IF(ISNA(INDEX(CoreValuesResults[Core Values Score],MATCH(TournamentData[[#This Row],[Team Number]],CoreValuesResults[Team Number],0))),0,INDEX(CoreValuesResults[Core Values Score],MATCH(TournamentData[[#This Row],[Team Number]],CoreValuesResults[Team Number],0)))</f>
        <v>0</v>
      </c>
      <c r="R6" s="117">
        <f>IF(ISNA(INDEX(InnovationProjectResults[Innovation Project Score],MATCH(TournamentData[[#This Row],[Team Number]],InnovationProjectResults[Team Number],0))),0,INDEX(InnovationProjectResults[Innovation Project Score],MATCH(TournamentData[[#This Row],[Team Number]],InnovationProjectResults[Team Number],0)))</f>
        <v>0</v>
      </c>
      <c r="S6" s="117">
        <f>IF(ISNA(INDEX(RobotDesignResults[Robot Design Score],MATCH(TournamentData[[#This Row],[Team Number]],RobotDesignResults[Team Number],0))),0,INDEX(RobotDesignResults[Robot Design Score],MATCH(TournamentData[[#This Row],[Team Number]],RobotDesignResults[Team Number],0)))</f>
        <v>0</v>
      </c>
      <c r="T6" s="118">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 s="119">
        <f>IF(T6,_xlfn.RANK.EQ(T6,T$3:T$15,0),NumberOfTeams)</f>
        <v>0</v>
      </c>
      <c r="V6" s="115"/>
      <c r="W6" s="27"/>
      <c r="AA6" s="27"/>
      <c r="AB6" s="27"/>
    </row>
    <row r="7" spans="1:28" ht="20.25" customHeight="1" x14ac:dyDescent="0.25">
      <c r="A7" s="108">
        <v>29484</v>
      </c>
      <c r="B7" s="112" t="str">
        <f>INDEX(OfficialTeamList[Team Name],MATCH(TournamentData[[#This Row],[Team Number]], OfficialTeamList[Team Number],0))</f>
        <v>RG8 CV5 IP1 RD6 CR5</v>
      </c>
      <c r="C7" s="113">
        <f>IF(TournamentData[[#This Row],[Team Number]]="","",IF(ISNA(INDEX('Robot Game Scores'!C:C,MATCH(TournamentData[[#This Row],[Team Number]], 'Robot Game Scores'!$A:$A,0))),0,INDEX('Robot Game Scores'!C:C,MATCH(TournamentData[[#This Row],[Team Number]], 'Robot Game Scores'!$A:$A,0))))</f>
        <v>0</v>
      </c>
      <c r="D7" s="113">
        <f>IF(TournamentData[[#This Row],[Team Number]]="","",IF(ISNA(INDEX('Robot Game Scores'!D:D,MATCH(TournamentData[[#This Row],[Team Number]], 'Robot Game Scores'!$A:$A,0))),0,INDEX('Robot Game Scores'!D:D,MATCH(TournamentData[[#This Row],[Team Number]], 'Robot Game Scores'!$A:$A,0))))</f>
        <v>0</v>
      </c>
      <c r="E7" s="113">
        <f>IF(TournamentData[[#This Row],[Team Number]]="","",IF(ISNA(INDEX('Robot Game Scores'!E:E,MATCH(TournamentData[[#This Row],[Team Number]], 'Robot Game Scores'!$A:$A,0))),0,INDEX('Robot Game Scores'!E:E,MATCH(TournamentData[[#This Row],[Team Number]], 'Robot Game Scores'!$A:$A,0))))</f>
        <v>0</v>
      </c>
      <c r="F7" s="113" t="e">
        <f>IF(TournamentData[[#This Row],[Team Number]]="","",IF(ISNA(INDEX('Robot Game Scores'!#REF!,MATCH(TournamentData[[#This Row],[Team Number]], 'Robot Game Scores'!$A:$A,0))),0,INDEX('Robot Game Scores'!#REF!,MATCH(TournamentData[[#This Row],[Team Number]], 'Robot Game Scores'!$A:$A,0))))</f>
        <v>#REF!</v>
      </c>
      <c r="G7" s="113" t="e">
        <f>IF(TournamentData[[#This Row],[Team Number]]="","",IF(ISNA(INDEX('Robot Game Scores'!#REF!,MATCH(TournamentData[[#This Row],[Team Number]], 'Robot Game Scores'!$A:$A,0))),0,INDEX('Robot Game Scores'!#REF!,MATCH(TournamentData[[#This Row],[Team Number]], 'Robot Game Scores'!$A:$A,0))))</f>
        <v>#REF!</v>
      </c>
      <c r="H7" s="11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7" s="113">
        <f>_xlfn.RANK.EQ(TournamentData[[#This Row],[Max Robot Game Score]],TournamentData[Max Robot Game Score])</f>
        <v>1</v>
      </c>
      <c r="J7" s="113">
        <f>INDEX(CoreValuesResults[Core Values Rank],MATCH(TournamentData[[#This Row],[Team Number]],CoreValuesResults[Team Number],0))</f>
        <v>1</v>
      </c>
      <c r="K7" s="113">
        <f>INDEX(InnovationProjectResults[Innovation Project Rank],MATCH(TournamentData[[#This Row],[Team Number]],InnovationProjectResults[Team Number],0))</f>
        <v>1</v>
      </c>
      <c r="L7" s="113">
        <f>INDEX(RobotDesignResults[Robot Design Rank],MATCH(TournamentData[[#This Row],[Team Number]],RobotDesignResults[Team Number],0))</f>
        <v>1</v>
      </c>
      <c r="M7" s="113">
        <f>SUM(TournamentData[[#This Row],[Robot Game Rank]:[Robot Design Rank]])</f>
        <v>4</v>
      </c>
      <c r="N7" s="114">
        <f>RANK(TournamentData[[#This Row],[Champion''s Score]],TournamentData[Champion''s Score],0)</f>
        <v>1</v>
      </c>
      <c r="O7" s="115"/>
      <c r="P7" s="116"/>
      <c r="Q7" s="117">
        <f>IF(ISNA(INDEX(CoreValuesResults[Core Values Score],MATCH(TournamentData[[#This Row],[Team Number]],CoreValuesResults[Team Number],0))),0,INDEX(CoreValuesResults[Core Values Score],MATCH(TournamentData[[#This Row],[Team Number]],CoreValuesResults[Team Number],0)))</f>
        <v>0</v>
      </c>
      <c r="R7" s="117">
        <f>IF(ISNA(INDEX(InnovationProjectResults[Innovation Project Score],MATCH(TournamentData[[#This Row],[Team Number]],InnovationProjectResults[Team Number],0))),0,INDEX(InnovationProjectResults[Innovation Project Score],MATCH(TournamentData[[#This Row],[Team Number]],InnovationProjectResults[Team Number],0)))</f>
        <v>0</v>
      </c>
      <c r="S7" s="117">
        <f>IF(ISNA(INDEX(RobotDesignResults[Robot Design Score],MATCH(TournamentData[[#This Row],[Team Number]],RobotDesignResults[Team Number],0))),0,INDEX(RobotDesignResults[Robot Design Score],MATCH(TournamentData[[#This Row],[Team Number]],RobotDesignResults[Team Number],0)))</f>
        <v>0</v>
      </c>
      <c r="T7" s="118">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 s="124">
        <f>IF(T7,_xlfn.RANK.EQ(T7,T$3:T$15,0),NumberOfTeams)</f>
        <v>0</v>
      </c>
      <c r="V7" s="115"/>
      <c r="W7" s="27"/>
      <c r="AA7" s="27"/>
      <c r="AB7" s="27"/>
    </row>
    <row r="8" spans="1:28" ht="20.25" customHeight="1" x14ac:dyDescent="0.25">
      <c r="A8" s="108">
        <v>31415</v>
      </c>
      <c r="B8" s="112" t="str">
        <f>INDEX(OfficialTeamList[Team Name],MATCH(TournamentData[[#This Row],[Team Number]], OfficialTeamList[Team Number],0))</f>
        <v>TestTeamAdd3</v>
      </c>
      <c r="C8" s="113">
        <f>IF(TournamentData[[#This Row],[Team Number]]="","",IF(ISNA(INDEX('Robot Game Scores'!C:C,MATCH(TournamentData[[#This Row],[Team Number]], 'Robot Game Scores'!$A:$A,0))),0,INDEX('Robot Game Scores'!C:C,MATCH(TournamentData[[#This Row],[Team Number]], 'Robot Game Scores'!$A:$A,0))))</f>
        <v>0</v>
      </c>
      <c r="D8" s="113">
        <f>IF(TournamentData[[#This Row],[Team Number]]="","",IF(ISNA(INDEX('Robot Game Scores'!D:D,MATCH(TournamentData[[#This Row],[Team Number]], 'Robot Game Scores'!$A:$A,0))),0,INDEX('Robot Game Scores'!D:D,MATCH(TournamentData[[#This Row],[Team Number]], 'Robot Game Scores'!$A:$A,0))))</f>
        <v>0</v>
      </c>
      <c r="E8" s="113">
        <f>IF(TournamentData[[#This Row],[Team Number]]="","",IF(ISNA(INDEX('Robot Game Scores'!E:E,MATCH(TournamentData[[#This Row],[Team Number]], 'Robot Game Scores'!$A:$A,0))),0,INDEX('Robot Game Scores'!E:E,MATCH(TournamentData[[#This Row],[Team Number]], 'Robot Game Scores'!$A:$A,0))))</f>
        <v>0</v>
      </c>
      <c r="F8" s="113" t="e">
        <f>IF(TournamentData[[#This Row],[Team Number]]="","",IF(ISNA(INDEX('Robot Game Scores'!#REF!,MATCH(TournamentData[[#This Row],[Team Number]], 'Robot Game Scores'!$A:$A,0))),0,INDEX('Robot Game Scores'!#REF!,MATCH(TournamentData[[#This Row],[Team Number]], 'Robot Game Scores'!$A:$A,0))))</f>
        <v>#REF!</v>
      </c>
      <c r="G8" s="113" t="e">
        <f>IF(TournamentData[[#This Row],[Team Number]]="","",IF(ISNA(INDEX('Robot Game Scores'!#REF!,MATCH(TournamentData[[#This Row],[Team Number]], 'Robot Game Scores'!$A:$A,0))),0,INDEX('Robot Game Scores'!#REF!,MATCH(TournamentData[[#This Row],[Team Number]], 'Robot Game Scores'!$A:$A,0))))</f>
        <v>#REF!</v>
      </c>
      <c r="H8" s="11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8" s="113">
        <f>_xlfn.RANK.EQ(TournamentData[[#This Row],[Max Robot Game Score]],TournamentData[Max Robot Game Score])</f>
        <v>1</v>
      </c>
      <c r="J8" s="113">
        <f>INDEX(CoreValuesResults[Core Values Rank],MATCH(TournamentData[[#This Row],[Team Number]],CoreValuesResults[Team Number],0))</f>
        <v>1</v>
      </c>
      <c r="K8" s="113">
        <f>INDEX(InnovationProjectResults[Innovation Project Rank],MATCH(TournamentData[[#This Row],[Team Number]],InnovationProjectResults[Team Number],0))</f>
        <v>1</v>
      </c>
      <c r="L8" s="113">
        <f>INDEX(RobotDesignResults[Robot Design Rank],MATCH(TournamentData[[#This Row],[Team Number]],RobotDesignResults[Team Number],0))</f>
        <v>1</v>
      </c>
      <c r="M8" s="113">
        <f>SUM(TournamentData[[#This Row],[Robot Game Rank]:[Robot Design Rank]])</f>
        <v>4</v>
      </c>
      <c r="N8" s="114">
        <f>RANK(TournamentData[[#This Row],[Champion''s Score]],TournamentData[Champion''s Score],0)</f>
        <v>1</v>
      </c>
      <c r="O8" s="115"/>
      <c r="P8" s="116"/>
      <c r="Q8" s="117">
        <f>IF(ISNA(INDEX(CoreValuesResults[Core Values Score],MATCH(TournamentData[[#This Row],[Team Number]],CoreValuesResults[Team Number],0))),0,INDEX(CoreValuesResults[Core Values Score],MATCH(TournamentData[[#This Row],[Team Number]],CoreValuesResults[Team Number],0)))</f>
        <v>0</v>
      </c>
      <c r="R8" s="117">
        <f>IF(ISNA(INDEX(InnovationProjectResults[Innovation Project Score],MATCH(TournamentData[[#This Row],[Team Number]],InnovationProjectResults[Team Number],0))),0,INDEX(InnovationProjectResults[Innovation Project Score],MATCH(TournamentData[[#This Row],[Team Number]],InnovationProjectResults[Team Number],0)))</f>
        <v>0</v>
      </c>
      <c r="S8" s="117">
        <f>IF(ISNA(INDEX(RobotDesignResults[Robot Design Score],MATCH(TournamentData[[#This Row],[Team Number]],RobotDesignResults[Team Number],0))),0,INDEX(RobotDesignResults[Robot Design Score],MATCH(TournamentData[[#This Row],[Team Number]],RobotDesignResults[Team Number],0)))</f>
        <v>0</v>
      </c>
      <c r="T8" s="118">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 s="119">
        <f>IF(T8,_xlfn.RANK.EQ(T8,T$3:T$15,0),NumberOfTeams)</f>
        <v>0</v>
      </c>
      <c r="V8" s="115"/>
      <c r="W8" s="27"/>
      <c r="AA8" s="27"/>
      <c r="AB8" s="27"/>
    </row>
    <row r="9" spans="1:28" ht="20.25" customHeight="1" x14ac:dyDescent="0.25">
      <c r="A9" s="108">
        <v>34450</v>
      </c>
      <c r="B9" s="112" t="str">
        <f>INDEX(OfficialTeamList[Team Name],MATCH(TournamentData[[#This Row],[Team Number]], OfficialTeamList[Team Number],0))</f>
        <v>RG7 CV2 IP4 RD3 CR3</v>
      </c>
      <c r="C9" s="113">
        <f>IF(TournamentData[[#This Row],[Team Number]]="","",IF(ISNA(INDEX('Robot Game Scores'!C:C,MATCH(TournamentData[[#This Row],[Team Number]], 'Robot Game Scores'!$A:$A,0))),0,INDEX('Robot Game Scores'!C:C,MATCH(TournamentData[[#This Row],[Team Number]], 'Robot Game Scores'!$A:$A,0))))</f>
        <v>0</v>
      </c>
      <c r="D9" s="113">
        <f>IF(TournamentData[[#This Row],[Team Number]]="","",IF(ISNA(INDEX('Robot Game Scores'!D:D,MATCH(TournamentData[[#This Row],[Team Number]], 'Robot Game Scores'!$A:$A,0))),0,INDEX('Robot Game Scores'!D:D,MATCH(TournamentData[[#This Row],[Team Number]], 'Robot Game Scores'!$A:$A,0))))</f>
        <v>0</v>
      </c>
      <c r="E9" s="113">
        <f>IF(TournamentData[[#This Row],[Team Number]]="","",IF(ISNA(INDEX('Robot Game Scores'!E:E,MATCH(TournamentData[[#This Row],[Team Number]], 'Robot Game Scores'!$A:$A,0))),0,INDEX('Robot Game Scores'!E:E,MATCH(TournamentData[[#This Row],[Team Number]], 'Robot Game Scores'!$A:$A,0))))</f>
        <v>0</v>
      </c>
      <c r="F9" s="113" t="e">
        <f>IF(TournamentData[[#This Row],[Team Number]]="","",IF(ISNA(INDEX('Robot Game Scores'!#REF!,MATCH(TournamentData[[#This Row],[Team Number]], 'Robot Game Scores'!$A:$A,0))),0,INDEX('Robot Game Scores'!#REF!,MATCH(TournamentData[[#This Row],[Team Number]], 'Robot Game Scores'!$A:$A,0))))</f>
        <v>#REF!</v>
      </c>
      <c r="G9" s="113" t="e">
        <f>IF(TournamentData[[#This Row],[Team Number]]="","",IF(ISNA(INDEX('Robot Game Scores'!#REF!,MATCH(TournamentData[[#This Row],[Team Number]], 'Robot Game Scores'!$A:$A,0))),0,INDEX('Robot Game Scores'!#REF!,MATCH(TournamentData[[#This Row],[Team Number]], 'Robot Game Scores'!$A:$A,0))))</f>
        <v>#REF!</v>
      </c>
      <c r="H9" s="11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9" s="113">
        <f>_xlfn.RANK.EQ(TournamentData[[#This Row],[Max Robot Game Score]],TournamentData[Max Robot Game Score])</f>
        <v>1</v>
      </c>
      <c r="J9" s="113">
        <f>INDEX(CoreValuesResults[Core Values Rank],MATCH(TournamentData[[#This Row],[Team Number]],CoreValuesResults[Team Number],0))</f>
        <v>1</v>
      </c>
      <c r="K9" s="113">
        <f>INDEX(InnovationProjectResults[Innovation Project Rank],MATCH(TournamentData[[#This Row],[Team Number]],InnovationProjectResults[Team Number],0))</f>
        <v>1</v>
      </c>
      <c r="L9" s="113">
        <f>INDEX(RobotDesignResults[Robot Design Rank],MATCH(TournamentData[[#This Row],[Team Number]],RobotDesignResults[Team Number],0))</f>
        <v>1</v>
      </c>
      <c r="M9" s="113">
        <f>SUM(TournamentData[[#This Row],[Robot Game Rank]:[Robot Design Rank]])</f>
        <v>4</v>
      </c>
      <c r="N9" s="114">
        <f>RANK(TournamentData[[#This Row],[Champion''s Score]],TournamentData[Champion''s Score],0)</f>
        <v>1</v>
      </c>
      <c r="O9" s="115"/>
      <c r="P9" s="116"/>
      <c r="Q9" s="117">
        <f>IF(ISNA(INDEX(CoreValuesResults[Core Values Score],MATCH(TournamentData[[#This Row],[Team Number]],CoreValuesResults[Team Number],0))),0,INDEX(CoreValuesResults[Core Values Score],MATCH(TournamentData[[#This Row],[Team Number]],CoreValuesResults[Team Number],0)))</f>
        <v>0</v>
      </c>
      <c r="R9" s="117">
        <f>IF(ISNA(INDEX(InnovationProjectResults[Innovation Project Score],MATCH(TournamentData[[#This Row],[Team Number]],InnovationProjectResults[Team Number],0))),0,INDEX(InnovationProjectResults[Innovation Project Score],MATCH(TournamentData[[#This Row],[Team Number]],InnovationProjectResults[Team Number],0)))</f>
        <v>0</v>
      </c>
      <c r="S9" s="117">
        <f>IF(ISNA(INDEX(RobotDesignResults[Robot Design Score],MATCH(TournamentData[[#This Row],[Team Number]],RobotDesignResults[Team Number],0))),0,INDEX(RobotDesignResults[Robot Design Score],MATCH(TournamentData[[#This Row],[Team Number]],RobotDesignResults[Team Number],0)))</f>
        <v>0</v>
      </c>
      <c r="T9" s="118">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 s="119">
        <f>IF(T9,_xlfn.RANK.EQ(T9,T$3:T$15,0),NumberOfTeams)</f>
        <v>0</v>
      </c>
      <c r="V9" s="115"/>
      <c r="W9" s="27"/>
      <c r="Z9" s="27"/>
      <c r="AA9" s="27"/>
      <c r="AB9" s="27"/>
    </row>
    <row r="10" spans="1:28" ht="20.25" customHeight="1" x14ac:dyDescent="0.25">
      <c r="A10" s="108">
        <v>43985</v>
      </c>
      <c r="B10" s="112" t="str">
        <f>INDEX(OfficialTeamList[Team Name],MATCH(TournamentData[[#This Row],[Team Number]], OfficialTeamList[Team Number],0))</f>
        <v>RG1 CV5 IP2 RD3 CR2</v>
      </c>
      <c r="C10" s="113">
        <f>IF(TournamentData[[#This Row],[Team Number]]="","",IF(ISNA(INDEX('Robot Game Scores'!C:C,MATCH(TournamentData[[#This Row],[Team Number]], 'Robot Game Scores'!$A:$A,0))),0,INDEX('Robot Game Scores'!C:C,MATCH(TournamentData[[#This Row],[Team Number]], 'Robot Game Scores'!$A:$A,0))))</f>
        <v>0</v>
      </c>
      <c r="D10" s="113">
        <f>IF(TournamentData[[#This Row],[Team Number]]="","",IF(ISNA(INDEX('Robot Game Scores'!D:D,MATCH(TournamentData[[#This Row],[Team Number]], 'Robot Game Scores'!$A:$A,0))),0,INDEX('Robot Game Scores'!D:D,MATCH(TournamentData[[#This Row],[Team Number]], 'Robot Game Scores'!$A:$A,0))))</f>
        <v>0</v>
      </c>
      <c r="E10" s="113">
        <f>IF(TournamentData[[#This Row],[Team Number]]="","",IF(ISNA(INDEX('Robot Game Scores'!E:E,MATCH(TournamentData[[#This Row],[Team Number]], 'Robot Game Scores'!$A:$A,0))),0,INDEX('Robot Game Scores'!E:E,MATCH(TournamentData[[#This Row],[Team Number]], 'Robot Game Scores'!$A:$A,0))))</f>
        <v>0</v>
      </c>
      <c r="F10" s="113" t="e">
        <f>IF(TournamentData[[#This Row],[Team Number]]="","",IF(ISNA(INDEX('Robot Game Scores'!#REF!,MATCH(TournamentData[[#This Row],[Team Number]], 'Robot Game Scores'!$A:$A,0))),0,INDEX('Robot Game Scores'!#REF!,MATCH(TournamentData[[#This Row],[Team Number]], 'Robot Game Scores'!$A:$A,0))))</f>
        <v>#REF!</v>
      </c>
      <c r="G10" s="113" t="e">
        <f>IF(TournamentData[[#This Row],[Team Number]]="","",IF(ISNA(INDEX('Robot Game Scores'!#REF!,MATCH(TournamentData[[#This Row],[Team Number]], 'Robot Game Scores'!$A:$A,0))),0,INDEX('Robot Game Scores'!#REF!,MATCH(TournamentData[[#This Row],[Team Number]], 'Robot Game Scores'!$A:$A,0))))</f>
        <v>#REF!</v>
      </c>
      <c r="H10" s="11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0" s="113">
        <f>_xlfn.RANK.EQ(TournamentData[[#This Row],[Max Robot Game Score]],TournamentData[Max Robot Game Score])</f>
        <v>1</v>
      </c>
      <c r="J10" s="113">
        <f>INDEX(CoreValuesResults[Core Values Rank],MATCH(TournamentData[[#This Row],[Team Number]],CoreValuesResults[Team Number],0))</f>
        <v>1</v>
      </c>
      <c r="K10" s="113">
        <f>INDEX(InnovationProjectResults[Innovation Project Rank],MATCH(TournamentData[[#This Row],[Team Number]],InnovationProjectResults[Team Number],0))</f>
        <v>1</v>
      </c>
      <c r="L10" s="113">
        <f>INDEX(RobotDesignResults[Robot Design Rank],MATCH(TournamentData[[#This Row],[Team Number]],RobotDesignResults[Team Number],0))</f>
        <v>1</v>
      </c>
      <c r="M10" s="113">
        <f>SUM(TournamentData[[#This Row],[Robot Game Rank]:[Robot Design Rank]])</f>
        <v>4</v>
      </c>
      <c r="N10" s="114">
        <f>RANK(TournamentData[[#This Row],[Champion''s Score]],TournamentData[Champion''s Score],0)</f>
        <v>1</v>
      </c>
      <c r="O10" s="115"/>
      <c r="P10" s="116"/>
      <c r="Q10" s="117">
        <f>IF(ISNA(INDEX(CoreValuesResults[Core Values Score],MATCH(TournamentData[[#This Row],[Team Number]],CoreValuesResults[Team Number],0))),0,INDEX(CoreValuesResults[Core Values Score],MATCH(TournamentData[[#This Row],[Team Number]],CoreValuesResults[Team Number],0)))</f>
        <v>0</v>
      </c>
      <c r="R10" s="117">
        <f>IF(ISNA(INDEX(InnovationProjectResults[Innovation Project Score],MATCH(TournamentData[[#This Row],[Team Number]],InnovationProjectResults[Team Number],0))),0,INDEX(InnovationProjectResults[Innovation Project Score],MATCH(TournamentData[[#This Row],[Team Number]],InnovationProjectResults[Team Number],0)))</f>
        <v>0</v>
      </c>
      <c r="S10" s="117">
        <f>IF(ISNA(INDEX(RobotDesignResults[Robot Design Score],MATCH(TournamentData[[#This Row],[Team Number]],RobotDesignResults[Team Number],0))),0,INDEX(RobotDesignResults[Robot Design Score],MATCH(TournamentData[[#This Row],[Team Number]],RobotDesignResults[Team Number],0)))</f>
        <v>0</v>
      </c>
      <c r="T10" s="118">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 s="119">
        <f>IF(T10,_xlfn.RANK.EQ(T10,T$3:T$15,0),NumberOfTeams)</f>
        <v>0</v>
      </c>
      <c r="V10" s="115"/>
      <c r="W10" s="27"/>
      <c r="Z10" s="27"/>
      <c r="AA10" s="27"/>
      <c r="AB10" s="27"/>
    </row>
    <row r="11" spans="1:28" ht="20.25" customHeight="1" x14ac:dyDescent="0.25">
      <c r="A11" s="108">
        <v>48732</v>
      </c>
      <c r="B11" s="112" t="str">
        <f>INDEX(OfficialTeamList[Team Name],MATCH(TournamentData[[#This Row],[Team Number]], OfficialTeamList[Team Number],0))</f>
        <v>RG4 CV10 IP10 RD3 CR8</v>
      </c>
      <c r="C11" s="113">
        <f>IF(TournamentData[[#This Row],[Team Number]]="","",IF(ISNA(INDEX('Robot Game Scores'!C:C,MATCH(TournamentData[[#This Row],[Team Number]], 'Robot Game Scores'!$A:$A,0))),0,INDEX('Robot Game Scores'!C:C,MATCH(TournamentData[[#This Row],[Team Number]], 'Robot Game Scores'!$A:$A,0))))</f>
        <v>0</v>
      </c>
      <c r="D11" s="113">
        <f>IF(TournamentData[[#This Row],[Team Number]]="","",IF(ISNA(INDEX('Robot Game Scores'!D:D,MATCH(TournamentData[[#This Row],[Team Number]], 'Robot Game Scores'!$A:$A,0))),0,INDEX('Robot Game Scores'!D:D,MATCH(TournamentData[[#This Row],[Team Number]], 'Robot Game Scores'!$A:$A,0))))</f>
        <v>0</v>
      </c>
      <c r="E11" s="113">
        <f>IF(TournamentData[[#This Row],[Team Number]]="","",IF(ISNA(INDEX('Robot Game Scores'!E:E,MATCH(TournamentData[[#This Row],[Team Number]], 'Robot Game Scores'!$A:$A,0))),0,INDEX('Robot Game Scores'!E:E,MATCH(TournamentData[[#This Row],[Team Number]], 'Robot Game Scores'!$A:$A,0))))</f>
        <v>0</v>
      </c>
      <c r="F11" s="113" t="e">
        <f>IF(TournamentData[[#This Row],[Team Number]]="","",IF(ISNA(INDEX('Robot Game Scores'!#REF!,MATCH(TournamentData[[#This Row],[Team Number]], 'Robot Game Scores'!$A:$A,0))),0,INDEX('Robot Game Scores'!#REF!,MATCH(TournamentData[[#This Row],[Team Number]], 'Robot Game Scores'!$A:$A,0))))</f>
        <v>#REF!</v>
      </c>
      <c r="G11" s="113" t="e">
        <f>IF(TournamentData[[#This Row],[Team Number]]="","",IF(ISNA(INDEX('Robot Game Scores'!#REF!,MATCH(TournamentData[[#This Row],[Team Number]], 'Robot Game Scores'!$A:$A,0))),0,INDEX('Robot Game Scores'!#REF!,MATCH(TournamentData[[#This Row],[Team Number]], 'Robot Game Scores'!$A:$A,0))))</f>
        <v>#REF!</v>
      </c>
      <c r="H11" s="11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1" s="113">
        <f>_xlfn.RANK.EQ(TournamentData[[#This Row],[Max Robot Game Score]],TournamentData[Max Robot Game Score])</f>
        <v>1</v>
      </c>
      <c r="J11" s="113">
        <f>INDEX(CoreValuesResults[Core Values Rank],MATCH(TournamentData[[#This Row],[Team Number]],CoreValuesResults[Team Number],0))</f>
        <v>1</v>
      </c>
      <c r="K11" s="113">
        <f>INDEX(InnovationProjectResults[Innovation Project Rank],MATCH(TournamentData[[#This Row],[Team Number]],InnovationProjectResults[Team Number],0))</f>
        <v>1</v>
      </c>
      <c r="L11" s="113">
        <f>INDEX(RobotDesignResults[Robot Design Rank],MATCH(TournamentData[[#This Row],[Team Number]],RobotDesignResults[Team Number],0))</f>
        <v>1</v>
      </c>
      <c r="M11" s="113">
        <f>SUM(TournamentData[[#This Row],[Robot Game Rank]:[Robot Design Rank]])</f>
        <v>4</v>
      </c>
      <c r="N11" s="114">
        <f>RANK(TournamentData[[#This Row],[Champion''s Score]],TournamentData[Champion''s Score],0)</f>
        <v>1</v>
      </c>
      <c r="O11" s="115"/>
      <c r="P11" s="116"/>
      <c r="Q11" s="117">
        <f>IF(ISNA(INDEX(CoreValuesResults[Core Values Score],MATCH(TournamentData[[#This Row],[Team Number]],CoreValuesResults[Team Number],0))),0,INDEX(CoreValuesResults[Core Values Score],MATCH(TournamentData[[#This Row],[Team Number]],CoreValuesResults[Team Number],0)))</f>
        <v>0</v>
      </c>
      <c r="R11" s="117">
        <f>IF(ISNA(INDEX(InnovationProjectResults[Innovation Project Score],MATCH(TournamentData[[#This Row],[Team Number]],InnovationProjectResults[Team Number],0))),0,INDEX(InnovationProjectResults[Innovation Project Score],MATCH(TournamentData[[#This Row],[Team Number]],InnovationProjectResults[Team Number],0)))</f>
        <v>0</v>
      </c>
      <c r="S11" s="117">
        <f>IF(ISNA(INDEX(RobotDesignResults[Robot Design Score],MATCH(TournamentData[[#This Row],[Team Number]],RobotDesignResults[Team Number],0))),0,INDEX(RobotDesignResults[Robot Design Score],MATCH(TournamentData[[#This Row],[Team Number]],RobotDesignResults[Team Number],0)))</f>
        <v>0</v>
      </c>
      <c r="T11" s="118">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 s="119">
        <f>IF(T11,_xlfn.RANK.EQ(T11,T$3:T$15,0),NumberOfTeams)</f>
        <v>0</v>
      </c>
      <c r="V11" s="115"/>
      <c r="W11" s="27"/>
      <c r="Z11" s="27"/>
      <c r="AA11" s="27"/>
      <c r="AB11" s="27"/>
    </row>
    <row r="12" spans="1:28" ht="20.25" customHeight="1" x14ac:dyDescent="0.25">
      <c r="A12" s="108">
        <v>58947</v>
      </c>
      <c r="B12" s="112" t="str">
        <f>INDEX(OfficialTeamList[Team Name],MATCH(TournamentData[[#This Row],[Team Number]], OfficialTeamList[Team Number],0))</f>
        <v>RG5 CV8 IP8 RD6 CR8</v>
      </c>
      <c r="C12" s="113">
        <f>IF(TournamentData[[#This Row],[Team Number]]="","",IF(ISNA(INDEX('Robot Game Scores'!C:C,MATCH(TournamentData[[#This Row],[Team Number]], 'Robot Game Scores'!$A:$A,0))),0,INDEX('Robot Game Scores'!C:C,MATCH(TournamentData[[#This Row],[Team Number]], 'Robot Game Scores'!$A:$A,0))))</f>
        <v>0</v>
      </c>
      <c r="D12" s="113">
        <f>IF(TournamentData[[#This Row],[Team Number]]="","",IF(ISNA(INDEX('Robot Game Scores'!D:D,MATCH(TournamentData[[#This Row],[Team Number]], 'Robot Game Scores'!$A:$A,0))),0,INDEX('Robot Game Scores'!D:D,MATCH(TournamentData[[#This Row],[Team Number]], 'Robot Game Scores'!$A:$A,0))))</f>
        <v>0</v>
      </c>
      <c r="E12" s="113">
        <f>IF(TournamentData[[#This Row],[Team Number]]="","",IF(ISNA(INDEX('Robot Game Scores'!E:E,MATCH(TournamentData[[#This Row],[Team Number]], 'Robot Game Scores'!$A:$A,0))),0,INDEX('Robot Game Scores'!E:E,MATCH(TournamentData[[#This Row],[Team Number]], 'Robot Game Scores'!$A:$A,0))))</f>
        <v>0</v>
      </c>
      <c r="F12" s="113" t="e">
        <f>IF(TournamentData[[#This Row],[Team Number]]="","",IF(ISNA(INDEX('Robot Game Scores'!#REF!,MATCH(TournamentData[[#This Row],[Team Number]], 'Robot Game Scores'!$A:$A,0))),0,INDEX('Robot Game Scores'!#REF!,MATCH(TournamentData[[#This Row],[Team Number]], 'Robot Game Scores'!$A:$A,0))))</f>
        <v>#REF!</v>
      </c>
      <c r="G12" s="113" t="e">
        <f>IF(TournamentData[[#This Row],[Team Number]]="","",IF(ISNA(INDEX('Robot Game Scores'!#REF!,MATCH(TournamentData[[#This Row],[Team Number]], 'Robot Game Scores'!$A:$A,0))),0,INDEX('Robot Game Scores'!#REF!,MATCH(TournamentData[[#This Row],[Team Number]], 'Robot Game Scores'!$A:$A,0))))</f>
        <v>#REF!</v>
      </c>
      <c r="H12" s="11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2" s="113">
        <f>_xlfn.RANK.EQ(TournamentData[[#This Row],[Max Robot Game Score]],TournamentData[Max Robot Game Score])</f>
        <v>1</v>
      </c>
      <c r="J12" s="113">
        <f>INDEX(CoreValuesResults[Core Values Rank],MATCH(TournamentData[[#This Row],[Team Number]],CoreValuesResults[Team Number],0))</f>
        <v>1</v>
      </c>
      <c r="K12" s="113">
        <f>INDEX(InnovationProjectResults[Innovation Project Rank],MATCH(TournamentData[[#This Row],[Team Number]],InnovationProjectResults[Team Number],0))</f>
        <v>1</v>
      </c>
      <c r="L12" s="113">
        <f>INDEX(RobotDesignResults[Robot Design Rank],MATCH(TournamentData[[#This Row],[Team Number]],RobotDesignResults[Team Number],0))</f>
        <v>1</v>
      </c>
      <c r="M12" s="113">
        <f>SUM(TournamentData[[#This Row],[Robot Game Rank]:[Robot Design Rank]])</f>
        <v>4</v>
      </c>
      <c r="N12" s="114">
        <f>RANK(TournamentData[[#This Row],[Champion''s Score]],TournamentData[Champion''s Score],0)</f>
        <v>1</v>
      </c>
      <c r="O12" s="115"/>
      <c r="P12" s="116"/>
      <c r="Q12" s="117">
        <f>IF(ISNA(INDEX(CoreValuesResults[Core Values Score],MATCH(TournamentData[[#This Row],[Team Number]],CoreValuesResults[Team Number],0))),0,INDEX(CoreValuesResults[Core Values Score],MATCH(TournamentData[[#This Row],[Team Number]],CoreValuesResults[Team Number],0)))</f>
        <v>0</v>
      </c>
      <c r="R12" s="117">
        <f>IF(ISNA(INDEX(InnovationProjectResults[Innovation Project Score],MATCH(TournamentData[[#This Row],[Team Number]],InnovationProjectResults[Team Number],0))),0,INDEX(InnovationProjectResults[Innovation Project Score],MATCH(TournamentData[[#This Row],[Team Number]],InnovationProjectResults[Team Number],0)))</f>
        <v>0</v>
      </c>
      <c r="S12" s="117">
        <f>IF(ISNA(INDEX(RobotDesignResults[Robot Design Score],MATCH(TournamentData[[#This Row],[Team Number]],RobotDesignResults[Team Number],0))),0,INDEX(RobotDesignResults[Robot Design Score],MATCH(TournamentData[[#This Row],[Team Number]],RobotDesignResults[Team Number],0)))</f>
        <v>0</v>
      </c>
      <c r="T12" s="118">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 s="119">
        <f>IF(T12,_xlfn.RANK.EQ(T12,T$3:T$15,0),NumberOfTeams)</f>
        <v>0</v>
      </c>
      <c r="V12" s="115"/>
    </row>
    <row r="13" spans="1:28" ht="20.25" customHeight="1" x14ac:dyDescent="0.25">
      <c r="A13" s="108">
        <v>69029</v>
      </c>
      <c r="B13" s="112" t="str">
        <f>INDEX(OfficialTeamList[Team Name],MATCH(TournamentData[[#This Row],[Team Number]], OfficialTeamList[Team Number],0))</f>
        <v>RG9 CV3 IP4 RD9 CR7</v>
      </c>
      <c r="C13" s="113">
        <f>IF(TournamentData[[#This Row],[Team Number]]="","",IF(ISNA(INDEX('Robot Game Scores'!C:C,MATCH(TournamentData[[#This Row],[Team Number]], 'Robot Game Scores'!$A:$A,0))),0,INDEX('Robot Game Scores'!C:C,MATCH(TournamentData[[#This Row],[Team Number]], 'Robot Game Scores'!$A:$A,0))))</f>
        <v>0</v>
      </c>
      <c r="D13" s="113">
        <f>IF(TournamentData[[#This Row],[Team Number]]="","",IF(ISNA(INDEX('Robot Game Scores'!D:D,MATCH(TournamentData[[#This Row],[Team Number]], 'Robot Game Scores'!$A:$A,0))),0,INDEX('Robot Game Scores'!D:D,MATCH(TournamentData[[#This Row],[Team Number]], 'Robot Game Scores'!$A:$A,0))))</f>
        <v>0</v>
      </c>
      <c r="E13" s="113">
        <f>IF(TournamentData[[#This Row],[Team Number]]="","",IF(ISNA(INDEX('Robot Game Scores'!E:E,MATCH(TournamentData[[#This Row],[Team Number]], 'Robot Game Scores'!$A:$A,0))),0,INDEX('Robot Game Scores'!E:E,MATCH(TournamentData[[#This Row],[Team Number]], 'Robot Game Scores'!$A:$A,0))))</f>
        <v>0</v>
      </c>
      <c r="F13" s="113" t="e">
        <f>IF(TournamentData[[#This Row],[Team Number]]="","",IF(ISNA(INDEX('Robot Game Scores'!#REF!,MATCH(TournamentData[[#This Row],[Team Number]], 'Robot Game Scores'!$A:$A,0))),0,INDEX('Robot Game Scores'!#REF!,MATCH(TournamentData[[#This Row],[Team Number]], 'Robot Game Scores'!$A:$A,0))))</f>
        <v>#REF!</v>
      </c>
      <c r="G13" s="113" t="e">
        <f>IF(TournamentData[[#This Row],[Team Number]]="","",IF(ISNA(INDEX('Robot Game Scores'!#REF!,MATCH(TournamentData[[#This Row],[Team Number]], 'Robot Game Scores'!$A:$A,0))),0,INDEX('Robot Game Scores'!#REF!,MATCH(TournamentData[[#This Row],[Team Number]], 'Robot Game Scores'!$A:$A,0))))</f>
        <v>#REF!</v>
      </c>
      <c r="H13" s="11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3" s="113">
        <f>_xlfn.RANK.EQ(TournamentData[[#This Row],[Max Robot Game Score]],TournamentData[Max Robot Game Score])</f>
        <v>1</v>
      </c>
      <c r="J13" s="113">
        <f>INDEX(CoreValuesResults[Core Values Rank],MATCH(TournamentData[[#This Row],[Team Number]],CoreValuesResults[Team Number],0))</f>
        <v>1</v>
      </c>
      <c r="K13" s="113">
        <f>INDEX(InnovationProjectResults[Innovation Project Rank],MATCH(TournamentData[[#This Row],[Team Number]],InnovationProjectResults[Team Number],0))</f>
        <v>1</v>
      </c>
      <c r="L13" s="113">
        <f>INDEX(RobotDesignResults[Robot Design Rank],MATCH(TournamentData[[#This Row],[Team Number]],RobotDesignResults[Team Number],0))</f>
        <v>1</v>
      </c>
      <c r="M13" s="113">
        <f>SUM(TournamentData[[#This Row],[Robot Game Rank]:[Robot Design Rank]])</f>
        <v>4</v>
      </c>
      <c r="N13" s="114">
        <f>RANK(TournamentData[[#This Row],[Champion''s Score]],TournamentData[Champion''s Score],0)</f>
        <v>1</v>
      </c>
      <c r="O13" s="115"/>
      <c r="P13" s="116"/>
      <c r="Q13" s="117">
        <f>IF(ISNA(INDEX(CoreValuesResults[Core Values Score],MATCH(TournamentData[[#This Row],[Team Number]],CoreValuesResults[Team Number],0))),0,INDEX(CoreValuesResults[Core Values Score],MATCH(TournamentData[[#This Row],[Team Number]],CoreValuesResults[Team Number],0)))</f>
        <v>0</v>
      </c>
      <c r="R13" s="117">
        <f>IF(ISNA(INDEX(InnovationProjectResults[Innovation Project Score],MATCH(TournamentData[[#This Row],[Team Number]],InnovationProjectResults[Team Number],0))),0,INDEX(InnovationProjectResults[Innovation Project Score],MATCH(TournamentData[[#This Row],[Team Number]],InnovationProjectResults[Team Number],0)))</f>
        <v>0</v>
      </c>
      <c r="S13" s="117">
        <f>IF(ISNA(INDEX(RobotDesignResults[Robot Design Score],MATCH(TournamentData[[#This Row],[Team Number]],RobotDesignResults[Team Number],0))),0,INDEX(RobotDesignResults[Robot Design Score],MATCH(TournamentData[[#This Row],[Team Number]],RobotDesignResults[Team Number],0)))</f>
        <v>0</v>
      </c>
      <c r="T13" s="118">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 s="119">
        <f>IF(T13,_xlfn.RANK.EQ(T13,T$3:T$15,0),NumberOfTeams)</f>
        <v>0</v>
      </c>
      <c r="V13" s="115"/>
    </row>
    <row r="14" spans="1:28" ht="20.25" customHeight="1" x14ac:dyDescent="0.25">
      <c r="A14" s="108">
        <v>88303</v>
      </c>
      <c r="B14" s="112" t="str">
        <f>INDEX(OfficialTeamList[Team Name],MATCH(TournamentData[[#This Row],[Team Number]], OfficialTeamList[Team Number],0))</f>
        <v>RG11 CV7 IP4 RD11 CR10</v>
      </c>
      <c r="C14" s="113">
        <f>IF(TournamentData[[#This Row],[Team Number]]="","",IF(ISNA(INDEX('Robot Game Scores'!C:C,MATCH(TournamentData[[#This Row],[Team Number]], 'Robot Game Scores'!$A:$A,0))),0,INDEX('Robot Game Scores'!C:C,MATCH(TournamentData[[#This Row],[Team Number]], 'Robot Game Scores'!$A:$A,0))))</f>
        <v>0</v>
      </c>
      <c r="D14" s="113">
        <f>IF(TournamentData[[#This Row],[Team Number]]="","",IF(ISNA(INDEX('Robot Game Scores'!D:D,MATCH(TournamentData[[#This Row],[Team Number]], 'Robot Game Scores'!$A:$A,0))),0,INDEX('Robot Game Scores'!D:D,MATCH(TournamentData[[#This Row],[Team Number]], 'Robot Game Scores'!$A:$A,0))))</f>
        <v>0</v>
      </c>
      <c r="E14" s="113">
        <f>IF(TournamentData[[#This Row],[Team Number]]="","",IF(ISNA(INDEX('Robot Game Scores'!E:E,MATCH(TournamentData[[#This Row],[Team Number]], 'Robot Game Scores'!$A:$A,0))),0,INDEX('Robot Game Scores'!E:E,MATCH(TournamentData[[#This Row],[Team Number]], 'Robot Game Scores'!$A:$A,0))))</f>
        <v>0</v>
      </c>
      <c r="F14" s="113" t="e">
        <f>IF(TournamentData[[#This Row],[Team Number]]="","",IF(ISNA(INDEX('Robot Game Scores'!#REF!,MATCH(TournamentData[[#This Row],[Team Number]], 'Robot Game Scores'!$A:$A,0))),0,INDEX('Robot Game Scores'!#REF!,MATCH(TournamentData[[#This Row],[Team Number]], 'Robot Game Scores'!$A:$A,0))))</f>
        <v>#REF!</v>
      </c>
      <c r="G14" s="113" t="e">
        <f>IF(TournamentData[[#This Row],[Team Number]]="","",IF(ISNA(INDEX('Robot Game Scores'!#REF!,MATCH(TournamentData[[#This Row],[Team Number]], 'Robot Game Scores'!$A:$A,0))),0,INDEX('Robot Game Scores'!#REF!,MATCH(TournamentData[[#This Row],[Team Number]], 'Robot Game Scores'!$A:$A,0))))</f>
        <v>#REF!</v>
      </c>
      <c r="H14" s="11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4" s="113">
        <f>_xlfn.RANK.EQ(TournamentData[[#This Row],[Max Robot Game Score]],TournamentData[Max Robot Game Score])</f>
        <v>1</v>
      </c>
      <c r="J14" s="113">
        <f>INDEX(CoreValuesResults[Core Values Rank],MATCH(TournamentData[[#This Row],[Team Number]],CoreValuesResults[Team Number],0))</f>
        <v>1</v>
      </c>
      <c r="K14" s="113">
        <f>INDEX(InnovationProjectResults[Innovation Project Rank],MATCH(TournamentData[[#This Row],[Team Number]],InnovationProjectResults[Team Number],0))</f>
        <v>1</v>
      </c>
      <c r="L14" s="113">
        <f>INDEX(RobotDesignResults[Robot Design Rank],MATCH(TournamentData[[#This Row],[Team Number]],RobotDesignResults[Team Number],0))</f>
        <v>1</v>
      </c>
      <c r="M14" s="113">
        <f>SUM(TournamentData[[#This Row],[Robot Game Rank]:[Robot Design Rank]])</f>
        <v>4</v>
      </c>
      <c r="N14" s="114">
        <f>RANK(TournamentData[[#This Row],[Champion''s Score]],TournamentData[Champion''s Score],0)</f>
        <v>1</v>
      </c>
      <c r="O14" s="115"/>
      <c r="P14" s="116"/>
      <c r="Q14" s="117">
        <f>IF(ISNA(INDEX(CoreValuesResults[Core Values Score],MATCH(TournamentData[[#This Row],[Team Number]],CoreValuesResults[Team Number],0))),0,INDEX(CoreValuesResults[Core Values Score],MATCH(TournamentData[[#This Row],[Team Number]],CoreValuesResults[Team Number],0)))</f>
        <v>0</v>
      </c>
      <c r="R14" s="117">
        <f>IF(ISNA(INDEX(InnovationProjectResults[Innovation Project Score],MATCH(TournamentData[[#This Row],[Team Number]],InnovationProjectResults[Team Number],0))),0,INDEX(InnovationProjectResults[Innovation Project Score],MATCH(TournamentData[[#This Row],[Team Number]],InnovationProjectResults[Team Number],0)))</f>
        <v>0</v>
      </c>
      <c r="S14" s="117">
        <f>IF(ISNA(INDEX(RobotDesignResults[Robot Design Score],MATCH(TournamentData[[#This Row],[Team Number]],RobotDesignResults[Team Number],0))),0,INDEX(RobotDesignResults[Robot Design Score],MATCH(TournamentData[[#This Row],[Team Number]],RobotDesignResults[Team Number],0)))</f>
        <v>0</v>
      </c>
      <c r="T14" s="118">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 s="119">
        <f>IF(T14,_xlfn.RANK.EQ(T14,T$3:T$15,0),NumberOfTeams)</f>
        <v>0</v>
      </c>
      <c r="V14" s="115"/>
    </row>
    <row r="15" spans="1:28" ht="20.25" customHeight="1" x14ac:dyDescent="0.25">
      <c r="A15" s="108">
        <v>89293</v>
      </c>
      <c r="B15" s="120" t="str">
        <f>INDEX(OfficialTeamList[Team Name],MATCH(TournamentData[[#This Row],[Team Number]], OfficialTeamList[Team Number],0))</f>
        <v>RG10 CV10 IP9 RD9 CR11</v>
      </c>
      <c r="C15" s="121">
        <f>IF(TournamentData[[#This Row],[Team Number]]="","",IF(ISNA(INDEX('Robot Game Scores'!C:C,MATCH(TournamentData[[#This Row],[Team Number]], 'Robot Game Scores'!$A:$A,0))),0,INDEX('Robot Game Scores'!C:C,MATCH(TournamentData[[#This Row],[Team Number]], 'Robot Game Scores'!$A:$A,0))))</f>
        <v>0</v>
      </c>
      <c r="D15" s="121">
        <f>IF(TournamentData[[#This Row],[Team Number]]="","",IF(ISNA(INDEX('Robot Game Scores'!D:D,MATCH(TournamentData[[#This Row],[Team Number]], 'Robot Game Scores'!$A:$A,0))),0,INDEX('Robot Game Scores'!D:D,MATCH(TournamentData[[#This Row],[Team Number]], 'Robot Game Scores'!$A:$A,0))))</f>
        <v>0</v>
      </c>
      <c r="E15" s="121">
        <f>IF(TournamentData[[#This Row],[Team Number]]="","",IF(ISNA(INDEX('Robot Game Scores'!E:E,MATCH(TournamentData[[#This Row],[Team Number]], 'Robot Game Scores'!$A:$A,0))),0,INDEX('Robot Game Scores'!E:E,MATCH(TournamentData[[#This Row],[Team Number]], 'Robot Game Scores'!$A:$A,0))))</f>
        <v>0</v>
      </c>
      <c r="F15" s="121" t="e">
        <f>IF(TournamentData[[#This Row],[Team Number]]="","",IF(ISNA(INDEX('Robot Game Scores'!#REF!,MATCH(TournamentData[[#This Row],[Team Number]], 'Robot Game Scores'!$A:$A,0))),0,INDEX('Robot Game Scores'!#REF!,MATCH(TournamentData[[#This Row],[Team Number]], 'Robot Game Scores'!$A:$A,0))))</f>
        <v>#REF!</v>
      </c>
      <c r="G15" s="121" t="e">
        <f>IF(TournamentData[[#This Row],[Team Number]]="","",IF(ISNA(INDEX('Robot Game Scores'!#REF!,MATCH(TournamentData[[#This Row],[Team Number]], 'Robot Game Scores'!$A:$A,0))),0,INDEX('Robot Game Scores'!#REF!,MATCH(TournamentData[[#This Row],[Team Number]], 'Robot Game Scores'!$A:$A,0))))</f>
        <v>#REF!</v>
      </c>
      <c r="H15" s="12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5" s="121">
        <f>_xlfn.RANK.EQ(TournamentData[[#This Row],[Max Robot Game Score]],TournamentData[Max Robot Game Score])</f>
        <v>1</v>
      </c>
      <c r="J15" s="121">
        <f>INDEX(CoreValuesResults[Core Values Rank],MATCH(TournamentData[[#This Row],[Team Number]],CoreValuesResults[Team Number],0))</f>
        <v>1</v>
      </c>
      <c r="K15" s="121">
        <f>INDEX(InnovationProjectResults[Innovation Project Rank],MATCH(TournamentData[[#This Row],[Team Number]],InnovationProjectResults[Team Number],0))</f>
        <v>1</v>
      </c>
      <c r="L15" s="121">
        <f>INDEX(RobotDesignResults[Robot Design Rank],MATCH(TournamentData[[#This Row],[Team Number]],RobotDesignResults[Team Number],0))</f>
        <v>1</v>
      </c>
      <c r="M15" s="121">
        <f>SUM(TournamentData[[#This Row],[Robot Game Rank]:[Robot Design Rank]])</f>
        <v>4</v>
      </c>
      <c r="N15" s="114">
        <f>RANK(TournamentData[[#This Row],[Champion''s Score]],TournamentData[Champion''s Score],0)</f>
        <v>1</v>
      </c>
      <c r="O15" s="115"/>
      <c r="P15" s="116"/>
      <c r="Q15" s="117">
        <f>IF(ISNA(INDEX(CoreValuesResults[Core Values Score],MATCH(TournamentData[[#This Row],[Team Number]],CoreValuesResults[Team Number],0))),0,INDEX(CoreValuesResults[Core Values Score],MATCH(TournamentData[[#This Row],[Team Number]],CoreValuesResults[Team Number],0)))</f>
        <v>0</v>
      </c>
      <c r="R15" s="117">
        <f>IF(ISNA(INDEX(InnovationProjectResults[Innovation Project Score],MATCH(TournamentData[[#This Row],[Team Number]],InnovationProjectResults[Team Number],0))),0,INDEX(InnovationProjectResults[Innovation Project Score],MATCH(TournamentData[[#This Row],[Team Number]],InnovationProjectResults[Team Number],0)))</f>
        <v>0</v>
      </c>
      <c r="S15" s="117">
        <f>IF(ISNA(INDEX(RobotDesignResults[Robot Design Score],MATCH(TournamentData[[#This Row],[Team Number]],RobotDesignResults[Team Number],0))),0,INDEX(RobotDesignResults[Robot Design Score],MATCH(TournamentData[[#This Row],[Team Number]],RobotDesignResults[Team Number],0)))</f>
        <v>0</v>
      </c>
      <c r="T15" s="118">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5" s="123">
        <f>IF(T15,_xlfn.RANK.EQ(T15,T$3:T$17,0),NumberOfTeams)</f>
        <v>0</v>
      </c>
      <c r="V15" s="123"/>
    </row>
    <row r="17" spans="2:15" ht="20.25" customHeight="1" x14ac:dyDescent="0.25">
      <c r="O17" s="61"/>
    </row>
    <row r="32" spans="2:15" ht="20.25" customHeight="1" x14ac:dyDescent="0.25">
      <c r="B32" s="9"/>
      <c r="C32" s="9"/>
      <c r="D32" s="9"/>
      <c r="E32" s="9"/>
      <c r="F32" s="9"/>
      <c r="G32" s="9"/>
      <c r="H32" s="9"/>
      <c r="I32" s="9"/>
      <c r="J32" s="9"/>
      <c r="K32" s="9"/>
      <c r="L32" s="9"/>
      <c r="M32" s="9"/>
      <c r="N32" s="9"/>
    </row>
    <row r="33" spans="2:14" ht="20.25" customHeight="1" x14ac:dyDescent="0.25">
      <c r="B33" s="9"/>
      <c r="C33" s="9"/>
      <c r="D33" s="9"/>
      <c r="E33" s="9"/>
      <c r="F33" s="9"/>
      <c r="G33" s="9"/>
      <c r="H33" s="9"/>
      <c r="I33" s="9"/>
      <c r="J33" s="9"/>
      <c r="K33" s="9"/>
      <c r="L33" s="9"/>
      <c r="M33" s="9"/>
      <c r="N33" s="9"/>
    </row>
    <row r="34" spans="2:14" ht="20.25" customHeight="1" x14ac:dyDescent="0.25">
      <c r="B34" s="9"/>
      <c r="C34" s="9"/>
      <c r="D34" s="9"/>
      <c r="E34" s="9"/>
      <c r="F34" s="9"/>
      <c r="G34" s="9"/>
      <c r="H34" s="9"/>
      <c r="I34" s="9"/>
      <c r="J34" s="9"/>
      <c r="K34" s="9"/>
      <c r="L34" s="9"/>
      <c r="M34" s="9"/>
      <c r="N34" s="9"/>
    </row>
    <row r="35" spans="2:14" ht="20.25" customHeight="1" x14ac:dyDescent="0.25">
      <c r="B35" s="9"/>
      <c r="C35" s="9"/>
      <c r="D35" s="9"/>
      <c r="E35" s="9"/>
      <c r="F35" s="9"/>
      <c r="G35" s="9"/>
      <c r="H35" s="9"/>
      <c r="I35" s="9"/>
      <c r="J35" s="9"/>
      <c r="K35" s="9"/>
      <c r="L35" s="9"/>
      <c r="M35" s="9"/>
      <c r="N35" s="9"/>
    </row>
    <row r="36" spans="2:14" ht="20.25" customHeight="1" x14ac:dyDescent="0.25">
      <c r="B36" s="9"/>
      <c r="C36" s="9"/>
      <c r="D36" s="9"/>
      <c r="E36" s="9"/>
      <c r="F36" s="9"/>
      <c r="G36" s="9"/>
      <c r="H36" s="9"/>
      <c r="I36" s="9"/>
      <c r="J36" s="9"/>
      <c r="K36" s="9"/>
      <c r="L36" s="9"/>
      <c r="M36" s="9"/>
      <c r="N36" s="9"/>
    </row>
    <row r="37" spans="2:14" ht="20.25" customHeight="1" x14ac:dyDescent="0.25">
      <c r="B37" s="9"/>
      <c r="C37" s="9"/>
      <c r="D37" s="9"/>
      <c r="E37" s="9"/>
      <c r="F37" s="9"/>
      <c r="G37" s="9"/>
      <c r="H37" s="9"/>
      <c r="I37" s="9"/>
      <c r="J37" s="9"/>
      <c r="K37" s="9"/>
      <c r="L37" s="9"/>
      <c r="M37" s="9"/>
      <c r="N37" s="9"/>
    </row>
    <row r="38" spans="2:14" ht="20.25" customHeight="1" x14ac:dyDescent="0.25">
      <c r="B38" s="9"/>
      <c r="C38" s="9"/>
      <c r="D38" s="9"/>
      <c r="E38" s="9"/>
      <c r="F38" s="9"/>
      <c r="G38" s="9"/>
      <c r="H38" s="9"/>
      <c r="I38" s="9"/>
      <c r="J38" s="9"/>
      <c r="K38" s="9"/>
      <c r="L38" s="9"/>
      <c r="M38" s="9"/>
      <c r="N38" s="9"/>
    </row>
    <row r="39" spans="2:14" ht="20.25" customHeight="1" x14ac:dyDescent="0.25">
      <c r="B39" s="9"/>
      <c r="C39" s="9"/>
      <c r="D39" s="9"/>
      <c r="E39" s="9"/>
      <c r="F39" s="9"/>
      <c r="G39" s="9"/>
      <c r="H39" s="9"/>
      <c r="I39" s="9"/>
      <c r="J39" s="9"/>
      <c r="K39" s="9"/>
      <c r="L39" s="9"/>
      <c r="M39" s="9"/>
      <c r="N39" s="9"/>
    </row>
    <row r="40" spans="2:14" ht="20.25" customHeight="1" x14ac:dyDescent="0.25">
      <c r="B40" s="9"/>
      <c r="C40" s="9"/>
      <c r="D40" s="9"/>
      <c r="E40" s="9"/>
      <c r="F40" s="9"/>
      <c r="G40" s="9"/>
      <c r="H40" s="9"/>
      <c r="I40" s="9"/>
      <c r="J40" s="9"/>
      <c r="K40" s="9"/>
      <c r="L40" s="9"/>
      <c r="M40" s="9"/>
      <c r="N40" s="9"/>
    </row>
    <row r="41" spans="2:14" ht="20.25" customHeight="1" x14ac:dyDescent="0.25">
      <c r="B41" s="9"/>
      <c r="C41" s="9"/>
      <c r="D41" s="9"/>
      <c r="E41" s="9"/>
      <c r="F41" s="9"/>
      <c r="G41" s="9"/>
      <c r="H41" s="9"/>
      <c r="I41" s="9"/>
      <c r="J41" s="9"/>
      <c r="K41" s="9"/>
      <c r="L41" s="9"/>
      <c r="M41" s="9"/>
      <c r="N41" s="9"/>
    </row>
    <row r="42" spans="2:14" ht="20.25" customHeight="1" x14ac:dyDescent="0.25">
      <c r="B42" s="9"/>
      <c r="C42" s="9"/>
      <c r="D42" s="9"/>
      <c r="E42" s="9"/>
      <c r="F42" s="9"/>
      <c r="G42" s="9"/>
      <c r="H42" s="9"/>
      <c r="I42" s="9"/>
      <c r="J42" s="9"/>
      <c r="K42" s="9"/>
      <c r="L42" s="9"/>
      <c r="M42" s="9"/>
      <c r="N42" s="9"/>
    </row>
  </sheetData>
  <sheetProtection selectLockedCells="1" sort="0" autoFilter="0"/>
  <protectedRanges>
    <protectedRange sqref="A2:V15" name="EditRar"/>
  </protectedRanges>
  <mergeCells count="6">
    <mergeCell ref="J1:L1"/>
    <mergeCell ref="Q1:U1"/>
    <mergeCell ref="O1:P1"/>
    <mergeCell ref="A1:B1"/>
    <mergeCell ref="C1:I1"/>
    <mergeCell ref="M1:N1"/>
  </mergeCells>
  <conditionalFormatting sqref="A3:W3 O12:V15 O4:W11 A4:N15">
    <cfRule type="expression" dxfId="21" priority="17">
      <formula>ROW()-NumberOfTeams=2</formula>
    </cfRule>
  </conditionalFormatting>
  <conditionalFormatting sqref="A3:A15">
    <cfRule type="expression" dxfId="20" priority="11">
      <formula>IF($N3 &lt;= NumberofTeamsAdvancing,TRUE,FALSE)</formula>
    </cfRule>
  </conditionalFormatting>
  <conditionalFormatting sqref="P2">
    <cfRule type="expression" dxfId="19" priority="6">
      <formula>IF(COUNTIF($P:$P,"=Yes")&lt;&gt;NumberofTeamsAdvancing,1,0)</formula>
    </cfRule>
  </conditionalFormatting>
  <conditionalFormatting sqref="B3:W3 O12:V15 O4:W11 B4:N15">
    <cfRule type="expression" dxfId="18" priority="21">
      <formula>IF($O3&lt;&gt;"",TRUE,FALSE)</formula>
    </cfRule>
  </conditionalFormatting>
  <conditionalFormatting sqref="I1:I1048576">
    <cfRule type="expression" dxfId="17" priority="30">
      <formula>AND(I1=3,IF(VLOOKUP("Robot Performance 3rd Place",#REF!,1,FALSE)="Robot Performance 3rd Place", TRUE, FALSE))</formula>
    </cfRule>
    <cfRule type="expression" dxfId="16" priority="31">
      <formula>AND(I1=2,IF(VLOOKUP("Robot Performance 2nd Place",#REF!,1,FALSE)="Robot Performance 2nd Place", TRUE, FALSE))</formula>
    </cfRule>
    <cfRule type="expression" dxfId="15" priority="32">
      <formula>AND(I1=1,IF(VLOOKUP("Robot Performance 1st Place",#REF!,1,FALSE)="Robot Performance 1st Place", TRUE, FALSE))</formula>
    </cfRule>
  </conditionalFormatting>
  <conditionalFormatting sqref="P3:P15">
    <cfRule type="cellIs" dxfId="14" priority="77" operator="equal">
      <formula>#REF!</formula>
    </cfRule>
    <cfRule type="cellIs" dxfId="13" priority="78" operator="equal">
      <formula>"Yes"</formula>
    </cfRule>
  </conditionalFormatting>
  <conditionalFormatting sqref="O3:O15">
    <cfRule type="duplicateValues" dxfId="12" priority="79"/>
  </conditionalFormatting>
  <dataValidations disablePrompts="1" count="2">
    <dataValidation type="list" allowBlank="1" showInputMessage="1" showErrorMessage="1" sqref="P3:P15" xr:uid="{00000000-0002-0000-0300-000000000000}">
      <formula1>$Y$2:$Y$2</formula1>
    </dataValidation>
    <dataValidation type="list" allowBlank="1" showInputMessage="1" showErrorMessage="1" sqref="O3:O15" xr:uid="{00000000-0002-0000-0300-000001000000}">
      <formula1>Awards</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94" id="{BFED3AE6-6FBF-4AEB-8F7A-4C62E56E5629}">
            <xm:f>COUNTA(AwardList!$A$2:$A$40)=COUNTA($O$3:$O$300)</xm:f>
            <x14:dxf>
              <font>
                <color theme="9" tint="-0.499984740745262"/>
              </font>
              <fill>
                <patternFill>
                  <bgColor rgb="FF00B050"/>
                </patternFill>
              </fill>
            </x14:dxf>
          </x14:cfRule>
          <xm:sqref>O2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G14"/>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43" customWidth="1"/>
    <col min="2" max="2" width="32.7109375" style="43" customWidth="1"/>
    <col min="3" max="5" width="7.42578125" style="43" customWidth="1"/>
    <col min="6" max="6" width="10.42578125" style="63" customWidth="1"/>
    <col min="7" max="10" width="8.85546875" style="6" customWidth="1"/>
    <col min="11" max="16384" width="8.85546875" style="6"/>
  </cols>
  <sheetData>
    <row r="1" spans="1:6" s="45" customFormat="1" ht="99.95" customHeight="1" x14ac:dyDescent="0.25">
      <c r="A1" s="79" t="s">
        <v>21</v>
      </c>
      <c r="B1" s="79" t="s">
        <v>22</v>
      </c>
      <c r="C1" s="144" t="s">
        <v>60</v>
      </c>
      <c r="D1" s="144" t="s">
        <v>61</v>
      </c>
      <c r="E1" s="144" t="s">
        <v>62</v>
      </c>
      <c r="F1" s="80" t="s">
        <v>63</v>
      </c>
    </row>
    <row r="2" spans="1:6" ht="30" customHeight="1" x14ac:dyDescent="0.25">
      <c r="A2" s="108">
        <v>4079</v>
      </c>
      <c r="B2" s="109" t="str">
        <f>INDEX(OfficialTeamList[Team Name],MATCH(RobotGameScores[[#This Row],[Team Number]], OfficialTeamList[Team Number],0))</f>
        <v>RG3 CV3 IP4 RD6 CR3</v>
      </c>
      <c r="C2" s="109"/>
      <c r="D2" s="109"/>
      <c r="E2" s="109"/>
      <c r="F2" s="125">
        <f>MAX(C2:E2)</f>
        <v>0</v>
      </c>
    </row>
    <row r="3" spans="1:6" ht="30" customHeight="1" x14ac:dyDescent="0.25">
      <c r="A3" s="108">
        <v>6818</v>
      </c>
      <c r="B3" s="109" t="str">
        <f>INDEX(OfficialTeamList[Team Name],MATCH(RobotGameScores[[#This Row],[Team Number]], OfficialTeamList[Team Number],0))</f>
        <v>RG2 CV9 IP11 RD1 CR6</v>
      </c>
      <c r="C3" s="109"/>
      <c r="D3" s="109"/>
      <c r="E3" s="109"/>
      <c r="F3" s="125">
        <f>MAX(C3:E3)</f>
        <v>0</v>
      </c>
    </row>
    <row r="4" spans="1:6" ht="30" customHeight="1" x14ac:dyDescent="0.25">
      <c r="A4" s="108">
        <v>8913</v>
      </c>
      <c r="B4" s="126" t="str">
        <f>INDEX(OfficialTeamList[Team Name],MATCH(RobotGameScores[[#This Row],[Team Number]], OfficialTeamList[Team Number],0))</f>
        <v>RG6 CV1 IP2 RD1 CR1</v>
      </c>
      <c r="C4" s="126"/>
      <c r="D4" s="126"/>
      <c r="E4" s="126"/>
      <c r="F4" s="127">
        <f>MAX(C4:E4)</f>
        <v>0</v>
      </c>
    </row>
    <row r="5" spans="1:6" ht="30" customHeight="1" x14ac:dyDescent="0.25">
      <c r="A5" s="108">
        <v>12121</v>
      </c>
      <c r="B5" s="109" t="str">
        <f>INDEX(OfficialTeamList[Team Name],MATCH(RobotGameScores[[#This Row],[Team Number]], OfficialTeamList[Team Number],0))</f>
        <v>TestTeam12</v>
      </c>
      <c r="C5" s="109"/>
      <c r="D5" s="109"/>
      <c r="E5" s="109"/>
      <c r="F5" s="125">
        <f>MAX(C5:E5)</f>
        <v>0</v>
      </c>
    </row>
    <row r="6" spans="1:6" ht="30" customHeight="1" x14ac:dyDescent="0.25">
      <c r="A6" s="108">
        <v>29484</v>
      </c>
      <c r="B6" s="109" t="str">
        <f>INDEX(OfficialTeamList[Team Name],MATCH(RobotGameScores[[#This Row],[Team Number]], OfficialTeamList[Team Number],0))</f>
        <v>RG8 CV5 IP1 RD6 CR5</v>
      </c>
      <c r="C6" s="109"/>
      <c r="D6" s="109"/>
      <c r="E6" s="109"/>
      <c r="F6" s="125">
        <f>MAX(C6:E6)</f>
        <v>0</v>
      </c>
    </row>
    <row r="7" spans="1:6" ht="30" customHeight="1" x14ac:dyDescent="0.25">
      <c r="A7" s="108">
        <v>31415</v>
      </c>
      <c r="B7" s="109" t="str">
        <f>INDEX(OfficialTeamList[Team Name],MATCH(RobotGameScores[[#This Row],[Team Number]], OfficialTeamList[Team Number],0))</f>
        <v>TestTeamAdd3</v>
      </c>
      <c r="C7" s="109"/>
      <c r="D7" s="109"/>
      <c r="E7" s="109"/>
      <c r="F7" s="125">
        <f>MAX(C7:E7)</f>
        <v>0</v>
      </c>
    </row>
    <row r="8" spans="1:6" ht="30" customHeight="1" x14ac:dyDescent="0.25">
      <c r="A8" s="108">
        <v>34450</v>
      </c>
      <c r="B8" s="109" t="str">
        <f>INDEX(OfficialTeamList[Team Name],MATCH(RobotGameScores[[#This Row],[Team Number]], OfficialTeamList[Team Number],0))</f>
        <v>RG7 CV2 IP4 RD3 CR3</v>
      </c>
      <c r="C8" s="109"/>
      <c r="D8" s="109"/>
      <c r="E8" s="109"/>
      <c r="F8" s="125">
        <f>MAX(C8:E8)</f>
        <v>0</v>
      </c>
    </row>
    <row r="9" spans="1:6" ht="30" customHeight="1" x14ac:dyDescent="0.25">
      <c r="A9" s="108">
        <v>43985</v>
      </c>
      <c r="B9" s="109" t="str">
        <f>INDEX(OfficialTeamList[Team Name],MATCH(RobotGameScores[[#This Row],[Team Number]], OfficialTeamList[Team Number],0))</f>
        <v>RG1 CV5 IP2 RD3 CR2</v>
      </c>
      <c r="C9" s="109"/>
      <c r="D9" s="109"/>
      <c r="E9" s="109"/>
      <c r="F9" s="125">
        <f>MAX(C9:E9)</f>
        <v>0</v>
      </c>
    </row>
    <row r="10" spans="1:6" ht="30" customHeight="1" x14ac:dyDescent="0.25">
      <c r="A10" s="108">
        <v>48732</v>
      </c>
      <c r="B10" s="109" t="str">
        <f>INDEX(OfficialTeamList[Team Name],MATCH(RobotGameScores[[#This Row],[Team Number]], OfficialTeamList[Team Number],0))</f>
        <v>RG4 CV10 IP10 RD3 CR8</v>
      </c>
      <c r="C10" s="109"/>
      <c r="D10" s="109"/>
      <c r="E10" s="109"/>
      <c r="F10" s="125">
        <f>MAX(C10:E10)</f>
        <v>0</v>
      </c>
    </row>
    <row r="11" spans="1:6" ht="30" customHeight="1" x14ac:dyDescent="0.25">
      <c r="A11" s="108">
        <v>58947</v>
      </c>
      <c r="B11" s="109" t="str">
        <f>INDEX(OfficialTeamList[Team Name],MATCH(RobotGameScores[[#This Row],[Team Number]], OfficialTeamList[Team Number],0))</f>
        <v>RG5 CV8 IP8 RD6 CR8</v>
      </c>
      <c r="C11" s="109"/>
      <c r="D11" s="109"/>
      <c r="E11" s="109"/>
      <c r="F11" s="125">
        <f>MAX(C11:E11)</f>
        <v>0</v>
      </c>
    </row>
    <row r="12" spans="1:6" ht="30" customHeight="1" x14ac:dyDescent="0.25">
      <c r="A12" s="108">
        <v>69029</v>
      </c>
      <c r="B12" s="109" t="str">
        <f>INDEX(OfficialTeamList[Team Name],MATCH(RobotGameScores[[#This Row],[Team Number]], OfficialTeamList[Team Number],0))</f>
        <v>RG9 CV3 IP4 RD9 CR7</v>
      </c>
      <c r="C12" s="109"/>
      <c r="D12" s="109"/>
      <c r="E12" s="109"/>
      <c r="F12" s="125">
        <f>MAX(C12:E12)</f>
        <v>0</v>
      </c>
    </row>
    <row r="13" spans="1:6" ht="30" customHeight="1" x14ac:dyDescent="0.25">
      <c r="A13" s="108">
        <v>88303</v>
      </c>
      <c r="B13" s="109" t="str">
        <f>INDEX(OfficialTeamList[Team Name],MATCH(RobotGameScores[[#This Row],[Team Number]], OfficialTeamList[Team Number],0))</f>
        <v>RG11 CV7 IP4 RD11 CR10</v>
      </c>
      <c r="C13" s="109"/>
      <c r="D13" s="109"/>
      <c r="E13" s="109"/>
      <c r="F13" s="125">
        <f>MAX(C13:E13)</f>
        <v>0</v>
      </c>
    </row>
    <row r="14" spans="1:6" ht="30" customHeight="1" x14ac:dyDescent="0.25">
      <c r="A14" s="108">
        <v>89293</v>
      </c>
      <c r="B14" s="126" t="str">
        <f>INDEX(OfficialTeamList[Team Name],MATCH(RobotGameScores[[#This Row],[Team Number]], OfficialTeamList[Team Number],0))</f>
        <v>RG10 CV10 IP9 RD9 CR11</v>
      </c>
      <c r="C14" s="126"/>
      <c r="D14" s="126"/>
      <c r="E14" s="126"/>
      <c r="F14" s="127">
        <f>MAX(C14:E14)</f>
        <v>0</v>
      </c>
    </row>
  </sheetData>
  <sheetProtection selectLockedCells="1" sort="0" autoFilter="0"/>
  <protectedRanges>
    <protectedRange sqref="A1:F14" name="EditRgScores"/>
  </protectedRanges>
  <pageMargins left="0.7" right="0.7" top="0.75" bottom="0.75" header="0.3" footer="0.3"/>
  <pageSetup paperSize="9"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O14"/>
  <sheetViews>
    <sheetView showZeros="0"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4" customWidth="1"/>
  </cols>
  <sheetData>
    <row r="1" spans="1:14" ht="99.95" customHeight="1" x14ac:dyDescent="0.25">
      <c r="A1" s="77" t="s">
        <v>21</v>
      </c>
      <c r="B1" s="78" t="s">
        <v>22</v>
      </c>
      <c r="C1" s="143" t="s">
        <v>64</v>
      </c>
      <c r="D1" s="143" t="s">
        <v>65</v>
      </c>
      <c r="E1" s="143" t="s">
        <v>66</v>
      </c>
      <c r="F1" s="143" t="s">
        <v>67</v>
      </c>
      <c r="G1" s="143" t="s">
        <v>68</v>
      </c>
      <c r="H1" s="143" t="s">
        <v>69</v>
      </c>
      <c r="I1" s="143" t="s">
        <v>70</v>
      </c>
      <c r="J1" s="143" t="s">
        <v>71</v>
      </c>
      <c r="K1" s="143" t="s">
        <v>72</v>
      </c>
      <c r="L1" s="143" t="s">
        <v>73</v>
      </c>
      <c r="M1" s="81" t="s">
        <v>74</v>
      </c>
      <c r="N1" s="82" t="s">
        <v>44</v>
      </c>
    </row>
    <row r="2" spans="1:14" ht="30" customHeight="1" x14ac:dyDescent="0.25">
      <c r="A2" s="108">
        <v>4079</v>
      </c>
      <c r="B2" s="128" t="str">
        <f>INDEX(OfficialTeamList[Team Name],MATCH(InnovationProjectResults[[#This Row],[Team Number]], OfficialTeamList[Team Number],0))</f>
        <v>RG3 CV3 IP4 RD6 CR3</v>
      </c>
      <c r="C2" s="129"/>
      <c r="D2" s="129"/>
      <c r="E2" s="129"/>
      <c r="F2" s="129"/>
      <c r="G2" s="129"/>
      <c r="H2" s="129"/>
      <c r="I2" s="129"/>
      <c r="J2" s="129"/>
      <c r="K2" s="129"/>
      <c r="L2" s="129"/>
      <c r="M2" s="130">
        <f>SUM(InnovationProjectResults[[#This Row],[Identify - Define]:[Communicate - Fun (CV)]])</f>
        <v>0</v>
      </c>
      <c r="N2" s="131">
        <f>IF(InnovationProjectResults[[#This Row],[Team Number]]&gt;0,MIN(_xlfn.RANK.EQ(InnovationProjectResults[[#This Row],[Innovation Project Score]],InnovationProjectResults[Innovation Project Score],0),NumberOfTeams),NumberOfTeams+1)</f>
        <v>1</v>
      </c>
    </row>
    <row r="3" spans="1:14" ht="30" customHeight="1" x14ac:dyDescent="0.25">
      <c r="A3" s="108">
        <v>6818</v>
      </c>
      <c r="B3" s="128" t="str">
        <f>INDEX(OfficialTeamList[Team Name],MATCH(InnovationProjectResults[[#This Row],[Team Number]], OfficialTeamList[Team Number],0))</f>
        <v>RG2 CV9 IP11 RD1 CR6</v>
      </c>
      <c r="C3" s="129"/>
      <c r="D3" s="129"/>
      <c r="E3" s="129"/>
      <c r="F3" s="129"/>
      <c r="G3" s="129"/>
      <c r="H3" s="129"/>
      <c r="I3" s="129"/>
      <c r="J3" s="129"/>
      <c r="K3" s="129"/>
      <c r="L3" s="129"/>
      <c r="M3" s="130">
        <f>SUM(InnovationProjectResults[[#This Row],[Identify - Define]:[Communicate - Fun (CV)]])</f>
        <v>0</v>
      </c>
      <c r="N3" s="131">
        <f>IF(InnovationProjectResults[[#This Row],[Team Number]]&gt;0,MIN(_xlfn.RANK.EQ(InnovationProjectResults[[#This Row],[Innovation Project Score]],InnovationProjectResults[Innovation Project Score],0),NumberOfTeams),NumberOfTeams+1)</f>
        <v>1</v>
      </c>
    </row>
    <row r="4" spans="1:14" ht="30" customHeight="1" x14ac:dyDescent="0.25">
      <c r="A4" s="108">
        <v>8913</v>
      </c>
      <c r="B4" s="132" t="str">
        <f>INDEX(OfficialTeamList[Team Name],MATCH(InnovationProjectResults[[#This Row],[Team Number]], OfficialTeamList[Team Number],0))</f>
        <v>RG6 CV1 IP2 RD1 CR1</v>
      </c>
      <c r="C4" s="133"/>
      <c r="D4" s="133"/>
      <c r="E4" s="133"/>
      <c r="F4" s="133"/>
      <c r="G4" s="133"/>
      <c r="H4" s="133"/>
      <c r="I4" s="133"/>
      <c r="J4" s="133"/>
      <c r="K4" s="133"/>
      <c r="L4" s="133"/>
      <c r="M4" s="134">
        <f>SUM(InnovationProjectResults[[#This Row],[Identify - Define]:[Communicate - Fun (CV)]])</f>
        <v>0</v>
      </c>
      <c r="N4" s="135">
        <f>IF(InnovationProjectResults[[#This Row],[Team Number]]&gt;0,MIN(_xlfn.RANK.EQ(InnovationProjectResults[[#This Row],[Innovation Project Score]],InnovationProjectResults[Innovation Project Score],0),NumberOfTeams),NumberOfTeams+1)</f>
        <v>1</v>
      </c>
    </row>
    <row r="5" spans="1:14" ht="30" customHeight="1" x14ac:dyDescent="0.25">
      <c r="A5" s="108">
        <v>12121</v>
      </c>
      <c r="B5" s="128" t="str">
        <f>INDEX(OfficialTeamList[Team Name],MATCH(InnovationProjectResults[[#This Row],[Team Number]], OfficialTeamList[Team Number],0))</f>
        <v>TestTeam12</v>
      </c>
      <c r="C5" s="129"/>
      <c r="D5" s="129"/>
      <c r="E5" s="129"/>
      <c r="F5" s="129"/>
      <c r="G5" s="129"/>
      <c r="H5" s="129"/>
      <c r="I5" s="129"/>
      <c r="J5" s="129"/>
      <c r="K5" s="129"/>
      <c r="L5" s="129"/>
      <c r="M5" s="130">
        <f>SUM(InnovationProjectResults[[#This Row],[Identify - Define]:[Communicate - Fun (CV)]])</f>
        <v>0</v>
      </c>
      <c r="N5" s="131">
        <f>IF(InnovationProjectResults[[#This Row],[Team Number]]&gt;0,MIN(_xlfn.RANK.EQ(InnovationProjectResults[[#This Row],[Innovation Project Score]],InnovationProjectResults[Innovation Project Score],0),NumberOfTeams),NumberOfTeams+1)</f>
        <v>1</v>
      </c>
    </row>
    <row r="6" spans="1:14" ht="30" customHeight="1" x14ac:dyDescent="0.25">
      <c r="A6" s="108">
        <v>29484</v>
      </c>
      <c r="B6" s="128" t="str">
        <f>INDEX(OfficialTeamList[Team Name],MATCH(InnovationProjectResults[[#This Row],[Team Number]], OfficialTeamList[Team Number],0))</f>
        <v>RG8 CV5 IP1 RD6 CR5</v>
      </c>
      <c r="C6" s="129"/>
      <c r="D6" s="129"/>
      <c r="E6" s="129"/>
      <c r="F6" s="129"/>
      <c r="G6" s="129"/>
      <c r="H6" s="129"/>
      <c r="I6" s="129"/>
      <c r="J6" s="129"/>
      <c r="K6" s="129"/>
      <c r="L6" s="129"/>
      <c r="M6" s="130">
        <f>SUM(InnovationProjectResults[[#This Row],[Identify - Define]:[Communicate - Fun (CV)]])</f>
        <v>0</v>
      </c>
      <c r="N6" s="131">
        <f>IF(InnovationProjectResults[[#This Row],[Team Number]]&gt;0,MIN(_xlfn.RANK.EQ(InnovationProjectResults[[#This Row],[Innovation Project Score]],InnovationProjectResults[Innovation Project Score],0),NumberOfTeams),NumberOfTeams+1)</f>
        <v>1</v>
      </c>
    </row>
    <row r="7" spans="1:14" ht="30" customHeight="1" x14ac:dyDescent="0.25">
      <c r="A7" s="108">
        <v>31415</v>
      </c>
      <c r="B7" s="128" t="str">
        <f>INDEX(OfficialTeamList[Team Name],MATCH(InnovationProjectResults[[#This Row],[Team Number]], OfficialTeamList[Team Number],0))</f>
        <v>TestTeamAdd3</v>
      </c>
      <c r="C7" s="129"/>
      <c r="D7" s="129"/>
      <c r="E7" s="129"/>
      <c r="F7" s="129"/>
      <c r="G7" s="129"/>
      <c r="H7" s="129"/>
      <c r="I7" s="129"/>
      <c r="J7" s="129"/>
      <c r="K7" s="129"/>
      <c r="L7" s="129"/>
      <c r="M7" s="130">
        <f>SUM(InnovationProjectResults[[#This Row],[Identify - Define]:[Communicate - Fun (CV)]])</f>
        <v>0</v>
      </c>
      <c r="N7" s="131">
        <f>IF(InnovationProjectResults[[#This Row],[Team Number]]&gt;0,MIN(_xlfn.RANK.EQ(InnovationProjectResults[[#This Row],[Innovation Project Score]],InnovationProjectResults[Innovation Project Score],0),NumberOfTeams),NumberOfTeams+1)</f>
        <v>1</v>
      </c>
    </row>
    <row r="8" spans="1:14" ht="30" customHeight="1" x14ac:dyDescent="0.25">
      <c r="A8" s="108">
        <v>34450</v>
      </c>
      <c r="B8" s="128" t="str">
        <f>INDEX(OfficialTeamList[Team Name],MATCH(InnovationProjectResults[[#This Row],[Team Number]], OfficialTeamList[Team Number],0))</f>
        <v>RG7 CV2 IP4 RD3 CR3</v>
      </c>
      <c r="C8" s="129"/>
      <c r="D8" s="129"/>
      <c r="E8" s="129"/>
      <c r="F8" s="129"/>
      <c r="G8" s="129"/>
      <c r="H8" s="129"/>
      <c r="I8" s="129"/>
      <c r="J8" s="129"/>
      <c r="K8" s="129"/>
      <c r="L8" s="129"/>
      <c r="M8" s="130">
        <f>SUM(InnovationProjectResults[[#This Row],[Identify - Define]:[Communicate - Fun (CV)]])</f>
        <v>0</v>
      </c>
      <c r="N8" s="131">
        <f>IF(InnovationProjectResults[[#This Row],[Team Number]]&gt;0,MIN(_xlfn.RANK.EQ(InnovationProjectResults[[#This Row],[Innovation Project Score]],InnovationProjectResults[Innovation Project Score],0),NumberOfTeams),NumberOfTeams+1)</f>
        <v>1</v>
      </c>
    </row>
    <row r="9" spans="1:14" ht="30" customHeight="1" x14ac:dyDescent="0.25">
      <c r="A9" s="108">
        <v>43985</v>
      </c>
      <c r="B9" s="128" t="str">
        <f>INDEX(OfficialTeamList[Team Name],MATCH(InnovationProjectResults[[#This Row],[Team Number]], OfficialTeamList[Team Number],0))</f>
        <v>RG1 CV5 IP2 RD3 CR2</v>
      </c>
      <c r="C9" s="129"/>
      <c r="D9" s="129"/>
      <c r="E9" s="129"/>
      <c r="F9" s="129"/>
      <c r="G9" s="129"/>
      <c r="H9" s="129"/>
      <c r="I9" s="129"/>
      <c r="J9" s="129"/>
      <c r="K9" s="129"/>
      <c r="L9" s="129"/>
      <c r="M9" s="130">
        <f>SUM(InnovationProjectResults[[#This Row],[Identify - Define]:[Communicate - Fun (CV)]])</f>
        <v>0</v>
      </c>
      <c r="N9" s="131">
        <f>IF(InnovationProjectResults[[#This Row],[Team Number]]&gt;0,MIN(_xlfn.RANK.EQ(InnovationProjectResults[[#This Row],[Innovation Project Score]],InnovationProjectResults[Innovation Project Score],0),NumberOfTeams),NumberOfTeams+1)</f>
        <v>1</v>
      </c>
    </row>
    <row r="10" spans="1:14" ht="30" customHeight="1" x14ac:dyDescent="0.25">
      <c r="A10" s="108">
        <v>48732</v>
      </c>
      <c r="B10" s="128" t="str">
        <f>INDEX(OfficialTeamList[Team Name],MATCH(InnovationProjectResults[[#This Row],[Team Number]], OfficialTeamList[Team Number],0))</f>
        <v>RG4 CV10 IP10 RD3 CR8</v>
      </c>
      <c r="C10" s="129"/>
      <c r="D10" s="129"/>
      <c r="E10" s="129"/>
      <c r="F10" s="129"/>
      <c r="G10" s="129"/>
      <c r="H10" s="129"/>
      <c r="I10" s="129"/>
      <c r="J10" s="129"/>
      <c r="K10" s="129"/>
      <c r="L10" s="129"/>
      <c r="M10" s="130">
        <f>SUM(InnovationProjectResults[[#This Row],[Identify - Define]:[Communicate - Fun (CV)]])</f>
        <v>0</v>
      </c>
      <c r="N10" s="131">
        <f>IF(InnovationProjectResults[[#This Row],[Team Number]]&gt;0,MIN(_xlfn.RANK.EQ(InnovationProjectResults[[#This Row],[Innovation Project Score]],InnovationProjectResults[Innovation Project Score],0),NumberOfTeams),NumberOfTeams+1)</f>
        <v>1</v>
      </c>
    </row>
    <row r="11" spans="1:14" ht="30" customHeight="1" x14ac:dyDescent="0.25">
      <c r="A11" s="108">
        <v>58947</v>
      </c>
      <c r="B11" s="128" t="str">
        <f>INDEX(OfficialTeamList[Team Name],MATCH(InnovationProjectResults[[#This Row],[Team Number]], OfficialTeamList[Team Number],0))</f>
        <v>RG5 CV8 IP8 RD6 CR8</v>
      </c>
      <c r="C11" s="129"/>
      <c r="D11" s="129"/>
      <c r="E11" s="129"/>
      <c r="F11" s="129"/>
      <c r="G11" s="129"/>
      <c r="H11" s="129"/>
      <c r="I11" s="129"/>
      <c r="J11" s="129"/>
      <c r="K11" s="129"/>
      <c r="L11" s="129"/>
      <c r="M11" s="130">
        <f>SUM(InnovationProjectResults[[#This Row],[Identify - Define]:[Communicate - Fun (CV)]])</f>
        <v>0</v>
      </c>
      <c r="N11" s="131">
        <f>IF(InnovationProjectResults[[#This Row],[Team Number]]&gt;0,MIN(_xlfn.RANK.EQ(InnovationProjectResults[[#This Row],[Innovation Project Score]],InnovationProjectResults[Innovation Project Score],0),NumberOfTeams),NumberOfTeams+1)</f>
        <v>1</v>
      </c>
    </row>
    <row r="12" spans="1:14" ht="30" customHeight="1" x14ac:dyDescent="0.25">
      <c r="A12" s="108">
        <v>69029</v>
      </c>
      <c r="B12" s="128" t="str">
        <f>INDEX(OfficialTeamList[Team Name],MATCH(InnovationProjectResults[[#This Row],[Team Number]], OfficialTeamList[Team Number],0))</f>
        <v>RG9 CV3 IP4 RD9 CR7</v>
      </c>
      <c r="C12" s="129"/>
      <c r="D12" s="129"/>
      <c r="E12" s="129"/>
      <c r="F12" s="129"/>
      <c r="G12" s="129"/>
      <c r="H12" s="129"/>
      <c r="I12" s="129"/>
      <c r="J12" s="129"/>
      <c r="K12" s="129"/>
      <c r="L12" s="129"/>
      <c r="M12" s="130">
        <f>SUM(InnovationProjectResults[[#This Row],[Identify - Define]:[Communicate - Fun (CV)]])</f>
        <v>0</v>
      </c>
      <c r="N12" s="131">
        <f>IF(InnovationProjectResults[[#This Row],[Team Number]]&gt;0,MIN(_xlfn.RANK.EQ(InnovationProjectResults[[#This Row],[Innovation Project Score]],InnovationProjectResults[Innovation Project Score],0),NumberOfTeams),NumberOfTeams+1)</f>
        <v>1</v>
      </c>
    </row>
    <row r="13" spans="1:14" ht="30" customHeight="1" x14ac:dyDescent="0.25">
      <c r="A13" s="108">
        <v>88303</v>
      </c>
      <c r="B13" s="128" t="str">
        <f>INDEX(OfficialTeamList[Team Name],MATCH(InnovationProjectResults[[#This Row],[Team Number]], OfficialTeamList[Team Number],0))</f>
        <v>RG11 CV7 IP4 RD11 CR10</v>
      </c>
      <c r="C13" s="129"/>
      <c r="D13" s="129"/>
      <c r="E13" s="129"/>
      <c r="F13" s="129"/>
      <c r="G13" s="129"/>
      <c r="H13" s="129"/>
      <c r="I13" s="129"/>
      <c r="J13" s="129"/>
      <c r="K13" s="129"/>
      <c r="L13" s="129"/>
      <c r="M13" s="130">
        <f>SUM(InnovationProjectResults[[#This Row],[Identify - Define]:[Communicate - Fun (CV)]])</f>
        <v>0</v>
      </c>
      <c r="N13" s="131">
        <f>IF(InnovationProjectResults[[#This Row],[Team Number]]&gt;0,MIN(_xlfn.RANK.EQ(InnovationProjectResults[[#This Row],[Innovation Project Score]],InnovationProjectResults[Innovation Project Score],0),NumberOfTeams),NumberOfTeams+1)</f>
        <v>1</v>
      </c>
    </row>
    <row r="14" spans="1:14" ht="30" customHeight="1" x14ac:dyDescent="0.25">
      <c r="A14" s="108">
        <v>89293</v>
      </c>
      <c r="B14" s="132" t="str">
        <f>INDEX(OfficialTeamList[Team Name],MATCH(InnovationProjectResults[[#This Row],[Team Number]], OfficialTeamList[Team Number],0))</f>
        <v>RG10 CV10 IP9 RD9 CR11</v>
      </c>
      <c r="C14" s="133"/>
      <c r="D14" s="133"/>
      <c r="E14" s="133"/>
      <c r="F14" s="133"/>
      <c r="G14" s="133"/>
      <c r="H14" s="133"/>
      <c r="I14" s="133"/>
      <c r="J14" s="133"/>
      <c r="K14" s="133"/>
      <c r="L14" s="133"/>
      <c r="M14" s="134">
        <f>SUM(InnovationProjectResults[[#This Row],[Identify - Define]:[Communicate - Fun (CV)]])</f>
        <v>0</v>
      </c>
      <c r="N14" s="135">
        <f>IF(InnovationProjectResults[[#This Row],[Team Number]]&gt;0,MIN(_xlfn.RANK.EQ(InnovationProjectResults[[#This Row],[Innovation Project Score]],InnovationProjectResults[Innovation Project Score],0),NumberOfTeams),NumberOfTeams+1)</f>
        <v>1</v>
      </c>
    </row>
  </sheetData>
  <sheetProtection selectLockedCells="1" sort="0" autoFilter="0"/>
  <protectedRanges>
    <protectedRange sqref="A1:N12"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O14"/>
  <sheetViews>
    <sheetView showZeros="0" zoomScaleNormal="100" zoomScalePageLayoutView="130" workbookViewId="0">
      <pane ySplit="1" topLeftCell="A2" activePane="bottomLeft" state="frozen"/>
      <selection pane="bottomLeft" activeCell="B1" sqref="B1"/>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4" customWidth="1"/>
  </cols>
  <sheetData>
    <row r="1" spans="1:14" ht="99.95" customHeight="1" x14ac:dyDescent="0.25">
      <c r="A1" s="77" t="s">
        <v>21</v>
      </c>
      <c r="B1" s="78" t="s">
        <v>22</v>
      </c>
      <c r="C1" s="142" t="s">
        <v>75</v>
      </c>
      <c r="D1" s="142" t="s">
        <v>65</v>
      </c>
      <c r="E1" s="142" t="s">
        <v>76</v>
      </c>
      <c r="F1" s="142" t="s">
        <v>77</v>
      </c>
      <c r="G1" s="142" t="s">
        <v>78</v>
      </c>
      <c r="H1" s="142" t="s">
        <v>79</v>
      </c>
      <c r="I1" s="142" t="s">
        <v>80</v>
      </c>
      <c r="J1" s="142" t="s">
        <v>81</v>
      </c>
      <c r="K1" s="142" t="s">
        <v>72</v>
      </c>
      <c r="L1" s="142" t="s">
        <v>73</v>
      </c>
      <c r="M1" s="140" t="s">
        <v>52</v>
      </c>
      <c r="N1" s="141" t="s">
        <v>45</v>
      </c>
    </row>
    <row r="2" spans="1:14" ht="30" customHeight="1" x14ac:dyDescent="0.25">
      <c r="A2" s="108">
        <v>4079</v>
      </c>
      <c r="B2" s="128" t="str">
        <f>INDEX(OfficialTeamList[Team Name],MATCH(RobotDesignResults[[#This Row],[Team Number]], OfficialTeamList[Team Number],0))</f>
        <v>RG3 CV3 IP4 RD6 CR3</v>
      </c>
      <c r="C2" s="129"/>
      <c r="D2" s="129"/>
      <c r="E2" s="129"/>
      <c r="F2" s="129"/>
      <c r="G2" s="129"/>
      <c r="H2" s="129"/>
      <c r="I2" s="129"/>
      <c r="J2" s="129"/>
      <c r="K2" s="129"/>
      <c r="L2" s="129"/>
      <c r="M2" s="130">
        <f>SUM(RobotDesignResults[[#This Row],[Identify - Strategy]:[Communicate - Fun (CV)]])</f>
        <v>0</v>
      </c>
      <c r="N2" s="131">
        <f>IF(RobotDesignResults[[#This Row],[Team Number]]&gt;0,MIN(_xlfn.RANK.EQ(RobotDesignResults[[#This Row],[Robot Design Score]],RobotDesignResults[Robot Design Score],0),NumberOfTeams),NumberOfTeams+1)</f>
        <v>1</v>
      </c>
    </row>
    <row r="3" spans="1:14" ht="30" customHeight="1" x14ac:dyDescent="0.25">
      <c r="A3" s="108">
        <v>6818</v>
      </c>
      <c r="B3" s="128" t="str">
        <f>INDEX(OfficialTeamList[Team Name],MATCH(RobotDesignResults[[#This Row],[Team Number]], OfficialTeamList[Team Number],0))</f>
        <v>RG2 CV9 IP11 RD1 CR6</v>
      </c>
      <c r="C3" s="129"/>
      <c r="D3" s="129"/>
      <c r="E3" s="129"/>
      <c r="F3" s="129"/>
      <c r="G3" s="129"/>
      <c r="H3" s="129"/>
      <c r="I3" s="129"/>
      <c r="J3" s="129"/>
      <c r="K3" s="129"/>
      <c r="L3" s="129"/>
      <c r="M3" s="130">
        <f>SUM(RobotDesignResults[[#This Row],[Identify - Strategy]:[Communicate - Fun (CV)]])</f>
        <v>0</v>
      </c>
      <c r="N3" s="131">
        <f>IF(RobotDesignResults[[#This Row],[Team Number]]&gt;0,MIN(_xlfn.RANK.EQ(RobotDesignResults[[#This Row],[Robot Design Score]],RobotDesignResults[Robot Design Score],0),NumberOfTeams),NumberOfTeams+1)</f>
        <v>1</v>
      </c>
    </row>
    <row r="4" spans="1:14" ht="30" customHeight="1" x14ac:dyDescent="0.25">
      <c r="A4" s="108">
        <v>8913</v>
      </c>
      <c r="B4" s="132" t="str">
        <f>INDEX(OfficialTeamList[Team Name],MATCH(RobotDesignResults[[#This Row],[Team Number]], OfficialTeamList[Team Number],0))</f>
        <v>RG6 CV1 IP2 RD1 CR1</v>
      </c>
      <c r="C4" s="133"/>
      <c r="D4" s="133"/>
      <c r="E4" s="133"/>
      <c r="F4" s="133"/>
      <c r="G4" s="133"/>
      <c r="H4" s="133"/>
      <c r="I4" s="133"/>
      <c r="J4" s="133"/>
      <c r="K4" s="133"/>
      <c r="L4" s="133"/>
      <c r="M4" s="134">
        <f>SUM(RobotDesignResults[[#This Row],[Identify - Strategy]:[Communicate - Fun (CV)]])</f>
        <v>0</v>
      </c>
      <c r="N4" s="135">
        <f>IF(RobotDesignResults[[#This Row],[Team Number]]&gt;0,MIN(_xlfn.RANK.EQ(RobotDesignResults[[#This Row],[Robot Design Score]],RobotDesignResults[Robot Design Score],0),NumberOfTeams),NumberOfTeams+1)</f>
        <v>1</v>
      </c>
    </row>
    <row r="5" spans="1:14" ht="30" customHeight="1" x14ac:dyDescent="0.25">
      <c r="A5" s="108">
        <v>12121</v>
      </c>
      <c r="B5" s="128" t="str">
        <f>INDEX(OfficialTeamList[Team Name],MATCH(RobotDesignResults[[#This Row],[Team Number]], OfficialTeamList[Team Number],0))</f>
        <v>TestTeam12</v>
      </c>
      <c r="C5" s="129"/>
      <c r="D5" s="129"/>
      <c r="E5" s="129"/>
      <c r="F5" s="129"/>
      <c r="G5" s="129"/>
      <c r="H5" s="129"/>
      <c r="I5" s="129"/>
      <c r="J5" s="129"/>
      <c r="K5" s="129"/>
      <c r="L5" s="129"/>
      <c r="M5" s="130">
        <f>SUM(RobotDesignResults[[#This Row],[Identify - Strategy]:[Communicate - Fun (CV)]])</f>
        <v>0</v>
      </c>
      <c r="N5" s="131">
        <f>IF(RobotDesignResults[[#This Row],[Team Number]]&gt;0,MIN(_xlfn.RANK.EQ(RobotDesignResults[[#This Row],[Robot Design Score]],RobotDesignResults[Robot Design Score],0),NumberOfTeams),NumberOfTeams+1)</f>
        <v>1</v>
      </c>
    </row>
    <row r="6" spans="1:14" ht="30" customHeight="1" x14ac:dyDescent="0.25">
      <c r="A6" s="108">
        <v>29484</v>
      </c>
      <c r="B6" s="128" t="str">
        <f>INDEX(OfficialTeamList[Team Name],MATCH(RobotDesignResults[[#This Row],[Team Number]], OfficialTeamList[Team Number],0))</f>
        <v>RG8 CV5 IP1 RD6 CR5</v>
      </c>
      <c r="C6" s="129"/>
      <c r="D6" s="129"/>
      <c r="E6" s="129"/>
      <c r="F6" s="129"/>
      <c r="G6" s="129"/>
      <c r="H6" s="129"/>
      <c r="I6" s="129"/>
      <c r="J6" s="129"/>
      <c r="K6" s="129"/>
      <c r="L6" s="129"/>
      <c r="M6" s="130">
        <f>SUM(RobotDesignResults[[#This Row],[Identify - Strategy]:[Communicate - Fun (CV)]])</f>
        <v>0</v>
      </c>
      <c r="N6" s="131">
        <f>IF(RobotDesignResults[[#This Row],[Team Number]]&gt;0,MIN(_xlfn.RANK.EQ(RobotDesignResults[[#This Row],[Robot Design Score]],RobotDesignResults[Robot Design Score],0),NumberOfTeams),NumberOfTeams+1)</f>
        <v>1</v>
      </c>
    </row>
    <row r="7" spans="1:14" ht="30" customHeight="1" x14ac:dyDescent="0.25">
      <c r="A7" s="108">
        <v>31415</v>
      </c>
      <c r="B7" s="128" t="str">
        <f>INDEX(OfficialTeamList[Team Name],MATCH(RobotDesignResults[[#This Row],[Team Number]], OfficialTeamList[Team Number],0))</f>
        <v>TestTeamAdd3</v>
      </c>
      <c r="C7" s="129"/>
      <c r="D7" s="129"/>
      <c r="E7" s="129"/>
      <c r="F7" s="129"/>
      <c r="G7" s="129"/>
      <c r="H7" s="129"/>
      <c r="I7" s="129"/>
      <c r="J7" s="129"/>
      <c r="K7" s="129"/>
      <c r="L7" s="129"/>
      <c r="M7" s="130">
        <f>SUM(RobotDesignResults[[#This Row],[Identify - Strategy]:[Communicate - Fun (CV)]])</f>
        <v>0</v>
      </c>
      <c r="N7" s="131">
        <f>IF(RobotDesignResults[[#This Row],[Team Number]]&gt;0,MIN(_xlfn.RANK.EQ(RobotDesignResults[[#This Row],[Robot Design Score]],RobotDesignResults[Robot Design Score],0),NumberOfTeams),NumberOfTeams+1)</f>
        <v>1</v>
      </c>
    </row>
    <row r="8" spans="1:14" ht="30" customHeight="1" x14ac:dyDescent="0.25">
      <c r="A8" s="108">
        <v>34450</v>
      </c>
      <c r="B8" s="128" t="str">
        <f>INDEX(OfficialTeamList[Team Name],MATCH(RobotDesignResults[[#This Row],[Team Number]], OfficialTeamList[Team Number],0))</f>
        <v>RG7 CV2 IP4 RD3 CR3</v>
      </c>
      <c r="C8" s="129"/>
      <c r="D8" s="129"/>
      <c r="E8" s="129"/>
      <c r="F8" s="129"/>
      <c r="G8" s="129"/>
      <c r="H8" s="129"/>
      <c r="I8" s="129"/>
      <c r="J8" s="129"/>
      <c r="K8" s="129"/>
      <c r="L8" s="129"/>
      <c r="M8" s="130">
        <f>SUM(RobotDesignResults[[#This Row],[Identify - Strategy]:[Communicate - Fun (CV)]])</f>
        <v>0</v>
      </c>
      <c r="N8" s="131">
        <f>IF(RobotDesignResults[[#This Row],[Team Number]]&gt;0,MIN(_xlfn.RANK.EQ(RobotDesignResults[[#This Row],[Robot Design Score]],RobotDesignResults[Robot Design Score],0),NumberOfTeams),NumberOfTeams+1)</f>
        <v>1</v>
      </c>
    </row>
    <row r="9" spans="1:14" ht="30" customHeight="1" x14ac:dyDescent="0.25">
      <c r="A9" s="108">
        <v>43985</v>
      </c>
      <c r="B9" s="128" t="str">
        <f>INDEX(OfficialTeamList[Team Name],MATCH(RobotDesignResults[[#This Row],[Team Number]], OfficialTeamList[Team Number],0))</f>
        <v>RG1 CV5 IP2 RD3 CR2</v>
      </c>
      <c r="C9" s="129"/>
      <c r="D9" s="129"/>
      <c r="E9" s="129"/>
      <c r="F9" s="129"/>
      <c r="G9" s="129"/>
      <c r="H9" s="129"/>
      <c r="I9" s="129"/>
      <c r="J9" s="129"/>
      <c r="K9" s="129"/>
      <c r="L9" s="129"/>
      <c r="M9" s="130">
        <f>SUM(RobotDesignResults[[#This Row],[Identify - Strategy]:[Communicate - Fun (CV)]])</f>
        <v>0</v>
      </c>
      <c r="N9" s="131">
        <f>IF(RobotDesignResults[[#This Row],[Team Number]]&gt;0,MIN(_xlfn.RANK.EQ(RobotDesignResults[[#This Row],[Robot Design Score]],RobotDesignResults[Robot Design Score],0),NumberOfTeams),NumberOfTeams+1)</f>
        <v>1</v>
      </c>
    </row>
    <row r="10" spans="1:14" ht="30" customHeight="1" x14ac:dyDescent="0.25">
      <c r="A10" s="108">
        <v>48732</v>
      </c>
      <c r="B10" s="128" t="str">
        <f>INDEX(OfficialTeamList[Team Name],MATCH(RobotDesignResults[[#This Row],[Team Number]], OfficialTeamList[Team Number],0))</f>
        <v>RG4 CV10 IP10 RD3 CR8</v>
      </c>
      <c r="C10" s="129"/>
      <c r="D10" s="129"/>
      <c r="E10" s="129"/>
      <c r="F10" s="129"/>
      <c r="G10" s="129"/>
      <c r="H10" s="129"/>
      <c r="I10" s="129"/>
      <c r="J10" s="129"/>
      <c r="K10" s="129"/>
      <c r="L10" s="129"/>
      <c r="M10" s="130">
        <f>SUM(RobotDesignResults[[#This Row],[Identify - Strategy]:[Communicate - Fun (CV)]])</f>
        <v>0</v>
      </c>
      <c r="N10" s="131">
        <f>IF(RobotDesignResults[[#This Row],[Team Number]]&gt;0,MIN(_xlfn.RANK.EQ(RobotDesignResults[[#This Row],[Robot Design Score]],RobotDesignResults[Robot Design Score],0),NumberOfTeams),NumberOfTeams+1)</f>
        <v>1</v>
      </c>
    </row>
    <row r="11" spans="1:14" ht="30" customHeight="1" x14ac:dyDescent="0.25">
      <c r="A11" s="108">
        <v>58947</v>
      </c>
      <c r="B11" s="128" t="str">
        <f>INDEX(OfficialTeamList[Team Name],MATCH(RobotDesignResults[[#This Row],[Team Number]], OfficialTeamList[Team Number],0))</f>
        <v>RG5 CV8 IP8 RD6 CR8</v>
      </c>
      <c r="C11" s="129"/>
      <c r="D11" s="129"/>
      <c r="E11" s="129"/>
      <c r="F11" s="129"/>
      <c r="G11" s="129"/>
      <c r="H11" s="129"/>
      <c r="I11" s="129"/>
      <c r="J11" s="129"/>
      <c r="K11" s="129"/>
      <c r="L11" s="129"/>
      <c r="M11" s="130">
        <f>SUM(RobotDesignResults[[#This Row],[Identify - Strategy]:[Communicate - Fun (CV)]])</f>
        <v>0</v>
      </c>
      <c r="N11" s="131">
        <f>IF(RobotDesignResults[[#This Row],[Team Number]]&gt;0,MIN(_xlfn.RANK.EQ(RobotDesignResults[[#This Row],[Robot Design Score]],RobotDesignResults[Robot Design Score],0),NumberOfTeams),NumberOfTeams+1)</f>
        <v>1</v>
      </c>
    </row>
    <row r="12" spans="1:14" ht="30" customHeight="1" x14ac:dyDescent="0.25">
      <c r="A12" s="108">
        <v>69029</v>
      </c>
      <c r="B12" s="128" t="str">
        <f>INDEX(OfficialTeamList[Team Name],MATCH(RobotDesignResults[[#This Row],[Team Number]], OfficialTeamList[Team Number],0))</f>
        <v>RG9 CV3 IP4 RD9 CR7</v>
      </c>
      <c r="C12" s="129"/>
      <c r="D12" s="129"/>
      <c r="E12" s="129"/>
      <c r="F12" s="129"/>
      <c r="G12" s="129"/>
      <c r="H12" s="129"/>
      <c r="I12" s="129"/>
      <c r="J12" s="129"/>
      <c r="K12" s="129"/>
      <c r="L12" s="129"/>
      <c r="M12" s="130">
        <f>SUM(RobotDesignResults[[#This Row],[Identify - Strategy]:[Communicate - Fun (CV)]])</f>
        <v>0</v>
      </c>
      <c r="N12" s="131">
        <f>IF(RobotDesignResults[[#This Row],[Team Number]]&gt;0,MIN(_xlfn.RANK.EQ(RobotDesignResults[[#This Row],[Robot Design Score]],RobotDesignResults[Robot Design Score],0),NumberOfTeams),NumberOfTeams+1)</f>
        <v>1</v>
      </c>
    </row>
    <row r="13" spans="1:14" ht="30" customHeight="1" x14ac:dyDescent="0.25">
      <c r="A13" s="108">
        <v>88303</v>
      </c>
      <c r="B13" s="128" t="str">
        <f>INDEX(OfficialTeamList[Team Name],MATCH(RobotDesignResults[[#This Row],[Team Number]], OfficialTeamList[Team Number],0))</f>
        <v>RG11 CV7 IP4 RD11 CR10</v>
      </c>
      <c r="C13" s="129"/>
      <c r="D13" s="129"/>
      <c r="E13" s="129"/>
      <c r="F13" s="129"/>
      <c r="G13" s="129"/>
      <c r="H13" s="129"/>
      <c r="I13" s="129"/>
      <c r="J13" s="129"/>
      <c r="K13" s="129"/>
      <c r="L13" s="129"/>
      <c r="M13" s="130">
        <f>SUM(RobotDesignResults[[#This Row],[Identify - Strategy]:[Communicate - Fun (CV)]])</f>
        <v>0</v>
      </c>
      <c r="N13" s="131">
        <f>IF(RobotDesignResults[[#This Row],[Team Number]]&gt;0,MIN(_xlfn.RANK.EQ(RobotDesignResults[[#This Row],[Robot Design Score]],RobotDesignResults[Robot Design Score],0),NumberOfTeams),NumberOfTeams+1)</f>
        <v>1</v>
      </c>
    </row>
    <row r="14" spans="1:14" ht="30" customHeight="1" x14ac:dyDescent="0.25">
      <c r="A14" s="108">
        <v>89293</v>
      </c>
      <c r="B14" s="132" t="str">
        <f>INDEX(OfficialTeamList[Team Name],MATCH(RobotDesignResults[[#This Row],[Team Number]], OfficialTeamList[Team Number],0))</f>
        <v>RG10 CV10 IP9 RD9 CR11</v>
      </c>
      <c r="C14" s="133"/>
      <c r="D14" s="133"/>
      <c r="E14" s="133"/>
      <c r="F14" s="133"/>
      <c r="G14" s="133"/>
      <c r="H14" s="133"/>
      <c r="I14" s="133"/>
      <c r="J14" s="133"/>
      <c r="K14" s="133"/>
      <c r="L14" s="133"/>
      <c r="M14" s="134">
        <f>SUM(RobotDesignResults[[#This Row],[Identify - Strategy]:[Communicate - Fun (CV)]])</f>
        <v>0</v>
      </c>
      <c r="N14" s="135">
        <f>IF(RobotDesignResults[[#This Row],[Team Number]]&gt;0,MIN(_xlfn.RANK.EQ(RobotDesignResults[[#This Row],[Robot Design Score]],RobotDesignResults[Robot Design Score],0),NumberOfTeams),NumberOfTeams+1)</f>
        <v>1</v>
      </c>
    </row>
  </sheetData>
  <sheetProtection selectLockedCells="1" sort="0" autoFilter="0"/>
  <protectedRanges>
    <protectedRange sqref="A1:N12"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AE14"/>
  <sheetViews>
    <sheetView showZeros="0" tabSelected="1" zoomScaleNormal="100" zoomScalePageLayoutView="14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32.7109375" customWidth="1"/>
    <col min="3" max="3" width="7" style="62" customWidth="1"/>
    <col min="4" max="5" width="5.85546875" style="62" customWidth="1"/>
    <col min="6" max="6" width="6.28515625" style="62" customWidth="1"/>
    <col min="7" max="12" width="5.85546875" style="62" customWidth="1"/>
    <col min="13" max="17" width="7.42578125" customWidth="1"/>
    <col min="18" max="18" width="10.42578125" customWidth="1"/>
    <col min="19" max="19" width="15.42578125" customWidth="1"/>
    <col min="20" max="20" width="8.42578125" style="44" customWidth="1"/>
    <col min="23" max="25" width="13" hidden="1" customWidth="1"/>
  </cols>
  <sheetData>
    <row r="1" spans="1:24" ht="99.95" customHeight="1" x14ac:dyDescent="0.25">
      <c r="A1" s="77" t="s">
        <v>21</v>
      </c>
      <c r="B1" s="78" t="s">
        <v>22</v>
      </c>
      <c r="C1" s="145" t="s">
        <v>82</v>
      </c>
      <c r="D1" s="145" t="s">
        <v>83</v>
      </c>
      <c r="E1" s="145" t="s">
        <v>84</v>
      </c>
      <c r="F1" s="145" t="s">
        <v>85</v>
      </c>
      <c r="G1" s="145" t="s">
        <v>86</v>
      </c>
      <c r="H1" s="145" t="s">
        <v>87</v>
      </c>
      <c r="I1" s="145" t="s">
        <v>88</v>
      </c>
      <c r="J1" s="145" t="s">
        <v>89</v>
      </c>
      <c r="K1" s="145" t="s">
        <v>90</v>
      </c>
      <c r="L1" s="145" t="s">
        <v>91</v>
      </c>
      <c r="M1" s="146" t="s">
        <v>92</v>
      </c>
      <c r="N1" s="146" t="s">
        <v>93</v>
      </c>
      <c r="O1" s="146" t="s">
        <v>94</v>
      </c>
      <c r="P1" s="146" t="s">
        <v>95</v>
      </c>
      <c r="Q1" s="147" t="s">
        <v>96</v>
      </c>
      <c r="R1" s="147" t="s">
        <v>50</v>
      </c>
      <c r="S1" s="147" t="s">
        <v>43</v>
      </c>
      <c r="X1" s="36"/>
    </row>
    <row r="2" spans="1:24" ht="30" customHeight="1" x14ac:dyDescent="0.25">
      <c r="A2" s="108">
        <v>4079</v>
      </c>
      <c r="B2" s="128" t="str">
        <f>INDEX(OfficialTeamList[Team Name],MATCH(CoreValuesResults[[#This Row],[Team Number]], OfficialTeamList[Team Number],0))</f>
        <v>RG3 CV3 IP4 RD6 CR3</v>
      </c>
      <c r="C2" s="136">
        <f>INDEX(InnovationProjectResults[Identify - Research (CV)],MATCH(CoreValuesResults[[#This Row],[Team Number]],InnovationProjectResults[Team Number],0))</f>
        <v>0</v>
      </c>
      <c r="D2" s="136">
        <f>INDEX(InnovationProjectResults[Design - Teamwork (CV)],MATCH(CoreValuesResults[[#This Row],[Team Number]],InnovationProjectResults[Team Number],0))</f>
        <v>0</v>
      </c>
      <c r="E2" s="136">
        <f>INDEX(InnovationProjectResults[Create - Innovation (CV)],MATCH(CoreValuesResults[[#This Row],[Team Number]],InnovationProjectResults[Team Number],0))</f>
        <v>0</v>
      </c>
      <c r="F2" s="136">
        <f>INDEX(InnovationProjectResults[Communicate - Impact (CV)],MATCH(CoreValuesResults[[#This Row],[Team Number]],InnovationProjectResults[Team Number],0))</f>
        <v>0</v>
      </c>
      <c r="G2" s="136">
        <f>INDEX(InnovationProjectResults[Communicate - Fun (CV)],MATCH(CoreValuesResults[[#This Row],[Team Number]],InnovationProjectResults[Team Number],0))</f>
        <v>0</v>
      </c>
      <c r="H2" s="136">
        <f>INDEX(RobotDesignResults[Identify - Research (CV)],MATCH(CoreValuesResults[[#This Row],[Team Number]],RobotDesignResults[Team Number],0))</f>
        <v>0</v>
      </c>
      <c r="I2" s="136">
        <f>INDEX(RobotDesignResults[Design - Ideas (CV)],MATCH(CoreValuesResults[[#This Row],[Team Number]],RobotDesignResults[Team Number],0))</f>
        <v>0</v>
      </c>
      <c r="J2" s="136">
        <f>INDEX(RobotDesignResults[Iterate - Improvements (CV)],MATCH(CoreValuesResults[[#This Row],[Team Number]],RobotDesignResults[Team Number],0))</f>
        <v>0</v>
      </c>
      <c r="K2" s="136">
        <f>INDEX(RobotDesignResults[Communicate - Impact (CV)],MATCH(CoreValuesResults[[#This Row],[Team Number]],RobotDesignResults[Team Number],0))</f>
        <v>0</v>
      </c>
      <c r="L2" s="136">
        <f>INDEX(RobotDesignResults[Communicate - Fun (CV)],MATCH(CoreValuesResults[[#This Row],[Team Number]],RobotDesignResults[Team Number],0))</f>
        <v>0</v>
      </c>
      <c r="M2" s="129"/>
      <c r="N2" s="129"/>
      <c r="O2" s="129"/>
      <c r="P2" s="109">
        <f>SUM(CoreValuesResults[[#This Row],[Gracious Professionalism 1]:[Gracious Professionalism 3]])</f>
        <v>0</v>
      </c>
      <c r="Q2" s="109"/>
      <c r="R2" s="137">
        <f>SUM(CoreValuesResults[[#This Row],[Identify - Research (CV-IP)]:[Communicate - Fun (CV-RD)]],CoreValuesResults[[#This Row],[Gracious Professionalism Score]])</f>
        <v>0</v>
      </c>
      <c r="S2" s="131">
        <f>IF(CoreValuesResults[[#This Row],[Team Number]]&gt;0,MIN(_xlfn.RANK.EQ(CoreValuesResults[[#This Row],[Core Values Score]],CoreValuesResults[Core Values Score],0),NumberOfTeams),NumberOfTeams+1)</f>
        <v>1</v>
      </c>
      <c r="X2" s="36"/>
    </row>
    <row r="3" spans="1:24" ht="30" customHeight="1" x14ac:dyDescent="0.25">
      <c r="A3" s="108">
        <v>6818</v>
      </c>
      <c r="B3" s="128" t="str">
        <f>INDEX(OfficialTeamList[Team Name],MATCH(CoreValuesResults[[#This Row],[Team Number]], OfficialTeamList[Team Number],0))</f>
        <v>RG2 CV9 IP11 RD1 CR6</v>
      </c>
      <c r="C3" s="136">
        <f>INDEX(InnovationProjectResults[Identify - Research (CV)],MATCH(CoreValuesResults[[#This Row],[Team Number]],InnovationProjectResults[Team Number],0))</f>
        <v>0</v>
      </c>
      <c r="D3" s="136">
        <f>INDEX(InnovationProjectResults[Design - Teamwork (CV)],MATCH(CoreValuesResults[[#This Row],[Team Number]],InnovationProjectResults[Team Number],0))</f>
        <v>0</v>
      </c>
      <c r="E3" s="136">
        <f>INDEX(InnovationProjectResults[Create - Innovation (CV)],MATCH(CoreValuesResults[[#This Row],[Team Number]],InnovationProjectResults[Team Number],0))</f>
        <v>0</v>
      </c>
      <c r="F3" s="136">
        <f>INDEX(InnovationProjectResults[Communicate - Impact (CV)],MATCH(CoreValuesResults[[#This Row],[Team Number]],InnovationProjectResults[Team Number],0))</f>
        <v>0</v>
      </c>
      <c r="G3" s="136">
        <f>INDEX(InnovationProjectResults[Communicate - Fun (CV)],MATCH(CoreValuesResults[[#This Row],[Team Number]],InnovationProjectResults[Team Number],0))</f>
        <v>0</v>
      </c>
      <c r="H3" s="136">
        <f>INDEX(RobotDesignResults[Identify - Research (CV)],MATCH(CoreValuesResults[[#This Row],[Team Number]],RobotDesignResults[Team Number],0))</f>
        <v>0</v>
      </c>
      <c r="I3" s="136">
        <f>INDEX(RobotDesignResults[Design - Ideas (CV)],MATCH(CoreValuesResults[[#This Row],[Team Number]],RobotDesignResults[Team Number],0))</f>
        <v>0</v>
      </c>
      <c r="J3" s="136">
        <f>INDEX(RobotDesignResults[Iterate - Improvements (CV)],MATCH(CoreValuesResults[[#This Row],[Team Number]],RobotDesignResults[Team Number],0))</f>
        <v>0</v>
      </c>
      <c r="K3" s="136">
        <f>INDEX(RobotDesignResults[Communicate - Impact (CV)],MATCH(CoreValuesResults[[#This Row],[Team Number]],RobotDesignResults[Team Number],0))</f>
        <v>0</v>
      </c>
      <c r="L3" s="136">
        <f>INDEX(RobotDesignResults[Communicate - Fun (CV)],MATCH(CoreValuesResults[[#This Row],[Team Number]],RobotDesignResults[Team Number],0))</f>
        <v>0</v>
      </c>
      <c r="M3" s="129"/>
      <c r="N3" s="129"/>
      <c r="O3" s="129"/>
      <c r="P3" s="109">
        <f>SUM(CoreValuesResults[[#This Row],[Gracious Professionalism 1]:[Gracious Professionalism 3]])</f>
        <v>0</v>
      </c>
      <c r="Q3" s="109"/>
      <c r="R3" s="137">
        <f>SUM(CoreValuesResults[[#This Row],[Identify - Research (CV-IP)]:[Communicate - Fun (CV-RD)]],CoreValuesResults[[#This Row],[Gracious Professionalism Score]])</f>
        <v>0</v>
      </c>
      <c r="S3" s="131">
        <f>IF(CoreValuesResults[[#This Row],[Team Number]]&gt;0,MIN(_xlfn.RANK.EQ(CoreValuesResults[[#This Row],[Core Values Score]],CoreValuesResults[Core Values Score],0),NumberOfTeams),NumberOfTeams+1)</f>
        <v>1</v>
      </c>
    </row>
    <row r="4" spans="1:24" ht="30" customHeight="1" x14ac:dyDescent="0.25">
      <c r="A4" s="108">
        <v>8913</v>
      </c>
      <c r="B4" s="132" t="str">
        <f>INDEX(OfficialTeamList[Team Name],MATCH(CoreValuesResults[[#This Row],[Team Number]], OfficialTeamList[Team Number],0))</f>
        <v>RG6 CV1 IP2 RD1 CR1</v>
      </c>
      <c r="C4" s="138">
        <f>INDEX(InnovationProjectResults[Identify - Research (CV)],MATCH(CoreValuesResults[[#This Row],[Team Number]],InnovationProjectResults[Team Number],0))</f>
        <v>0</v>
      </c>
      <c r="D4" s="138">
        <f>INDEX(InnovationProjectResults[Design - Teamwork (CV)],MATCH(CoreValuesResults[[#This Row],[Team Number]],InnovationProjectResults[Team Number],0))</f>
        <v>0</v>
      </c>
      <c r="E4" s="138">
        <f>INDEX(InnovationProjectResults[Create - Innovation (CV)],MATCH(CoreValuesResults[[#This Row],[Team Number]],InnovationProjectResults[Team Number],0))</f>
        <v>0</v>
      </c>
      <c r="F4" s="138">
        <f>INDEX(InnovationProjectResults[Communicate - Impact (CV)],MATCH(CoreValuesResults[[#This Row],[Team Number]],InnovationProjectResults[Team Number],0))</f>
        <v>0</v>
      </c>
      <c r="G4" s="138">
        <f>INDEX(InnovationProjectResults[Communicate - Fun (CV)],MATCH(CoreValuesResults[[#This Row],[Team Number]],InnovationProjectResults[Team Number],0))</f>
        <v>0</v>
      </c>
      <c r="H4" s="138">
        <f>INDEX(RobotDesignResults[Identify - Research (CV)],MATCH(CoreValuesResults[[#This Row],[Team Number]],RobotDesignResults[Team Number],0))</f>
        <v>0</v>
      </c>
      <c r="I4" s="138">
        <f>INDEX(RobotDesignResults[Design - Ideas (CV)],MATCH(CoreValuesResults[[#This Row],[Team Number]],RobotDesignResults[Team Number],0))</f>
        <v>0</v>
      </c>
      <c r="J4" s="138">
        <f>INDEX(RobotDesignResults[Iterate - Improvements (CV)],MATCH(CoreValuesResults[[#This Row],[Team Number]],RobotDesignResults[Team Number],0))</f>
        <v>0</v>
      </c>
      <c r="K4" s="138">
        <f>INDEX(RobotDesignResults[Communicate - Impact (CV)],MATCH(CoreValuesResults[[#This Row],[Team Number]],RobotDesignResults[Team Number],0))</f>
        <v>0</v>
      </c>
      <c r="L4" s="138">
        <f>INDEX(RobotDesignResults[Communicate - Fun (CV)],MATCH(CoreValuesResults[[#This Row],[Team Number]],RobotDesignResults[Team Number],0))</f>
        <v>0</v>
      </c>
      <c r="M4" s="133"/>
      <c r="N4" s="133"/>
      <c r="O4" s="133"/>
      <c r="P4" s="126">
        <f>SUM(CoreValuesResults[[#This Row],[Gracious Professionalism 1]:[Gracious Professionalism 3]])</f>
        <v>0</v>
      </c>
      <c r="Q4" s="126"/>
      <c r="R4" s="134">
        <f>SUM(CoreValuesResults[[#This Row],[Identify - Research (CV-IP)]:[Communicate - Fun (CV-RD)]],CoreValuesResults[[#This Row],[Gracious Professionalism Score]])</f>
        <v>0</v>
      </c>
      <c r="S4" s="135">
        <f>IF(CoreValuesResults[[#This Row],[Team Number]]&gt;0,MIN(_xlfn.RANK.EQ(CoreValuesResults[[#This Row],[Core Values Score]],CoreValuesResults[Core Values Score],0),NumberOfTeams),NumberOfTeams+1)</f>
        <v>1</v>
      </c>
    </row>
    <row r="5" spans="1:24" ht="30" customHeight="1" x14ac:dyDescent="0.25">
      <c r="A5" s="108">
        <v>12121</v>
      </c>
      <c r="B5" s="128" t="str">
        <f>INDEX(OfficialTeamList[Team Name],MATCH(CoreValuesResults[[#This Row],[Team Number]], OfficialTeamList[Team Number],0))</f>
        <v>TestTeam12</v>
      </c>
      <c r="C5" s="136">
        <f>INDEX(InnovationProjectResults[Identify - Research (CV)],MATCH(CoreValuesResults[[#This Row],[Team Number]],InnovationProjectResults[Team Number],0))</f>
        <v>0</v>
      </c>
      <c r="D5" s="136">
        <f>INDEX(InnovationProjectResults[Design - Teamwork (CV)],MATCH(CoreValuesResults[[#This Row],[Team Number]],InnovationProjectResults[Team Number],0))</f>
        <v>0</v>
      </c>
      <c r="E5" s="136">
        <f>INDEX(InnovationProjectResults[Create - Innovation (CV)],MATCH(CoreValuesResults[[#This Row],[Team Number]],InnovationProjectResults[Team Number],0))</f>
        <v>0</v>
      </c>
      <c r="F5" s="136">
        <f>INDEX(InnovationProjectResults[Communicate - Impact (CV)],MATCH(CoreValuesResults[[#This Row],[Team Number]],InnovationProjectResults[Team Number],0))</f>
        <v>0</v>
      </c>
      <c r="G5" s="136">
        <f>INDEX(InnovationProjectResults[Communicate - Fun (CV)],MATCH(CoreValuesResults[[#This Row],[Team Number]],InnovationProjectResults[Team Number],0))</f>
        <v>0</v>
      </c>
      <c r="H5" s="136">
        <f>INDEX(RobotDesignResults[Identify - Research (CV)],MATCH(CoreValuesResults[[#This Row],[Team Number]],RobotDesignResults[Team Number],0))</f>
        <v>0</v>
      </c>
      <c r="I5" s="136">
        <f>INDEX(RobotDesignResults[Design - Ideas (CV)],MATCH(CoreValuesResults[[#This Row],[Team Number]],RobotDesignResults[Team Number],0))</f>
        <v>0</v>
      </c>
      <c r="J5" s="136">
        <f>INDEX(RobotDesignResults[Iterate - Improvements (CV)],MATCH(CoreValuesResults[[#This Row],[Team Number]],RobotDesignResults[Team Number],0))</f>
        <v>0</v>
      </c>
      <c r="K5" s="136">
        <f>INDEX(RobotDesignResults[Communicate - Impact (CV)],MATCH(CoreValuesResults[[#This Row],[Team Number]],RobotDesignResults[Team Number],0))</f>
        <v>0</v>
      </c>
      <c r="L5" s="136">
        <f>INDEX(RobotDesignResults[Communicate - Fun (CV)],MATCH(CoreValuesResults[[#This Row],[Team Number]],RobotDesignResults[Team Number],0))</f>
        <v>0</v>
      </c>
      <c r="M5" s="129"/>
      <c r="N5" s="129"/>
      <c r="O5" s="129"/>
      <c r="P5" s="109">
        <f>SUM(CoreValuesResults[[#This Row],[Gracious Professionalism 1]:[Gracious Professionalism 3]])</f>
        <v>0</v>
      </c>
      <c r="Q5" s="109"/>
      <c r="R5" s="130">
        <f>SUM(CoreValuesResults[[#This Row],[Identify - Research (CV-IP)]:[Communicate - Fun (CV-RD)]],CoreValuesResults[[#This Row],[Gracious Professionalism Score]])</f>
        <v>0</v>
      </c>
      <c r="S5" s="131">
        <f>IF(CoreValuesResults[[#This Row],[Team Number]]&gt;0,MIN(_xlfn.RANK.EQ(CoreValuesResults[[#This Row],[Core Values Score]],CoreValuesResults[Core Values Score],0),NumberOfTeams),NumberOfTeams+1)</f>
        <v>1</v>
      </c>
    </row>
    <row r="6" spans="1:24" ht="30" customHeight="1" x14ac:dyDescent="0.25">
      <c r="A6" s="108">
        <v>29484</v>
      </c>
      <c r="B6" s="128" t="str">
        <f>INDEX(OfficialTeamList[Team Name],MATCH(CoreValuesResults[[#This Row],[Team Number]], OfficialTeamList[Team Number],0))</f>
        <v>RG8 CV5 IP1 RD6 CR5</v>
      </c>
      <c r="C6" s="136">
        <f>INDEX(InnovationProjectResults[Identify - Research (CV)],MATCH(CoreValuesResults[[#This Row],[Team Number]],InnovationProjectResults[Team Number],0))</f>
        <v>0</v>
      </c>
      <c r="D6" s="136">
        <f>INDEX(InnovationProjectResults[Design - Teamwork (CV)],MATCH(CoreValuesResults[[#This Row],[Team Number]],InnovationProjectResults[Team Number],0))</f>
        <v>0</v>
      </c>
      <c r="E6" s="136">
        <f>INDEX(InnovationProjectResults[Create - Innovation (CV)],MATCH(CoreValuesResults[[#This Row],[Team Number]],InnovationProjectResults[Team Number],0))</f>
        <v>0</v>
      </c>
      <c r="F6" s="136">
        <f>INDEX(InnovationProjectResults[Communicate - Impact (CV)],MATCH(CoreValuesResults[[#This Row],[Team Number]],InnovationProjectResults[Team Number],0))</f>
        <v>0</v>
      </c>
      <c r="G6" s="136">
        <f>INDEX(InnovationProjectResults[Communicate - Fun (CV)],MATCH(CoreValuesResults[[#This Row],[Team Number]],InnovationProjectResults[Team Number],0))</f>
        <v>0</v>
      </c>
      <c r="H6" s="136">
        <f>INDEX(RobotDesignResults[Identify - Research (CV)],MATCH(CoreValuesResults[[#This Row],[Team Number]],RobotDesignResults[Team Number],0))</f>
        <v>0</v>
      </c>
      <c r="I6" s="136">
        <f>INDEX(RobotDesignResults[Design - Ideas (CV)],MATCH(CoreValuesResults[[#This Row],[Team Number]],RobotDesignResults[Team Number],0))</f>
        <v>0</v>
      </c>
      <c r="J6" s="136">
        <f>INDEX(RobotDesignResults[Iterate - Improvements (CV)],MATCH(CoreValuesResults[[#This Row],[Team Number]],RobotDesignResults[Team Number],0))</f>
        <v>0</v>
      </c>
      <c r="K6" s="136">
        <f>INDEX(RobotDesignResults[Communicate - Impact (CV)],MATCH(CoreValuesResults[[#This Row],[Team Number]],RobotDesignResults[Team Number],0))</f>
        <v>0</v>
      </c>
      <c r="L6" s="136">
        <f>INDEX(RobotDesignResults[Communicate - Fun (CV)],MATCH(CoreValuesResults[[#This Row],[Team Number]],RobotDesignResults[Team Number],0))</f>
        <v>0</v>
      </c>
      <c r="M6" s="129"/>
      <c r="N6" s="129"/>
      <c r="O6" s="129"/>
      <c r="P6" s="109">
        <f>SUM(CoreValuesResults[[#This Row],[Gracious Professionalism 1]:[Gracious Professionalism 3]])</f>
        <v>0</v>
      </c>
      <c r="Q6" s="109"/>
      <c r="R6" s="130">
        <f>SUM(CoreValuesResults[[#This Row],[Identify - Research (CV-IP)]:[Communicate - Fun (CV-RD)]],CoreValuesResults[[#This Row],[Gracious Professionalism Score]])</f>
        <v>0</v>
      </c>
      <c r="S6" s="131">
        <f>IF(CoreValuesResults[[#This Row],[Team Number]]&gt;0,MIN(_xlfn.RANK.EQ(CoreValuesResults[[#This Row],[Core Values Score]],CoreValuesResults[Core Values Score],0),NumberOfTeams),NumberOfTeams+1)</f>
        <v>1</v>
      </c>
    </row>
    <row r="7" spans="1:24" ht="30" customHeight="1" x14ac:dyDescent="0.25">
      <c r="A7" s="108">
        <v>31415</v>
      </c>
      <c r="B7" s="128" t="str">
        <f>INDEX(OfficialTeamList[Team Name],MATCH(CoreValuesResults[[#This Row],[Team Number]], OfficialTeamList[Team Number],0))</f>
        <v>TestTeamAdd3</v>
      </c>
      <c r="C7" s="136">
        <f>INDEX(InnovationProjectResults[Identify - Research (CV)],MATCH(CoreValuesResults[[#This Row],[Team Number]],InnovationProjectResults[Team Number],0))</f>
        <v>0</v>
      </c>
      <c r="D7" s="136">
        <f>INDEX(InnovationProjectResults[Design - Teamwork (CV)],MATCH(CoreValuesResults[[#This Row],[Team Number]],InnovationProjectResults[Team Number],0))</f>
        <v>0</v>
      </c>
      <c r="E7" s="136">
        <f>INDEX(InnovationProjectResults[Create - Innovation (CV)],MATCH(CoreValuesResults[[#This Row],[Team Number]],InnovationProjectResults[Team Number],0))</f>
        <v>0</v>
      </c>
      <c r="F7" s="136">
        <f>INDEX(InnovationProjectResults[Communicate - Impact (CV)],MATCH(CoreValuesResults[[#This Row],[Team Number]],InnovationProjectResults[Team Number],0))</f>
        <v>0</v>
      </c>
      <c r="G7" s="136">
        <f>INDEX(InnovationProjectResults[Communicate - Fun (CV)],MATCH(CoreValuesResults[[#This Row],[Team Number]],InnovationProjectResults[Team Number],0))</f>
        <v>0</v>
      </c>
      <c r="H7" s="136">
        <f>INDEX(RobotDesignResults[Identify - Research (CV)],MATCH(CoreValuesResults[[#This Row],[Team Number]],RobotDesignResults[Team Number],0))</f>
        <v>0</v>
      </c>
      <c r="I7" s="136">
        <f>INDEX(RobotDesignResults[Design - Ideas (CV)],MATCH(CoreValuesResults[[#This Row],[Team Number]],RobotDesignResults[Team Number],0))</f>
        <v>0</v>
      </c>
      <c r="J7" s="136">
        <f>INDEX(RobotDesignResults[Iterate - Improvements (CV)],MATCH(CoreValuesResults[[#This Row],[Team Number]],RobotDesignResults[Team Number],0))</f>
        <v>0</v>
      </c>
      <c r="K7" s="136">
        <f>INDEX(RobotDesignResults[Communicate - Impact (CV)],MATCH(CoreValuesResults[[#This Row],[Team Number]],RobotDesignResults[Team Number],0))</f>
        <v>0</v>
      </c>
      <c r="L7" s="136">
        <f>INDEX(RobotDesignResults[Communicate - Fun (CV)],MATCH(CoreValuesResults[[#This Row],[Team Number]],RobotDesignResults[Team Number],0))</f>
        <v>0</v>
      </c>
      <c r="M7" s="129"/>
      <c r="N7" s="129"/>
      <c r="O7" s="129"/>
      <c r="P7" s="109">
        <f>SUM(CoreValuesResults[[#This Row],[Gracious Professionalism 1]:[Gracious Professionalism 3]])</f>
        <v>0</v>
      </c>
      <c r="Q7" s="109"/>
      <c r="R7" s="137">
        <f>SUM(CoreValuesResults[[#This Row],[Identify - Research (CV-IP)]:[Communicate - Fun (CV-RD)]],CoreValuesResults[[#This Row],[Gracious Professionalism Score]])</f>
        <v>0</v>
      </c>
      <c r="S7" s="131">
        <f>IF(CoreValuesResults[[#This Row],[Team Number]]&gt;0,MIN(_xlfn.RANK.EQ(CoreValuesResults[[#This Row],[Core Values Score]],CoreValuesResults[Core Values Score],0),NumberOfTeams),NumberOfTeams+1)</f>
        <v>1</v>
      </c>
    </row>
    <row r="8" spans="1:24" ht="30" customHeight="1" x14ac:dyDescent="0.25">
      <c r="A8" s="108">
        <v>34450</v>
      </c>
      <c r="B8" s="128" t="str">
        <f>INDEX(OfficialTeamList[Team Name],MATCH(CoreValuesResults[[#This Row],[Team Number]], OfficialTeamList[Team Number],0))</f>
        <v>RG7 CV2 IP4 RD3 CR3</v>
      </c>
      <c r="C8" s="136">
        <f>INDEX(InnovationProjectResults[Identify - Research (CV)],MATCH(CoreValuesResults[[#This Row],[Team Number]],InnovationProjectResults[Team Number],0))</f>
        <v>0</v>
      </c>
      <c r="D8" s="136">
        <f>INDEX(InnovationProjectResults[Design - Teamwork (CV)],MATCH(CoreValuesResults[[#This Row],[Team Number]],InnovationProjectResults[Team Number],0))</f>
        <v>0</v>
      </c>
      <c r="E8" s="136">
        <f>INDEX(InnovationProjectResults[Create - Innovation (CV)],MATCH(CoreValuesResults[[#This Row],[Team Number]],InnovationProjectResults[Team Number],0))</f>
        <v>0</v>
      </c>
      <c r="F8" s="136">
        <f>INDEX(InnovationProjectResults[Communicate - Impact (CV)],MATCH(CoreValuesResults[[#This Row],[Team Number]],InnovationProjectResults[Team Number],0))</f>
        <v>0</v>
      </c>
      <c r="G8" s="136">
        <f>INDEX(InnovationProjectResults[Communicate - Fun (CV)],MATCH(CoreValuesResults[[#This Row],[Team Number]],InnovationProjectResults[Team Number],0))</f>
        <v>0</v>
      </c>
      <c r="H8" s="136">
        <f>INDEX(RobotDesignResults[Identify - Research (CV)],MATCH(CoreValuesResults[[#This Row],[Team Number]],RobotDesignResults[Team Number],0))</f>
        <v>0</v>
      </c>
      <c r="I8" s="136">
        <f>INDEX(RobotDesignResults[Design - Ideas (CV)],MATCH(CoreValuesResults[[#This Row],[Team Number]],RobotDesignResults[Team Number],0))</f>
        <v>0</v>
      </c>
      <c r="J8" s="136">
        <f>INDEX(RobotDesignResults[Iterate - Improvements (CV)],MATCH(CoreValuesResults[[#This Row],[Team Number]],RobotDesignResults[Team Number],0))</f>
        <v>0</v>
      </c>
      <c r="K8" s="136">
        <f>INDEX(RobotDesignResults[Communicate - Impact (CV)],MATCH(CoreValuesResults[[#This Row],[Team Number]],RobotDesignResults[Team Number],0))</f>
        <v>0</v>
      </c>
      <c r="L8" s="136">
        <f>INDEX(RobotDesignResults[Communicate - Fun (CV)],MATCH(CoreValuesResults[[#This Row],[Team Number]],RobotDesignResults[Team Number],0))</f>
        <v>0</v>
      </c>
      <c r="M8" s="129"/>
      <c r="N8" s="129"/>
      <c r="O8" s="129"/>
      <c r="P8" s="109">
        <f>SUM(CoreValuesResults[[#This Row],[Gracious Professionalism 1]:[Gracious Professionalism 3]])</f>
        <v>0</v>
      </c>
      <c r="Q8" s="109"/>
      <c r="R8" s="137">
        <f>SUM(CoreValuesResults[[#This Row],[Identify - Research (CV-IP)]:[Communicate - Fun (CV-RD)]],CoreValuesResults[[#This Row],[Gracious Professionalism Score]])</f>
        <v>0</v>
      </c>
      <c r="S8" s="131">
        <f>IF(CoreValuesResults[[#This Row],[Team Number]]&gt;0,MIN(_xlfn.RANK.EQ(CoreValuesResults[[#This Row],[Core Values Score]],CoreValuesResults[Core Values Score],0),NumberOfTeams),NumberOfTeams+1)</f>
        <v>1</v>
      </c>
    </row>
    <row r="9" spans="1:24" ht="30" customHeight="1" x14ac:dyDescent="0.25">
      <c r="A9" s="108">
        <v>43985</v>
      </c>
      <c r="B9" s="128" t="str">
        <f>INDEX(OfficialTeamList[Team Name],MATCH(CoreValuesResults[[#This Row],[Team Number]], OfficialTeamList[Team Number],0))</f>
        <v>RG1 CV5 IP2 RD3 CR2</v>
      </c>
      <c r="C9" s="136">
        <f>INDEX(InnovationProjectResults[Identify - Research (CV)],MATCH(CoreValuesResults[[#This Row],[Team Number]],InnovationProjectResults[Team Number],0))</f>
        <v>0</v>
      </c>
      <c r="D9" s="136">
        <f>INDEX(InnovationProjectResults[Design - Teamwork (CV)],MATCH(CoreValuesResults[[#This Row],[Team Number]],InnovationProjectResults[Team Number],0))</f>
        <v>0</v>
      </c>
      <c r="E9" s="136">
        <f>INDEX(InnovationProjectResults[Create - Innovation (CV)],MATCH(CoreValuesResults[[#This Row],[Team Number]],InnovationProjectResults[Team Number],0))</f>
        <v>0</v>
      </c>
      <c r="F9" s="136">
        <f>INDEX(InnovationProjectResults[Communicate - Impact (CV)],MATCH(CoreValuesResults[[#This Row],[Team Number]],InnovationProjectResults[Team Number],0))</f>
        <v>0</v>
      </c>
      <c r="G9" s="136">
        <f>INDEX(InnovationProjectResults[Communicate - Fun (CV)],MATCH(CoreValuesResults[[#This Row],[Team Number]],InnovationProjectResults[Team Number],0))</f>
        <v>0</v>
      </c>
      <c r="H9" s="136">
        <f>INDEX(RobotDesignResults[Identify - Research (CV)],MATCH(CoreValuesResults[[#This Row],[Team Number]],RobotDesignResults[Team Number],0))</f>
        <v>0</v>
      </c>
      <c r="I9" s="136">
        <f>INDEX(RobotDesignResults[Design - Ideas (CV)],MATCH(CoreValuesResults[[#This Row],[Team Number]],RobotDesignResults[Team Number],0))</f>
        <v>0</v>
      </c>
      <c r="J9" s="136">
        <f>INDEX(RobotDesignResults[Iterate - Improvements (CV)],MATCH(CoreValuesResults[[#This Row],[Team Number]],RobotDesignResults[Team Number],0))</f>
        <v>0</v>
      </c>
      <c r="K9" s="136">
        <f>INDEX(RobotDesignResults[Communicate - Impact (CV)],MATCH(CoreValuesResults[[#This Row],[Team Number]],RobotDesignResults[Team Number],0))</f>
        <v>0</v>
      </c>
      <c r="L9" s="136">
        <f>INDEX(RobotDesignResults[Communicate - Fun (CV)],MATCH(CoreValuesResults[[#This Row],[Team Number]],RobotDesignResults[Team Number],0))</f>
        <v>0</v>
      </c>
      <c r="M9" s="129"/>
      <c r="N9" s="129"/>
      <c r="O9" s="129"/>
      <c r="P9" s="109">
        <f>SUM(CoreValuesResults[[#This Row],[Gracious Professionalism 1]:[Gracious Professionalism 3]])</f>
        <v>0</v>
      </c>
      <c r="Q9" s="109"/>
      <c r="R9" s="137">
        <f>SUM(CoreValuesResults[[#This Row],[Identify - Research (CV-IP)]:[Communicate - Fun (CV-RD)]],CoreValuesResults[[#This Row],[Gracious Professionalism Score]])</f>
        <v>0</v>
      </c>
      <c r="S9" s="131">
        <f>IF(CoreValuesResults[[#This Row],[Team Number]]&gt;0,MIN(_xlfn.RANK.EQ(CoreValuesResults[[#This Row],[Core Values Score]],CoreValuesResults[Core Values Score],0),NumberOfTeams),NumberOfTeams+1)</f>
        <v>1</v>
      </c>
    </row>
    <row r="10" spans="1:24" ht="30" customHeight="1" x14ac:dyDescent="0.25">
      <c r="A10" s="108">
        <v>48732</v>
      </c>
      <c r="B10" s="128" t="str">
        <f>INDEX(OfficialTeamList[Team Name],MATCH(CoreValuesResults[[#This Row],[Team Number]], OfficialTeamList[Team Number],0))</f>
        <v>RG4 CV10 IP10 RD3 CR8</v>
      </c>
      <c r="C10" s="136">
        <f>INDEX(InnovationProjectResults[Identify - Research (CV)],MATCH(CoreValuesResults[[#This Row],[Team Number]],InnovationProjectResults[Team Number],0))</f>
        <v>0</v>
      </c>
      <c r="D10" s="136">
        <f>INDEX(InnovationProjectResults[Design - Teamwork (CV)],MATCH(CoreValuesResults[[#This Row],[Team Number]],InnovationProjectResults[Team Number],0))</f>
        <v>0</v>
      </c>
      <c r="E10" s="136">
        <f>INDEX(InnovationProjectResults[Create - Innovation (CV)],MATCH(CoreValuesResults[[#This Row],[Team Number]],InnovationProjectResults[Team Number],0))</f>
        <v>0</v>
      </c>
      <c r="F10" s="136">
        <f>INDEX(InnovationProjectResults[Communicate - Impact (CV)],MATCH(CoreValuesResults[[#This Row],[Team Number]],InnovationProjectResults[Team Number],0))</f>
        <v>0</v>
      </c>
      <c r="G10" s="136">
        <f>INDEX(InnovationProjectResults[Communicate - Fun (CV)],MATCH(CoreValuesResults[[#This Row],[Team Number]],InnovationProjectResults[Team Number],0))</f>
        <v>0</v>
      </c>
      <c r="H10" s="136">
        <f>INDEX(RobotDesignResults[Identify - Research (CV)],MATCH(CoreValuesResults[[#This Row],[Team Number]],RobotDesignResults[Team Number],0))</f>
        <v>0</v>
      </c>
      <c r="I10" s="136">
        <f>INDEX(RobotDesignResults[Design - Ideas (CV)],MATCH(CoreValuesResults[[#This Row],[Team Number]],RobotDesignResults[Team Number],0))</f>
        <v>0</v>
      </c>
      <c r="J10" s="136">
        <f>INDEX(RobotDesignResults[Iterate - Improvements (CV)],MATCH(CoreValuesResults[[#This Row],[Team Number]],RobotDesignResults[Team Number],0))</f>
        <v>0</v>
      </c>
      <c r="K10" s="136">
        <f>INDEX(RobotDesignResults[Communicate - Impact (CV)],MATCH(CoreValuesResults[[#This Row],[Team Number]],RobotDesignResults[Team Number],0))</f>
        <v>0</v>
      </c>
      <c r="L10" s="136">
        <f>INDEX(RobotDesignResults[Communicate - Fun (CV)],MATCH(CoreValuesResults[[#This Row],[Team Number]],RobotDesignResults[Team Number],0))</f>
        <v>0</v>
      </c>
      <c r="M10" s="129"/>
      <c r="N10" s="129"/>
      <c r="O10" s="129"/>
      <c r="P10" s="109">
        <f>SUM(CoreValuesResults[[#This Row],[Gracious Professionalism 1]:[Gracious Professionalism 3]])</f>
        <v>0</v>
      </c>
      <c r="Q10" s="109"/>
      <c r="R10" s="137">
        <f>SUM(CoreValuesResults[[#This Row],[Identify - Research (CV-IP)]:[Communicate - Fun (CV-RD)]],CoreValuesResults[[#This Row],[Gracious Professionalism Score]])</f>
        <v>0</v>
      </c>
      <c r="S10" s="131">
        <f>IF(CoreValuesResults[[#This Row],[Team Number]]&gt;0,MIN(_xlfn.RANK.EQ(CoreValuesResults[[#This Row],[Core Values Score]],CoreValuesResults[Core Values Score],0),NumberOfTeams),NumberOfTeams+1)</f>
        <v>1</v>
      </c>
    </row>
    <row r="11" spans="1:24" ht="30" customHeight="1" x14ac:dyDescent="0.25">
      <c r="A11" s="108">
        <v>58947</v>
      </c>
      <c r="B11" s="128" t="str">
        <f>INDEX(OfficialTeamList[Team Name],MATCH(CoreValuesResults[[#This Row],[Team Number]], OfficialTeamList[Team Number],0))</f>
        <v>RG5 CV8 IP8 RD6 CR8</v>
      </c>
      <c r="C11" s="136">
        <f>INDEX(InnovationProjectResults[Identify - Research (CV)],MATCH(CoreValuesResults[[#This Row],[Team Number]],InnovationProjectResults[Team Number],0))</f>
        <v>0</v>
      </c>
      <c r="D11" s="136">
        <f>INDEX(InnovationProjectResults[Design - Teamwork (CV)],MATCH(CoreValuesResults[[#This Row],[Team Number]],InnovationProjectResults[Team Number],0))</f>
        <v>0</v>
      </c>
      <c r="E11" s="136">
        <f>INDEX(InnovationProjectResults[Create - Innovation (CV)],MATCH(CoreValuesResults[[#This Row],[Team Number]],InnovationProjectResults[Team Number],0))</f>
        <v>0</v>
      </c>
      <c r="F11" s="136">
        <f>INDEX(InnovationProjectResults[Communicate - Impact (CV)],MATCH(CoreValuesResults[[#This Row],[Team Number]],InnovationProjectResults[Team Number],0))</f>
        <v>0</v>
      </c>
      <c r="G11" s="136">
        <f>INDEX(InnovationProjectResults[Communicate - Fun (CV)],MATCH(CoreValuesResults[[#This Row],[Team Number]],InnovationProjectResults[Team Number],0))</f>
        <v>0</v>
      </c>
      <c r="H11" s="136">
        <f>INDEX(RobotDesignResults[Identify - Research (CV)],MATCH(CoreValuesResults[[#This Row],[Team Number]],RobotDesignResults[Team Number],0))</f>
        <v>0</v>
      </c>
      <c r="I11" s="136">
        <f>INDEX(RobotDesignResults[Design - Ideas (CV)],MATCH(CoreValuesResults[[#This Row],[Team Number]],RobotDesignResults[Team Number],0))</f>
        <v>0</v>
      </c>
      <c r="J11" s="136">
        <f>INDEX(RobotDesignResults[Iterate - Improvements (CV)],MATCH(CoreValuesResults[[#This Row],[Team Number]],RobotDesignResults[Team Number],0))</f>
        <v>0</v>
      </c>
      <c r="K11" s="136">
        <f>INDEX(RobotDesignResults[Communicate - Impact (CV)],MATCH(CoreValuesResults[[#This Row],[Team Number]],RobotDesignResults[Team Number],0))</f>
        <v>0</v>
      </c>
      <c r="L11" s="136">
        <f>INDEX(RobotDesignResults[Communicate - Fun (CV)],MATCH(CoreValuesResults[[#This Row],[Team Number]],RobotDesignResults[Team Number],0))</f>
        <v>0</v>
      </c>
      <c r="M11" s="129"/>
      <c r="N11" s="129"/>
      <c r="O11" s="129"/>
      <c r="P11" s="109">
        <f>SUM(CoreValuesResults[[#This Row],[Gracious Professionalism 1]:[Gracious Professionalism 3]])</f>
        <v>0</v>
      </c>
      <c r="Q11" s="109"/>
      <c r="R11" s="137">
        <f>SUM(CoreValuesResults[[#This Row],[Identify - Research (CV-IP)]:[Communicate - Fun (CV-RD)]],CoreValuesResults[[#This Row],[Gracious Professionalism Score]])</f>
        <v>0</v>
      </c>
      <c r="S11" s="131">
        <f>IF(CoreValuesResults[[#This Row],[Team Number]]&gt;0,MIN(_xlfn.RANK.EQ(CoreValuesResults[[#This Row],[Core Values Score]],CoreValuesResults[Core Values Score],0),NumberOfTeams),NumberOfTeams+1)</f>
        <v>1</v>
      </c>
    </row>
    <row r="12" spans="1:24" ht="30" customHeight="1" x14ac:dyDescent="0.25">
      <c r="A12" s="108">
        <v>69029</v>
      </c>
      <c r="B12" s="128" t="str">
        <f>INDEX(OfficialTeamList[Team Name],MATCH(CoreValuesResults[[#This Row],[Team Number]], OfficialTeamList[Team Number],0))</f>
        <v>RG9 CV3 IP4 RD9 CR7</v>
      </c>
      <c r="C12" s="136">
        <f>INDEX(InnovationProjectResults[Identify - Research (CV)],MATCH(CoreValuesResults[[#This Row],[Team Number]],InnovationProjectResults[Team Number],0))</f>
        <v>0</v>
      </c>
      <c r="D12" s="136">
        <f>INDEX(InnovationProjectResults[Design - Teamwork (CV)],MATCH(CoreValuesResults[[#This Row],[Team Number]],InnovationProjectResults[Team Number],0))</f>
        <v>0</v>
      </c>
      <c r="E12" s="136">
        <f>INDEX(InnovationProjectResults[Create - Innovation (CV)],MATCH(CoreValuesResults[[#This Row],[Team Number]],InnovationProjectResults[Team Number],0))</f>
        <v>0</v>
      </c>
      <c r="F12" s="136">
        <f>INDEX(InnovationProjectResults[Communicate - Impact (CV)],MATCH(CoreValuesResults[[#This Row],[Team Number]],InnovationProjectResults[Team Number],0))</f>
        <v>0</v>
      </c>
      <c r="G12" s="136">
        <f>INDEX(InnovationProjectResults[Communicate - Fun (CV)],MATCH(CoreValuesResults[[#This Row],[Team Number]],InnovationProjectResults[Team Number],0))</f>
        <v>0</v>
      </c>
      <c r="H12" s="136">
        <f>INDEX(RobotDesignResults[Identify - Research (CV)],MATCH(CoreValuesResults[[#This Row],[Team Number]],RobotDesignResults[Team Number],0))</f>
        <v>0</v>
      </c>
      <c r="I12" s="136">
        <f>INDEX(RobotDesignResults[Design - Ideas (CV)],MATCH(CoreValuesResults[[#This Row],[Team Number]],RobotDesignResults[Team Number],0))</f>
        <v>0</v>
      </c>
      <c r="J12" s="136">
        <f>INDEX(RobotDesignResults[Iterate - Improvements (CV)],MATCH(CoreValuesResults[[#This Row],[Team Number]],RobotDesignResults[Team Number],0))</f>
        <v>0</v>
      </c>
      <c r="K12" s="136">
        <f>INDEX(RobotDesignResults[Communicate - Impact (CV)],MATCH(CoreValuesResults[[#This Row],[Team Number]],RobotDesignResults[Team Number],0))</f>
        <v>0</v>
      </c>
      <c r="L12" s="136">
        <f>INDEX(RobotDesignResults[Communicate - Fun (CV)],MATCH(CoreValuesResults[[#This Row],[Team Number]],RobotDesignResults[Team Number],0))</f>
        <v>0</v>
      </c>
      <c r="M12" s="129"/>
      <c r="N12" s="129"/>
      <c r="O12" s="129"/>
      <c r="P12" s="109">
        <f>SUM(CoreValuesResults[[#This Row],[Gracious Professionalism 1]:[Gracious Professionalism 3]])</f>
        <v>0</v>
      </c>
      <c r="Q12" s="109"/>
      <c r="R12" s="137">
        <f>SUM(CoreValuesResults[[#This Row],[Identify - Research (CV-IP)]:[Communicate - Fun (CV-RD)]],CoreValuesResults[[#This Row],[Gracious Professionalism Score]])</f>
        <v>0</v>
      </c>
      <c r="S12" s="131">
        <f>IF(CoreValuesResults[[#This Row],[Team Number]]&gt;0,MIN(_xlfn.RANK.EQ(CoreValuesResults[[#This Row],[Core Values Score]],CoreValuesResults[Core Values Score],0),NumberOfTeams),NumberOfTeams+1)</f>
        <v>1</v>
      </c>
    </row>
    <row r="13" spans="1:24" ht="30" customHeight="1" x14ac:dyDescent="0.25">
      <c r="A13" s="108">
        <v>88303</v>
      </c>
      <c r="B13" s="128" t="str">
        <f>INDEX(OfficialTeamList[Team Name],MATCH(CoreValuesResults[[#This Row],[Team Number]], OfficialTeamList[Team Number],0))</f>
        <v>RG11 CV7 IP4 RD11 CR10</v>
      </c>
      <c r="C13" s="136">
        <f>INDEX(InnovationProjectResults[Identify - Research (CV)],MATCH(CoreValuesResults[[#This Row],[Team Number]],InnovationProjectResults[Team Number],0))</f>
        <v>0</v>
      </c>
      <c r="D13" s="136">
        <f>INDEX(InnovationProjectResults[Design - Teamwork (CV)],MATCH(CoreValuesResults[[#This Row],[Team Number]],InnovationProjectResults[Team Number],0))</f>
        <v>0</v>
      </c>
      <c r="E13" s="136">
        <f>INDEX(InnovationProjectResults[Create - Innovation (CV)],MATCH(CoreValuesResults[[#This Row],[Team Number]],InnovationProjectResults[Team Number],0))</f>
        <v>0</v>
      </c>
      <c r="F13" s="136">
        <f>INDEX(InnovationProjectResults[Communicate - Impact (CV)],MATCH(CoreValuesResults[[#This Row],[Team Number]],InnovationProjectResults[Team Number],0))</f>
        <v>0</v>
      </c>
      <c r="G13" s="136">
        <f>INDEX(InnovationProjectResults[Communicate - Fun (CV)],MATCH(CoreValuesResults[[#This Row],[Team Number]],InnovationProjectResults[Team Number],0))</f>
        <v>0</v>
      </c>
      <c r="H13" s="136">
        <f>INDEX(RobotDesignResults[Identify - Research (CV)],MATCH(CoreValuesResults[[#This Row],[Team Number]],RobotDesignResults[Team Number],0))</f>
        <v>0</v>
      </c>
      <c r="I13" s="136">
        <f>INDEX(RobotDesignResults[Design - Ideas (CV)],MATCH(CoreValuesResults[[#This Row],[Team Number]],RobotDesignResults[Team Number],0))</f>
        <v>0</v>
      </c>
      <c r="J13" s="136">
        <f>INDEX(RobotDesignResults[Iterate - Improvements (CV)],MATCH(CoreValuesResults[[#This Row],[Team Number]],RobotDesignResults[Team Number],0))</f>
        <v>0</v>
      </c>
      <c r="K13" s="136">
        <f>INDEX(RobotDesignResults[Communicate - Impact (CV)],MATCH(CoreValuesResults[[#This Row],[Team Number]],RobotDesignResults[Team Number],0))</f>
        <v>0</v>
      </c>
      <c r="L13" s="136">
        <f>INDEX(RobotDesignResults[Communicate - Fun (CV)],MATCH(CoreValuesResults[[#This Row],[Team Number]],RobotDesignResults[Team Number],0))</f>
        <v>0</v>
      </c>
      <c r="M13" s="129"/>
      <c r="N13" s="129"/>
      <c r="O13" s="129"/>
      <c r="P13" s="109">
        <f>SUM(CoreValuesResults[[#This Row],[Gracious Professionalism 1]:[Gracious Professionalism 3]])</f>
        <v>0</v>
      </c>
      <c r="Q13" s="109"/>
      <c r="R13" s="137">
        <f>SUM(CoreValuesResults[[#This Row],[Identify - Research (CV-IP)]:[Communicate - Fun (CV-RD)]],CoreValuesResults[[#This Row],[Gracious Professionalism Score]])</f>
        <v>0</v>
      </c>
      <c r="S13" s="131">
        <f>IF(CoreValuesResults[[#This Row],[Team Number]]&gt;0,MIN(_xlfn.RANK.EQ(CoreValuesResults[[#This Row],[Core Values Score]],CoreValuesResults[Core Values Score],0),NumberOfTeams),NumberOfTeams+1)</f>
        <v>1</v>
      </c>
    </row>
    <row r="14" spans="1:24" ht="30" customHeight="1" x14ac:dyDescent="0.25">
      <c r="A14" s="108">
        <v>89293</v>
      </c>
      <c r="B14" s="132" t="str">
        <f>INDEX(OfficialTeamList[Team Name],MATCH(CoreValuesResults[[#This Row],[Team Number]], OfficialTeamList[Team Number],0))</f>
        <v>RG10 CV10 IP9 RD9 CR11</v>
      </c>
      <c r="C14" s="138">
        <f>INDEX(InnovationProjectResults[Identify - Research (CV)],MATCH(CoreValuesResults[[#This Row],[Team Number]],InnovationProjectResults[Team Number],0))</f>
        <v>0</v>
      </c>
      <c r="D14" s="138">
        <f>INDEX(InnovationProjectResults[Design - Teamwork (CV)],MATCH(CoreValuesResults[[#This Row],[Team Number]],InnovationProjectResults[Team Number],0))</f>
        <v>0</v>
      </c>
      <c r="E14" s="138">
        <f>INDEX(InnovationProjectResults[Create - Innovation (CV)],MATCH(CoreValuesResults[[#This Row],[Team Number]],InnovationProjectResults[Team Number],0))</f>
        <v>0</v>
      </c>
      <c r="F14" s="138">
        <f>INDEX(InnovationProjectResults[Communicate - Impact (CV)],MATCH(CoreValuesResults[[#This Row],[Team Number]],InnovationProjectResults[Team Number],0))</f>
        <v>0</v>
      </c>
      <c r="G14" s="138">
        <f>INDEX(InnovationProjectResults[Communicate - Fun (CV)],MATCH(CoreValuesResults[[#This Row],[Team Number]],InnovationProjectResults[Team Number],0))</f>
        <v>0</v>
      </c>
      <c r="H14" s="138">
        <f>INDEX(RobotDesignResults[Identify - Research (CV)],MATCH(CoreValuesResults[[#This Row],[Team Number]],RobotDesignResults[Team Number],0))</f>
        <v>0</v>
      </c>
      <c r="I14" s="138">
        <f>INDEX(RobotDesignResults[Design - Ideas (CV)],MATCH(CoreValuesResults[[#This Row],[Team Number]],RobotDesignResults[Team Number],0))</f>
        <v>0</v>
      </c>
      <c r="J14" s="138">
        <f>INDEX(RobotDesignResults[Iterate - Improvements (CV)],MATCH(CoreValuesResults[[#This Row],[Team Number]],RobotDesignResults[Team Number],0))</f>
        <v>0</v>
      </c>
      <c r="K14" s="138">
        <f>INDEX(RobotDesignResults[Communicate - Impact (CV)],MATCH(CoreValuesResults[[#This Row],[Team Number]],RobotDesignResults[Team Number],0))</f>
        <v>0</v>
      </c>
      <c r="L14" s="138">
        <f>INDEX(RobotDesignResults[Communicate - Fun (CV)],MATCH(CoreValuesResults[[#This Row],[Team Number]],RobotDesignResults[Team Number],0))</f>
        <v>0</v>
      </c>
      <c r="M14" s="133"/>
      <c r="N14" s="133"/>
      <c r="O14" s="133"/>
      <c r="P14" s="126">
        <f>SUM(CoreValuesResults[[#This Row],[Gracious Professionalism 1]:[Gracious Professionalism 3]])</f>
        <v>0</v>
      </c>
      <c r="Q14" s="126"/>
      <c r="R14" s="134">
        <f>SUM(CoreValuesResults[[#This Row],[Identify - Research (CV-IP)]:[Communicate - Fun (CV-RD)]],CoreValuesResults[[#This Row],[Gracious Professionalism Score]])</f>
        <v>0</v>
      </c>
      <c r="S14" s="135">
        <f>IF(CoreValuesResults[[#This Row],[Team Number]]&gt;0,MIN(_xlfn.RANK.EQ(CoreValuesResults[[#This Row],[Core Values Score]],CoreValuesResults[Core Values Score],0),NumberOfTeams),NumberOfTeams+1)</f>
        <v>1</v>
      </c>
    </row>
  </sheetData>
  <sheetProtection selectLockedCells="1" sort="0" autoFilter="0"/>
  <protectedRanges>
    <protectedRange sqref="A1:S12"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9" t="s">
        <v>97</v>
      </c>
      <c r="B1" s="29" t="s">
        <v>98</v>
      </c>
      <c r="C1" s="29" t="s">
        <v>99</v>
      </c>
      <c r="D1" s="29">
        <v>1</v>
      </c>
      <c r="E1" s="29">
        <v>2</v>
      </c>
      <c r="F1" s="29">
        <v>3</v>
      </c>
      <c r="G1" s="29">
        <v>4</v>
      </c>
      <c r="H1" s="29">
        <v>5</v>
      </c>
    </row>
    <row r="2" spans="1:8" x14ac:dyDescent="0.25">
      <c r="A2" s="29"/>
      <c r="B2" s="29"/>
      <c r="C2" s="29"/>
      <c r="D2" s="29"/>
      <c r="E2" s="29"/>
      <c r="F2" s="29"/>
      <c r="G2" s="29"/>
      <c r="H2" s="29"/>
    </row>
    <row r="3" spans="1:8" x14ac:dyDescent="0.25">
      <c r="A3" s="29"/>
      <c r="B3" s="29"/>
      <c r="C3" s="29"/>
      <c r="D3" s="29"/>
      <c r="E3" s="29"/>
      <c r="F3" s="29"/>
      <c r="G3" s="29"/>
      <c r="H3" s="29"/>
    </row>
    <row r="4" spans="1:8" x14ac:dyDescent="0.25">
      <c r="A4" s="29"/>
      <c r="B4" s="29"/>
      <c r="C4" s="29"/>
      <c r="D4" s="29"/>
      <c r="E4" s="29"/>
      <c r="F4" s="29"/>
      <c r="G4" s="29"/>
      <c r="H4" s="29"/>
    </row>
    <row r="5" spans="1:8" x14ac:dyDescent="0.25">
      <c r="A5" s="29"/>
      <c r="B5" s="29"/>
      <c r="C5" s="29"/>
      <c r="D5" s="29"/>
      <c r="E5" s="29"/>
      <c r="F5" s="29"/>
      <c r="G5" s="29"/>
      <c r="H5" s="29"/>
    </row>
    <row r="6" spans="1:8" x14ac:dyDescent="0.25">
      <c r="A6" s="29"/>
      <c r="B6" s="29"/>
      <c r="C6" s="29"/>
      <c r="D6" s="29"/>
      <c r="E6" s="29"/>
      <c r="F6" s="29"/>
      <c r="G6" s="29"/>
      <c r="H6" s="29"/>
    </row>
    <row r="7" spans="1:8" x14ac:dyDescent="0.25">
      <c r="A7" s="29"/>
      <c r="B7" s="29"/>
      <c r="C7" s="29"/>
      <c r="D7" s="29"/>
      <c r="E7" s="29"/>
      <c r="F7" s="29"/>
      <c r="G7" s="29"/>
      <c r="H7" s="29"/>
    </row>
    <row r="8" spans="1:8" x14ac:dyDescent="0.25">
      <c r="A8" s="29"/>
      <c r="B8" s="29"/>
      <c r="C8" s="29"/>
      <c r="D8" s="29"/>
      <c r="E8" s="29"/>
      <c r="F8" s="29"/>
      <c r="G8" s="29"/>
      <c r="H8" s="29"/>
    </row>
    <row r="9" spans="1:8" x14ac:dyDescent="0.25">
      <c r="A9" s="29"/>
      <c r="B9" s="29"/>
      <c r="C9" s="29"/>
      <c r="D9" s="29"/>
      <c r="E9" s="29"/>
      <c r="F9" s="29"/>
      <c r="G9" s="29"/>
      <c r="H9" s="29"/>
    </row>
    <row r="10" spans="1:8" x14ac:dyDescent="0.25">
      <c r="A10" s="29"/>
      <c r="B10" s="29"/>
      <c r="C10" s="29"/>
      <c r="D10" s="29"/>
      <c r="E10" s="29"/>
      <c r="F10" s="29"/>
      <c r="G10" s="29"/>
      <c r="H10" s="29"/>
    </row>
    <row r="11" spans="1:8" x14ac:dyDescent="0.25">
      <c r="A11" s="29"/>
      <c r="B11" s="29"/>
      <c r="C11" s="29"/>
      <c r="D11" s="29"/>
      <c r="E11" s="29"/>
      <c r="F11" s="29"/>
      <c r="G11" s="29"/>
      <c r="H11" s="29"/>
    </row>
    <row r="12" spans="1:8" x14ac:dyDescent="0.25">
      <c r="A12" s="29"/>
      <c r="B12" s="29"/>
      <c r="C12" s="29"/>
      <c r="D12" s="29"/>
      <c r="E12" s="29"/>
      <c r="F12" s="29"/>
      <c r="G12" s="29"/>
      <c r="H12" s="29"/>
    </row>
    <row r="13" spans="1:8" x14ac:dyDescent="0.25">
      <c r="A13" s="29"/>
      <c r="B13" s="29"/>
      <c r="C13" s="29"/>
      <c r="D13" s="29"/>
      <c r="E13" s="29"/>
      <c r="F13" s="29"/>
      <c r="G13" s="29"/>
      <c r="H13" s="29"/>
    </row>
    <row r="14" spans="1:8" x14ac:dyDescent="0.25">
      <c r="A14" s="29"/>
      <c r="B14" s="29"/>
      <c r="C14" s="29"/>
      <c r="D14" s="29"/>
      <c r="E14" s="29"/>
      <c r="F14" s="29"/>
      <c r="G14" s="29"/>
      <c r="H14" s="29"/>
    </row>
    <row r="15" spans="1:8" x14ac:dyDescent="0.25">
      <c r="A15" s="29"/>
      <c r="B15" s="29"/>
      <c r="C15" s="29"/>
      <c r="D15" s="29"/>
      <c r="E15" s="29"/>
      <c r="F15" s="29"/>
      <c r="G15" s="29"/>
      <c r="H15" s="29"/>
    </row>
    <row r="16" spans="1:8" x14ac:dyDescent="0.25">
      <c r="A16" s="29"/>
      <c r="B16" s="29"/>
      <c r="C16" s="29"/>
      <c r="D16" s="29"/>
      <c r="E16" s="29"/>
      <c r="F16" s="29"/>
      <c r="G16" s="29"/>
      <c r="H16" s="29"/>
    </row>
    <row r="17" spans="1:8" x14ac:dyDescent="0.25">
      <c r="A17" s="29"/>
      <c r="B17" s="29"/>
      <c r="C17" s="29"/>
      <c r="D17" s="29"/>
      <c r="E17" s="29"/>
      <c r="F17" s="29"/>
      <c r="G17" s="29"/>
      <c r="H17" s="29"/>
    </row>
    <row r="18" spans="1:8" x14ac:dyDescent="0.25">
      <c r="A18" s="29"/>
      <c r="B18" s="29"/>
      <c r="C18" s="29"/>
      <c r="D18" s="29"/>
      <c r="E18" s="29"/>
      <c r="F18" s="29"/>
      <c r="G18" s="29"/>
      <c r="H18" s="29"/>
    </row>
    <row r="19" spans="1:8" x14ac:dyDescent="0.25">
      <c r="A19" s="29"/>
      <c r="B19" s="29"/>
      <c r="C19" s="29"/>
      <c r="D19" s="29"/>
      <c r="E19" s="29"/>
      <c r="F19" s="29"/>
      <c r="G19" s="29"/>
      <c r="H19" s="29"/>
    </row>
    <row r="20" spans="1:8" x14ac:dyDescent="0.25">
      <c r="A20" s="29"/>
      <c r="B20" s="29"/>
      <c r="C20" s="29"/>
      <c r="D20" s="29"/>
      <c r="E20" s="29"/>
      <c r="F20" s="29"/>
      <c r="G20" s="29"/>
      <c r="H20" s="29"/>
    </row>
    <row r="21" spans="1:8" x14ac:dyDescent="0.25">
      <c r="A21" s="29"/>
      <c r="B21" s="29"/>
      <c r="C21" s="29"/>
      <c r="D21" s="29"/>
      <c r="E21" s="29"/>
      <c r="F21" s="29"/>
      <c r="G21" s="29"/>
      <c r="H21" s="29"/>
    </row>
    <row r="22" spans="1:8" x14ac:dyDescent="0.25">
      <c r="A22" s="29"/>
      <c r="B22" s="29"/>
      <c r="C22" s="29"/>
      <c r="D22" s="29"/>
      <c r="E22" s="29"/>
      <c r="F22" s="29"/>
      <c r="G22" s="29"/>
      <c r="H22" s="29"/>
    </row>
    <row r="23" spans="1:8" x14ac:dyDescent="0.25">
      <c r="A23" s="29"/>
      <c r="B23" s="29"/>
      <c r="C23" s="29"/>
      <c r="D23" s="29"/>
      <c r="E23" s="29"/>
      <c r="F23" s="29"/>
      <c r="G23" s="29"/>
      <c r="H23" s="29"/>
    </row>
    <row r="24" spans="1:8" x14ac:dyDescent="0.25">
      <c r="A24" s="29"/>
      <c r="B24" s="29"/>
      <c r="C24" s="29"/>
      <c r="D24" s="29"/>
      <c r="E24" s="29"/>
      <c r="F24" s="29"/>
      <c r="G24" s="29"/>
      <c r="H24" s="29"/>
    </row>
    <row r="25" spans="1:8" x14ac:dyDescent="0.25">
      <c r="A25" s="29"/>
      <c r="B25" s="29"/>
      <c r="C25" s="29"/>
      <c r="D25" s="29"/>
      <c r="E25" s="29"/>
      <c r="F25" s="29"/>
      <c r="G25" s="29"/>
      <c r="H25" s="29"/>
    </row>
    <row r="26" spans="1:8" x14ac:dyDescent="0.25">
      <c r="A26" s="29"/>
      <c r="B26" s="29"/>
      <c r="C26" s="29"/>
      <c r="D26" s="29"/>
      <c r="E26" s="29"/>
      <c r="F26" s="29"/>
      <c r="G26" s="29"/>
      <c r="H26" s="29"/>
    </row>
    <row r="27" spans="1:8" x14ac:dyDescent="0.25">
      <c r="A27" s="29"/>
      <c r="B27" s="29"/>
      <c r="C27" s="29"/>
      <c r="D27" s="29"/>
      <c r="E27" s="29"/>
      <c r="F27" s="29"/>
      <c r="G27" s="29"/>
      <c r="H27" s="29"/>
    </row>
    <row r="28" spans="1:8" x14ac:dyDescent="0.25">
      <c r="A28" s="29"/>
      <c r="B28" s="29"/>
      <c r="C28" s="29"/>
      <c r="D28" s="29"/>
      <c r="E28" s="29"/>
      <c r="F28" s="29"/>
      <c r="G28" s="29"/>
      <c r="H28" s="29"/>
    </row>
    <row r="29" spans="1:8" x14ac:dyDescent="0.25">
      <c r="A29" s="29"/>
      <c r="B29" s="29"/>
      <c r="C29" s="29"/>
      <c r="D29" s="29"/>
      <c r="E29" s="29"/>
      <c r="F29" s="29"/>
      <c r="G29" s="29"/>
      <c r="H29" s="29"/>
    </row>
    <row r="30" spans="1:8" x14ac:dyDescent="0.25">
      <c r="A30" s="29"/>
      <c r="B30" s="29"/>
      <c r="C30" s="29"/>
      <c r="D30" s="29"/>
      <c r="E30" s="29"/>
      <c r="F30" s="29"/>
      <c r="G30" s="29"/>
      <c r="H30" s="29"/>
    </row>
    <row r="31" spans="1:8" x14ac:dyDescent="0.25">
      <c r="A31" s="29"/>
      <c r="B31" s="29"/>
      <c r="C31" s="29"/>
      <c r="D31" s="29"/>
      <c r="E31" s="29"/>
      <c r="F31" s="29"/>
      <c r="G31" s="29"/>
      <c r="H31" s="29"/>
    </row>
    <row r="32" spans="1:8" x14ac:dyDescent="0.25">
      <c r="A32" s="29"/>
      <c r="B32" s="29"/>
      <c r="C32" s="29"/>
      <c r="D32" s="29"/>
      <c r="E32" s="29"/>
      <c r="F32" s="29"/>
      <c r="G32" s="29"/>
      <c r="H32" s="29"/>
    </row>
    <row r="33" spans="1:8" x14ac:dyDescent="0.25">
      <c r="A33" s="29"/>
      <c r="B33" s="29"/>
      <c r="C33" s="29"/>
      <c r="D33" s="29"/>
      <c r="E33" s="29"/>
      <c r="F33" s="29"/>
      <c r="G33" s="29"/>
      <c r="H33" s="29"/>
    </row>
    <row r="34" spans="1:8" x14ac:dyDescent="0.25">
      <c r="A34" s="29"/>
      <c r="B34" s="29"/>
      <c r="C34" s="29"/>
      <c r="D34" s="29"/>
      <c r="E34" s="29"/>
      <c r="F34" s="29"/>
      <c r="G34" s="29"/>
      <c r="H34" s="29"/>
    </row>
    <row r="35" spans="1:8" x14ac:dyDescent="0.25">
      <c r="A35" s="29"/>
      <c r="B35" s="29"/>
      <c r="C35" s="29"/>
      <c r="D35" s="29"/>
      <c r="E35" s="29"/>
      <c r="F35" s="29"/>
      <c r="G35" s="29"/>
      <c r="H35" s="29"/>
    </row>
    <row r="36" spans="1:8" x14ac:dyDescent="0.25">
      <c r="A36" s="29"/>
      <c r="B36" s="29"/>
      <c r="C36" s="29"/>
      <c r="D36" s="29"/>
      <c r="E36" s="29"/>
      <c r="F36" s="29"/>
      <c r="G36" s="29"/>
      <c r="H36" s="29"/>
    </row>
    <row r="37" spans="1:8" x14ac:dyDescent="0.25">
      <c r="A37" s="29"/>
      <c r="B37" s="29"/>
      <c r="C37" s="29"/>
      <c r="D37" s="29"/>
      <c r="E37" s="29"/>
      <c r="F37" s="29"/>
      <c r="G37" s="29"/>
      <c r="H37" s="29"/>
    </row>
    <row r="38" spans="1:8" x14ac:dyDescent="0.25">
      <c r="A38" s="29"/>
      <c r="B38" s="29"/>
      <c r="C38" s="29"/>
      <c r="D38" s="29"/>
      <c r="E38" s="29"/>
      <c r="F38" s="29"/>
      <c r="G38" s="29"/>
      <c r="H38" s="29"/>
    </row>
    <row r="39" spans="1:8" x14ac:dyDescent="0.25">
      <c r="A39" s="29"/>
      <c r="B39" s="29"/>
      <c r="C39" s="29"/>
      <c r="D39" s="29"/>
      <c r="E39" s="29"/>
      <c r="F39" s="29"/>
      <c r="G39" s="29"/>
      <c r="H39" s="29"/>
    </row>
    <row r="40" spans="1:8" x14ac:dyDescent="0.25">
      <c r="A40" s="29"/>
      <c r="B40" s="29"/>
      <c r="C40" s="29"/>
      <c r="D40" s="29"/>
      <c r="E40" s="29"/>
      <c r="F40" s="29"/>
      <c r="G40" s="29"/>
      <c r="H40" s="29"/>
    </row>
    <row r="41" spans="1:8" x14ac:dyDescent="0.25">
      <c r="A41" s="29"/>
      <c r="B41" s="29"/>
      <c r="C41" s="29"/>
      <c r="D41" s="29"/>
      <c r="E41" s="29"/>
      <c r="F41" s="29"/>
      <c r="G41" s="29"/>
      <c r="H41" s="29"/>
    </row>
    <row r="42" spans="1:8" x14ac:dyDescent="0.25">
      <c r="A42" s="29"/>
      <c r="B42" s="29"/>
      <c r="C42" s="29"/>
      <c r="D42" s="29"/>
      <c r="E42" s="29"/>
      <c r="F42" s="29"/>
      <c r="G42" s="29"/>
      <c r="H42" s="29"/>
    </row>
    <row r="43" spans="1:8" x14ac:dyDescent="0.25">
      <c r="A43" s="29"/>
      <c r="B43" s="29"/>
      <c r="C43" s="29"/>
      <c r="D43" s="29"/>
      <c r="E43" s="29"/>
      <c r="F43" s="29"/>
      <c r="G43" s="29"/>
      <c r="H43" s="29"/>
    </row>
    <row r="44" spans="1:8" x14ac:dyDescent="0.25">
      <c r="A44" s="29"/>
      <c r="B44" s="29"/>
      <c r="C44" s="29"/>
      <c r="D44" s="29"/>
      <c r="E44" s="29"/>
      <c r="F44" s="29"/>
      <c r="G44" s="29"/>
      <c r="H44" s="29"/>
    </row>
    <row r="45" spans="1:8" x14ac:dyDescent="0.25">
      <c r="A45" s="29"/>
      <c r="B45" s="29"/>
      <c r="C45" s="29"/>
      <c r="D45" s="29"/>
      <c r="E45" s="29"/>
      <c r="F45" s="29"/>
      <c r="G45" s="29"/>
      <c r="H45" s="29"/>
    </row>
    <row r="46" spans="1:8" x14ac:dyDescent="0.25">
      <c r="A46" s="29"/>
      <c r="B46" s="29"/>
      <c r="C46" s="29"/>
      <c r="D46" s="29"/>
      <c r="E46" s="29"/>
      <c r="F46" s="29"/>
      <c r="G46" s="29"/>
      <c r="H46" s="29"/>
    </row>
    <row r="47" spans="1:8" x14ac:dyDescent="0.25">
      <c r="A47" s="29"/>
      <c r="B47" s="29"/>
      <c r="C47" s="29"/>
      <c r="D47" s="29"/>
      <c r="E47" s="29"/>
      <c r="F47" s="29"/>
      <c r="G47" s="29"/>
      <c r="H47" s="29"/>
    </row>
    <row r="48" spans="1:8" x14ac:dyDescent="0.25">
      <c r="A48" s="29"/>
      <c r="B48" s="29"/>
      <c r="C48" s="29"/>
      <c r="D48" s="29"/>
      <c r="E48" s="29"/>
      <c r="F48" s="29"/>
      <c r="G48" s="29"/>
      <c r="H48" s="29"/>
    </row>
    <row r="49" spans="1:8" x14ac:dyDescent="0.25">
      <c r="A49" s="29"/>
      <c r="B49" s="29"/>
      <c r="C49" s="29"/>
      <c r="D49" s="29"/>
      <c r="E49" s="29"/>
      <c r="F49" s="29"/>
      <c r="G49" s="29"/>
      <c r="H49" s="29"/>
    </row>
    <row r="50" spans="1:8" x14ac:dyDescent="0.25">
      <c r="A50" s="29"/>
      <c r="B50" s="29"/>
      <c r="C50" s="29"/>
      <c r="D50" s="29"/>
      <c r="E50" s="29"/>
      <c r="F50" s="29"/>
      <c r="G50" s="29"/>
      <c r="H50" s="29"/>
    </row>
    <row r="51" spans="1:8" x14ac:dyDescent="0.25">
      <c r="A51" s="29"/>
      <c r="B51" s="29"/>
      <c r="C51" s="29"/>
      <c r="D51" s="29"/>
      <c r="E51" s="29"/>
      <c r="F51" s="29"/>
      <c r="G51" s="29"/>
      <c r="H51" s="29"/>
    </row>
    <row r="52" spans="1:8" x14ac:dyDescent="0.25">
      <c r="A52" s="29"/>
      <c r="B52" s="29"/>
      <c r="C52" s="29"/>
      <c r="D52" s="29"/>
      <c r="E52" s="29"/>
      <c r="F52" s="29"/>
      <c r="G52" s="29"/>
      <c r="H52" s="29"/>
    </row>
    <row r="53" spans="1:8" x14ac:dyDescent="0.25">
      <c r="A53" s="29"/>
      <c r="B53" s="29"/>
      <c r="C53" s="29"/>
      <c r="D53" s="29"/>
      <c r="E53" s="29"/>
      <c r="F53" s="29"/>
      <c r="G53" s="29"/>
      <c r="H53" s="29"/>
    </row>
    <row r="54" spans="1:8" x14ac:dyDescent="0.25">
      <c r="A54" s="29"/>
      <c r="B54" s="29"/>
      <c r="C54" s="29"/>
      <c r="D54" s="29"/>
      <c r="E54" s="29"/>
      <c r="F54" s="29"/>
      <c r="G54" s="29"/>
      <c r="H54" s="29"/>
    </row>
    <row r="55" spans="1:8" x14ac:dyDescent="0.25">
      <c r="A55" s="29"/>
      <c r="B55" s="29"/>
      <c r="C55" s="29"/>
      <c r="D55" s="29"/>
      <c r="E55" s="29"/>
      <c r="F55" s="29"/>
      <c r="G55" s="29"/>
      <c r="H55" s="29"/>
    </row>
    <row r="56" spans="1:8" x14ac:dyDescent="0.25">
      <c r="A56" s="29"/>
      <c r="B56" s="29"/>
      <c r="C56" s="29"/>
      <c r="D56" s="29"/>
      <c r="E56" s="29"/>
      <c r="F56" s="29"/>
      <c r="G56" s="29"/>
      <c r="H56" s="29"/>
    </row>
    <row r="57" spans="1:8" x14ac:dyDescent="0.25">
      <c r="A57" s="29"/>
      <c r="B57" s="29"/>
      <c r="C57" s="29"/>
      <c r="D57" s="29"/>
      <c r="E57" s="29"/>
      <c r="F57" s="29"/>
      <c r="G57" s="29"/>
      <c r="H57" s="29"/>
    </row>
    <row r="58" spans="1:8" x14ac:dyDescent="0.25">
      <c r="A58" s="29"/>
      <c r="B58" s="29"/>
      <c r="C58" s="29"/>
      <c r="D58" s="29"/>
      <c r="E58" s="29"/>
      <c r="F58" s="29"/>
      <c r="G58" s="29"/>
      <c r="H58" s="29"/>
    </row>
    <row r="59" spans="1:8" x14ac:dyDescent="0.25">
      <c r="A59" s="29"/>
      <c r="B59" s="29"/>
      <c r="C59" s="29"/>
      <c r="D59" s="29"/>
      <c r="E59" s="29"/>
      <c r="F59" s="29"/>
      <c r="G59" s="29"/>
      <c r="H59" s="29"/>
    </row>
    <row r="60" spans="1:8" x14ac:dyDescent="0.25">
      <c r="A60" s="29"/>
      <c r="B60" s="29"/>
      <c r="C60" s="29"/>
      <c r="D60" s="29"/>
      <c r="E60" s="29"/>
      <c r="F60" s="29"/>
      <c r="G60" s="29"/>
      <c r="H60" s="29"/>
    </row>
    <row r="61" spans="1:8" x14ac:dyDescent="0.25">
      <c r="A61" s="29"/>
      <c r="B61" s="29"/>
      <c r="C61" s="29"/>
      <c r="D61" s="29"/>
      <c r="E61" s="29"/>
      <c r="F61" s="29"/>
      <c r="G61" s="29"/>
      <c r="H61" s="29"/>
    </row>
  </sheetData>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6" customWidth="1"/>
    <col min="2" max="2" width="15.42578125" style="6" customWidth="1"/>
    <col min="3" max="3" width="45.42578125" style="6" customWidth="1"/>
    <col min="4" max="4" width="17.140625" style="6" customWidth="1"/>
    <col min="5" max="5" width="18.42578125" style="6" customWidth="1"/>
    <col min="6" max="6" width="9.140625" style="6" customWidth="1"/>
    <col min="7" max="7" width="15.42578125" style="6" customWidth="1"/>
    <col min="8" max="8" width="45.42578125" style="6" customWidth="1"/>
    <col min="9" max="9" width="17.140625" style="6" customWidth="1"/>
    <col min="10" max="10" width="18.42578125" style="6" customWidth="1"/>
    <col min="11" max="11" width="9.140625" style="6" customWidth="1"/>
    <col min="12" max="12" width="15.42578125" style="6" customWidth="1"/>
    <col min="13" max="13" width="45.42578125" style="6" customWidth="1"/>
    <col min="14" max="14" width="17.140625" style="6" customWidth="1"/>
    <col min="15" max="15" width="18.42578125" style="6" customWidth="1"/>
    <col min="16" max="19" width="9.140625" style="6" customWidth="1"/>
    <col min="20" max="16384" width="9.140625" style="6"/>
  </cols>
  <sheetData>
    <row r="2" spans="2:10" ht="20.25" customHeight="1" x14ac:dyDescent="0.25">
      <c r="B2" s="6" t="s">
        <v>100</v>
      </c>
      <c r="G2" s="6" t="s">
        <v>101</v>
      </c>
    </row>
    <row r="3" spans="2:10" ht="39.950000000000003" customHeight="1" x14ac:dyDescent="0.25">
      <c r="B3" s="11" t="s">
        <v>21</v>
      </c>
      <c r="C3" s="11" t="s">
        <v>22</v>
      </c>
      <c r="D3" s="12" t="s">
        <v>47</v>
      </c>
      <c r="E3" s="12" t="s">
        <v>102</v>
      </c>
      <c r="G3" s="22" t="s">
        <v>21</v>
      </c>
      <c r="H3" s="22" t="s">
        <v>22</v>
      </c>
      <c r="I3" s="23" t="s">
        <v>47</v>
      </c>
      <c r="J3" s="23" t="s">
        <v>102</v>
      </c>
    </row>
    <row r="4" spans="2:10" ht="20.25" customHeight="1" x14ac:dyDescent="0.25">
      <c r="C4" s="6" t="str">
        <f>IF(ISNA(INDEX(OfficialTeamList[Team Name],MATCH(ChampionsDelib[[#This Row],[Team Number]], OfficialTeamList[Team Number],0))),"",INDEX(OfficialTeamList[Team Name],MATCH(ChampionsDelib[[#This Row],[Team Number]], OfficialTeamList[Team Number],0)))</f>
        <v/>
      </c>
      <c r="D4" s="6">
        <f>IF(ISNA(INDEX(TournamentData[Champion''s Rank],MATCH(ChampionsDelib[[#This Row],[Team Number]],TournamentData[Team Number],0))),NumberOfTeams+1,INDEX(TournamentData[Champion''s Rank],MATCH(ChampionsDelib[[#This Row],[Team Number]],TournamentData[Team Number],0)))</f>
        <v>1</v>
      </c>
      <c r="H4" s="6" t="str">
        <f>IF(ISNA(INDEX(OfficialTeamList[Team Name],MATCH(RobotGameDelib[[#This Row],[Team Number]], OfficialTeamList[Team Number],0))),"",INDEX(OfficialTeamList[Team Name],MATCH(RobotGameDelib[[#This Row],[Team Number]], OfficialTeamList[Team Number],0)))</f>
        <v/>
      </c>
      <c r="I4" s="6">
        <f>IF(ISNA(INDEX(TournamentData[Champion''s Rank],MATCH(RobotGameDelib[[#This Row],[Team Number]],TournamentData[Team Number],0))),NumberOfTeams+1,INDEX(TournamentData[Champion''s Rank],MATCH(RobotGameDelib[[#This Row],[Team Number]],TournamentData[Team Number],0)))</f>
        <v>1</v>
      </c>
    </row>
    <row r="5" spans="2:10" ht="20.25" customHeight="1" x14ac:dyDescent="0.25">
      <c r="C5" s="6" t="str">
        <f>IF(ISNA(INDEX(OfficialTeamList[Team Name],MATCH(ChampionsDelib[[#This Row],[Team Number]], OfficialTeamList[Team Number],0))),"",INDEX(OfficialTeamList[Team Name],MATCH(ChampionsDelib[[#This Row],[Team Number]], OfficialTeamList[Team Number],0)))</f>
        <v/>
      </c>
      <c r="D5" s="6">
        <f>IF(ISNA(INDEX(TournamentData[Champion''s Rank],MATCH(ChampionsDelib[[#This Row],[Team Number]],TournamentData[Team Number],0))),NumberOfTeams+1,INDEX(TournamentData[Champion''s Rank],MATCH(ChampionsDelib[[#This Row],[Team Number]],TournamentData[Team Number],0)))</f>
        <v>1</v>
      </c>
      <c r="H5" s="6" t="str">
        <f>IF(ISNA(INDEX(OfficialTeamList[Team Name],MATCH(RobotGameDelib[[#This Row],[Team Number]], OfficialTeamList[Team Number],0))),"",INDEX(OfficialTeamList[Team Name],MATCH(RobotGameDelib[[#This Row],[Team Number]], OfficialTeamList[Team Number],0)))</f>
        <v/>
      </c>
      <c r="I5" s="6">
        <f>IF(ISNA(INDEX(TournamentData[Champion''s Rank],MATCH(RobotGameDelib[[#This Row],[Team Number]],TournamentData[Team Number],0))),NumberOfTeams+1,INDEX(TournamentData[Champion''s Rank],MATCH(RobotGameDelib[[#This Row],[Team Number]],TournamentData[Team Number],0)))</f>
        <v>1</v>
      </c>
    </row>
    <row r="6" spans="2:10" ht="20.25" customHeight="1" x14ac:dyDescent="0.25">
      <c r="C6" s="6" t="str">
        <f>IF(ISNA(INDEX(OfficialTeamList[Team Name],MATCH(ChampionsDelib[[#This Row],[Team Number]], OfficialTeamList[Team Number],0))),"",INDEX(OfficialTeamList[Team Name],MATCH(ChampionsDelib[[#This Row],[Team Number]], OfficialTeamList[Team Number],0)))</f>
        <v/>
      </c>
      <c r="D6" s="6">
        <f>IF(ISNA(INDEX(TournamentData[Champion''s Rank],MATCH(ChampionsDelib[[#This Row],[Team Number]],TournamentData[Team Number],0))),NumberOfTeams+1,INDEX(TournamentData[Champion''s Rank],MATCH(ChampionsDelib[[#This Row],[Team Number]],TournamentData[Team Number],0)))</f>
        <v>1</v>
      </c>
      <c r="H6" s="6" t="str">
        <f>IF(ISNA(INDEX(OfficialTeamList[Team Name],MATCH(RobotGameDelib[[#This Row],[Team Number]], OfficialTeamList[Team Number],0))),"",INDEX(OfficialTeamList[Team Name],MATCH(RobotGameDelib[[#This Row],[Team Number]], OfficialTeamList[Team Number],0)))</f>
        <v/>
      </c>
      <c r="I6" s="6">
        <f>IF(ISNA(INDEX(TournamentData[Champion''s Rank],MATCH(RobotGameDelib[[#This Row],[Team Number]],TournamentData[Team Number],0))),NumberOfTeams+1,INDEX(TournamentData[Champion''s Rank],MATCH(RobotGameDelib[[#This Row],[Team Number]],TournamentData[Team Number],0)))</f>
        <v>1</v>
      </c>
    </row>
    <row r="7" spans="2:10" ht="20.25" customHeight="1" x14ac:dyDescent="0.25">
      <c r="C7" s="6" t="str">
        <f>IF(ISNA(INDEX(OfficialTeamList[Team Name],MATCH(ChampionsDelib[[#This Row],[Team Number]], OfficialTeamList[Team Number],0))),"",INDEX(OfficialTeamList[Team Name],MATCH(ChampionsDelib[[#This Row],[Team Number]], OfficialTeamList[Team Number],0)))</f>
        <v/>
      </c>
      <c r="D7" s="6">
        <f>IF(ISNA(INDEX(TournamentData[Champion''s Rank],MATCH(ChampionsDelib[[#This Row],[Team Number]],TournamentData[Team Number],0))),NumberOfTeams+1,INDEX(TournamentData[Champion''s Rank],MATCH(ChampionsDelib[[#This Row],[Team Number]],TournamentData[Team Number],0)))</f>
        <v>1</v>
      </c>
      <c r="H7" s="6" t="str">
        <f>IF(ISNA(INDEX(OfficialTeamList[Team Name],MATCH(RobotGameDelib[[#This Row],[Team Number]], OfficialTeamList[Team Number],0))),"",INDEX(OfficialTeamList[Team Name],MATCH(RobotGameDelib[[#This Row],[Team Number]], OfficialTeamList[Team Number],0)))</f>
        <v/>
      </c>
      <c r="I7" s="6">
        <f>IF(ISNA(INDEX(TournamentData[Champion''s Rank],MATCH(RobotGameDelib[[#This Row],[Team Number]],TournamentData[Team Number],0))),NumberOfTeams+1,INDEX(TournamentData[Champion''s Rank],MATCH(RobotGameDelib[[#This Row],[Team Number]],TournamentData[Team Number],0)))</f>
        <v>1</v>
      </c>
    </row>
    <row r="8" spans="2:10" ht="20.25" customHeight="1" x14ac:dyDescent="0.25">
      <c r="C8" s="6" t="str">
        <f>IF(ISNA(INDEX(OfficialTeamList[Team Name],MATCH(ChampionsDelib[[#This Row],[Team Number]], OfficialTeamList[Team Number],0))),"",INDEX(OfficialTeamList[Team Name],MATCH(ChampionsDelib[[#This Row],[Team Number]], OfficialTeamList[Team Number],0)))</f>
        <v/>
      </c>
      <c r="D8" s="6">
        <f>IF(ISNA(INDEX(TournamentData[Champion''s Rank],MATCH(ChampionsDelib[[#This Row],[Team Number]],TournamentData[Team Number],0))),NumberOfTeams+1,INDEX(TournamentData[Champion''s Rank],MATCH(ChampionsDelib[[#This Row],[Team Number]],TournamentData[Team Number],0)))</f>
        <v>1</v>
      </c>
      <c r="H8" s="6" t="str">
        <f>IF(ISNA(INDEX(OfficialTeamList[Team Name],MATCH(RobotGameDelib[[#This Row],[Team Number]], OfficialTeamList[Team Number],0))),"",INDEX(OfficialTeamList[Team Name],MATCH(RobotGameDelib[[#This Row],[Team Number]], OfficialTeamList[Team Number],0)))</f>
        <v/>
      </c>
      <c r="I8" s="6">
        <f>IF(ISNA(INDEX(TournamentData[Champion''s Rank],MATCH(RobotGameDelib[[#This Row],[Team Number]],TournamentData[Team Number],0))),NumberOfTeams+1,INDEX(TournamentData[Champion''s Rank],MATCH(RobotGameDelib[[#This Row],[Team Number]],TournamentData[Team Number],0)))</f>
        <v>1</v>
      </c>
    </row>
    <row r="9" spans="2:10" ht="20.25" customHeight="1" x14ac:dyDescent="0.25">
      <c r="C9" s="6" t="str">
        <f>IF(ISNA(INDEX(OfficialTeamList[Team Name],MATCH(ChampionsDelib[[#This Row],[Team Number]], OfficialTeamList[Team Number],0))),"",INDEX(OfficialTeamList[Team Name],MATCH(ChampionsDelib[[#This Row],[Team Number]], OfficialTeamList[Team Number],0)))</f>
        <v/>
      </c>
      <c r="D9" s="6">
        <f>IF(ISNA(INDEX(TournamentData[Champion''s Rank],MATCH(ChampionsDelib[[#This Row],[Team Number]],TournamentData[Team Number],0))),NumberOfTeams+1,INDEX(TournamentData[Champion''s Rank],MATCH(ChampionsDelib[[#This Row],[Team Number]],TournamentData[Team Number],0)))</f>
        <v>1</v>
      </c>
      <c r="H9" s="6" t="str">
        <f>IF(ISNA(INDEX(OfficialTeamList[Team Name],MATCH(RobotGameDelib[[#This Row],[Team Number]], OfficialTeamList[Team Number],0))),"",INDEX(OfficialTeamList[Team Name],MATCH(RobotGameDelib[[#This Row],[Team Number]], OfficialTeamList[Team Number],0)))</f>
        <v/>
      </c>
      <c r="I9" s="6">
        <f>IF(ISNA(INDEX(TournamentData[Champion''s Rank],MATCH(RobotGameDelib[[#This Row],[Team Number]],TournamentData[Team Number],0))),NumberOfTeams+1,INDEX(TournamentData[Champion''s Rank],MATCH(RobotGameDelib[[#This Row],[Team Number]],TournamentData[Team Number],0)))</f>
        <v>1</v>
      </c>
    </row>
    <row r="10" spans="2:10" ht="20.25" customHeight="1" x14ac:dyDescent="0.25">
      <c r="C10" s="6" t="str">
        <f>IF(ISNA(INDEX(OfficialTeamList[Team Name],MATCH(ChampionsDelib[[#This Row],[Team Number]], OfficialTeamList[Team Number],0))),"",INDEX(OfficialTeamList[Team Name],MATCH(ChampionsDelib[[#This Row],[Team Number]], OfficialTeamList[Team Number],0)))</f>
        <v/>
      </c>
      <c r="D10" s="6">
        <f>IF(ISNA(INDEX(TournamentData[Champion''s Rank],MATCH(ChampionsDelib[[#This Row],[Team Number]],TournamentData[Team Number],0))),NumberOfTeams+1,INDEX(TournamentData[Champion''s Rank],MATCH(ChampionsDelib[[#This Row],[Team Number]],TournamentData[Team Number],0)))</f>
        <v>1</v>
      </c>
      <c r="H10" s="6" t="str">
        <f>IF(ISNA(INDEX(OfficialTeamList[Team Name],MATCH(RobotGameDelib[[#This Row],[Team Number]], OfficialTeamList[Team Number],0))),"",INDEX(OfficialTeamList[Team Name],MATCH(RobotGameDelib[[#This Row],[Team Number]], OfficialTeamList[Team Number],0)))</f>
        <v/>
      </c>
      <c r="I10" s="6">
        <f>IF(ISNA(INDEX(TournamentData[Champion''s Rank],MATCH(RobotGameDelib[[#This Row],[Team Number]],TournamentData[Team Number],0))),NumberOfTeams+1,INDEX(TournamentData[Champion''s Rank],MATCH(RobotGameDelib[[#This Row],[Team Number]],TournamentData[Team Number],0)))</f>
        <v>1</v>
      </c>
    </row>
    <row r="11" spans="2:10" ht="20.25" customHeight="1" x14ac:dyDescent="0.25">
      <c r="C11" s="6" t="str">
        <f>IF(ISNA(INDEX(OfficialTeamList[Team Name],MATCH(ChampionsDelib[[#This Row],[Team Number]], OfficialTeamList[Team Number],0))),"",INDEX(OfficialTeamList[Team Name],MATCH(ChampionsDelib[[#This Row],[Team Number]], OfficialTeamList[Team Number],0)))</f>
        <v/>
      </c>
      <c r="D11" s="6">
        <f>IF(ISNA(INDEX(TournamentData[Champion''s Rank],MATCH(ChampionsDelib[[#This Row],[Team Number]],TournamentData[Team Number],0))),NumberOfTeams+1,INDEX(TournamentData[Champion''s Rank],MATCH(ChampionsDelib[[#This Row],[Team Number]],TournamentData[Team Number],0)))</f>
        <v>1</v>
      </c>
      <c r="H11" s="6" t="str">
        <f>IF(ISNA(INDEX(OfficialTeamList[Team Name],MATCH(RobotGameDelib[[#This Row],[Team Number]], OfficialTeamList[Team Number],0))),"",INDEX(OfficialTeamList[Team Name],MATCH(RobotGameDelib[[#This Row],[Team Number]], OfficialTeamList[Team Number],0)))</f>
        <v/>
      </c>
      <c r="I11" s="6">
        <f>IF(ISNA(INDEX(TournamentData[Champion''s Rank],MATCH(RobotGameDelib[[#This Row],[Team Number]],TournamentData[Team Number],0))),NumberOfTeams+1,INDEX(TournamentData[Champion''s Rank],MATCH(RobotGameDelib[[#This Row],[Team Number]],TournamentData[Team Number],0)))</f>
        <v>1</v>
      </c>
    </row>
    <row r="12" spans="2:10" ht="20.25" customHeight="1" x14ac:dyDescent="0.25">
      <c r="C12" s="6" t="str">
        <f>IF(ISNA(INDEX(OfficialTeamList[Team Name],MATCH(ChampionsDelib[[#This Row],[Team Number]], OfficialTeamList[Team Number],0))),"",INDEX(OfficialTeamList[Team Name],MATCH(ChampionsDelib[[#This Row],[Team Number]], OfficialTeamList[Team Number],0)))</f>
        <v/>
      </c>
      <c r="D12" s="6">
        <f>IF(ISNA(INDEX(TournamentData[Champion''s Rank],MATCH(ChampionsDelib[[#This Row],[Team Number]],TournamentData[Team Number],0))),NumberOfTeams+1,INDEX(TournamentData[Champion''s Rank],MATCH(ChampionsDelib[[#This Row],[Team Number]],TournamentData[Team Number],0)))</f>
        <v>1</v>
      </c>
      <c r="H12" s="6" t="str">
        <f>IF(ISNA(INDEX(OfficialTeamList[Team Name],MATCH(RobotGameDelib[[#This Row],[Team Number]], OfficialTeamList[Team Number],0))),"",INDEX(OfficialTeamList[Team Name],MATCH(RobotGameDelib[[#This Row],[Team Number]], OfficialTeamList[Team Number],0)))</f>
        <v/>
      </c>
      <c r="I12" s="6">
        <f>IF(ISNA(INDEX(TournamentData[Champion''s Rank],MATCH(RobotGameDelib[[#This Row],[Team Number]],TournamentData[Team Number],0))),NumberOfTeams+1,INDEX(TournamentData[Champion''s Rank],MATCH(RobotGameDelib[[#This Row],[Team Number]],TournamentData[Team Number],0)))</f>
        <v>1</v>
      </c>
    </row>
    <row r="13" spans="2:10" ht="20.25" customHeight="1" x14ac:dyDescent="0.25">
      <c r="C13" s="6" t="str">
        <f>IF(ISNA(INDEX(OfficialTeamList[Team Name],MATCH(ChampionsDelib[[#This Row],[Team Number]], OfficialTeamList[Team Number],0))),"",INDEX(OfficialTeamList[Team Name],MATCH(ChampionsDelib[[#This Row],[Team Number]], OfficialTeamList[Team Number],0)))</f>
        <v/>
      </c>
      <c r="D13" s="6">
        <f>IF(ISNA(INDEX(TournamentData[Champion''s Rank],MATCH(ChampionsDelib[[#This Row],[Team Number]],TournamentData[Team Number],0))),NumberOfTeams+1,INDEX(TournamentData[Champion''s Rank],MATCH(ChampionsDelib[[#This Row],[Team Number]],TournamentData[Team Number],0)))</f>
        <v>1</v>
      </c>
      <c r="H13" s="6" t="str">
        <f>IF(ISNA(INDEX(OfficialTeamList[Team Name],MATCH(RobotGameDelib[[#This Row],[Team Number]], OfficialTeamList[Team Number],0))),"",INDEX(OfficialTeamList[Team Name],MATCH(RobotGameDelib[[#This Row],[Team Number]], OfficialTeamList[Team Number],0)))</f>
        <v/>
      </c>
      <c r="I13" s="6">
        <f>IF(ISNA(INDEX(TournamentData[Champion''s Rank],MATCH(RobotGameDelib[[#This Row],[Team Number]],TournamentData[Team Number],0))),NumberOfTeams+1,INDEX(TournamentData[Champion''s Rank],MATCH(RobotGameDelib[[#This Row],[Team Number]],TournamentData[Team Number],0)))</f>
        <v>1</v>
      </c>
    </row>
    <row r="14" spans="2:10" ht="20.25" customHeight="1" x14ac:dyDescent="0.25">
      <c r="C14" s="6" t="str">
        <f>IF(ISNA(INDEX(OfficialTeamList[Team Name],MATCH(ChampionsDelib[[#This Row],[Team Number]], OfficialTeamList[Team Number],0))),"",INDEX(OfficialTeamList[Team Name],MATCH(ChampionsDelib[[#This Row],[Team Number]], OfficialTeamList[Team Number],0)))</f>
        <v/>
      </c>
      <c r="D14" s="6">
        <f>IF(ISNA(INDEX(TournamentData[Champion''s Rank],MATCH(ChampionsDelib[[#This Row],[Team Number]],TournamentData[Team Number],0))),NumberOfTeams+1,INDEX(TournamentData[Champion''s Rank],MATCH(ChampionsDelib[[#This Row],[Team Number]],TournamentData[Team Number],0)))</f>
        <v>1</v>
      </c>
      <c r="H14" s="6" t="str">
        <f>IF(ISNA(INDEX(OfficialTeamList[Team Name],MATCH(RobotGameDelib[[#This Row],[Team Number]], OfficialTeamList[Team Number],0))),"",INDEX(OfficialTeamList[Team Name],MATCH(RobotGameDelib[[#This Row],[Team Number]], OfficialTeamList[Team Number],0)))</f>
        <v/>
      </c>
      <c r="I14" s="6">
        <f>IF(ISNA(INDEX(TournamentData[Champion''s Rank],MATCH(RobotGameDelib[[#This Row],[Team Number]],TournamentData[Team Number],0))),NumberOfTeams+1,INDEX(TournamentData[Champion''s Rank],MATCH(RobotGameDelib[[#This Row],[Team Number]],TournamentData[Team Number],0)))</f>
        <v>1</v>
      </c>
    </row>
    <row r="15" spans="2:10" ht="20.25" customHeight="1" x14ac:dyDescent="0.25">
      <c r="C15" s="6" t="str">
        <f>IF(ISNA(INDEX(OfficialTeamList[Team Name],MATCH(ChampionsDelib[[#This Row],[Team Number]], OfficialTeamList[Team Number],0))),"",INDEX(OfficialTeamList[Team Name],MATCH(ChampionsDelib[[#This Row],[Team Number]], OfficialTeamList[Team Number],0)))</f>
        <v/>
      </c>
      <c r="D15" s="6">
        <f>IF(ISNA(INDEX(TournamentData[Champion''s Rank],MATCH(ChampionsDelib[[#This Row],[Team Number]],TournamentData[Team Number],0))),NumberOfTeams+1,INDEX(TournamentData[Champion''s Rank],MATCH(ChampionsDelib[[#This Row],[Team Number]],TournamentData[Team Number],0)))</f>
        <v>1</v>
      </c>
      <c r="H15" s="6" t="str">
        <f>IF(ISNA(INDEX(OfficialTeamList[Team Name],MATCH(RobotGameDelib[[#This Row],[Team Number]], OfficialTeamList[Team Number],0))),"",INDEX(OfficialTeamList[Team Name],MATCH(RobotGameDelib[[#This Row],[Team Number]], OfficialTeamList[Team Number],0)))</f>
        <v/>
      </c>
      <c r="I15" s="6">
        <f>IF(ISNA(INDEX(TournamentData[Champion''s Rank],MATCH(RobotGameDelib[[#This Row],[Team Number]],TournamentData[Team Number],0))),NumberOfTeams+1,INDEX(TournamentData[Champion''s Rank],MATCH(RobotGameDelib[[#This Row],[Team Number]],TournamentData[Team Number],0)))</f>
        <v>1</v>
      </c>
    </row>
    <row r="16" spans="2:10" ht="20.25" customHeight="1" x14ac:dyDescent="0.25">
      <c r="C16" s="6" t="str">
        <f>IF(ISNA(INDEX(OfficialTeamList[Team Name],MATCH(ChampionsDelib[[#This Row],[Team Number]], OfficialTeamList[Team Number],0))),"",INDEX(OfficialTeamList[Team Name],MATCH(ChampionsDelib[[#This Row],[Team Number]], OfficialTeamList[Team Number],0)))</f>
        <v/>
      </c>
      <c r="D16" s="6">
        <f>IF(ISNA(INDEX(TournamentData[Champion''s Rank],MATCH(ChampionsDelib[[#This Row],[Team Number]],TournamentData[Team Number],0))),NumberOfTeams+1,INDEX(TournamentData[Champion''s Rank],MATCH(ChampionsDelib[[#This Row],[Team Number]],TournamentData[Team Number],0)))</f>
        <v>1</v>
      </c>
      <c r="H16" s="6" t="str">
        <f>IF(ISNA(INDEX(OfficialTeamList[Team Name],MATCH(RobotGameDelib[[#This Row],[Team Number]], OfficialTeamList[Team Number],0))),"",INDEX(OfficialTeamList[Team Name],MATCH(RobotGameDelib[[#This Row],[Team Number]], OfficialTeamList[Team Number],0)))</f>
        <v/>
      </c>
      <c r="I16" s="6">
        <f>IF(ISNA(INDEX(TournamentData[Champion''s Rank],MATCH(RobotGameDelib[[#This Row],[Team Number]],TournamentData[Team Number],0))),NumberOfTeams+1,INDEX(TournamentData[Champion''s Rank],MATCH(RobotGameDelib[[#This Row],[Team Number]],TournamentData[Team Number],0)))</f>
        <v>1</v>
      </c>
    </row>
    <row r="17" spans="2:15" ht="20.25" customHeight="1" x14ac:dyDescent="0.25">
      <c r="C17" s="6" t="str">
        <f>IF(ISNA(INDEX(OfficialTeamList[Team Name],MATCH(ChampionsDelib[[#This Row],[Team Number]], OfficialTeamList[Team Number],0))),"",INDEX(OfficialTeamList[Team Name],MATCH(ChampionsDelib[[#This Row],[Team Number]], OfficialTeamList[Team Number],0)))</f>
        <v/>
      </c>
      <c r="D17" s="6">
        <f>IF(ISNA(INDEX(TournamentData[Champion''s Rank],MATCH(ChampionsDelib[[#This Row],[Team Number]],TournamentData[Team Number],0))),NumberOfTeams+1,INDEX(TournamentData[Champion''s Rank],MATCH(ChampionsDelib[[#This Row],[Team Number]],TournamentData[Team Number],0)))</f>
        <v>1</v>
      </c>
      <c r="H17" s="6" t="str">
        <f>IF(ISNA(INDEX(OfficialTeamList[Team Name],MATCH(RobotGameDelib[[#This Row],[Team Number]], OfficialTeamList[Team Number],0))),"",INDEX(OfficialTeamList[Team Name],MATCH(RobotGameDelib[[#This Row],[Team Number]], OfficialTeamList[Team Number],0)))</f>
        <v/>
      </c>
      <c r="I17" s="6">
        <f>IF(ISNA(INDEX(TournamentData[Champion''s Rank],MATCH(RobotGameDelib[[#This Row],[Team Number]],TournamentData[Team Number],0))),NumberOfTeams+1,INDEX(TournamentData[Champion''s Rank],MATCH(RobotGameDelib[[#This Row],[Team Number]],TournamentData[Team Number],0)))</f>
        <v>1</v>
      </c>
    </row>
    <row r="18" spans="2:15" ht="20.25" customHeight="1" x14ac:dyDescent="0.25">
      <c r="C18" s="6" t="str">
        <f>IF(ISNA(INDEX(OfficialTeamList[Team Name],MATCH(ChampionsDelib[[#This Row],[Team Number]], OfficialTeamList[Team Number],0))),"",INDEX(OfficialTeamList[Team Name],MATCH(ChampionsDelib[[#This Row],[Team Number]], OfficialTeamList[Team Number],0)))</f>
        <v/>
      </c>
      <c r="D18" s="6">
        <f>IF(ISNA(INDEX(TournamentData[Champion''s Rank],MATCH(ChampionsDelib[[#This Row],[Team Number]],TournamentData[Team Number],0))),NumberOfTeams+1,INDEX(TournamentData[Champion''s Rank],MATCH(ChampionsDelib[[#This Row],[Team Number]],TournamentData[Team Number],0)))</f>
        <v>1</v>
      </c>
      <c r="H18" s="6" t="str">
        <f>IF(ISNA(INDEX(OfficialTeamList[Team Name],MATCH(RobotGameDelib[[#This Row],[Team Number]], OfficialTeamList[Team Number],0))),"",INDEX(OfficialTeamList[Team Name],MATCH(RobotGameDelib[[#This Row],[Team Number]], OfficialTeamList[Team Number],0)))</f>
        <v/>
      </c>
      <c r="I18" s="6">
        <f>IF(ISNA(INDEX(TournamentData[Champion''s Rank],MATCH(RobotGameDelib[[#This Row],[Team Number]],TournamentData[Team Number],0))),NumberOfTeams+1,INDEX(TournamentData[Champion''s Rank],MATCH(RobotGameDelib[[#This Row],[Team Number]],TournamentData[Team Number],0)))</f>
        <v>1</v>
      </c>
    </row>
    <row r="20" spans="2:15" ht="20.25" customHeight="1" x14ac:dyDescent="0.25">
      <c r="B20" s="6" t="s">
        <v>103</v>
      </c>
      <c r="G20" s="6" t="s">
        <v>104</v>
      </c>
      <c r="L20" s="6" t="s">
        <v>105</v>
      </c>
    </row>
    <row r="21" spans="2:15" ht="39.950000000000003" customHeight="1" x14ac:dyDescent="0.25">
      <c r="B21" s="15" t="s">
        <v>21</v>
      </c>
      <c r="C21" s="15" t="s">
        <v>22</v>
      </c>
      <c r="D21" s="16" t="s">
        <v>43</v>
      </c>
      <c r="E21" s="16" t="s">
        <v>102</v>
      </c>
      <c r="G21" s="19" t="s">
        <v>21</v>
      </c>
      <c r="H21" s="19" t="s">
        <v>22</v>
      </c>
      <c r="I21" s="20" t="s">
        <v>45</v>
      </c>
      <c r="J21" s="20" t="s">
        <v>102</v>
      </c>
      <c r="L21" s="17" t="s">
        <v>21</v>
      </c>
      <c r="M21" s="17" t="s">
        <v>22</v>
      </c>
      <c r="N21" s="18" t="s">
        <v>44</v>
      </c>
      <c r="O21" s="18" t="s">
        <v>102</v>
      </c>
    </row>
    <row r="22" spans="2:15" ht="20.25" customHeight="1" x14ac:dyDescent="0.25">
      <c r="C22" s="6" t="str">
        <f>IF(ISNA(INDEX(OfficialTeamList[Team Name],MATCH(CoreValuesDelib[[#This Row],[Team Number]], OfficialTeamList[Team Number],0))),"",INDEX(OfficialTeamList[Team Name],MATCH(CoreValuesDelib[[#This Row],[Team Number]], OfficialTeamList[Team Number],0)))</f>
        <v/>
      </c>
      <c r="D22" s="6">
        <f>IF(ISNA(INDEX(CoreValuesResults[Core Values Rank],MATCH(CoreValuesDelib[[#This Row],[Team Number]],CoreValuesResults[Team Number],0))),NumberOfTeams+1,INDEX(CoreValuesResults[Core Values Rank],MATCH(CoreValuesDelib[[#This Row],[Team Number]],CoreValuesResults[Team Number],0)))</f>
        <v>1</v>
      </c>
      <c r="H22" s="6" t="str">
        <f>IF(ISNA(INDEX(OfficialTeamList[Team Name],MATCH(RobotDesignDelib[[#This Row],[Team Number]], OfficialTeamList[Team Number],0))),"",INDEX(OfficialTeamList[Team Name],MATCH(RobotDesignDelib[[#This Row],[Team Number]], OfficialTeamList[Team Number],0)))</f>
        <v/>
      </c>
      <c r="I22" s="6">
        <f>IF(ISNA(INDEX(RobotDesignResults[Robot Design Rank],MATCH(RobotDesignDelib[[#This Row],[Team Number]],RobotDesignResults[Team Number],0))),NumberOfTeams+1,INDEX(RobotDesignResults[Robot Design Rank],MATCH(RobotDesignDelib[[#This Row],[Team Number]],RobotDesignResults[Team Number],0)))</f>
        <v>1</v>
      </c>
      <c r="M22" s="6" t="str">
        <f>IF(ISNA(INDEX(OfficialTeamList[Team Name],MATCH(InnovationProjectDelib[[#This Row],[Team Number]], OfficialTeamList[Team Number],0))),"",INDEX(OfficialTeamList[Team Name],MATCH(InnovationProjectDelib[[#This Row],[Team Number]], OfficialTeamList[Team Number],0)))</f>
        <v/>
      </c>
      <c r="N22"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3" spans="2:15" ht="20.25" customHeight="1" x14ac:dyDescent="0.25">
      <c r="C23" s="6" t="str">
        <f>IF(ISNA(INDEX(OfficialTeamList[Team Name],MATCH(CoreValuesDelib[[#This Row],[Team Number]], OfficialTeamList[Team Number],0))),"",INDEX(OfficialTeamList[Team Name],MATCH(CoreValuesDelib[[#This Row],[Team Number]], OfficialTeamList[Team Number],0)))</f>
        <v/>
      </c>
      <c r="D23" s="6">
        <f>IF(ISNA(INDEX(CoreValuesResults[Core Values Rank],MATCH(CoreValuesDelib[[#This Row],[Team Number]],CoreValuesResults[Team Number],0))),NumberOfTeams+1,INDEX(CoreValuesResults[Core Values Rank],MATCH(CoreValuesDelib[[#This Row],[Team Number]],CoreValuesResults[Team Number],0)))</f>
        <v>1</v>
      </c>
      <c r="H23" s="6" t="str">
        <f>IF(ISNA(INDEX(OfficialTeamList[Team Name],MATCH(RobotDesignDelib[[#This Row],[Team Number]], OfficialTeamList[Team Number],0))),"",INDEX(OfficialTeamList[Team Name],MATCH(RobotDesignDelib[[#This Row],[Team Number]], OfficialTeamList[Team Number],0)))</f>
        <v/>
      </c>
      <c r="I23" s="6">
        <f>IF(ISNA(INDEX(RobotDesignResults[Robot Design Rank],MATCH(RobotDesignDelib[[#This Row],[Team Number]],RobotDesignResults[Team Number],0))),NumberOfTeams+1,INDEX(RobotDesignResults[Robot Design Rank],MATCH(RobotDesignDelib[[#This Row],[Team Number]],RobotDesignResults[Team Number],0)))</f>
        <v>1</v>
      </c>
      <c r="M23" s="6" t="str">
        <f>IF(ISNA(INDEX(OfficialTeamList[Team Name],MATCH(InnovationProjectDelib[[#This Row],[Team Number]], OfficialTeamList[Team Number],0))),"",INDEX(OfficialTeamList[Team Name],MATCH(InnovationProjectDelib[[#This Row],[Team Number]], OfficialTeamList[Team Number],0)))</f>
        <v/>
      </c>
      <c r="N23"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4" spans="2:15" ht="20.25" customHeight="1" x14ac:dyDescent="0.25">
      <c r="C24" s="6" t="str">
        <f>IF(ISNA(INDEX(OfficialTeamList[Team Name],MATCH(CoreValuesDelib[[#This Row],[Team Number]], OfficialTeamList[Team Number],0))),"",INDEX(OfficialTeamList[Team Name],MATCH(CoreValuesDelib[[#This Row],[Team Number]], OfficialTeamList[Team Number],0)))</f>
        <v/>
      </c>
      <c r="D24" s="6">
        <f>IF(ISNA(INDEX(CoreValuesResults[Core Values Rank],MATCH(CoreValuesDelib[[#This Row],[Team Number]],CoreValuesResults[Team Number],0))),NumberOfTeams+1,INDEX(CoreValuesResults[Core Values Rank],MATCH(CoreValuesDelib[[#This Row],[Team Number]],CoreValuesResults[Team Number],0)))</f>
        <v>1</v>
      </c>
      <c r="H24" s="6" t="str">
        <f>IF(ISNA(INDEX(OfficialTeamList[Team Name],MATCH(RobotDesignDelib[[#This Row],[Team Number]], OfficialTeamList[Team Number],0))),"",INDEX(OfficialTeamList[Team Name],MATCH(RobotDesignDelib[[#This Row],[Team Number]], OfficialTeamList[Team Number],0)))</f>
        <v/>
      </c>
      <c r="I24" s="6">
        <f>IF(ISNA(INDEX(RobotDesignResults[Robot Design Rank],MATCH(RobotDesignDelib[[#This Row],[Team Number]],RobotDesignResults[Team Number],0))),NumberOfTeams+1,INDEX(RobotDesignResults[Robot Design Rank],MATCH(RobotDesignDelib[[#This Row],[Team Number]],RobotDesignResults[Team Number],0)))</f>
        <v>1</v>
      </c>
      <c r="M24" s="6" t="str">
        <f>IF(ISNA(INDEX(OfficialTeamList[Team Name],MATCH(InnovationProjectDelib[[#This Row],[Team Number]], OfficialTeamList[Team Number],0))),"",INDEX(OfficialTeamList[Team Name],MATCH(InnovationProjectDelib[[#This Row],[Team Number]], OfficialTeamList[Team Number],0)))</f>
        <v/>
      </c>
      <c r="N24"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5" spans="2:15" ht="20.25" customHeight="1" x14ac:dyDescent="0.25">
      <c r="C25" s="6" t="str">
        <f>IF(ISNA(INDEX(OfficialTeamList[Team Name],MATCH(CoreValuesDelib[[#This Row],[Team Number]], OfficialTeamList[Team Number],0))),"",INDEX(OfficialTeamList[Team Name],MATCH(CoreValuesDelib[[#This Row],[Team Number]], OfficialTeamList[Team Number],0)))</f>
        <v/>
      </c>
      <c r="D25" s="6">
        <f>IF(ISNA(INDEX(CoreValuesResults[Core Values Rank],MATCH(CoreValuesDelib[[#This Row],[Team Number]],CoreValuesResults[Team Number],0))),NumberOfTeams+1,INDEX(CoreValuesResults[Core Values Rank],MATCH(CoreValuesDelib[[#This Row],[Team Number]],CoreValuesResults[Team Number],0)))</f>
        <v>1</v>
      </c>
      <c r="H25" s="6" t="str">
        <f>IF(ISNA(INDEX(OfficialTeamList[Team Name],MATCH(RobotDesignDelib[[#This Row],[Team Number]], OfficialTeamList[Team Number],0))),"",INDEX(OfficialTeamList[Team Name],MATCH(RobotDesignDelib[[#This Row],[Team Number]], OfficialTeamList[Team Number],0)))</f>
        <v/>
      </c>
      <c r="I25" s="6">
        <f>IF(ISNA(INDEX(RobotDesignResults[Robot Design Rank],MATCH(RobotDesignDelib[[#This Row],[Team Number]],RobotDesignResults[Team Number],0))),NumberOfTeams+1,INDEX(RobotDesignResults[Robot Design Rank],MATCH(RobotDesignDelib[[#This Row],[Team Number]],RobotDesignResults[Team Number],0)))</f>
        <v>1</v>
      </c>
      <c r="M25" s="6" t="str">
        <f>IF(ISNA(INDEX(OfficialTeamList[Team Name],MATCH(InnovationProjectDelib[[#This Row],[Team Number]], OfficialTeamList[Team Number],0))),"",INDEX(OfficialTeamList[Team Name],MATCH(InnovationProjectDelib[[#This Row],[Team Number]], OfficialTeamList[Team Number],0)))</f>
        <v/>
      </c>
      <c r="N25"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6" spans="2:15" ht="20.25" customHeight="1" x14ac:dyDescent="0.25">
      <c r="C26" s="6" t="str">
        <f>IF(ISNA(INDEX(OfficialTeamList[Team Name],MATCH(CoreValuesDelib[[#This Row],[Team Number]], OfficialTeamList[Team Number],0))),"",INDEX(OfficialTeamList[Team Name],MATCH(CoreValuesDelib[[#This Row],[Team Number]], OfficialTeamList[Team Number],0)))</f>
        <v/>
      </c>
      <c r="D26" s="6">
        <f>IF(ISNA(INDEX(CoreValuesResults[Core Values Rank],MATCH(CoreValuesDelib[[#This Row],[Team Number]],CoreValuesResults[Team Number],0))),NumberOfTeams+1,INDEX(CoreValuesResults[Core Values Rank],MATCH(CoreValuesDelib[[#This Row],[Team Number]],CoreValuesResults[Team Number],0)))</f>
        <v>1</v>
      </c>
      <c r="H26" s="6" t="str">
        <f>IF(ISNA(INDEX(OfficialTeamList[Team Name],MATCH(RobotDesignDelib[[#This Row],[Team Number]], OfficialTeamList[Team Number],0))),"",INDEX(OfficialTeamList[Team Name],MATCH(RobotDesignDelib[[#This Row],[Team Number]], OfficialTeamList[Team Number],0)))</f>
        <v/>
      </c>
      <c r="I26" s="6">
        <f>IF(ISNA(INDEX(RobotDesignResults[Robot Design Rank],MATCH(RobotDesignDelib[[#This Row],[Team Number]],RobotDesignResults[Team Number],0))),NumberOfTeams+1,INDEX(RobotDesignResults[Robot Design Rank],MATCH(RobotDesignDelib[[#This Row],[Team Number]],RobotDesignResults[Team Number],0)))</f>
        <v>1</v>
      </c>
      <c r="M26" s="6" t="str">
        <f>IF(ISNA(INDEX(OfficialTeamList[Team Name],MATCH(InnovationProjectDelib[[#This Row],[Team Number]], OfficialTeamList[Team Number],0))),"",INDEX(OfficialTeamList[Team Name],MATCH(InnovationProjectDelib[[#This Row],[Team Number]], OfficialTeamList[Team Number],0)))</f>
        <v/>
      </c>
      <c r="N26"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7" spans="2:15" ht="20.25" customHeight="1" x14ac:dyDescent="0.25">
      <c r="C27" s="6" t="str">
        <f>IF(ISNA(INDEX(OfficialTeamList[Team Name],MATCH(CoreValuesDelib[[#This Row],[Team Number]], OfficialTeamList[Team Number],0))),"",INDEX(OfficialTeamList[Team Name],MATCH(CoreValuesDelib[[#This Row],[Team Number]], OfficialTeamList[Team Number],0)))</f>
        <v/>
      </c>
      <c r="D27" s="6">
        <f>IF(ISNA(INDEX(CoreValuesResults[Core Values Rank],MATCH(CoreValuesDelib[[#This Row],[Team Number]],CoreValuesResults[Team Number],0))),NumberOfTeams+1,INDEX(CoreValuesResults[Core Values Rank],MATCH(CoreValuesDelib[[#This Row],[Team Number]],CoreValuesResults[Team Number],0)))</f>
        <v>1</v>
      </c>
      <c r="H27" s="6" t="str">
        <f>IF(ISNA(INDEX(OfficialTeamList[Team Name],MATCH(RobotDesignDelib[[#This Row],[Team Number]], OfficialTeamList[Team Number],0))),"",INDEX(OfficialTeamList[Team Name],MATCH(RobotDesignDelib[[#This Row],[Team Number]], OfficialTeamList[Team Number],0)))</f>
        <v/>
      </c>
      <c r="I27" s="6">
        <f>IF(ISNA(INDEX(RobotDesignResults[Robot Design Rank],MATCH(RobotDesignDelib[[#This Row],[Team Number]],RobotDesignResults[Team Number],0))),NumberOfTeams+1,INDEX(RobotDesignResults[Robot Design Rank],MATCH(RobotDesignDelib[[#This Row],[Team Number]],RobotDesignResults[Team Number],0)))</f>
        <v>1</v>
      </c>
      <c r="M27" s="6" t="str">
        <f>IF(ISNA(INDEX(OfficialTeamList[Team Name],MATCH(InnovationProjectDelib[[#This Row],[Team Number]], OfficialTeamList[Team Number],0))),"",INDEX(OfficialTeamList[Team Name],MATCH(InnovationProjectDelib[[#This Row],[Team Number]], OfficialTeamList[Team Number],0)))</f>
        <v/>
      </c>
      <c r="N27"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8" spans="2:15" ht="20.25" customHeight="1" x14ac:dyDescent="0.25">
      <c r="C28" s="6" t="str">
        <f>IF(ISNA(INDEX(OfficialTeamList[Team Name],MATCH(CoreValuesDelib[[#This Row],[Team Number]], OfficialTeamList[Team Number],0))),"",INDEX(OfficialTeamList[Team Name],MATCH(CoreValuesDelib[[#This Row],[Team Number]], OfficialTeamList[Team Number],0)))</f>
        <v/>
      </c>
      <c r="D28" s="6">
        <f>IF(ISNA(INDEX(CoreValuesResults[Core Values Rank],MATCH(CoreValuesDelib[[#This Row],[Team Number]],CoreValuesResults[Team Number],0))),NumberOfTeams+1,INDEX(CoreValuesResults[Core Values Rank],MATCH(CoreValuesDelib[[#This Row],[Team Number]],CoreValuesResults[Team Number],0)))</f>
        <v>1</v>
      </c>
      <c r="H28" s="6" t="str">
        <f>IF(ISNA(INDEX(OfficialTeamList[Team Name],MATCH(RobotDesignDelib[[#This Row],[Team Number]], OfficialTeamList[Team Number],0))),"",INDEX(OfficialTeamList[Team Name],MATCH(RobotDesignDelib[[#This Row],[Team Number]], OfficialTeamList[Team Number],0)))</f>
        <v/>
      </c>
      <c r="I28" s="6">
        <f>IF(ISNA(INDEX(RobotDesignResults[Robot Design Rank],MATCH(RobotDesignDelib[[#This Row],[Team Number]],RobotDesignResults[Team Number],0))),NumberOfTeams+1,INDEX(RobotDesignResults[Robot Design Rank],MATCH(RobotDesignDelib[[#This Row],[Team Number]],RobotDesignResults[Team Number],0)))</f>
        <v>1</v>
      </c>
      <c r="M28" s="6" t="str">
        <f>IF(ISNA(INDEX(OfficialTeamList[Team Name],MATCH(InnovationProjectDelib[[#This Row],[Team Number]], OfficialTeamList[Team Number],0))),"",INDEX(OfficialTeamList[Team Name],MATCH(InnovationProjectDelib[[#This Row],[Team Number]], OfficialTeamList[Team Number],0)))</f>
        <v/>
      </c>
      <c r="N28"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9" spans="2:15" ht="20.25" customHeight="1" x14ac:dyDescent="0.25">
      <c r="C29" s="6" t="str">
        <f>IF(ISNA(INDEX(OfficialTeamList[Team Name],MATCH(CoreValuesDelib[[#This Row],[Team Number]], OfficialTeamList[Team Number],0))),"",INDEX(OfficialTeamList[Team Name],MATCH(CoreValuesDelib[[#This Row],[Team Number]], OfficialTeamList[Team Number],0)))</f>
        <v/>
      </c>
      <c r="D29" s="6">
        <f>IF(ISNA(INDEX(CoreValuesResults[Core Values Rank],MATCH(CoreValuesDelib[[#This Row],[Team Number]],CoreValuesResults[Team Number],0))),NumberOfTeams+1,INDEX(CoreValuesResults[Core Values Rank],MATCH(CoreValuesDelib[[#This Row],[Team Number]],CoreValuesResults[Team Number],0)))</f>
        <v>1</v>
      </c>
      <c r="H29" s="6" t="str">
        <f>IF(ISNA(INDEX(OfficialTeamList[Team Name],MATCH(RobotDesignDelib[[#This Row],[Team Number]], OfficialTeamList[Team Number],0))),"",INDEX(OfficialTeamList[Team Name],MATCH(RobotDesignDelib[[#This Row],[Team Number]], OfficialTeamList[Team Number],0)))</f>
        <v/>
      </c>
      <c r="I29" s="6">
        <f>IF(ISNA(INDEX(RobotDesignResults[Robot Design Rank],MATCH(RobotDesignDelib[[#This Row],[Team Number]],RobotDesignResults[Team Number],0))),NumberOfTeams+1,INDEX(RobotDesignResults[Robot Design Rank],MATCH(RobotDesignDelib[[#This Row],[Team Number]],RobotDesignResults[Team Number],0)))</f>
        <v>1</v>
      </c>
      <c r="M29" s="6" t="str">
        <f>IF(ISNA(INDEX(OfficialTeamList[Team Name],MATCH(InnovationProjectDelib[[#This Row],[Team Number]], OfficialTeamList[Team Number],0))),"",INDEX(OfficialTeamList[Team Name],MATCH(InnovationProjectDelib[[#This Row],[Team Number]], OfficialTeamList[Team Number],0)))</f>
        <v/>
      </c>
      <c r="N29"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0" spans="2:15" ht="20.25" customHeight="1" x14ac:dyDescent="0.25">
      <c r="C30" s="6" t="str">
        <f>IF(ISNA(INDEX(OfficialTeamList[Team Name],MATCH(CoreValuesDelib[[#This Row],[Team Number]], OfficialTeamList[Team Number],0))),"",INDEX(OfficialTeamList[Team Name],MATCH(CoreValuesDelib[[#This Row],[Team Number]], OfficialTeamList[Team Number],0)))</f>
        <v/>
      </c>
      <c r="D30" s="6">
        <f>IF(ISNA(INDEX(CoreValuesResults[Core Values Rank],MATCH(CoreValuesDelib[[#This Row],[Team Number]],CoreValuesResults[Team Number],0))),NumberOfTeams+1,INDEX(CoreValuesResults[Core Values Rank],MATCH(CoreValuesDelib[[#This Row],[Team Number]],CoreValuesResults[Team Number],0)))</f>
        <v>1</v>
      </c>
      <c r="H30" s="6" t="str">
        <f>IF(ISNA(INDEX(OfficialTeamList[Team Name],MATCH(RobotDesignDelib[[#This Row],[Team Number]], OfficialTeamList[Team Number],0))),"",INDEX(OfficialTeamList[Team Name],MATCH(RobotDesignDelib[[#This Row],[Team Number]], OfficialTeamList[Team Number],0)))</f>
        <v/>
      </c>
      <c r="I30" s="6">
        <f>IF(ISNA(INDEX(RobotDesignResults[Robot Design Rank],MATCH(RobotDesignDelib[[#This Row],[Team Number]],RobotDesignResults[Team Number],0))),NumberOfTeams+1,INDEX(RobotDesignResults[Robot Design Rank],MATCH(RobotDesignDelib[[#This Row],[Team Number]],RobotDesignResults[Team Number],0)))</f>
        <v>1</v>
      </c>
      <c r="M30" s="6" t="str">
        <f>IF(ISNA(INDEX(OfficialTeamList[Team Name],MATCH(InnovationProjectDelib[[#This Row],[Team Number]], OfficialTeamList[Team Number],0))),"",INDEX(OfficialTeamList[Team Name],MATCH(InnovationProjectDelib[[#This Row],[Team Number]], OfficialTeamList[Team Number],0)))</f>
        <v/>
      </c>
      <c r="N30"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1" spans="2:15" ht="20.25" customHeight="1" x14ac:dyDescent="0.25">
      <c r="C31" s="6" t="str">
        <f>IF(ISNA(INDEX(OfficialTeamList[Team Name],MATCH(CoreValuesDelib[[#This Row],[Team Number]], OfficialTeamList[Team Number],0))),"",INDEX(OfficialTeamList[Team Name],MATCH(CoreValuesDelib[[#This Row],[Team Number]], OfficialTeamList[Team Number],0)))</f>
        <v/>
      </c>
      <c r="D31" s="6">
        <f>IF(ISNA(INDEX(CoreValuesResults[Core Values Rank],MATCH(CoreValuesDelib[[#This Row],[Team Number]],CoreValuesResults[Team Number],0))),NumberOfTeams+1,INDEX(CoreValuesResults[Core Values Rank],MATCH(CoreValuesDelib[[#This Row],[Team Number]],CoreValuesResults[Team Number],0)))</f>
        <v>1</v>
      </c>
      <c r="H31" s="6" t="str">
        <f>IF(ISNA(INDEX(OfficialTeamList[Team Name],MATCH(RobotDesignDelib[[#This Row],[Team Number]], OfficialTeamList[Team Number],0))),"",INDEX(OfficialTeamList[Team Name],MATCH(RobotDesignDelib[[#This Row],[Team Number]], OfficialTeamList[Team Number],0)))</f>
        <v/>
      </c>
      <c r="I31" s="6">
        <f>IF(ISNA(INDEX(RobotDesignResults[Robot Design Rank],MATCH(RobotDesignDelib[[#This Row],[Team Number]],RobotDesignResults[Team Number],0))),NumberOfTeams+1,INDEX(RobotDesignResults[Robot Design Rank],MATCH(RobotDesignDelib[[#This Row],[Team Number]],RobotDesignResults[Team Number],0)))</f>
        <v>1</v>
      </c>
      <c r="M31" s="6" t="str">
        <f>IF(ISNA(INDEX(OfficialTeamList[Team Name],MATCH(InnovationProjectDelib[[#This Row],[Team Number]], OfficialTeamList[Team Number],0))),"",INDEX(OfficialTeamList[Team Name],MATCH(InnovationProjectDelib[[#This Row],[Team Number]], OfficialTeamList[Team Number],0)))</f>
        <v/>
      </c>
      <c r="N31"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2" spans="2:15" ht="20.25" customHeight="1" x14ac:dyDescent="0.25">
      <c r="C32" s="6" t="str">
        <f>IF(ISNA(INDEX(OfficialTeamList[Team Name],MATCH(CoreValuesDelib[[#This Row],[Team Number]], OfficialTeamList[Team Number],0))),"",INDEX(OfficialTeamList[Team Name],MATCH(CoreValuesDelib[[#This Row],[Team Number]], OfficialTeamList[Team Number],0)))</f>
        <v/>
      </c>
      <c r="D32" s="6">
        <f>IF(ISNA(INDEX(CoreValuesResults[Core Values Rank],MATCH(CoreValuesDelib[[#This Row],[Team Number]],CoreValuesResults[Team Number],0))),NumberOfTeams+1,INDEX(CoreValuesResults[Core Values Rank],MATCH(CoreValuesDelib[[#This Row],[Team Number]],CoreValuesResults[Team Number],0)))</f>
        <v>1</v>
      </c>
      <c r="H32" s="6" t="str">
        <f>IF(ISNA(INDEX(OfficialTeamList[Team Name],MATCH(RobotDesignDelib[[#This Row],[Team Number]], OfficialTeamList[Team Number],0))),"",INDEX(OfficialTeamList[Team Name],MATCH(RobotDesignDelib[[#This Row],[Team Number]], OfficialTeamList[Team Number],0)))</f>
        <v/>
      </c>
      <c r="I32" s="6">
        <f>IF(ISNA(INDEX(RobotDesignResults[Robot Design Rank],MATCH(RobotDesignDelib[[#This Row],[Team Number]],RobotDesignResults[Team Number],0))),NumberOfTeams+1,INDEX(RobotDesignResults[Robot Design Rank],MATCH(RobotDesignDelib[[#This Row],[Team Number]],RobotDesignResults[Team Number],0)))</f>
        <v>1</v>
      </c>
      <c r="M32" s="6" t="str">
        <f>IF(ISNA(INDEX(OfficialTeamList[Team Name],MATCH(InnovationProjectDelib[[#This Row],[Team Number]], OfficialTeamList[Team Number],0))),"",INDEX(OfficialTeamList[Team Name],MATCH(InnovationProjectDelib[[#This Row],[Team Number]], OfficialTeamList[Team Number],0)))</f>
        <v/>
      </c>
      <c r="N32"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3" spans="2:15" ht="20.25" customHeight="1" x14ac:dyDescent="0.25">
      <c r="C33" s="6" t="str">
        <f>IF(ISNA(INDEX(OfficialTeamList[Team Name],MATCH(CoreValuesDelib[[#This Row],[Team Number]], OfficialTeamList[Team Number],0))),"",INDEX(OfficialTeamList[Team Name],MATCH(CoreValuesDelib[[#This Row],[Team Number]], OfficialTeamList[Team Number],0)))</f>
        <v/>
      </c>
      <c r="D33" s="6">
        <f>IF(ISNA(INDEX(CoreValuesResults[Core Values Rank],MATCH(CoreValuesDelib[[#This Row],[Team Number]],CoreValuesResults[Team Number],0))),NumberOfTeams+1,INDEX(CoreValuesResults[Core Values Rank],MATCH(CoreValuesDelib[[#This Row],[Team Number]],CoreValuesResults[Team Number],0)))</f>
        <v>1</v>
      </c>
      <c r="H33" s="6" t="str">
        <f>IF(ISNA(INDEX(OfficialTeamList[Team Name],MATCH(RobotDesignDelib[[#This Row],[Team Number]], OfficialTeamList[Team Number],0))),"",INDEX(OfficialTeamList[Team Name],MATCH(RobotDesignDelib[[#This Row],[Team Number]], OfficialTeamList[Team Number],0)))</f>
        <v/>
      </c>
      <c r="I33" s="6">
        <f>IF(ISNA(INDEX(RobotDesignResults[Robot Design Rank],MATCH(RobotDesignDelib[[#This Row],[Team Number]],RobotDesignResults[Team Number],0))),NumberOfTeams+1,INDEX(RobotDesignResults[Robot Design Rank],MATCH(RobotDesignDelib[[#This Row],[Team Number]],RobotDesignResults[Team Number],0)))</f>
        <v>1</v>
      </c>
      <c r="M33" s="6" t="str">
        <f>IF(ISNA(INDEX(OfficialTeamList[Team Name],MATCH(InnovationProjectDelib[[#This Row],[Team Number]], OfficialTeamList[Team Number],0))),"",INDEX(OfficialTeamList[Team Name],MATCH(InnovationProjectDelib[[#This Row],[Team Number]], OfficialTeamList[Team Number],0)))</f>
        <v/>
      </c>
      <c r="N33"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4" spans="2:15" ht="20.25" customHeight="1" x14ac:dyDescent="0.25">
      <c r="C34" s="6" t="str">
        <f>IF(ISNA(INDEX(OfficialTeamList[Team Name],MATCH(CoreValuesDelib[[#This Row],[Team Number]], OfficialTeamList[Team Number],0))),"",INDEX(OfficialTeamList[Team Name],MATCH(CoreValuesDelib[[#This Row],[Team Number]], OfficialTeamList[Team Number],0)))</f>
        <v/>
      </c>
      <c r="D34" s="6">
        <f>IF(ISNA(INDEX(CoreValuesResults[Core Values Rank],MATCH(CoreValuesDelib[[#This Row],[Team Number]],CoreValuesResults[Team Number],0))),NumberOfTeams+1,INDEX(CoreValuesResults[Core Values Rank],MATCH(CoreValuesDelib[[#This Row],[Team Number]],CoreValuesResults[Team Number],0)))</f>
        <v>1</v>
      </c>
      <c r="H34" s="6" t="str">
        <f>IF(ISNA(INDEX(OfficialTeamList[Team Name],MATCH(RobotDesignDelib[[#This Row],[Team Number]], OfficialTeamList[Team Number],0))),"",INDEX(OfficialTeamList[Team Name],MATCH(RobotDesignDelib[[#This Row],[Team Number]], OfficialTeamList[Team Number],0)))</f>
        <v/>
      </c>
      <c r="I34" s="6">
        <f>IF(ISNA(INDEX(RobotDesignResults[Robot Design Rank],MATCH(RobotDesignDelib[[#This Row],[Team Number]],RobotDesignResults[Team Number],0))),NumberOfTeams+1,INDEX(RobotDesignResults[Robot Design Rank],MATCH(RobotDesignDelib[[#This Row],[Team Number]],RobotDesignResults[Team Number],0)))</f>
        <v>1</v>
      </c>
      <c r="M34" s="6" t="str">
        <f>IF(ISNA(INDEX(OfficialTeamList[Team Name],MATCH(InnovationProjectDelib[[#This Row],[Team Number]], OfficialTeamList[Team Number],0))),"",INDEX(OfficialTeamList[Team Name],MATCH(InnovationProjectDelib[[#This Row],[Team Number]], OfficialTeamList[Team Number],0)))</f>
        <v/>
      </c>
      <c r="N34"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5" spans="2:15" ht="20.25" customHeight="1" x14ac:dyDescent="0.25">
      <c r="C35" s="6" t="str">
        <f>IF(ISNA(INDEX(OfficialTeamList[Team Name],MATCH(CoreValuesDelib[[#This Row],[Team Number]], OfficialTeamList[Team Number],0))),"",INDEX(OfficialTeamList[Team Name],MATCH(CoreValuesDelib[[#This Row],[Team Number]], OfficialTeamList[Team Number],0)))</f>
        <v/>
      </c>
      <c r="D35" s="6">
        <f>IF(ISNA(INDEX(CoreValuesResults[Core Values Rank],MATCH(CoreValuesDelib[[#This Row],[Team Number]],CoreValuesResults[Team Number],0))),NumberOfTeams+1,INDEX(CoreValuesResults[Core Values Rank],MATCH(CoreValuesDelib[[#This Row],[Team Number]],CoreValuesResults[Team Number],0)))</f>
        <v>1</v>
      </c>
      <c r="H35" s="6" t="str">
        <f>IF(ISNA(INDEX(OfficialTeamList[Team Name],MATCH(RobotDesignDelib[[#This Row],[Team Number]], OfficialTeamList[Team Number],0))),"",INDEX(OfficialTeamList[Team Name],MATCH(RobotDesignDelib[[#This Row],[Team Number]], OfficialTeamList[Team Number],0)))</f>
        <v/>
      </c>
      <c r="I35" s="6">
        <f>IF(ISNA(INDEX(RobotDesignResults[Robot Design Rank],MATCH(RobotDesignDelib[[#This Row],[Team Number]],RobotDesignResults[Team Number],0))),NumberOfTeams+1,INDEX(RobotDesignResults[Robot Design Rank],MATCH(RobotDesignDelib[[#This Row],[Team Number]],RobotDesignResults[Team Number],0)))</f>
        <v>1</v>
      </c>
      <c r="M35" s="6" t="str">
        <f>IF(ISNA(INDEX(OfficialTeamList[Team Name],MATCH(InnovationProjectDelib[[#This Row],[Team Number]], OfficialTeamList[Team Number],0))),"",INDEX(OfficialTeamList[Team Name],MATCH(InnovationProjectDelib[[#This Row],[Team Number]], OfficialTeamList[Team Number],0)))</f>
        <v/>
      </c>
      <c r="N35"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6" spans="2:15" ht="20.25" customHeight="1" x14ac:dyDescent="0.25">
      <c r="C36" s="6" t="str">
        <f>IF(ISNA(INDEX(OfficialTeamList[Team Name],MATCH(CoreValuesDelib[[#This Row],[Team Number]], OfficialTeamList[Team Number],0))),"",INDEX(OfficialTeamList[Team Name],MATCH(CoreValuesDelib[[#This Row],[Team Number]], OfficialTeamList[Team Number],0)))</f>
        <v/>
      </c>
      <c r="D36" s="6">
        <f>IF(ISNA(INDEX(CoreValuesResults[Core Values Rank],MATCH(CoreValuesDelib[[#This Row],[Team Number]],CoreValuesResults[Team Number],0))),NumberOfTeams+1,INDEX(CoreValuesResults[Core Values Rank],MATCH(CoreValuesDelib[[#This Row],[Team Number]],CoreValuesResults[Team Number],0)))</f>
        <v>1</v>
      </c>
      <c r="H36" s="6" t="str">
        <f>IF(ISNA(INDEX(OfficialTeamList[Team Name],MATCH(RobotDesignDelib[[#This Row],[Team Number]], OfficialTeamList[Team Number],0))),"",INDEX(OfficialTeamList[Team Name],MATCH(RobotDesignDelib[[#This Row],[Team Number]], OfficialTeamList[Team Number],0)))</f>
        <v/>
      </c>
      <c r="I36" s="6">
        <f>IF(ISNA(INDEX(RobotDesignResults[Robot Design Rank],MATCH(RobotDesignDelib[[#This Row],[Team Number]],RobotDesignResults[Team Number],0))),NumberOfTeams+1,INDEX(RobotDesignResults[Robot Design Rank],MATCH(RobotDesignDelib[[#This Row],[Team Number]],RobotDesignResults[Team Number],0)))</f>
        <v>1</v>
      </c>
      <c r="M36" s="6" t="str">
        <f>IF(ISNA(INDEX(OfficialTeamList[Team Name],MATCH(InnovationProjectDelib[[#This Row],[Team Number]], OfficialTeamList[Team Number],0))),"",INDEX(OfficialTeamList[Team Name],MATCH(InnovationProjectDelib[[#This Row],[Team Number]], OfficialTeamList[Team Number],0)))</f>
        <v/>
      </c>
      <c r="N36"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8" spans="2:15" ht="20.25" customHeight="1" x14ac:dyDescent="0.25">
      <c r="B38" s="6" t="s">
        <v>106</v>
      </c>
      <c r="G38" s="6" t="s">
        <v>107</v>
      </c>
      <c r="L38" s="6" t="s">
        <v>108</v>
      </c>
    </row>
    <row r="39" spans="2:15" ht="39.950000000000003" customHeight="1" x14ac:dyDescent="0.25">
      <c r="B39" s="13" t="s">
        <v>21</v>
      </c>
      <c r="C39" s="13" t="s">
        <v>22</v>
      </c>
      <c r="D39" s="14" t="s">
        <v>47</v>
      </c>
      <c r="E39" s="14" t="s">
        <v>102</v>
      </c>
      <c r="G39" s="13" t="s">
        <v>21</v>
      </c>
      <c r="H39" s="13" t="s">
        <v>22</v>
      </c>
      <c r="I39" s="14" t="s">
        <v>47</v>
      </c>
      <c r="J39" s="14" t="s">
        <v>102</v>
      </c>
      <c r="L39" s="13" t="s">
        <v>21</v>
      </c>
      <c r="M39" s="13" t="s">
        <v>22</v>
      </c>
      <c r="N39" s="14" t="s">
        <v>47</v>
      </c>
      <c r="O39" s="14" t="s">
        <v>102</v>
      </c>
    </row>
    <row r="40" spans="2:15" ht="20.25" customHeight="1" x14ac:dyDescent="0.25">
      <c r="C40" s="6" t="str">
        <f>IF(ISNA(INDEX(OfficialTeamList[Team Name],MATCH(BreakthroughDelib[[#This Row],[Team Number]], OfficialTeamList[Team Number],0))),"",INDEX(OfficialTeamList[Team Name],MATCH(BreakthroughDelib[[#This Row],[Team Number]], OfficialTeamList[Team Number],0)))</f>
        <v/>
      </c>
      <c r="D40" s="6">
        <f>IF(ISNA(INDEX(TournamentData[Champion''s Rank],MATCH(BreakthroughDelib[[#This Row],[Team Number]],TournamentData[Team Number],0))),NumberOfTeams+1,INDEX(TournamentData[Champion''s Rank],MATCH(BreakthroughDelib[[#This Row],[Team Number]],TournamentData[Team Number],0)))</f>
        <v>1</v>
      </c>
      <c r="H40" s="6" t="str">
        <f>IF(ISNA(INDEX(OfficialTeamList[Team Name],MATCH(RookiAllStarDelib[[#This Row],[Team Number]], OfficialTeamList[Team Number],0))),"",INDEX(OfficialTeamList[Team Name],MATCH(RookiAllStarDelib[[#This Row],[Team Number]], OfficialTeamList[Team Number],0)))</f>
        <v/>
      </c>
      <c r="I40" s="6">
        <f>IF(ISNA(INDEX(TournamentData[Champion''s Rank],MATCH(RookiAllStarDelib[[#This Row],[Team Number]],TournamentData[Team Number],0))),NumberOfTeams+1,INDEX(TournamentData[Champion''s Rank],MATCH(RookiAllStarDelib[[#This Row],[Team Number]],TournamentData[Team Number],0)))</f>
        <v>1</v>
      </c>
      <c r="M40" s="6" t="str">
        <f>IF(ISNA(INDEX(OfficialTeamList[Team Name],MATCH(MotivateDelib[[#This Row],[Team Number]], OfficialTeamList[Team Number],0))),"",INDEX(OfficialTeamList[Team Name],MATCH(MotivateDelib[[#This Row],[Team Number]], OfficialTeamList[Team Number],0)))</f>
        <v/>
      </c>
      <c r="N40" s="6">
        <f>IF(ISNA(INDEX(TournamentData[Champion''s Rank],MATCH(MotivateDelib[[#This Row],[Team Number]],TournamentData[Team Number],0))),NumberOfTeams+1,INDEX(TournamentData[Champion''s Rank],MATCH(MotivateDelib[[#This Row],[Team Number]],TournamentData[Team Number],0)))</f>
        <v>1</v>
      </c>
    </row>
    <row r="41" spans="2:15" ht="20.25" customHeight="1" x14ac:dyDescent="0.25">
      <c r="C41" s="6" t="str">
        <f>IF(ISNA(INDEX(OfficialTeamList[Team Name],MATCH(BreakthroughDelib[[#This Row],[Team Number]], OfficialTeamList[Team Number],0))),"",INDEX(OfficialTeamList[Team Name],MATCH(BreakthroughDelib[[#This Row],[Team Number]], OfficialTeamList[Team Number],0)))</f>
        <v/>
      </c>
      <c r="D41" s="6">
        <f>IF(ISNA(INDEX(TournamentData[Champion''s Rank],MATCH(BreakthroughDelib[[#This Row],[Team Number]],TournamentData[Team Number],0))),NumberOfTeams+1,INDEX(TournamentData[Champion''s Rank],MATCH(BreakthroughDelib[[#This Row],[Team Number]],TournamentData[Team Number],0)))</f>
        <v>1</v>
      </c>
      <c r="H41" s="6" t="str">
        <f>IF(ISNA(INDEX(OfficialTeamList[Team Name],MATCH(RookiAllStarDelib[[#This Row],[Team Number]], OfficialTeamList[Team Number],0))),"",INDEX(OfficialTeamList[Team Name],MATCH(RookiAllStarDelib[[#This Row],[Team Number]], OfficialTeamList[Team Number],0)))</f>
        <v/>
      </c>
      <c r="I41" s="6">
        <f>IF(ISNA(INDEX(TournamentData[Champion''s Rank],MATCH(RookiAllStarDelib[[#This Row],[Team Number]],TournamentData[Team Number],0))),NumberOfTeams+1,INDEX(TournamentData[Champion''s Rank],MATCH(RookiAllStarDelib[[#This Row],[Team Number]],TournamentData[Team Number],0)))</f>
        <v>1</v>
      </c>
      <c r="M41" s="6" t="str">
        <f>IF(ISNA(INDEX(OfficialTeamList[Team Name],MATCH(MotivateDelib[[#This Row],[Team Number]], OfficialTeamList[Team Number],0))),"",INDEX(OfficialTeamList[Team Name],MATCH(MotivateDelib[[#This Row],[Team Number]], OfficialTeamList[Team Number],0)))</f>
        <v/>
      </c>
      <c r="N41" s="6">
        <f>IF(ISNA(INDEX(TournamentData[Champion''s Rank],MATCH(MotivateDelib[[#This Row],[Team Number]],TournamentData[Team Number],0))),NumberOfTeams+1,INDEX(TournamentData[Champion''s Rank],MATCH(MotivateDelib[[#This Row],[Team Number]],TournamentData[Team Number],0)))</f>
        <v>1</v>
      </c>
    </row>
    <row r="42" spans="2:15" ht="20.25" customHeight="1" x14ac:dyDescent="0.25">
      <c r="C42" s="6" t="str">
        <f>IF(ISNA(INDEX(OfficialTeamList[Team Name],MATCH(BreakthroughDelib[[#This Row],[Team Number]], OfficialTeamList[Team Number],0))),"",INDEX(OfficialTeamList[Team Name],MATCH(BreakthroughDelib[[#This Row],[Team Number]], OfficialTeamList[Team Number],0)))</f>
        <v/>
      </c>
      <c r="D42" s="6">
        <f>IF(ISNA(INDEX(TournamentData[Champion''s Rank],MATCH(BreakthroughDelib[[#This Row],[Team Number]],TournamentData[Team Number],0))),NumberOfTeams+1,INDEX(TournamentData[Champion''s Rank],MATCH(BreakthroughDelib[[#This Row],[Team Number]],TournamentData[Team Number],0)))</f>
        <v>1</v>
      </c>
      <c r="H42" s="6" t="str">
        <f>IF(ISNA(INDEX(OfficialTeamList[Team Name],MATCH(RookiAllStarDelib[[#This Row],[Team Number]], OfficialTeamList[Team Number],0))),"",INDEX(OfficialTeamList[Team Name],MATCH(RookiAllStarDelib[[#This Row],[Team Number]], OfficialTeamList[Team Number],0)))</f>
        <v/>
      </c>
      <c r="I42" s="6">
        <f>IF(ISNA(INDEX(TournamentData[Champion''s Rank],MATCH(RookiAllStarDelib[[#This Row],[Team Number]],TournamentData[Team Number],0))),NumberOfTeams+1,INDEX(TournamentData[Champion''s Rank],MATCH(RookiAllStarDelib[[#This Row],[Team Number]],TournamentData[Team Number],0)))</f>
        <v>1</v>
      </c>
      <c r="M42" s="6" t="str">
        <f>IF(ISNA(INDEX(OfficialTeamList[Team Name],MATCH(MotivateDelib[[#This Row],[Team Number]], OfficialTeamList[Team Number],0))),"",INDEX(OfficialTeamList[Team Name],MATCH(MotivateDelib[[#This Row],[Team Number]], OfficialTeamList[Team Number],0)))</f>
        <v/>
      </c>
      <c r="N42" s="6">
        <f>IF(ISNA(INDEX(TournamentData[Champion''s Rank],MATCH(MotivateDelib[[#This Row],[Team Number]],TournamentData[Team Number],0))),NumberOfTeams+1,INDEX(TournamentData[Champion''s Rank],MATCH(MotivateDelib[[#This Row],[Team Number]],TournamentData[Team Number],0)))</f>
        <v>1</v>
      </c>
    </row>
    <row r="43" spans="2:15" ht="20.25" customHeight="1" x14ac:dyDescent="0.25">
      <c r="C43" s="6" t="str">
        <f>IF(ISNA(INDEX(OfficialTeamList[Team Name],MATCH(BreakthroughDelib[[#This Row],[Team Number]], OfficialTeamList[Team Number],0))),"",INDEX(OfficialTeamList[Team Name],MATCH(BreakthroughDelib[[#This Row],[Team Number]], OfficialTeamList[Team Number],0)))</f>
        <v/>
      </c>
      <c r="D43" s="6">
        <f>IF(ISNA(INDEX(TournamentData[Champion''s Rank],MATCH(BreakthroughDelib[[#This Row],[Team Number]],TournamentData[Team Number],0))),NumberOfTeams+1,INDEX(TournamentData[Champion''s Rank],MATCH(BreakthroughDelib[[#This Row],[Team Number]],TournamentData[Team Number],0)))</f>
        <v>1</v>
      </c>
      <c r="H43" s="6" t="str">
        <f>IF(ISNA(INDEX(OfficialTeamList[Team Name],MATCH(RookiAllStarDelib[[#This Row],[Team Number]], OfficialTeamList[Team Number],0))),"",INDEX(OfficialTeamList[Team Name],MATCH(RookiAllStarDelib[[#This Row],[Team Number]], OfficialTeamList[Team Number],0)))</f>
        <v/>
      </c>
      <c r="I43" s="6">
        <f>IF(ISNA(INDEX(TournamentData[Champion''s Rank],MATCH(RookiAllStarDelib[[#This Row],[Team Number]],TournamentData[Team Number],0))),NumberOfTeams+1,INDEX(TournamentData[Champion''s Rank],MATCH(RookiAllStarDelib[[#This Row],[Team Number]],TournamentData[Team Number],0)))</f>
        <v>1</v>
      </c>
      <c r="M43" s="6" t="str">
        <f>IF(ISNA(INDEX(OfficialTeamList[Team Name],MATCH(MotivateDelib[[#This Row],[Team Number]], OfficialTeamList[Team Number],0))),"",INDEX(OfficialTeamList[Team Name],MATCH(MotivateDelib[[#This Row],[Team Number]], OfficialTeamList[Team Number],0)))</f>
        <v/>
      </c>
      <c r="N43" s="6">
        <f>IF(ISNA(INDEX(TournamentData[Champion''s Rank],MATCH(MotivateDelib[[#This Row],[Team Number]],TournamentData[Team Number],0))),NumberOfTeams+1,INDEX(TournamentData[Champion''s Rank],MATCH(MotivateDelib[[#This Row],[Team Number]],TournamentData[Team Number],0)))</f>
        <v>1</v>
      </c>
    </row>
    <row r="44" spans="2:15" ht="20.25" customHeight="1" x14ac:dyDescent="0.25">
      <c r="C44" s="6" t="str">
        <f>IF(ISNA(INDEX(OfficialTeamList[Team Name],MATCH(BreakthroughDelib[[#This Row],[Team Number]], OfficialTeamList[Team Number],0))),"",INDEX(OfficialTeamList[Team Name],MATCH(BreakthroughDelib[[#This Row],[Team Number]], OfficialTeamList[Team Number],0)))</f>
        <v/>
      </c>
      <c r="D44" s="6">
        <f>IF(ISNA(INDEX(TournamentData[Champion''s Rank],MATCH(BreakthroughDelib[[#This Row],[Team Number]],TournamentData[Team Number],0))),NumberOfTeams+1,INDEX(TournamentData[Champion''s Rank],MATCH(BreakthroughDelib[[#This Row],[Team Number]],TournamentData[Team Number],0)))</f>
        <v>1</v>
      </c>
      <c r="H44" s="6" t="str">
        <f>IF(ISNA(INDEX(OfficialTeamList[Team Name],MATCH(RookiAllStarDelib[[#This Row],[Team Number]], OfficialTeamList[Team Number],0))),"",INDEX(OfficialTeamList[Team Name],MATCH(RookiAllStarDelib[[#This Row],[Team Number]], OfficialTeamList[Team Number],0)))</f>
        <v/>
      </c>
      <c r="I44" s="6">
        <f>IF(ISNA(INDEX(TournamentData[Champion''s Rank],MATCH(RookiAllStarDelib[[#This Row],[Team Number]],TournamentData[Team Number],0))),NumberOfTeams+1,INDEX(TournamentData[Champion''s Rank],MATCH(RookiAllStarDelib[[#This Row],[Team Number]],TournamentData[Team Number],0)))</f>
        <v>1</v>
      </c>
      <c r="M44" s="6" t="str">
        <f>IF(ISNA(INDEX(OfficialTeamList[Team Name],MATCH(MotivateDelib[[#This Row],[Team Number]], OfficialTeamList[Team Number],0))),"",INDEX(OfficialTeamList[Team Name],MATCH(MotivateDelib[[#This Row],[Team Number]], OfficialTeamList[Team Number],0)))</f>
        <v/>
      </c>
      <c r="N44" s="6">
        <f>IF(ISNA(INDEX(TournamentData[Champion''s Rank],MATCH(MotivateDelib[[#This Row],[Team Number]],TournamentData[Team Number],0))),NumberOfTeams+1,INDEX(TournamentData[Champion''s Rank],MATCH(MotivateDelib[[#This Row],[Team Number]],TournamentData[Team Number],0)))</f>
        <v>1</v>
      </c>
    </row>
    <row r="45" spans="2:15" ht="20.25" customHeight="1" x14ac:dyDescent="0.25">
      <c r="C45" s="6" t="str">
        <f>IF(ISNA(INDEX(OfficialTeamList[Team Name],MATCH(BreakthroughDelib[[#This Row],[Team Number]], OfficialTeamList[Team Number],0))),"",INDEX(OfficialTeamList[Team Name],MATCH(BreakthroughDelib[[#This Row],[Team Number]], OfficialTeamList[Team Number],0)))</f>
        <v/>
      </c>
      <c r="D45" s="6">
        <f>IF(ISNA(INDEX(TournamentData[Champion''s Rank],MATCH(BreakthroughDelib[[#This Row],[Team Number]],TournamentData[Team Number],0))),NumberOfTeams+1,INDEX(TournamentData[Champion''s Rank],MATCH(BreakthroughDelib[[#This Row],[Team Number]],TournamentData[Team Number],0)))</f>
        <v>1</v>
      </c>
      <c r="H45" s="6" t="str">
        <f>IF(ISNA(INDEX(OfficialTeamList[Team Name],MATCH(RookiAllStarDelib[[#This Row],[Team Number]], OfficialTeamList[Team Number],0))),"",INDEX(OfficialTeamList[Team Name],MATCH(RookiAllStarDelib[[#This Row],[Team Number]], OfficialTeamList[Team Number],0)))</f>
        <v/>
      </c>
      <c r="I45" s="6">
        <f>IF(ISNA(INDEX(TournamentData[Champion''s Rank],MATCH(RookiAllStarDelib[[#This Row],[Team Number]],TournamentData[Team Number],0))),NumberOfTeams+1,INDEX(TournamentData[Champion''s Rank],MATCH(RookiAllStarDelib[[#This Row],[Team Number]],TournamentData[Team Number],0)))</f>
        <v>1</v>
      </c>
      <c r="M45" s="6" t="str">
        <f>IF(ISNA(INDEX(OfficialTeamList[Team Name],MATCH(MotivateDelib[[#This Row],[Team Number]], OfficialTeamList[Team Number],0))),"",INDEX(OfficialTeamList[Team Name],MATCH(MotivateDelib[[#This Row],[Team Number]], OfficialTeamList[Team Number],0)))</f>
        <v/>
      </c>
      <c r="N45" s="6">
        <f>IF(ISNA(INDEX(TournamentData[Champion''s Rank],MATCH(MotivateDelib[[#This Row],[Team Number]],TournamentData[Team Number],0))),NumberOfTeams+1,INDEX(TournamentData[Champion''s Rank],MATCH(MotivateDelib[[#This Row],[Team Number]],TournamentData[Team Number],0)))</f>
        <v>1</v>
      </c>
    </row>
    <row r="46" spans="2:15" ht="20.25" customHeight="1" x14ac:dyDescent="0.25">
      <c r="C46" s="6" t="str">
        <f>IF(ISNA(INDEX(OfficialTeamList[Team Name],MATCH(BreakthroughDelib[[#This Row],[Team Number]], OfficialTeamList[Team Number],0))),"",INDEX(OfficialTeamList[Team Name],MATCH(BreakthroughDelib[[#This Row],[Team Number]], OfficialTeamList[Team Number],0)))</f>
        <v/>
      </c>
      <c r="D46" s="6">
        <f>IF(ISNA(INDEX(TournamentData[Champion''s Rank],MATCH(BreakthroughDelib[[#This Row],[Team Number]],TournamentData[Team Number],0))),NumberOfTeams+1,INDEX(TournamentData[Champion''s Rank],MATCH(BreakthroughDelib[[#This Row],[Team Number]],TournamentData[Team Number],0)))</f>
        <v>1</v>
      </c>
      <c r="H46" s="6" t="str">
        <f>IF(ISNA(INDEX(OfficialTeamList[Team Name],MATCH(RookiAllStarDelib[[#This Row],[Team Number]], OfficialTeamList[Team Number],0))),"",INDEX(OfficialTeamList[Team Name],MATCH(RookiAllStarDelib[[#This Row],[Team Number]], OfficialTeamList[Team Number],0)))</f>
        <v/>
      </c>
      <c r="I46" s="6">
        <f>IF(ISNA(INDEX(TournamentData[Champion''s Rank],MATCH(RookiAllStarDelib[[#This Row],[Team Number]],TournamentData[Team Number],0))),NumberOfTeams+1,INDEX(TournamentData[Champion''s Rank],MATCH(RookiAllStarDelib[[#This Row],[Team Number]],TournamentData[Team Number],0)))</f>
        <v>1</v>
      </c>
      <c r="M46" s="6" t="str">
        <f>IF(ISNA(INDEX(OfficialTeamList[Team Name],MATCH(MotivateDelib[[#This Row],[Team Number]], OfficialTeamList[Team Number],0))),"",INDEX(OfficialTeamList[Team Name],MATCH(MotivateDelib[[#This Row],[Team Number]], OfficialTeamList[Team Number],0)))</f>
        <v/>
      </c>
      <c r="N46" s="6">
        <f>IF(ISNA(INDEX(TournamentData[Champion''s Rank],MATCH(MotivateDelib[[#This Row],[Team Number]],TournamentData[Team Number],0))),NumberOfTeams+1,INDEX(TournamentData[Champion''s Rank],MATCH(MotivateDelib[[#This Row],[Team Number]],TournamentData[Team Number],0)))</f>
        <v>1</v>
      </c>
    </row>
    <row r="47" spans="2:15" ht="20.25" customHeight="1" x14ac:dyDescent="0.25">
      <c r="C47" s="6" t="str">
        <f>IF(ISNA(INDEX(OfficialTeamList[Team Name],MATCH(BreakthroughDelib[[#This Row],[Team Number]], OfficialTeamList[Team Number],0))),"",INDEX(OfficialTeamList[Team Name],MATCH(BreakthroughDelib[[#This Row],[Team Number]], OfficialTeamList[Team Number],0)))</f>
        <v/>
      </c>
      <c r="D47" s="6">
        <f>IF(ISNA(INDEX(TournamentData[Champion''s Rank],MATCH(BreakthroughDelib[[#This Row],[Team Number]],TournamentData[Team Number],0))),NumberOfTeams+1,INDEX(TournamentData[Champion''s Rank],MATCH(BreakthroughDelib[[#This Row],[Team Number]],TournamentData[Team Number],0)))</f>
        <v>1</v>
      </c>
      <c r="H47" s="6" t="str">
        <f>IF(ISNA(INDEX(OfficialTeamList[Team Name],MATCH(RookiAllStarDelib[[#This Row],[Team Number]], OfficialTeamList[Team Number],0))),"",INDEX(OfficialTeamList[Team Name],MATCH(RookiAllStarDelib[[#This Row],[Team Number]], OfficialTeamList[Team Number],0)))</f>
        <v/>
      </c>
      <c r="I47" s="6">
        <f>IF(ISNA(INDEX(TournamentData[Champion''s Rank],MATCH(RookiAllStarDelib[[#This Row],[Team Number]],TournamentData[Team Number],0))),NumberOfTeams+1,INDEX(TournamentData[Champion''s Rank],MATCH(RookiAllStarDelib[[#This Row],[Team Number]],TournamentData[Team Number],0)))</f>
        <v>1</v>
      </c>
      <c r="M47" s="6" t="str">
        <f>IF(ISNA(INDEX(OfficialTeamList[Team Name],MATCH(MotivateDelib[[#This Row],[Team Number]], OfficialTeamList[Team Number],0))),"",INDEX(OfficialTeamList[Team Name],MATCH(MotivateDelib[[#This Row],[Team Number]], OfficialTeamList[Team Number],0)))</f>
        <v/>
      </c>
      <c r="N47" s="6">
        <f>IF(ISNA(INDEX(TournamentData[Champion''s Rank],MATCH(MotivateDelib[[#This Row],[Team Number]],TournamentData[Team Number],0))),NumberOfTeams+1,INDEX(TournamentData[Champion''s Rank],MATCH(MotivateDelib[[#This Row],[Team Number]],TournamentData[Team Number],0)))</f>
        <v>1</v>
      </c>
    </row>
    <row r="48" spans="2:15" ht="20.25" customHeight="1" x14ac:dyDescent="0.25">
      <c r="C48" s="6" t="str">
        <f>IF(ISNA(INDEX(OfficialTeamList[Team Name],MATCH(BreakthroughDelib[[#This Row],[Team Number]], OfficialTeamList[Team Number],0))),"",INDEX(OfficialTeamList[Team Name],MATCH(BreakthroughDelib[[#This Row],[Team Number]], OfficialTeamList[Team Number],0)))</f>
        <v/>
      </c>
      <c r="D48" s="6">
        <f>IF(ISNA(INDEX(TournamentData[Champion''s Rank],MATCH(BreakthroughDelib[[#This Row],[Team Number]],TournamentData[Team Number],0))),NumberOfTeams+1,INDEX(TournamentData[Champion''s Rank],MATCH(BreakthroughDelib[[#This Row],[Team Number]],TournamentData[Team Number],0)))</f>
        <v>1</v>
      </c>
      <c r="H48" s="6" t="str">
        <f>IF(ISNA(INDEX(OfficialTeamList[Team Name],MATCH(RookiAllStarDelib[[#This Row],[Team Number]], OfficialTeamList[Team Number],0))),"",INDEX(OfficialTeamList[Team Name],MATCH(RookiAllStarDelib[[#This Row],[Team Number]], OfficialTeamList[Team Number],0)))</f>
        <v/>
      </c>
      <c r="I48" s="6">
        <f>IF(ISNA(INDEX(TournamentData[Champion''s Rank],MATCH(RookiAllStarDelib[[#This Row],[Team Number]],TournamentData[Team Number],0))),NumberOfTeams+1,INDEX(TournamentData[Champion''s Rank],MATCH(RookiAllStarDelib[[#This Row],[Team Number]],TournamentData[Team Number],0)))</f>
        <v>1</v>
      </c>
      <c r="M48" s="6" t="str">
        <f>IF(ISNA(INDEX(OfficialTeamList[Team Name],MATCH(MotivateDelib[[#This Row],[Team Number]], OfficialTeamList[Team Number],0))),"",INDEX(OfficialTeamList[Team Name],MATCH(MotivateDelib[[#This Row],[Team Number]], OfficialTeamList[Team Number],0)))</f>
        <v/>
      </c>
      <c r="N48" s="6">
        <f>IF(ISNA(INDEX(TournamentData[Champion''s Rank],MATCH(MotivateDelib[[#This Row],[Team Number]],TournamentData[Team Number],0))),NumberOfTeams+1,INDEX(TournamentData[Champion''s Rank],MATCH(MotivateDelib[[#This Row],[Team Number]],TournamentData[Team Number],0)))</f>
        <v>1</v>
      </c>
    </row>
    <row r="49" spans="3:14" ht="20.25" customHeight="1" x14ac:dyDescent="0.25">
      <c r="C49" s="6" t="str">
        <f>IF(ISNA(INDEX(OfficialTeamList[Team Name],MATCH(BreakthroughDelib[[#This Row],[Team Number]], OfficialTeamList[Team Number],0))),"",INDEX(OfficialTeamList[Team Name],MATCH(BreakthroughDelib[[#This Row],[Team Number]], OfficialTeamList[Team Number],0)))</f>
        <v/>
      </c>
      <c r="D49" s="6">
        <f>IF(ISNA(INDEX(TournamentData[Champion''s Rank],MATCH(BreakthroughDelib[[#This Row],[Team Number]],TournamentData[Team Number],0))),NumberOfTeams+1,INDEX(TournamentData[Champion''s Rank],MATCH(BreakthroughDelib[[#This Row],[Team Number]],TournamentData[Team Number],0)))</f>
        <v>1</v>
      </c>
      <c r="H49" s="6" t="str">
        <f>IF(ISNA(INDEX(OfficialTeamList[Team Name],MATCH(RookiAllStarDelib[[#This Row],[Team Number]], OfficialTeamList[Team Number],0))),"",INDEX(OfficialTeamList[Team Name],MATCH(RookiAllStarDelib[[#This Row],[Team Number]], OfficialTeamList[Team Number],0)))</f>
        <v/>
      </c>
      <c r="I49" s="6">
        <f>IF(ISNA(INDEX(TournamentData[Champion''s Rank],MATCH(RookiAllStarDelib[[#This Row],[Team Number]],TournamentData[Team Number],0))),NumberOfTeams+1,INDEX(TournamentData[Champion''s Rank],MATCH(RookiAllStarDelib[[#This Row],[Team Number]],TournamentData[Team Number],0)))</f>
        <v>1</v>
      </c>
      <c r="M49" s="6" t="str">
        <f>IF(ISNA(INDEX(OfficialTeamList[Team Name],MATCH(MotivateDelib[[#This Row],[Team Number]], OfficialTeamList[Team Number],0))),"",INDEX(OfficialTeamList[Team Name],MATCH(MotivateDelib[[#This Row],[Team Number]], OfficialTeamList[Team Number],0)))</f>
        <v/>
      </c>
      <c r="N49" s="6">
        <f>IF(ISNA(INDEX(TournamentData[Champion''s Rank],MATCH(MotivateDelib[[#This Row],[Team Number]],TournamentData[Team Number],0))),NumberOfTeams+1,INDEX(TournamentData[Champion''s Rank],MATCH(MotivateDelib[[#This Row],[Team Number]],TournamentData[Team Number],0)))</f>
        <v>1</v>
      </c>
    </row>
    <row r="50" spans="3:14" ht="20.25" customHeight="1" x14ac:dyDescent="0.25">
      <c r="C50" s="6" t="str">
        <f>IF(ISNA(INDEX(OfficialTeamList[Team Name],MATCH(BreakthroughDelib[[#This Row],[Team Number]], OfficialTeamList[Team Number],0))),"",INDEX(OfficialTeamList[Team Name],MATCH(BreakthroughDelib[[#This Row],[Team Number]], OfficialTeamList[Team Number],0)))</f>
        <v/>
      </c>
      <c r="D50" s="6">
        <f>IF(ISNA(INDEX(TournamentData[Champion''s Rank],MATCH(BreakthroughDelib[[#This Row],[Team Number]],TournamentData[Team Number],0))),NumberOfTeams+1,INDEX(TournamentData[Champion''s Rank],MATCH(BreakthroughDelib[[#This Row],[Team Number]],TournamentData[Team Number],0)))</f>
        <v>1</v>
      </c>
      <c r="H50" s="6" t="str">
        <f>IF(ISNA(INDEX(OfficialTeamList[Team Name],MATCH(RookiAllStarDelib[[#This Row],[Team Number]], OfficialTeamList[Team Number],0))),"",INDEX(OfficialTeamList[Team Name],MATCH(RookiAllStarDelib[[#This Row],[Team Number]], OfficialTeamList[Team Number],0)))</f>
        <v/>
      </c>
      <c r="I50" s="6">
        <f>IF(ISNA(INDEX(TournamentData[Champion''s Rank],MATCH(RookiAllStarDelib[[#This Row],[Team Number]],TournamentData[Team Number],0))),NumberOfTeams+1,INDEX(TournamentData[Champion''s Rank],MATCH(RookiAllStarDelib[[#This Row],[Team Number]],TournamentData[Team Number],0)))</f>
        <v>1</v>
      </c>
      <c r="M50" s="6" t="str">
        <f>IF(ISNA(INDEX(OfficialTeamList[Team Name],MATCH(MotivateDelib[[#This Row],[Team Number]], OfficialTeamList[Team Number],0))),"",INDEX(OfficialTeamList[Team Name],MATCH(MotivateDelib[[#This Row],[Team Number]], OfficialTeamList[Team Number],0)))</f>
        <v/>
      </c>
      <c r="N50" s="6">
        <f>IF(ISNA(INDEX(TournamentData[Champion''s Rank],MATCH(MotivateDelib[[#This Row],[Team Number]],TournamentData[Team Number],0))),NumberOfTeams+1,INDEX(TournamentData[Champion''s Rank],MATCH(MotivateDelib[[#This Row],[Team Number]],TournamentData[Team Number],0)))</f>
        <v>1</v>
      </c>
    </row>
    <row r="51" spans="3:14" ht="20.25" customHeight="1" x14ac:dyDescent="0.25">
      <c r="C51" s="6" t="str">
        <f>IF(ISNA(INDEX(OfficialTeamList[Team Name],MATCH(BreakthroughDelib[[#This Row],[Team Number]], OfficialTeamList[Team Number],0))),"",INDEX(OfficialTeamList[Team Name],MATCH(BreakthroughDelib[[#This Row],[Team Number]], OfficialTeamList[Team Number],0)))</f>
        <v/>
      </c>
      <c r="D51" s="6">
        <f>IF(ISNA(INDEX(TournamentData[Champion''s Rank],MATCH(BreakthroughDelib[[#This Row],[Team Number]],TournamentData[Team Number],0))),NumberOfTeams+1,INDEX(TournamentData[Champion''s Rank],MATCH(BreakthroughDelib[[#This Row],[Team Number]],TournamentData[Team Number],0)))</f>
        <v>1</v>
      </c>
      <c r="H51" s="6" t="str">
        <f>IF(ISNA(INDEX(OfficialTeamList[Team Name],MATCH(RookiAllStarDelib[[#This Row],[Team Number]], OfficialTeamList[Team Number],0))),"",INDEX(OfficialTeamList[Team Name],MATCH(RookiAllStarDelib[[#This Row],[Team Number]], OfficialTeamList[Team Number],0)))</f>
        <v/>
      </c>
      <c r="I51" s="6">
        <f>IF(ISNA(INDEX(TournamentData[Champion''s Rank],MATCH(RookiAllStarDelib[[#This Row],[Team Number]],TournamentData[Team Number],0))),NumberOfTeams+1,INDEX(TournamentData[Champion''s Rank],MATCH(RookiAllStarDelib[[#This Row],[Team Number]],TournamentData[Team Number],0)))</f>
        <v>1</v>
      </c>
      <c r="M51" s="6" t="str">
        <f>IF(ISNA(INDEX(OfficialTeamList[Team Name],MATCH(MotivateDelib[[#This Row],[Team Number]], OfficialTeamList[Team Number],0))),"",INDEX(OfficialTeamList[Team Name],MATCH(MotivateDelib[[#This Row],[Team Number]], OfficialTeamList[Team Number],0)))</f>
        <v/>
      </c>
      <c r="N51" s="6">
        <f>IF(ISNA(INDEX(TournamentData[Champion''s Rank],MATCH(MotivateDelib[[#This Row],[Team Number]],TournamentData[Team Number],0))),NumberOfTeams+1,INDEX(TournamentData[Champion''s Rank],MATCH(MotivateDelib[[#This Row],[Team Number]],TournamentData[Team Number],0)))</f>
        <v>1</v>
      </c>
    </row>
    <row r="52" spans="3:14" ht="20.25" customHeight="1" x14ac:dyDescent="0.25">
      <c r="C52" s="6" t="str">
        <f>IF(ISNA(INDEX(OfficialTeamList[Team Name],MATCH(BreakthroughDelib[[#This Row],[Team Number]], OfficialTeamList[Team Number],0))),"",INDEX(OfficialTeamList[Team Name],MATCH(BreakthroughDelib[[#This Row],[Team Number]], OfficialTeamList[Team Number],0)))</f>
        <v/>
      </c>
      <c r="D52" s="6">
        <f>IF(ISNA(INDEX(TournamentData[Champion''s Rank],MATCH(BreakthroughDelib[[#This Row],[Team Number]],TournamentData[Team Number],0))),NumberOfTeams+1,INDEX(TournamentData[Champion''s Rank],MATCH(BreakthroughDelib[[#This Row],[Team Number]],TournamentData[Team Number],0)))</f>
        <v>1</v>
      </c>
      <c r="H52" s="6" t="str">
        <f>IF(ISNA(INDEX(OfficialTeamList[Team Name],MATCH(RookiAllStarDelib[[#This Row],[Team Number]], OfficialTeamList[Team Number],0))),"",INDEX(OfficialTeamList[Team Name],MATCH(RookiAllStarDelib[[#This Row],[Team Number]], OfficialTeamList[Team Number],0)))</f>
        <v/>
      </c>
      <c r="I52" s="6">
        <f>IF(ISNA(INDEX(TournamentData[Champion''s Rank],MATCH(RookiAllStarDelib[[#This Row],[Team Number]],TournamentData[Team Number],0))),NumberOfTeams+1,INDEX(TournamentData[Champion''s Rank],MATCH(RookiAllStarDelib[[#This Row],[Team Number]],TournamentData[Team Number],0)))</f>
        <v>1</v>
      </c>
      <c r="M52" s="6" t="str">
        <f>IF(ISNA(INDEX(OfficialTeamList[Team Name],MATCH(MotivateDelib[[#This Row],[Team Number]], OfficialTeamList[Team Number],0))),"",INDEX(OfficialTeamList[Team Name],MATCH(MotivateDelib[[#This Row],[Team Number]], OfficialTeamList[Team Number],0)))</f>
        <v/>
      </c>
      <c r="N52" s="6">
        <f>IF(ISNA(INDEX(TournamentData[Champion''s Rank],MATCH(MotivateDelib[[#This Row],[Team Number]],TournamentData[Team Number],0))),NumberOfTeams+1,INDEX(TournamentData[Champion''s Rank],MATCH(MotivateDelib[[#This Row],[Team Number]],TournamentData[Team Number],0)))</f>
        <v>1</v>
      </c>
    </row>
    <row r="53" spans="3:14" ht="20.25" customHeight="1" x14ac:dyDescent="0.25">
      <c r="C53" s="6" t="str">
        <f>IF(ISNA(INDEX(OfficialTeamList[Team Name],MATCH(BreakthroughDelib[[#This Row],[Team Number]], OfficialTeamList[Team Number],0))),"",INDEX(OfficialTeamList[Team Name],MATCH(BreakthroughDelib[[#This Row],[Team Number]], OfficialTeamList[Team Number],0)))</f>
        <v/>
      </c>
      <c r="D53" s="6">
        <f>IF(ISNA(INDEX(TournamentData[Champion''s Rank],MATCH(BreakthroughDelib[[#This Row],[Team Number]],TournamentData[Team Number],0))),NumberOfTeams+1,INDEX(TournamentData[Champion''s Rank],MATCH(BreakthroughDelib[[#This Row],[Team Number]],TournamentData[Team Number],0)))</f>
        <v>1</v>
      </c>
      <c r="H53" s="6" t="str">
        <f>IF(ISNA(INDEX(OfficialTeamList[Team Name],MATCH(RookiAllStarDelib[[#This Row],[Team Number]], OfficialTeamList[Team Number],0))),"",INDEX(OfficialTeamList[Team Name],MATCH(RookiAllStarDelib[[#This Row],[Team Number]], OfficialTeamList[Team Number],0)))</f>
        <v/>
      </c>
      <c r="I53" s="6">
        <f>IF(ISNA(INDEX(TournamentData[Champion''s Rank],MATCH(RookiAllStarDelib[[#This Row],[Team Number]],TournamentData[Team Number],0))),NumberOfTeams+1,INDEX(TournamentData[Champion''s Rank],MATCH(RookiAllStarDelib[[#This Row],[Team Number]],TournamentData[Team Number],0)))</f>
        <v>1</v>
      </c>
      <c r="M53" s="6" t="str">
        <f>IF(ISNA(INDEX(OfficialTeamList[Team Name],MATCH(MotivateDelib[[#This Row],[Team Number]], OfficialTeamList[Team Number],0))),"",INDEX(OfficialTeamList[Team Name],MATCH(MotivateDelib[[#This Row],[Team Number]], OfficialTeamList[Team Number],0)))</f>
        <v/>
      </c>
      <c r="N53" s="6">
        <f>IF(ISNA(INDEX(TournamentData[Champion''s Rank],MATCH(MotivateDelib[[#This Row],[Team Number]],TournamentData[Team Number],0))),NumberOfTeams+1,INDEX(TournamentData[Champion''s Rank],MATCH(MotivateDelib[[#This Row],[Team Number]],TournamentData[Team Number],0)))</f>
        <v>1</v>
      </c>
    </row>
    <row r="54" spans="3:14" ht="20.25" customHeight="1" x14ac:dyDescent="0.25">
      <c r="C54" s="6" t="str">
        <f>IF(ISNA(INDEX(OfficialTeamList[Team Name],MATCH(BreakthroughDelib[[#This Row],[Team Number]], OfficialTeamList[Team Number],0))),"",INDEX(OfficialTeamList[Team Name],MATCH(BreakthroughDelib[[#This Row],[Team Number]], OfficialTeamList[Team Number],0)))</f>
        <v/>
      </c>
      <c r="D54" s="6">
        <f>IF(ISNA(INDEX(TournamentData[Champion''s Rank],MATCH(BreakthroughDelib[[#This Row],[Team Number]],TournamentData[Team Number],0))),NumberOfTeams+1,INDEX(TournamentData[Champion''s Rank],MATCH(BreakthroughDelib[[#This Row],[Team Number]],TournamentData[Team Number],0)))</f>
        <v>1</v>
      </c>
      <c r="H54" s="6" t="str">
        <f>IF(ISNA(INDEX(OfficialTeamList[Team Name],MATCH(RookiAllStarDelib[[#This Row],[Team Number]], OfficialTeamList[Team Number],0))),"",INDEX(OfficialTeamList[Team Name],MATCH(RookiAllStarDelib[[#This Row],[Team Number]], OfficialTeamList[Team Number],0)))</f>
        <v/>
      </c>
      <c r="I54" s="6">
        <f>IF(ISNA(INDEX(TournamentData[Champion''s Rank],MATCH(RookiAllStarDelib[[#This Row],[Team Number]],TournamentData[Team Number],0))),NumberOfTeams+1,INDEX(TournamentData[Champion''s Rank],MATCH(RookiAllStarDelib[[#This Row],[Team Number]],TournamentData[Team Number],0)))</f>
        <v>1</v>
      </c>
      <c r="M54" s="6" t="str">
        <f>IF(ISNA(INDEX(OfficialTeamList[Team Name],MATCH(MotivateDelib[[#This Row],[Team Number]], OfficialTeamList[Team Number],0))),"",INDEX(OfficialTeamList[Team Name],MATCH(MotivateDelib[[#This Row],[Team Number]], OfficialTeamList[Team Number],0)))</f>
        <v/>
      </c>
      <c r="N54" s="6">
        <f>IF(ISNA(INDEX(TournamentData[Champion''s Rank],MATCH(MotivateDelib[[#This Row],[Team Number]],TournamentData[Team Number],0))),NumberOfTeams+1,INDEX(TournamentData[Champion''s Rank],MATCH(MotivateDelib[[#This Row],[Team Number]],TournamentData[Team Number],0)))</f>
        <v>1</v>
      </c>
    </row>
  </sheetData>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Instructions</vt:lpstr>
      <vt:lpstr>Team and Program Information</vt:lpstr>
      <vt:lpstr>Meta</vt:lpstr>
      <vt:lpstr>AwardList</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CVRDSplit</vt:lpstr>
      <vt:lpstr>GPScores</vt:lpstr>
      <vt:lpstr>NumberofTeamAdvancing</vt:lpstr>
      <vt:lpstr>NumberOfTeams</vt:lpstr>
      <vt:lpstr>NumberofTeamsAdvancing</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2024-05-24T13:15:35Z</cp:lastPrinted>
  <dcterms:created xsi:type="dcterms:W3CDTF">2017-12-04T16:10:19Z</dcterms:created>
  <dcterms:modified xsi:type="dcterms:W3CDTF">2024-12-22T20:36:22Z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