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310" yWindow="2775" windowWidth="28800" windowHeight="15345" tabRatio="879" firstSheet="0" activeTab="1" autoFilterDateGrouping="1"/>
  </bookViews>
  <sheets>
    <sheet name="Instructions" sheetId="1" state="visible" r:id="rId1"/>
    <sheet name="Team and Program Information" sheetId="2" state="visible" r:id="rId2"/>
    <sheet name="Data Validation" sheetId="3" state="visible" r:id="rId3"/>
    <sheet name="Meta" sheetId="4" state="visible" r:id="rId4"/>
    <sheet name="AwardListDropdowns" sheetId="5" state="visible" r:id="rId5"/>
    <sheet name="AwardDef" sheetId="6" state="visible"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3">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color theme="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
      <name val="Calibri"/>
      <family val="2"/>
      <color theme="1"/>
      <sz val="11"/>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32" fillId="0" borderId="0"/>
    <xf numFmtId="43" fontId="32" fillId="0" borderId="0"/>
    <xf numFmtId="44" fontId="32" fillId="0" borderId="0"/>
  </cellStyleXfs>
  <cellXfs count="116">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14" fillId="0" borderId="0" pivotButton="0" quotePrefix="0" xfId="0"/>
    <xf numFmtId="0" fontId="0" fillId="3" borderId="0" applyAlignment="1" pivotButton="0" quotePrefix="0" xfId="0">
      <alignment horizontal="center" vertical="center"/>
    </xf>
    <xf numFmtId="0" fontId="16" fillId="3" borderId="0" applyAlignment="1" pivotButton="0" quotePrefix="0" xfId="0">
      <alignment horizontal="left" vertical="center"/>
    </xf>
    <xf numFmtId="0" fontId="17" fillId="3" borderId="0" applyAlignment="1" pivotButton="0" quotePrefix="0" xfId="0">
      <alignment horizontal="left" vertical="center"/>
    </xf>
    <xf numFmtId="0" fontId="16" fillId="3" borderId="0" applyAlignment="1" pivotButton="0" quotePrefix="0" xfId="0">
      <alignment vertical="top" wrapText="1"/>
    </xf>
    <xf numFmtId="49" fontId="16" fillId="3" borderId="0" applyAlignment="1" pivotButton="0" quotePrefix="0" xfId="0">
      <alignment horizontal="left" vertical="center"/>
    </xf>
    <xf numFmtId="0" fontId="15" fillId="0" borderId="0" applyAlignment="1" pivotButton="0" quotePrefix="0" xfId="0">
      <alignment horizontal="center" vertical="center"/>
    </xf>
    <xf numFmtId="0" fontId="0" fillId="0" borderId="4" pivotButton="0" quotePrefix="0" xfId="0"/>
    <xf numFmtId="0" fontId="18" fillId="0" borderId="0" applyAlignment="1" pivotButton="0" quotePrefix="0" xfId="0">
      <alignment horizontal="center" vertical="center" textRotation="90"/>
    </xf>
    <xf numFmtId="0" fontId="21" fillId="0" borderId="0" pivotButton="0" quotePrefix="0" xfId="0"/>
    <xf numFmtId="165" fontId="15" fillId="0" borderId="0" applyAlignment="1" pivotButton="0" quotePrefix="0" xfId="0">
      <alignment horizontal="center" vertical="center"/>
    </xf>
    <xf numFmtId="0" fontId="23" fillId="0" borderId="0" applyAlignment="1" pivotButton="0" quotePrefix="0" xfId="0">
      <alignment horizontal="left" vertical="center"/>
    </xf>
    <xf numFmtId="0" fontId="8" fillId="0" borderId="0" applyAlignment="1" pivotButton="0" quotePrefix="0" xfId="0">
      <alignment horizontal="center" vertical="center" wrapText="1"/>
    </xf>
    <xf numFmtId="0" fontId="24" fillId="0" borderId="0" applyAlignment="1" pivotButton="0" quotePrefix="0" xfId="0">
      <alignment horizontal="left" vertical="center" wrapText="1"/>
    </xf>
    <xf numFmtId="0" fontId="25"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7" fillId="19" borderId="0" applyAlignment="1" pivotButton="0" quotePrefix="0" xfId="0">
      <alignment horizontal="center" vertical="center" textRotation="90" wrapText="1"/>
    </xf>
    <xf numFmtId="0" fontId="27" fillId="19" borderId="0" applyAlignment="1" pivotButton="0" quotePrefix="0" xfId="0">
      <alignment horizontal="center" vertical="center" textRotation="90" wrapText="1"/>
    </xf>
    <xf numFmtId="0" fontId="28" fillId="18" borderId="0" applyAlignment="1" pivotButton="0" quotePrefix="0" xfId="0">
      <alignment horizontal="center" vertical="center" textRotation="90" wrapText="1"/>
    </xf>
    <xf numFmtId="0" fontId="28" fillId="10" borderId="0" applyAlignment="1" pivotButton="0" quotePrefix="0" xfId="0">
      <alignment horizontal="center" vertical="center" textRotation="90" wrapText="1"/>
    </xf>
    <xf numFmtId="0" fontId="28" fillId="18" borderId="3" applyAlignment="1" pivotButton="0" quotePrefix="0" xfId="0">
      <alignment horizontal="center" vertical="center" textRotation="90" wrapText="1"/>
    </xf>
    <xf numFmtId="0" fontId="26" fillId="16" borderId="0" applyAlignment="1" pivotButton="0" quotePrefix="0" xfId="0">
      <alignment horizontal="center" vertical="center" textRotation="90" wrapText="1"/>
    </xf>
    <xf numFmtId="0" fontId="28"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2" fillId="0" borderId="0" applyProtection="1" pivotButton="0" quotePrefix="0" xfId="0">
      <protection locked="0" hidden="0"/>
    </xf>
    <xf numFmtId="0" fontId="2" fillId="0" borderId="0" pivotButton="0" quotePrefix="0" xfId="0"/>
    <xf numFmtId="0" fontId="6" fillId="0" borderId="0" pivotButton="0" quotePrefix="0" xfId="0"/>
    <xf numFmtId="165" fontId="6" fillId="0" borderId="0" pivotButton="0" quotePrefix="0" xfId="0"/>
    <xf numFmtId="0" fontId="15" fillId="0" borderId="0" pivotButton="0" quotePrefix="0" xfId="0"/>
    <xf numFmtId="165" fontId="15" fillId="0" borderId="0" pivotButton="0" quotePrefix="0" xfId="0"/>
    <xf numFmtId="0" fontId="20"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165" fontId="1" fillId="0" borderId="0" pivotButton="0" quotePrefix="0" xfId="0"/>
    <xf numFmtId="165" fontId="0" fillId="0" borderId="0" pivotButton="0" quotePrefix="0" xfId="0"/>
    <xf numFmtId="0" fontId="0" fillId="0" borderId="0" applyProtection="1" pivotButton="0" quotePrefix="0" xfId="0">
      <protection locked="0" hidden="0"/>
    </xf>
    <xf numFmtId="1" fontId="0" fillId="0" borderId="0" applyProtection="1" pivotButton="0" quotePrefix="0" xfId="0">
      <protection locked="0" hidden="0"/>
    </xf>
    <xf numFmtId="2"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29" fillId="0" borderId="0" applyAlignment="1" pivotButton="0" quotePrefix="0" xfId="0">
      <alignment vertical="center"/>
    </xf>
    <xf numFmtId="0" fontId="22" fillId="3" borderId="0" applyAlignment="1" pivotButton="0" quotePrefix="0" xfId="0">
      <alignment horizontal="center" vertical="center" wrapText="1"/>
    </xf>
    <xf numFmtId="0" fontId="31" fillId="3" borderId="0" applyAlignment="1" pivotButton="0" quotePrefix="0" xfId="0">
      <alignment horizontal="center" vertical="center"/>
    </xf>
    <xf numFmtId="0" fontId="30" fillId="3" borderId="0" applyAlignment="1" pivotButton="0" quotePrefix="0" xfId="0">
      <alignment horizontal="left" vertical="top" wrapText="1"/>
    </xf>
    <xf numFmtId="0" fontId="29" fillId="3" borderId="0" applyAlignment="1" pivotButton="0" quotePrefix="0" xfId="0">
      <alignment horizontal="left" vertical="top" wrapText="1"/>
    </xf>
    <xf numFmtId="0" fontId="19" fillId="20" borderId="5" applyAlignment="1" pivotButton="0" quotePrefix="0" xfId="0">
      <alignment horizontal="left" vertical="top" wrapText="1"/>
    </xf>
    <xf numFmtId="0" fontId="19" fillId="20" borderId="6" applyAlignment="1" pivotButton="0" quotePrefix="0" xfId="0">
      <alignment horizontal="left" vertical="top" wrapText="1"/>
    </xf>
    <xf numFmtId="0" fontId="19" fillId="20" borderId="7" applyAlignment="1" pivotButton="0" quotePrefix="0" xfId="0">
      <alignment horizontal="left" vertical="top" wrapText="1"/>
    </xf>
    <xf numFmtId="0" fontId="30" fillId="3" borderId="0" applyAlignment="1" pivotButton="0" quotePrefix="0" xfId="0">
      <alignment vertical="top" wrapText="1"/>
    </xf>
    <xf numFmtId="49" fontId="30" fillId="3" borderId="0" applyAlignment="1" pivotButton="0" quotePrefix="0" xfId="0">
      <alignment horizontal="left" vertical="top"/>
    </xf>
    <xf numFmtId="0" fontId="30" fillId="3" borderId="0" applyAlignment="1" pivotButton="0" quotePrefix="0" xfId="0">
      <alignment horizontal="left" vertical="center"/>
    </xf>
    <xf numFmtId="0" fontId="29" fillId="3" borderId="0" applyAlignment="1" pivotButton="0" quotePrefix="0" xfId="0">
      <alignment horizontal="left" vertical="top"/>
    </xf>
    <xf numFmtId="1" fontId="15" fillId="5" borderId="0" applyAlignment="1" pivotButton="0" quotePrefix="0" xfId="0">
      <alignment horizontal="center" vertical="center" textRotation="90"/>
    </xf>
    <xf numFmtId="0" fontId="15"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3" fillId="0" borderId="0" applyAlignment="1" pivotButton="0" quotePrefix="0" xfId="0">
      <alignment horizontal="center" vertical="center"/>
    </xf>
    <xf numFmtId="1" fontId="0" fillId="0" borderId="0" pivotButton="0" quotePrefix="0" xfId="2"/>
    <xf numFmtId="0" fontId="0" fillId="0" borderId="0" pivotButton="0" quotePrefix="0" xfId="1"/>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3" fillId="0" borderId="0" applyAlignment="1" pivotButton="0" quotePrefix="0" xfId="0">
      <alignment horizontal="left" vertical="center"/>
    </xf>
  </cellXfs>
  <cellStyles count="3">
    <cellStyle name="Normal" xfId="0" builtinId="0"/>
    <cellStyle name="Comma" xfId="1" builtinId="3"/>
    <cellStyle name="Currency" xfId="2" builtinId="4"/>
  </cellStyles>
  <dxfs count="160">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theme="9" tint="-0.499984740745262"/>
      </font>
      <fill>
        <patternFill>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65" formatCode="0;\-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8"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J2" headerRowCount="1" insertRow="1" totalsRowShown="0">
  <autoFilter ref="A1:J2"/>
  <tableColumns count="10">
    <tableColumn id="1" name="ColumnName"/>
    <tableColumn id="2" name="Name"/>
    <tableColumn id="3" name="DivAward"/>
    <tableColumn id="4" name="TournCount"/>
    <tableColumn id="5" name="D1Count"/>
    <tableColumn id="6" name="D2Count"/>
    <tableColumn id="7" name="Label1"/>
    <tableColumn id="8" name="Label2"/>
    <tableColumn id="9" name="Label3"/>
    <tableColumn id="10"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50" headerRowCount="1" totalsRowShown="0" headerRowDxfId="149" dataDxfId="147" headerRowBorderDxfId="148">
  <autoFilter ref="A2:W150"/>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IF(U3,_xlfn.RANK.EQ(U3,U$3:U$17,0),NumberOfTeams)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50" headerRowCount="1" totalsRowShown="0" headerRowDxfId="123" dataDxfId="121" headerRowBorderDxfId="122">
  <autoFilter ref="A1:F150"/>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MAX(C2:E150)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50" headerRowCount="1" totalsRowShown="0" headerRowDxfId="114" dataDxfId="113">
  <autoFilter ref="A1:O150"/>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50" headerRowCount="1" totalsRowShown="0" headerRowDxfId="97" dataDxfId="96">
  <autoFilter ref="A1:O150"/>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50" headerRowCount="1" totalsRowShown="0" headerRowDxfId="80" dataDxfId="79">
  <autoFilter ref="A1:T150"/>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outlineLevelCol="0"/>
  <cols>
    <col width="9.140625" customWidth="1" style="34" min="1" max="2"/>
    <col width="210.28515625" customWidth="1" style="34" min="3" max="3"/>
    <col width="9.140625" customWidth="1" style="34" min="4" max="16384"/>
  </cols>
  <sheetData>
    <row r="1" ht="115.5" customHeight="1">
      <c r="C1" s="93" t="inlineStr">
        <is>
          <t>Judge Advisor Instructions</t>
        </is>
      </c>
    </row>
    <row r="2" ht="102.75" customHeight="1">
      <c r="C2" s="92" t="inlineStr">
        <is>
          <t>DESIGNED FOR USE IN MICROSOFT EXCEL (DESKTOP APP).
SOME FUNCTIONALITY WILL BE LOST IN WEB OR OTHER APPLICATIONS.</t>
        </is>
      </c>
    </row>
    <row r="3" ht="39.75" customHeight="1">
      <c r="C3" s="102" t="inlineStr">
        <is>
          <t>See the instructions.pdf file for instructions with screenshots</t>
        </is>
      </c>
    </row>
    <row r="4" ht="110.25" customHeight="1">
      <c r="B4" s="100" t="inlineStr">
        <is>
          <t>1.</t>
        </is>
      </c>
      <c r="C4" s="9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99" t="n"/>
      <c r="C5" s="37" t="n"/>
    </row>
    <row r="6" ht="121.5" customHeight="1">
      <c r="B6" s="100" t="inlineStr">
        <is>
          <t>2.</t>
        </is>
      </c>
      <c r="C6" s="94" t="inlineStr">
        <is>
          <t>If you have enabled macros, there are two actions in the FLL OJS menu button that you can use. Note that some of the actions are password protected, but those actions would rarely, if ever, be needed by a judge advisor</t>
        </is>
      </c>
    </row>
    <row r="7" ht="31.5" customHeight="1">
      <c r="B7" s="101" t="n"/>
    </row>
    <row r="8" ht="138" customHeight="1">
      <c r="B8" s="101" t="n"/>
      <c r="C8" s="9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100" t="inlineStr">
        <is>
          <t>3.</t>
        </is>
      </c>
      <c r="C9" s="9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101" t="n"/>
      <c r="C10" s="9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101" t="n"/>
    </row>
    <row r="12" ht="20.45" customHeight="1">
      <c r="B12" s="101" t="n"/>
    </row>
    <row r="13" ht="73.5" customHeight="1">
      <c r="B13" s="100" t="inlineStr">
        <is>
          <t>4.</t>
        </is>
      </c>
      <c r="C13" s="94" t="inlineStr">
        <is>
          <t>When all the data has been entered, go the 'Results and Rankings' page to view all of the information in one place.</t>
        </is>
      </c>
    </row>
    <row r="14" ht="95.25" customHeight="1">
      <c r="B14" s="100" t="inlineStr">
        <is>
          <t>5.</t>
        </is>
      </c>
      <c r="C14" s="99" t="inlineStr">
        <is>
          <t>You are now ready to allocate your awards based on your rankings using the 'Awards and Allocations' document in the judging toolkit.</t>
        </is>
      </c>
    </row>
    <row r="15" ht="105" customHeight="1">
      <c r="B15" s="100" t="inlineStr">
        <is>
          <t>6.</t>
        </is>
      </c>
      <c r="C15" s="9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8" t="n"/>
      <c r="C16" s="35" t="n"/>
    </row>
    <row r="17" ht="39.95" customHeight="1" thickBot="1">
      <c r="C17" s="36" t="inlineStr">
        <is>
          <t>Useful Tips:</t>
        </is>
      </c>
    </row>
    <row r="18" ht="63.75" customHeight="1" thickBot="1">
      <c r="B18" s="35" t="n"/>
      <c r="C18" s="96" t="inlineStr">
        <is>
          <t>If you are copying data into the Input pages please remember to use the 'Paste Values' or 'Use Destination Formatting' option (This stops the formatting and formulae being overwritten)</t>
        </is>
      </c>
    </row>
    <row r="19" ht="39.95" customHeight="1" thickBot="1">
      <c r="C19" s="98" t="inlineStr">
        <is>
          <t>As you work with the OJS you should save your spreadsheet regularly in case of IT issues.</t>
        </is>
      </c>
    </row>
    <row r="20" ht="63" customHeight="1" thickBot="1">
      <c r="C20" s="98" t="inlineStr">
        <is>
          <t>If your event uses more than 3 official robot game matches, you can unhide columns F-G in 'Robot Game Scores' and columns P-Q in 'Core Values Input' for Gracious Professionalism scores.</t>
        </is>
      </c>
    </row>
    <row r="21" ht="60" customHeight="1" thickBot="1">
      <c r="C21" s="97" t="inlineStr">
        <is>
          <t>If referees hand in printed scoresheets, robot game scores will need to be calclulated using the 'Official Scoring Calculator' tool (online).</t>
        </is>
      </c>
    </row>
    <row r="22" ht="39.95" customHeight="1" thickBot="1">
      <c r="C22" s="97" t="inlineStr">
        <is>
          <t>You may use the excel filter option to adjust the rows that are seen, but the sort function is disabled.</t>
        </is>
      </c>
    </row>
    <row r="23" ht="39.95" customHeight="1" thickBot="1">
      <c r="C23" s="98" t="inlineStr">
        <is>
          <t>If you need to delete an award from a team, just select the cell and tap the delete key</t>
        </is>
      </c>
    </row>
  </sheetData>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tabSelected="1" zoomScaleNormal="100" workbookViewId="0">
      <selection activeCell="A2" sqref="A2"/>
    </sheetView>
  </sheetViews>
  <sheetFormatPr baseColWidth="8" defaultColWidth="9.140625" defaultRowHeight="39.95" customHeight="1" outlineLevelCol="0"/>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1"/>
    <col width="13.7109375" customWidth="1" style="5" min="12" max="12"/>
    <col width="9.140625" customWidth="1" style="5" min="13" max="16384"/>
  </cols>
  <sheetData>
    <row r="1" ht="61.5" customFormat="1" customHeight="1" s="1" thickBot="1">
      <c r="A1" s="113" t="inlineStr">
        <is>
          <t>FIRST® LEGO® League Challenge Official Judging Spreadsheet</t>
        </is>
      </c>
      <c r="E1" s="7" t="inlineStr">
        <is>
          <t>Teams</t>
        </is>
      </c>
      <c r="F1" s="90">
        <f>COUNT(OfficialTeamList[Team '#])</f>
        <v/>
      </c>
      <c r="G1" s="90" t="inlineStr">
        <is>
          <t>Pods</t>
        </is>
      </c>
      <c r="H1" s="91">
        <f>MAX(OfficialTeamList[Pod Number])</f>
        <v/>
      </c>
      <c r="I1" s="89" t="n"/>
    </row>
    <row r="2" ht="21" customFormat="1" customHeight="1" s="2" thickBot="1">
      <c r="A2" s="7" t="inlineStr">
        <is>
          <t>Team #</t>
        </is>
      </c>
      <c r="B2" s="7" t="inlineStr">
        <is>
          <t>Team Name</t>
        </is>
      </c>
      <c r="C2" s="6" t="inlineStr">
        <is>
          <t>Coach Name</t>
        </is>
      </c>
      <c r="D2" s="6" t="inlineStr">
        <is>
          <t>Pod Number</t>
        </is>
      </c>
      <c r="E2" s="111" t="inlineStr">
        <is>
          <t>Two emcees:</t>
        </is>
      </c>
      <c r="F2" s="112" t="b">
        <v>0</v>
      </c>
      <c r="G2" s="3" t="inlineStr">
        <is>
          <t>Setting this to TRUE will alternate shading in the closing ceremony script to make it easier to read</t>
        </is>
      </c>
    </row>
    <row r="3" ht="21" customFormat="1" customHeight="1" s="2">
      <c r="A3" s="69" t="n">
        <v>9021</v>
      </c>
      <c r="B3" s="69" t="inlineStr">
        <is>
          <t>Greenbrier Panthers</t>
        </is>
      </c>
      <c r="C3" s="69" t="inlineStr">
        <is>
          <t>John Sammons</t>
        </is>
      </c>
      <c r="D3" s="70" t="n">
        <v>0</v>
      </c>
      <c r="H3" s="3" t="n"/>
    </row>
    <row r="4" ht="21" customHeight="1">
      <c r="A4" t="n">
        <v>62149</v>
      </c>
      <c r="B4" t="inlineStr">
        <is>
          <t>Dynamite Dolphins</t>
        </is>
      </c>
      <c r="C4" t="inlineStr">
        <is>
          <t>Jonathan Torch</t>
        </is>
      </c>
      <c r="D4" t="n">
        <v>0</v>
      </c>
    </row>
    <row r="5" ht="21" customHeight="1">
      <c r="A5" t="n">
        <v>62706</v>
      </c>
      <c r="B5" t="inlineStr">
        <is>
          <t>OLMC Aquinas</t>
        </is>
      </c>
      <c r="C5" t="inlineStr">
        <is>
          <t>Patrick McFadden</t>
        </is>
      </c>
      <c r="D5" t="n">
        <v>0</v>
      </c>
    </row>
    <row r="6" ht="21" customHeight="1">
      <c r="A6" t="n">
        <v>73002</v>
      </c>
      <c r="B6" t="inlineStr">
        <is>
          <t>MCH Monarchs</t>
        </is>
      </c>
      <c r="C6" t="inlineStr">
        <is>
          <t>Kathy Hendrickson</t>
        </is>
      </c>
      <c r="D6" t="n">
        <v>0</v>
      </c>
    </row>
    <row r="7" ht="21" customHeight="1">
      <c r="A7" t="n">
        <v>73106</v>
      </c>
      <c r="B7" t="inlineStr">
        <is>
          <t>Kempsville Dino-Nuggets</t>
        </is>
      </c>
      <c r="C7" t="inlineStr">
        <is>
          <t>Kiel Phillips</t>
        </is>
      </c>
      <c r="D7" t="n">
        <v>0</v>
      </c>
    </row>
    <row r="8" ht="21" customHeight="1"/>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sheetData>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outlineLevelCol="0"/>
  <cols>
    <col width="10.7109375" customWidth="1" min="1" max="1"/>
  </cols>
  <sheetData>
    <row r="1">
      <c r="A1" t="inlineStr">
        <is>
          <t>Advance</t>
        </is>
      </c>
    </row>
    <row r="2">
      <c r="A2" t="inlineStr">
        <is>
          <t>Yes</t>
        </is>
      </c>
    </row>
    <row r="3">
      <c r="A3" t="inlineStr">
        <is>
          <t>No</t>
        </is>
      </c>
    </row>
    <row r="4">
      <c r="A4" t="inlineStr">
        <is>
          <t>Alt</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8"/>
  <sheetViews>
    <sheetView workbookViewId="0">
      <selection activeCell="B8" sqref="B8"/>
    </sheetView>
  </sheetViews>
  <sheetFormatPr baseColWidth="8" defaultRowHeight="15" outlineLevelCol="0"/>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sheetData>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outlineLevelCol="0"/>
  <cols>
    <col width="34.5703125" customWidth="1" min="1" max="1"/>
    <col width="30.28515625" customWidth="1" min="3" max="3"/>
  </cols>
  <sheetData>
    <row r="1">
      <c r="A1" t="inlineStr">
        <is>
          <t>Award</t>
        </is>
      </c>
      <c r="C1" t="inlineStr">
        <is>
          <t>Robot Game Awards</t>
        </is>
      </c>
    </row>
    <row r="2">
      <c r="A2" t="n">
        <v/>
      </c>
      <c r="C2" t="n">
        <v/>
      </c>
    </row>
    <row r="3">
      <c r="A3" t="n">
        <v/>
      </c>
      <c r="C3" t="n">
        <v/>
      </c>
    </row>
    <row r="4">
      <c r="A4" t="n">
        <v/>
      </c>
      <c r="C4" t="n">
        <v/>
      </c>
    </row>
    <row r="5">
      <c r="A5" t="n">
        <v/>
      </c>
    </row>
    <row r="6">
      <c r="A6" t="n">
        <v/>
      </c>
    </row>
    <row r="7">
      <c r="A7" t="n">
        <v/>
      </c>
    </row>
    <row r="8">
      <c r="A8" t="n">
        <v/>
      </c>
    </row>
    <row r="9">
      <c r="A9" t="n">
        <v/>
      </c>
    </row>
    <row r="10">
      <c r="A10" t="n">
        <v/>
      </c>
    </row>
    <row r="11">
      <c r="A11" t="n">
        <v/>
      </c>
    </row>
    <row r="12">
      <c r="A12" t="n">
        <v/>
      </c>
    </row>
    <row r="13">
      <c r="A13" t="n">
        <v/>
      </c>
    </row>
    <row r="14">
      <c r="A14" t="n">
        <v/>
      </c>
    </row>
    <row r="15">
      <c r="A15" t="n">
        <v/>
      </c>
    </row>
    <row r="16">
      <c r="A16" t="n">
        <v/>
      </c>
    </row>
    <row r="17">
      <c r="A17" t="n">
        <v/>
      </c>
    </row>
    <row r="18">
      <c r="A18" t="n">
        <v/>
      </c>
    </row>
    <row r="19">
      <c r="A19" t="n">
        <v/>
      </c>
    </row>
    <row r="20">
      <c r="A20" t="n">
        <v/>
      </c>
    </row>
    <row r="21">
      <c r="A21" t="n">
        <v/>
      </c>
    </row>
    <row r="22">
      <c r="A22" t="n">
        <v/>
      </c>
    </row>
    <row r="23">
      <c r="A23" t="n">
        <v/>
      </c>
    </row>
    <row r="24">
      <c r="A24" t="n">
        <v/>
      </c>
    </row>
    <row r="25">
      <c r="A25" t="n">
        <v/>
      </c>
    </row>
  </sheetData>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J1"/>
  <sheetViews>
    <sheetView workbookViewId="0">
      <selection activeCell="A1" sqref="A1"/>
    </sheetView>
  </sheetViews>
  <sheetFormatPr baseColWidth="8" defaultRowHeight="15" outlineLevelCol="0"/>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OnAwdDropDown</t>
        </is>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outlineLevelCol="0"/>
  <cols>
    <col width="10" bestFit="1" customWidth="1" min="3" max="3"/>
  </cols>
  <sheetData>
    <row r="1">
      <c r="B1" t="inlineStr">
        <is>
          <t>POD</t>
        </is>
      </c>
      <c r="C1" s="60"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483"/>
  <sheetViews>
    <sheetView zoomScaleNormal="100" workbookViewId="0">
      <pane xSplit="3" ySplit="2" topLeftCell="D3" activePane="bottomRight" state="frozen"/>
      <selection pane="topRight" activeCell="C1" sqref="C1"/>
      <selection pane="bottomLeft" activeCell="A3" sqref="A3"/>
      <selection pane="bottomRight" activeCell="Q1" sqref="Q1"/>
    </sheetView>
  </sheetViews>
  <sheetFormatPr baseColWidth="8" defaultColWidth="9.140625" defaultRowHeight="20.25" customHeight="1" outlineLevelCol="0"/>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7" min="26" max="26"/>
    <col width="9.140625" customWidth="1" style="25" min="27" max="29"/>
    <col width="9.140625" customWidth="1" style="24" min="30" max="33"/>
    <col width="9.140625" customWidth="1" style="24" min="34" max="16384"/>
  </cols>
  <sheetData>
    <row r="1" ht="54.75" customFormat="1" customHeight="1" s="115">
      <c r="A1" s="114" t="inlineStr">
        <is>
          <t>Team Information</t>
        </is>
      </c>
      <c r="D1" s="114" t="inlineStr">
        <is>
          <t>Robot Game</t>
        </is>
      </c>
      <c r="K1" s="114" t="inlineStr">
        <is>
          <t>Judging</t>
        </is>
      </c>
      <c r="N1" s="114" t="inlineStr">
        <is>
          <t>Overall</t>
        </is>
      </c>
      <c r="P1" s="114" t="inlineStr">
        <is>
          <t>Awards</t>
        </is>
      </c>
      <c r="Q1" s="107">
        <f>VLOOKUP("ADV", AwardDef[], 5,0)</f>
        <v/>
      </c>
      <c r="R1" s="114" t="inlineStr">
        <is>
          <t>Testing Items (Info Only)</t>
        </is>
      </c>
      <c r="W1" s="110">
        <f>"You have selected " &amp; COUNTIF(TournamentData[Advance?],"Yes") &amp; " of " &amp; Q1 &amp; " permitted advancing teams" &amp; CHAR(10) &amp; IF(COUNTIF(TournamentData[Advance?],"Alt")&gt;0,"You have selected an alternative advancing team", "You have NOT selected an alternative advancing team")</f>
        <v/>
      </c>
      <c r="X1" s="114" t="n"/>
      <c r="Z1" s="46" t="n"/>
    </row>
    <row r="2" ht="118.5" customFormat="1" customHeight="1" s="9">
      <c r="A2" s="48" t="inlineStr">
        <is>
          <t>Team Number</t>
        </is>
      </c>
      <c r="B2" s="48" t="inlineStr">
        <is>
          <t>POD</t>
        </is>
      </c>
      <c r="C2" s="48" t="inlineStr">
        <is>
          <t>Team Name</t>
        </is>
      </c>
      <c r="D2" s="49" t="inlineStr">
        <is>
          <t>Robot Game Score 1</t>
        </is>
      </c>
      <c r="E2" s="49" t="inlineStr">
        <is>
          <t>Robot Game Score 2</t>
        </is>
      </c>
      <c r="F2" s="49" t="inlineStr">
        <is>
          <t>Robot Game Score 3</t>
        </is>
      </c>
      <c r="G2" s="49" t="inlineStr">
        <is>
          <t>Robot Game Score 4</t>
        </is>
      </c>
      <c r="H2" s="49" t="inlineStr">
        <is>
          <t>Robot Game Score 5</t>
        </is>
      </c>
      <c r="I2" s="49" t="inlineStr">
        <is>
          <t>Max Robot Game Score</t>
        </is>
      </c>
      <c r="J2" s="50" t="inlineStr">
        <is>
          <t>Robot Game Rank</t>
        </is>
      </c>
      <c r="K2" s="51" t="inlineStr">
        <is>
          <t>Core Values Rank</t>
        </is>
      </c>
      <c r="L2" s="52" t="inlineStr">
        <is>
          <t>Innovation Project Rank</t>
        </is>
      </c>
      <c r="M2" s="53" t="inlineStr">
        <is>
          <t>Robot Design Rank</t>
        </is>
      </c>
      <c r="N2" s="54" t="inlineStr">
        <is>
          <t>Champion's Score</t>
        </is>
      </c>
      <c r="O2" s="55" t="inlineStr">
        <is>
          <t>Champion's Rank</t>
        </is>
      </c>
      <c r="P2" s="48" t="inlineStr">
        <is>
          <t>Award</t>
        </is>
      </c>
      <c r="Q2" s="48"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5" t="n"/>
    </row>
    <row r="3" ht="21" customHeight="1">
      <c r="A3" s="69" t="n">
        <v>1</v>
      </c>
      <c r="B3" s="69">
        <f>INDEX(OfficialTeamList[Pod Number],MATCH(TournamentData[[#This Row],[Team Number]], OfficialTeamList[Team '#],0))</f>
        <v/>
      </c>
      <c r="C3" s="105">
        <f>INDEX(OfficialTeamList[Team Name],MATCH(TournamentData[[#This Row],[Team Number]], OfficialTeamList[Team '#],0))</f>
        <v/>
      </c>
      <c r="D3" s="79">
        <f>IF(TournamentData[[#This Row],[Team Number]]="","",IF(ISNA(INDEX('Robot Game Scores'!C:C,MATCH(TournamentData[[#This Row],[Team Number]], 'Robot Game Scores'!$A:$A,0))),0,INDEX('Robot Game Scores'!C:C,MATCH(TournamentData[[#This Row],[Team Number]], 'Robot Game Scores'!$A:$A,0))))</f>
        <v/>
      </c>
      <c r="E3" s="79">
        <f>IF(TournamentData[[#This Row],[Team Number]]="","",IF(ISNA(INDEX('Robot Game Scores'!D:D,MATCH(TournamentData[[#This Row],[Team Number]], 'Robot Game Scores'!$A:$A,0))),0,INDEX('Robot Game Scores'!D:D,MATCH(TournamentData[[#This Row],[Team Number]], 'Robot Game Scores'!$A:$A,0))))</f>
        <v/>
      </c>
      <c r="F3" s="79">
        <f>IF(TournamentData[[#This Row],[Team Number]]="","",IF(ISNA(INDEX('Robot Game Scores'!E:E,MATCH(TournamentData[[#This Row],[Team Number]], 'Robot Game Scores'!$A:$A,0))),0,INDEX('Robot Game Scores'!E:E,MATCH(TournamentData[[#This Row],[Team Number]], 'Robot Game Scores'!$A:$A,0))))</f>
        <v/>
      </c>
      <c r="G3" s="79">
        <f>IF(TournamentData[[#This Row],[Team Number]]="","",IF(ISNA(INDEX('Robot Game Scores'!#REF!,MATCH(TournamentData[[#This Row],[Team Number]], 'Robot Game Scores'!$A:$A,0))),0,INDEX('Robot Game Scores'!#REF!,MATCH(TournamentData[[#This Row],[Team Number]], 'Robot Game Scores'!$A:$A,0))))</f>
        <v/>
      </c>
      <c r="H3" s="79">
        <f>IF(TournamentData[[#This Row],[Team Number]]="","",IF(ISNA(INDEX('Robot Game Scores'!#REF!,MATCH(TournamentData[[#This Row],[Team Number]], 'Robot Game Scores'!$A:$A,0))),0,INDEX('Robot Game Scores'!#REF!,MATCH(TournamentData[[#This Row],[Team Number]], 'Robot Game Scores'!$A:$A,0))))</f>
        <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9">
        <f>_xlfn.RANK.EQ(TournamentData[[#This Row],[Max Robot Game Score]],TournamentData[Max Robot Game Score])</f>
        <v/>
      </c>
      <c r="K3" s="79">
        <f>INDEX(CoreValuesResults[Core Values Rank],MATCH(TournamentData[[#This Row],[Team Number]],CoreValuesResults[Team Number],0))</f>
        <v/>
      </c>
      <c r="L3" s="79">
        <f>INDEX(InnovationProjectResults[Innovation Project Rank],MATCH(TournamentData[[#This Row],[Team Number]],InnovationProjectResults[Team Number],0))</f>
        <v/>
      </c>
      <c r="M3" s="79">
        <f>INDEX(RobotDesignResults[Robot Design Rank],MATCH(TournamentData[[#This Row],[Team Number]],RobotDesignResults[Team Number],0))</f>
        <v/>
      </c>
      <c r="N3" s="79">
        <f>SUM(TournamentData[[#This Row],[Robot Game Rank]:[Robot Design Rank]])</f>
        <v/>
      </c>
      <c r="O3" s="78">
        <f>RANK(TournamentData[[#This Row],[Champion''s Score]],TournamentData[Champion''s Score],1)</f>
        <v/>
      </c>
      <c r="P3" s="80" t="n"/>
      <c r="Q3" s="86" t="inlineStr">
        <is>
          <t>No</t>
        </is>
      </c>
      <c r="R3" s="81">
        <f>IF(ISNA(INDEX(CoreValuesResults[Core Values Score],MATCH(TournamentData[[#This Row],[Team Number]],CoreValuesResults[Team Number],0))),0,INDEX(CoreValuesResults[Core Values Score],MATCH(TournamentData[[#This Row],[Team Number]],CoreValuesResults[Team Number],0)))</f>
        <v/>
      </c>
      <c r="S3" s="81">
        <f>IF(ISNA(INDEX(InnovationProjectResults[Innovation Project Score],MATCH(TournamentData[[#This Row],[Team Number]],InnovationProjectResults[Team Number],0))),0,INDEX(InnovationProjectResults[Innovation Project Score],MATCH(TournamentData[[#This Row],[Team Number]],InnovationProjectResults[Team Number],0)))</f>
        <v/>
      </c>
      <c r="T3" s="81">
        <f>IF(ISNA(INDEX(RobotDesignResults[Robot Design Score],MATCH(TournamentData[[#This Row],[Team Number]],RobotDesignResults[Team Number],0))),0,INDEX(RobotDesignResults[Robot Design Score],MATCH(TournamentData[[#This Row],[Team Number]],RobotDesignResults[Team Number],0)))</f>
        <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80">
        <f>IF(U3,_xlfn.RANK.EQ(U3,U$3:U$5,0),NumberOfTeams)</f>
        <v/>
      </c>
      <c r="W3" s="80" t="n"/>
    </row>
    <row r="4" ht="20.25" customHeight="1">
      <c r="A4" s="79" t="n">
        <v>2</v>
      </c>
      <c r="B4" s="79">
        <f>INDEX(OfficialTeamList[Pod Number],MATCH(TournamentData[[#This Row],[Team Number]], OfficialTeamList[Team '#],0))</f>
        <v/>
      </c>
      <c r="C4" s="105">
        <f>INDEX(OfficialTeamList[Team Name],MATCH(TournamentData[[#This Row],[Team Number]], OfficialTeamList[Team '#],0))</f>
        <v/>
      </c>
      <c r="D4" s="79">
        <f>IF(TournamentData[[#This Row],[Team Number]]="","",IF(ISNA(INDEX('Robot Game Scores'!C:C,MATCH(TournamentData[[#This Row],[Team Number]], 'Robot Game Scores'!$A:$A,0))),0,INDEX('Robot Game Scores'!C:C,MATCH(TournamentData[[#This Row],[Team Number]], 'Robot Game Scores'!$A:$A,0))))</f>
        <v/>
      </c>
      <c r="E4" s="79">
        <f>IF(TournamentData[[#This Row],[Team Number]]="","",IF(ISNA(INDEX('Robot Game Scores'!D:D,MATCH(TournamentData[[#This Row],[Team Number]], 'Robot Game Scores'!$A:$A,0))),0,INDEX('Robot Game Scores'!D:D,MATCH(TournamentData[[#This Row],[Team Number]], 'Robot Game Scores'!$A:$A,0))))</f>
        <v/>
      </c>
      <c r="F4" s="79">
        <f>IF(TournamentData[[#This Row],[Team Number]]="","",IF(ISNA(INDEX('Robot Game Scores'!E:E,MATCH(TournamentData[[#This Row],[Team Number]], 'Robot Game Scores'!$A:$A,0))),0,INDEX('Robot Game Scores'!E:E,MATCH(TournamentData[[#This Row],[Team Number]], 'Robot Game Scores'!$A:$A,0))))</f>
        <v/>
      </c>
      <c r="G4" s="79">
        <f>IF(TournamentData[[#This Row],[Team Number]]="","",IF(ISNA(INDEX('Robot Game Scores'!#REF!,MATCH(TournamentData[[#This Row],[Team Number]], 'Robot Game Scores'!$A:$A,0))),0,INDEX('Robot Game Scores'!#REF!,MATCH(TournamentData[[#This Row],[Team Number]], 'Robot Game Scores'!$A:$A,0))))</f>
        <v/>
      </c>
      <c r="H4" s="79">
        <f>IF(TournamentData[[#This Row],[Team Number]]="","",IF(ISNA(INDEX('Robot Game Scores'!#REF!,MATCH(TournamentData[[#This Row],[Team Number]], 'Robot Game Scores'!$A:$A,0))),0,INDEX('Robot Game Scores'!#REF!,MATCH(TournamentData[[#This Row],[Team Number]], 'Robot Game Scores'!$A:$A,0))))</f>
        <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9">
        <f>_xlfn.RANK.EQ(TournamentData[[#This Row],[Max Robot Game Score]],TournamentData[Max Robot Game Score])</f>
        <v/>
      </c>
      <c r="K4" s="79">
        <f>INDEX(CoreValuesResults[Core Values Rank],MATCH(TournamentData[[#This Row],[Team Number]],CoreValuesResults[Team Number],0))</f>
        <v/>
      </c>
      <c r="L4" s="79">
        <f>INDEX(InnovationProjectResults[Innovation Project Rank],MATCH(TournamentData[[#This Row],[Team Number]],InnovationProjectResults[Team Number],0))</f>
        <v/>
      </c>
      <c r="M4" s="79">
        <f>INDEX(RobotDesignResults[Robot Design Rank],MATCH(TournamentData[[#This Row],[Team Number]],RobotDesignResults[Team Number],0))</f>
        <v/>
      </c>
      <c r="N4" s="79">
        <f>SUM(TournamentData[[#This Row],[Robot Game Rank]:[Robot Design Rank]])</f>
        <v/>
      </c>
      <c r="O4" s="79">
        <f>RANK(TournamentData[[#This Row],[Champion''s Score]],TournamentData[Champion''s Score],1)</f>
        <v/>
      </c>
      <c r="P4" s="80" t="n"/>
      <c r="Q4" s="86" t="inlineStr">
        <is>
          <t>No</t>
        </is>
      </c>
      <c r="R4" s="81">
        <f>IF(ISNA(INDEX(CoreValuesResults[Core Values Score],MATCH(TournamentData[[#This Row],[Team Number]],CoreValuesResults[Team Number],0))),0,INDEX(CoreValuesResults[Core Values Score],MATCH(TournamentData[[#This Row],[Team Number]],CoreValuesResults[Team Number],0)))</f>
        <v/>
      </c>
      <c r="S4" s="81">
        <f>IF(ISNA(INDEX(InnovationProjectResults[Innovation Project Score],MATCH(TournamentData[[#This Row],[Team Number]],InnovationProjectResults[Team Number],0))),0,INDEX(InnovationProjectResults[Innovation Project Score],MATCH(TournamentData[[#This Row],[Team Number]],InnovationProjectResults[Team Number],0)))</f>
        <v/>
      </c>
      <c r="T4" s="81">
        <f>IF(ISNA(INDEX(RobotDesignResults[Robot Design Score],MATCH(TournamentData[[#This Row],[Team Number]],RobotDesignResults[Team Number],0))),0,INDEX(RobotDesignResults[Robot Design Score],MATCH(TournamentData[[#This Row],[Team Number]],RobotDesignResults[Team Number],0)))</f>
        <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80">
        <f>IF(U4,_xlfn.RANK.EQ(U4,U$3:U$17,0),NumberOfTeams)</f>
        <v/>
      </c>
      <c r="W4" s="80" t="n"/>
    </row>
    <row r="5" ht="20.25" customHeight="1">
      <c r="A5" s="79" t="n">
        <v>3</v>
      </c>
      <c r="B5" s="79">
        <f>INDEX(OfficialTeamList[Pod Number],MATCH(TournamentData[[#This Row],[Team Number]], OfficialTeamList[Team '#],0))</f>
        <v/>
      </c>
      <c r="C5" s="105">
        <f>INDEX(OfficialTeamList[Team Name],MATCH(TournamentData[[#This Row],[Team Number]], OfficialTeamList[Team '#],0))</f>
        <v/>
      </c>
      <c r="D5" s="79">
        <f>IF(TournamentData[[#This Row],[Team Number]]="","",IF(ISNA(INDEX('Robot Game Scores'!C:C,MATCH(TournamentData[[#This Row],[Team Number]], 'Robot Game Scores'!$A:$A,0))),0,INDEX('Robot Game Scores'!C:C,MATCH(TournamentData[[#This Row],[Team Number]], 'Robot Game Scores'!$A:$A,0))))</f>
        <v/>
      </c>
      <c r="E5" s="79">
        <f>IF(TournamentData[[#This Row],[Team Number]]="","",IF(ISNA(INDEX('Robot Game Scores'!D:D,MATCH(TournamentData[[#This Row],[Team Number]], 'Robot Game Scores'!$A:$A,0))),0,INDEX('Robot Game Scores'!D:D,MATCH(TournamentData[[#This Row],[Team Number]], 'Robot Game Scores'!$A:$A,0))))</f>
        <v/>
      </c>
      <c r="F5" s="79">
        <f>IF(TournamentData[[#This Row],[Team Number]]="","",IF(ISNA(INDEX('Robot Game Scores'!E:E,MATCH(TournamentData[[#This Row],[Team Number]], 'Robot Game Scores'!$A:$A,0))),0,INDEX('Robot Game Scores'!E:E,MATCH(TournamentData[[#This Row],[Team Number]], 'Robot Game Scores'!$A:$A,0))))</f>
        <v/>
      </c>
      <c r="G5" s="79">
        <f>IF(TournamentData[[#This Row],[Team Number]]="","",IF(ISNA(INDEX('Robot Game Scores'!#REF!,MATCH(TournamentData[[#This Row],[Team Number]], 'Robot Game Scores'!$A:$A,0))),0,INDEX('Robot Game Scores'!#REF!,MATCH(TournamentData[[#This Row],[Team Number]], 'Robot Game Scores'!$A:$A,0))))</f>
        <v/>
      </c>
      <c r="H5" s="79">
        <f>IF(TournamentData[[#This Row],[Team Number]]="","",IF(ISNA(INDEX('Robot Game Scores'!#REF!,MATCH(TournamentData[[#This Row],[Team Number]], 'Robot Game Scores'!$A:$A,0))),0,INDEX('Robot Game Scores'!#REF!,MATCH(TournamentData[[#This Row],[Team Number]], 'Robot Game Scores'!$A:$A,0))))</f>
        <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9">
        <f>_xlfn.RANK.EQ(TournamentData[[#This Row],[Max Robot Game Score]],TournamentData[Max Robot Game Score])</f>
        <v/>
      </c>
      <c r="K5" s="79">
        <f>INDEX(CoreValuesResults[Core Values Rank],MATCH(TournamentData[[#This Row],[Team Number]],CoreValuesResults[Team Number],0))</f>
        <v/>
      </c>
      <c r="L5" s="79">
        <f>INDEX(InnovationProjectResults[Innovation Project Rank],MATCH(TournamentData[[#This Row],[Team Number]],InnovationProjectResults[Team Number],0))</f>
        <v/>
      </c>
      <c r="M5" s="79">
        <f>INDEX(RobotDesignResults[Robot Design Rank],MATCH(TournamentData[[#This Row],[Team Number]],RobotDesignResults[Team Number],0))</f>
        <v/>
      </c>
      <c r="N5" s="79">
        <f>SUM(TournamentData[[#This Row],[Robot Game Rank]:[Robot Design Rank]])</f>
        <v/>
      </c>
      <c r="O5" s="79">
        <f>RANK(TournamentData[[#This Row],[Champion''s Score]],TournamentData[Champion''s Score],1)</f>
        <v/>
      </c>
      <c r="P5" s="80" t="n"/>
      <c r="Q5" s="86" t="inlineStr">
        <is>
          <t>No</t>
        </is>
      </c>
      <c r="R5" s="81">
        <f>IF(ISNA(INDEX(CoreValuesResults[Core Values Score],MATCH(TournamentData[[#This Row],[Team Number]],CoreValuesResults[Team Number],0))),0,INDEX(CoreValuesResults[Core Values Score],MATCH(TournamentData[[#This Row],[Team Number]],CoreValuesResults[Team Number],0)))</f>
        <v/>
      </c>
      <c r="S5" s="81">
        <f>IF(ISNA(INDEX(InnovationProjectResults[Innovation Project Score],MATCH(TournamentData[[#This Row],[Team Number]],InnovationProjectResults[Team Number],0))),0,INDEX(InnovationProjectResults[Innovation Project Score],MATCH(TournamentData[[#This Row],[Team Number]],InnovationProjectResults[Team Number],0)))</f>
        <v/>
      </c>
      <c r="T5" s="81">
        <f>IF(ISNA(INDEX(RobotDesignResults[Robot Design Score],MATCH(TournamentData[[#This Row],[Team Number]],RobotDesignResults[Team Number],0))),0,INDEX(RobotDesignResults[Robot Design Score],MATCH(TournamentData[[#This Row],[Team Number]],RobotDesignResults[Team Number],0)))</f>
        <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80">
        <f>IF(U5,_xlfn.RANK.EQ(U5,U$3:U$17,0),NumberOfTeams)</f>
        <v/>
      </c>
      <c r="W5" s="80" t="n"/>
    </row>
    <row r="6" ht="20.25" customHeight="1">
      <c r="A6" s="79" t="n">
        <v>4</v>
      </c>
      <c r="B6" s="79">
        <f>INDEX(OfficialTeamList[Pod Number],MATCH(TournamentData[[#This Row],[Team Number]], OfficialTeamList[Team '#],0))</f>
        <v/>
      </c>
      <c r="C6" s="105">
        <f>INDEX(OfficialTeamList[Team Name],MATCH(TournamentData[[#This Row],[Team Number]], OfficialTeamList[Team '#],0))</f>
        <v/>
      </c>
      <c r="D6" s="79">
        <f>IF(TournamentData[[#This Row],[Team Number]]="","",IF(ISNA(INDEX('Robot Game Scores'!C:C,MATCH(TournamentData[[#This Row],[Team Number]], 'Robot Game Scores'!$A:$A,0))),0,INDEX('Robot Game Scores'!C:C,MATCH(TournamentData[[#This Row],[Team Number]], 'Robot Game Scores'!$A:$A,0))))</f>
        <v/>
      </c>
      <c r="E6" s="79">
        <f>IF(TournamentData[[#This Row],[Team Number]]="","",IF(ISNA(INDEX('Robot Game Scores'!D:D,MATCH(TournamentData[[#This Row],[Team Number]], 'Robot Game Scores'!$A:$A,0))),0,INDEX('Robot Game Scores'!D:D,MATCH(TournamentData[[#This Row],[Team Number]], 'Robot Game Scores'!$A:$A,0))))</f>
        <v/>
      </c>
      <c r="F6" s="79">
        <f>IF(TournamentData[[#This Row],[Team Number]]="","",IF(ISNA(INDEX('Robot Game Scores'!E:E,MATCH(TournamentData[[#This Row],[Team Number]], 'Robot Game Scores'!$A:$A,0))),0,INDEX('Robot Game Scores'!E:E,MATCH(TournamentData[[#This Row],[Team Number]], 'Robot Game Scores'!$A:$A,0))))</f>
        <v/>
      </c>
      <c r="G6" s="79">
        <f>IF(TournamentData[[#This Row],[Team Number]]="","",IF(ISNA(INDEX('Robot Game Scores'!#REF!,MATCH(TournamentData[[#This Row],[Team Number]], 'Robot Game Scores'!$A:$A,0))),0,INDEX('Robot Game Scores'!#REF!,MATCH(TournamentData[[#This Row],[Team Number]], 'Robot Game Scores'!$A:$A,0))))</f>
        <v/>
      </c>
      <c r="H6" s="79">
        <f>IF(TournamentData[[#This Row],[Team Number]]="","",IF(ISNA(INDEX('Robot Game Scores'!#REF!,MATCH(TournamentData[[#This Row],[Team Number]], 'Robot Game Scores'!$A:$A,0))),0,INDEX('Robot Game Scores'!#REF!,MATCH(TournamentData[[#This Row],[Team Number]], 'Robot Game Scores'!$A:$A,0))))</f>
        <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9">
        <f>_xlfn.RANK.EQ(TournamentData[[#This Row],[Max Robot Game Score]],TournamentData[Max Robot Game Score])</f>
        <v/>
      </c>
      <c r="K6" s="79">
        <f>INDEX(CoreValuesResults[Core Values Rank],MATCH(TournamentData[[#This Row],[Team Number]],CoreValuesResults[Team Number],0))</f>
        <v/>
      </c>
      <c r="L6" s="79">
        <f>INDEX(InnovationProjectResults[Innovation Project Rank],MATCH(TournamentData[[#This Row],[Team Number]],InnovationProjectResults[Team Number],0))</f>
        <v/>
      </c>
      <c r="M6" s="79">
        <f>INDEX(RobotDesignResults[Robot Design Rank],MATCH(TournamentData[[#This Row],[Team Number]],RobotDesignResults[Team Number],0))</f>
        <v/>
      </c>
      <c r="N6" s="79">
        <f>SUM(TournamentData[[#This Row],[Robot Game Rank]:[Robot Design Rank]])</f>
        <v/>
      </c>
      <c r="O6" s="79">
        <f>RANK(TournamentData[[#This Row],[Champion''s Score]],TournamentData[Champion''s Score],1)</f>
        <v/>
      </c>
      <c r="P6" s="80" t="n"/>
      <c r="Q6" s="86" t="inlineStr">
        <is>
          <t>No</t>
        </is>
      </c>
      <c r="R6" s="81">
        <f>IF(ISNA(INDEX(CoreValuesResults[Core Values Score],MATCH(TournamentData[[#This Row],[Team Number]],CoreValuesResults[Team Number],0))),0,INDEX(CoreValuesResults[Core Values Score],MATCH(TournamentData[[#This Row],[Team Number]],CoreValuesResults[Team Number],0)))</f>
        <v/>
      </c>
      <c r="S6" s="81">
        <f>IF(ISNA(INDEX(InnovationProjectResults[Innovation Project Score],MATCH(TournamentData[[#This Row],[Team Number]],InnovationProjectResults[Team Number],0))),0,INDEX(InnovationProjectResults[Innovation Project Score],MATCH(TournamentData[[#This Row],[Team Number]],InnovationProjectResults[Team Number],0)))</f>
        <v/>
      </c>
      <c r="T6" s="81">
        <f>IF(ISNA(INDEX(RobotDesignResults[Robot Design Score],MATCH(TournamentData[[#This Row],[Team Number]],RobotDesignResults[Team Number],0))),0,INDEX(RobotDesignResults[Robot Design Score],MATCH(TournamentData[[#This Row],[Team Number]],RobotDesignResults[Team Number],0)))</f>
        <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80">
        <f>IF(U6,_xlfn.RANK.EQ(U6,U$3:U$17,0),NumberOfTeams)</f>
        <v/>
      </c>
      <c r="W6" s="80" t="n"/>
    </row>
    <row r="7" ht="20.25" customHeight="1">
      <c r="A7" s="79" t="n">
        <v>5</v>
      </c>
      <c r="B7" s="79">
        <f>INDEX(OfficialTeamList[Pod Number],MATCH(TournamentData[[#This Row],[Team Number]], OfficialTeamList[Team '#],0))</f>
        <v/>
      </c>
      <c r="C7" s="105">
        <f>INDEX(OfficialTeamList[Team Name],MATCH(TournamentData[[#This Row],[Team Number]], OfficialTeamList[Team '#],0))</f>
        <v/>
      </c>
      <c r="D7" s="79">
        <f>IF(TournamentData[[#This Row],[Team Number]]="","",IF(ISNA(INDEX('Robot Game Scores'!C:C,MATCH(TournamentData[[#This Row],[Team Number]], 'Robot Game Scores'!$A:$A,0))),0,INDEX('Robot Game Scores'!C:C,MATCH(TournamentData[[#This Row],[Team Number]], 'Robot Game Scores'!$A:$A,0))))</f>
        <v/>
      </c>
      <c r="E7" s="79">
        <f>IF(TournamentData[[#This Row],[Team Number]]="","",IF(ISNA(INDEX('Robot Game Scores'!D:D,MATCH(TournamentData[[#This Row],[Team Number]], 'Robot Game Scores'!$A:$A,0))),0,INDEX('Robot Game Scores'!D:D,MATCH(TournamentData[[#This Row],[Team Number]], 'Robot Game Scores'!$A:$A,0))))</f>
        <v/>
      </c>
      <c r="F7" s="79">
        <f>IF(TournamentData[[#This Row],[Team Number]]="","",IF(ISNA(INDEX('Robot Game Scores'!E:E,MATCH(TournamentData[[#This Row],[Team Number]], 'Robot Game Scores'!$A:$A,0))),0,INDEX('Robot Game Scores'!E:E,MATCH(TournamentData[[#This Row],[Team Number]], 'Robot Game Scores'!$A:$A,0))))</f>
        <v/>
      </c>
      <c r="G7" s="79">
        <f>IF(TournamentData[[#This Row],[Team Number]]="","",IF(ISNA(INDEX('Robot Game Scores'!#REF!,MATCH(TournamentData[[#This Row],[Team Number]], 'Robot Game Scores'!$A:$A,0))),0,INDEX('Robot Game Scores'!#REF!,MATCH(TournamentData[[#This Row],[Team Number]], 'Robot Game Scores'!$A:$A,0))))</f>
        <v/>
      </c>
      <c r="H7" s="79">
        <f>IF(TournamentData[[#This Row],[Team Number]]="","",IF(ISNA(INDEX('Robot Game Scores'!#REF!,MATCH(TournamentData[[#This Row],[Team Number]], 'Robot Game Scores'!$A:$A,0))),0,INDEX('Robot Game Scores'!#REF!,MATCH(TournamentData[[#This Row],[Team Number]], 'Robot Game Scores'!$A:$A,0))))</f>
        <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9">
        <f>_xlfn.RANK.EQ(TournamentData[[#This Row],[Max Robot Game Score]],TournamentData[Max Robot Game Score])</f>
        <v/>
      </c>
      <c r="K7" s="79">
        <f>INDEX(CoreValuesResults[Core Values Rank],MATCH(TournamentData[[#This Row],[Team Number]],CoreValuesResults[Team Number],0))</f>
        <v/>
      </c>
      <c r="L7" s="79">
        <f>INDEX(InnovationProjectResults[Innovation Project Rank],MATCH(TournamentData[[#This Row],[Team Number]],InnovationProjectResults[Team Number],0))</f>
        <v/>
      </c>
      <c r="M7" s="79">
        <f>INDEX(RobotDesignResults[Robot Design Rank],MATCH(TournamentData[[#This Row],[Team Number]],RobotDesignResults[Team Number],0))</f>
        <v/>
      </c>
      <c r="N7" s="79">
        <f>SUM(TournamentData[[#This Row],[Robot Game Rank]:[Robot Design Rank]])</f>
        <v/>
      </c>
      <c r="O7" s="79">
        <f>RANK(TournamentData[[#This Row],[Champion''s Score]],TournamentData[Champion''s Score],1)</f>
        <v/>
      </c>
      <c r="P7" s="80" t="n"/>
      <c r="Q7" s="86" t="inlineStr">
        <is>
          <t>No</t>
        </is>
      </c>
      <c r="R7" s="81">
        <f>IF(ISNA(INDEX(CoreValuesResults[Core Values Score],MATCH(TournamentData[[#This Row],[Team Number]],CoreValuesResults[Team Number],0))),0,INDEX(CoreValuesResults[Core Values Score],MATCH(TournamentData[[#This Row],[Team Number]],CoreValuesResults[Team Number],0)))</f>
        <v/>
      </c>
      <c r="S7" s="81">
        <f>IF(ISNA(INDEX(InnovationProjectResults[Innovation Project Score],MATCH(TournamentData[[#This Row],[Team Number]],InnovationProjectResults[Team Number],0))),0,INDEX(InnovationProjectResults[Innovation Project Score],MATCH(TournamentData[[#This Row],[Team Number]],InnovationProjectResults[Team Number],0)))</f>
        <v/>
      </c>
      <c r="T7" s="81">
        <f>IF(ISNA(INDEX(RobotDesignResults[Robot Design Score],MATCH(TournamentData[[#This Row],[Team Number]],RobotDesignResults[Team Number],0))),0,INDEX(RobotDesignResults[Robot Design Score],MATCH(TournamentData[[#This Row],[Team Number]],RobotDesignResults[Team Number],0)))</f>
        <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80">
        <f>IF(U7,_xlfn.RANK.EQ(U7,U$3:U$17,0),NumberOfTeams)</f>
        <v/>
      </c>
      <c r="W7" s="80" t="n"/>
    </row>
    <row r="8" ht="20.25" customHeight="1">
      <c r="A8" s="79" t="n">
        <v>6</v>
      </c>
      <c r="B8" s="79">
        <f>INDEX(OfficialTeamList[Pod Number],MATCH(TournamentData[[#This Row],[Team Number]], OfficialTeamList[Team '#],0))</f>
        <v/>
      </c>
      <c r="C8" s="105">
        <f>INDEX(OfficialTeamList[Team Name],MATCH(TournamentData[[#This Row],[Team Number]], OfficialTeamList[Team '#],0))</f>
        <v/>
      </c>
      <c r="D8" s="79">
        <f>IF(TournamentData[[#This Row],[Team Number]]="","",IF(ISNA(INDEX('Robot Game Scores'!C:C,MATCH(TournamentData[[#This Row],[Team Number]], 'Robot Game Scores'!$A:$A,0))),0,INDEX('Robot Game Scores'!C:C,MATCH(TournamentData[[#This Row],[Team Number]], 'Robot Game Scores'!$A:$A,0))))</f>
        <v/>
      </c>
      <c r="E8" s="79">
        <f>IF(TournamentData[[#This Row],[Team Number]]="","",IF(ISNA(INDEX('Robot Game Scores'!D:D,MATCH(TournamentData[[#This Row],[Team Number]], 'Robot Game Scores'!$A:$A,0))),0,INDEX('Robot Game Scores'!D:D,MATCH(TournamentData[[#This Row],[Team Number]], 'Robot Game Scores'!$A:$A,0))))</f>
        <v/>
      </c>
      <c r="F8" s="79">
        <f>IF(TournamentData[[#This Row],[Team Number]]="","",IF(ISNA(INDEX('Robot Game Scores'!E:E,MATCH(TournamentData[[#This Row],[Team Number]], 'Robot Game Scores'!$A:$A,0))),0,INDEX('Robot Game Scores'!E:E,MATCH(TournamentData[[#This Row],[Team Number]], 'Robot Game Scores'!$A:$A,0))))</f>
        <v/>
      </c>
      <c r="G8" s="79">
        <f>IF(TournamentData[[#This Row],[Team Number]]="","",IF(ISNA(INDEX('Robot Game Scores'!#REF!,MATCH(TournamentData[[#This Row],[Team Number]], 'Robot Game Scores'!$A:$A,0))),0,INDEX('Robot Game Scores'!#REF!,MATCH(TournamentData[[#This Row],[Team Number]], 'Robot Game Scores'!$A:$A,0))))</f>
        <v/>
      </c>
      <c r="H8" s="79">
        <f>IF(TournamentData[[#This Row],[Team Number]]="","",IF(ISNA(INDEX('Robot Game Scores'!#REF!,MATCH(TournamentData[[#This Row],[Team Number]], 'Robot Game Scores'!$A:$A,0))),0,INDEX('Robot Game Scores'!#REF!,MATCH(TournamentData[[#This Row],[Team Number]], 'Robot Game Scores'!$A:$A,0))))</f>
        <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9">
        <f>_xlfn.RANK.EQ(TournamentData[[#This Row],[Max Robot Game Score]],TournamentData[Max Robot Game Score])</f>
        <v/>
      </c>
      <c r="K8" s="79">
        <f>INDEX(CoreValuesResults[Core Values Rank],MATCH(TournamentData[[#This Row],[Team Number]],CoreValuesResults[Team Number],0))</f>
        <v/>
      </c>
      <c r="L8" s="79">
        <f>INDEX(InnovationProjectResults[Innovation Project Rank],MATCH(TournamentData[[#This Row],[Team Number]],InnovationProjectResults[Team Number],0))</f>
        <v/>
      </c>
      <c r="M8" s="79">
        <f>INDEX(RobotDesignResults[Robot Design Rank],MATCH(TournamentData[[#This Row],[Team Number]],RobotDesignResults[Team Number],0))</f>
        <v/>
      </c>
      <c r="N8" s="79">
        <f>SUM(TournamentData[[#This Row],[Robot Game Rank]:[Robot Design Rank]])</f>
        <v/>
      </c>
      <c r="O8" s="79">
        <f>RANK(TournamentData[[#This Row],[Champion''s Score]],TournamentData[Champion''s Score],1)</f>
        <v/>
      </c>
      <c r="P8" s="80" t="n"/>
      <c r="Q8" s="86" t="inlineStr">
        <is>
          <t>No</t>
        </is>
      </c>
      <c r="R8" s="81">
        <f>IF(ISNA(INDEX(CoreValuesResults[Core Values Score],MATCH(TournamentData[[#This Row],[Team Number]],CoreValuesResults[Team Number],0))),0,INDEX(CoreValuesResults[Core Values Score],MATCH(TournamentData[[#This Row],[Team Number]],CoreValuesResults[Team Number],0)))</f>
        <v/>
      </c>
      <c r="S8" s="81">
        <f>IF(ISNA(INDEX(InnovationProjectResults[Innovation Project Score],MATCH(TournamentData[[#This Row],[Team Number]],InnovationProjectResults[Team Number],0))),0,INDEX(InnovationProjectResults[Innovation Project Score],MATCH(TournamentData[[#This Row],[Team Number]],InnovationProjectResults[Team Number],0)))</f>
        <v/>
      </c>
      <c r="T8" s="81">
        <f>IF(ISNA(INDEX(RobotDesignResults[Robot Design Score],MATCH(TournamentData[[#This Row],[Team Number]],RobotDesignResults[Team Number],0))),0,INDEX(RobotDesignResults[Robot Design Score],MATCH(TournamentData[[#This Row],[Team Number]],RobotDesignResults[Team Number],0)))</f>
        <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80">
        <f>IF(U8,_xlfn.RANK.EQ(U8,U$3:U$17,0),NumberOfTeams)</f>
        <v/>
      </c>
      <c r="W8" s="80" t="n"/>
    </row>
    <row r="9" ht="20.25" customHeight="1">
      <c r="A9" s="79" t="n">
        <v>7</v>
      </c>
      <c r="B9" s="79">
        <f>INDEX(OfficialTeamList[Pod Number],MATCH(TournamentData[[#This Row],[Team Number]], OfficialTeamList[Team '#],0))</f>
        <v/>
      </c>
      <c r="C9" s="105">
        <f>INDEX(OfficialTeamList[Team Name],MATCH(TournamentData[[#This Row],[Team Number]], OfficialTeamList[Team '#],0))</f>
        <v/>
      </c>
      <c r="D9" s="79">
        <f>IF(TournamentData[[#This Row],[Team Number]]="","",IF(ISNA(INDEX('Robot Game Scores'!C:C,MATCH(TournamentData[[#This Row],[Team Number]], 'Robot Game Scores'!$A:$A,0))),0,INDEX('Robot Game Scores'!C:C,MATCH(TournamentData[[#This Row],[Team Number]], 'Robot Game Scores'!$A:$A,0))))</f>
        <v/>
      </c>
      <c r="E9" s="79">
        <f>IF(TournamentData[[#This Row],[Team Number]]="","",IF(ISNA(INDEX('Robot Game Scores'!D:D,MATCH(TournamentData[[#This Row],[Team Number]], 'Robot Game Scores'!$A:$A,0))),0,INDEX('Robot Game Scores'!D:D,MATCH(TournamentData[[#This Row],[Team Number]], 'Robot Game Scores'!$A:$A,0))))</f>
        <v/>
      </c>
      <c r="F9" s="79">
        <f>IF(TournamentData[[#This Row],[Team Number]]="","",IF(ISNA(INDEX('Robot Game Scores'!E:E,MATCH(TournamentData[[#This Row],[Team Number]], 'Robot Game Scores'!$A:$A,0))),0,INDEX('Robot Game Scores'!E:E,MATCH(TournamentData[[#This Row],[Team Number]], 'Robot Game Scores'!$A:$A,0))))</f>
        <v/>
      </c>
      <c r="G9" s="79">
        <f>IF(TournamentData[[#This Row],[Team Number]]="","",IF(ISNA(INDEX('Robot Game Scores'!#REF!,MATCH(TournamentData[[#This Row],[Team Number]], 'Robot Game Scores'!$A:$A,0))),0,INDEX('Robot Game Scores'!#REF!,MATCH(TournamentData[[#This Row],[Team Number]], 'Robot Game Scores'!$A:$A,0))))</f>
        <v/>
      </c>
      <c r="H9" s="79">
        <f>IF(TournamentData[[#This Row],[Team Number]]="","",IF(ISNA(INDEX('Robot Game Scores'!#REF!,MATCH(TournamentData[[#This Row],[Team Number]], 'Robot Game Scores'!$A:$A,0))),0,INDEX('Robot Game Scores'!#REF!,MATCH(TournamentData[[#This Row],[Team Number]], 'Robot Game Scores'!$A:$A,0))))</f>
        <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9">
        <f>_xlfn.RANK.EQ(TournamentData[[#This Row],[Max Robot Game Score]],TournamentData[Max Robot Game Score])</f>
        <v/>
      </c>
      <c r="K9" s="79">
        <f>INDEX(CoreValuesResults[Core Values Rank],MATCH(TournamentData[[#This Row],[Team Number]],CoreValuesResults[Team Number],0))</f>
        <v/>
      </c>
      <c r="L9" s="79">
        <f>INDEX(InnovationProjectResults[Innovation Project Rank],MATCH(TournamentData[[#This Row],[Team Number]],InnovationProjectResults[Team Number],0))</f>
        <v/>
      </c>
      <c r="M9" s="79">
        <f>INDEX(RobotDesignResults[Robot Design Rank],MATCH(TournamentData[[#This Row],[Team Number]],RobotDesignResults[Team Number],0))</f>
        <v/>
      </c>
      <c r="N9" s="79">
        <f>SUM(TournamentData[[#This Row],[Robot Game Rank]:[Robot Design Rank]])</f>
        <v/>
      </c>
      <c r="O9" s="79">
        <f>RANK(TournamentData[[#This Row],[Champion''s Score]],TournamentData[Champion''s Score],1)</f>
        <v/>
      </c>
      <c r="P9" s="80" t="n"/>
      <c r="Q9" s="86" t="inlineStr">
        <is>
          <t>No</t>
        </is>
      </c>
      <c r="R9" s="81">
        <f>IF(ISNA(INDEX(CoreValuesResults[Core Values Score],MATCH(TournamentData[[#This Row],[Team Number]],CoreValuesResults[Team Number],0))),0,INDEX(CoreValuesResults[Core Values Score],MATCH(TournamentData[[#This Row],[Team Number]],CoreValuesResults[Team Number],0)))</f>
        <v/>
      </c>
      <c r="S9" s="81">
        <f>IF(ISNA(INDEX(InnovationProjectResults[Innovation Project Score],MATCH(TournamentData[[#This Row],[Team Number]],InnovationProjectResults[Team Number],0))),0,INDEX(InnovationProjectResults[Innovation Project Score],MATCH(TournamentData[[#This Row],[Team Number]],InnovationProjectResults[Team Number],0)))</f>
        <v/>
      </c>
      <c r="T9" s="81">
        <f>IF(ISNA(INDEX(RobotDesignResults[Robot Design Score],MATCH(TournamentData[[#This Row],[Team Number]],RobotDesignResults[Team Number],0))),0,INDEX(RobotDesignResults[Robot Design Score],MATCH(TournamentData[[#This Row],[Team Number]],RobotDesignResults[Team Number],0)))</f>
        <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80">
        <f>IF(U9,_xlfn.RANK.EQ(U9,U$3:U$17,0),NumberOfTeams)</f>
        <v/>
      </c>
      <c r="W9" s="80" t="n"/>
    </row>
    <row r="10" ht="20.25" customHeight="1">
      <c r="A10" s="79" t="n">
        <v>8</v>
      </c>
      <c r="B10" s="79">
        <f>INDEX(OfficialTeamList[Pod Number],MATCH(TournamentData[[#This Row],[Team Number]], OfficialTeamList[Team '#],0))</f>
        <v/>
      </c>
      <c r="C10" s="105">
        <f>INDEX(OfficialTeamList[Team Name],MATCH(TournamentData[[#This Row],[Team Number]], OfficialTeamList[Team '#],0))</f>
        <v/>
      </c>
      <c r="D10" s="79">
        <f>IF(TournamentData[[#This Row],[Team Number]]="","",IF(ISNA(INDEX('Robot Game Scores'!C:C,MATCH(TournamentData[[#This Row],[Team Number]], 'Robot Game Scores'!$A:$A,0))),0,INDEX('Robot Game Scores'!C:C,MATCH(TournamentData[[#This Row],[Team Number]], 'Robot Game Scores'!$A:$A,0))))</f>
        <v/>
      </c>
      <c r="E10" s="79">
        <f>IF(TournamentData[[#This Row],[Team Number]]="","",IF(ISNA(INDEX('Robot Game Scores'!D:D,MATCH(TournamentData[[#This Row],[Team Number]], 'Robot Game Scores'!$A:$A,0))),0,INDEX('Robot Game Scores'!D:D,MATCH(TournamentData[[#This Row],[Team Number]], 'Robot Game Scores'!$A:$A,0))))</f>
        <v/>
      </c>
      <c r="F10" s="79">
        <f>IF(TournamentData[[#This Row],[Team Number]]="","",IF(ISNA(INDEX('Robot Game Scores'!E:E,MATCH(TournamentData[[#This Row],[Team Number]], 'Robot Game Scores'!$A:$A,0))),0,INDEX('Robot Game Scores'!E:E,MATCH(TournamentData[[#This Row],[Team Number]], 'Robot Game Scores'!$A:$A,0))))</f>
        <v/>
      </c>
      <c r="G10" s="79">
        <f>IF(TournamentData[[#This Row],[Team Number]]="","",IF(ISNA(INDEX('Robot Game Scores'!#REF!,MATCH(TournamentData[[#This Row],[Team Number]], 'Robot Game Scores'!$A:$A,0))),0,INDEX('Robot Game Scores'!#REF!,MATCH(TournamentData[[#This Row],[Team Number]], 'Robot Game Scores'!$A:$A,0))))</f>
        <v/>
      </c>
      <c r="H10" s="79">
        <f>IF(TournamentData[[#This Row],[Team Number]]="","",IF(ISNA(INDEX('Robot Game Scores'!#REF!,MATCH(TournamentData[[#This Row],[Team Number]], 'Robot Game Scores'!$A:$A,0))),0,INDEX('Robot Game Scores'!#REF!,MATCH(TournamentData[[#This Row],[Team Number]], 'Robot Game Scores'!$A:$A,0))))</f>
        <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9">
        <f>_xlfn.RANK.EQ(TournamentData[[#This Row],[Max Robot Game Score]],TournamentData[Max Robot Game Score])</f>
        <v/>
      </c>
      <c r="K10" s="79">
        <f>INDEX(CoreValuesResults[Core Values Rank],MATCH(TournamentData[[#This Row],[Team Number]],CoreValuesResults[Team Number],0))</f>
        <v/>
      </c>
      <c r="L10" s="79">
        <f>INDEX(InnovationProjectResults[Innovation Project Rank],MATCH(TournamentData[[#This Row],[Team Number]],InnovationProjectResults[Team Number],0))</f>
        <v/>
      </c>
      <c r="M10" s="79">
        <f>INDEX(RobotDesignResults[Robot Design Rank],MATCH(TournamentData[[#This Row],[Team Number]],RobotDesignResults[Team Number],0))</f>
        <v/>
      </c>
      <c r="N10" s="79">
        <f>SUM(TournamentData[[#This Row],[Robot Game Rank]:[Robot Design Rank]])</f>
        <v/>
      </c>
      <c r="O10" s="79">
        <f>RANK(TournamentData[[#This Row],[Champion''s Score]],TournamentData[Champion''s Score],1)</f>
        <v/>
      </c>
      <c r="P10" s="80" t="n"/>
      <c r="Q10" s="86" t="inlineStr">
        <is>
          <t>No</t>
        </is>
      </c>
      <c r="R10" s="81">
        <f>IF(ISNA(INDEX(CoreValuesResults[Core Values Score],MATCH(TournamentData[[#This Row],[Team Number]],CoreValuesResults[Team Number],0))),0,INDEX(CoreValuesResults[Core Values Score],MATCH(TournamentData[[#This Row],[Team Number]],CoreValuesResults[Team Number],0)))</f>
        <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
      </c>
      <c r="T10" s="81">
        <f>IF(ISNA(INDEX(RobotDesignResults[Robot Design Score],MATCH(TournamentData[[#This Row],[Team Number]],RobotDesignResults[Team Number],0))),0,INDEX(RobotDesignResults[Robot Design Score],MATCH(TournamentData[[#This Row],[Team Number]],RobotDesignResults[Team Number],0)))</f>
        <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80">
        <f>IF(U10,_xlfn.RANK.EQ(U10,U$3:U$17,0),NumberOfTeams)</f>
        <v/>
      </c>
      <c r="W10" s="80" t="n"/>
    </row>
    <row r="11" ht="20.25" customHeight="1">
      <c r="A11" s="79" t="n">
        <v>9</v>
      </c>
      <c r="B11" s="79">
        <f>INDEX(OfficialTeamList[Pod Number],MATCH(TournamentData[[#This Row],[Team Number]], OfficialTeamList[Team '#],0))</f>
        <v/>
      </c>
      <c r="C11" s="105">
        <f>INDEX(OfficialTeamList[Team Name],MATCH(TournamentData[[#This Row],[Team Number]], OfficialTeamList[Team '#],0))</f>
        <v/>
      </c>
      <c r="D11" s="79">
        <f>IF(TournamentData[[#This Row],[Team Number]]="","",IF(ISNA(INDEX('Robot Game Scores'!C:C,MATCH(TournamentData[[#This Row],[Team Number]], 'Robot Game Scores'!$A:$A,0))),0,INDEX('Robot Game Scores'!C:C,MATCH(TournamentData[[#This Row],[Team Number]], 'Robot Game Scores'!$A:$A,0))))</f>
        <v/>
      </c>
      <c r="E11" s="79">
        <f>IF(TournamentData[[#This Row],[Team Number]]="","",IF(ISNA(INDEX('Robot Game Scores'!D:D,MATCH(TournamentData[[#This Row],[Team Number]], 'Robot Game Scores'!$A:$A,0))),0,INDEX('Robot Game Scores'!D:D,MATCH(TournamentData[[#This Row],[Team Number]], 'Robot Game Scores'!$A:$A,0))))</f>
        <v/>
      </c>
      <c r="F11" s="79">
        <f>IF(TournamentData[[#This Row],[Team Number]]="","",IF(ISNA(INDEX('Robot Game Scores'!E:E,MATCH(TournamentData[[#This Row],[Team Number]], 'Robot Game Scores'!$A:$A,0))),0,INDEX('Robot Game Scores'!E:E,MATCH(TournamentData[[#This Row],[Team Number]], 'Robot Game Scores'!$A:$A,0))))</f>
        <v/>
      </c>
      <c r="G11" s="79">
        <f>IF(TournamentData[[#This Row],[Team Number]]="","",IF(ISNA(INDEX('Robot Game Scores'!#REF!,MATCH(TournamentData[[#This Row],[Team Number]], 'Robot Game Scores'!$A:$A,0))),0,INDEX('Robot Game Scores'!#REF!,MATCH(TournamentData[[#This Row],[Team Number]], 'Robot Game Scores'!$A:$A,0))))</f>
        <v/>
      </c>
      <c r="H11" s="79">
        <f>IF(TournamentData[[#This Row],[Team Number]]="","",IF(ISNA(INDEX('Robot Game Scores'!#REF!,MATCH(TournamentData[[#This Row],[Team Number]], 'Robot Game Scores'!$A:$A,0))),0,INDEX('Robot Game Scores'!#REF!,MATCH(TournamentData[[#This Row],[Team Number]], 'Robot Game Scores'!$A:$A,0))))</f>
        <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9">
        <f>_xlfn.RANK.EQ(TournamentData[[#This Row],[Max Robot Game Score]],TournamentData[Max Robot Game Score])</f>
        <v/>
      </c>
      <c r="K11" s="79">
        <f>INDEX(CoreValuesResults[Core Values Rank],MATCH(TournamentData[[#This Row],[Team Number]],CoreValuesResults[Team Number],0))</f>
        <v/>
      </c>
      <c r="L11" s="79">
        <f>INDEX(InnovationProjectResults[Innovation Project Rank],MATCH(TournamentData[[#This Row],[Team Number]],InnovationProjectResults[Team Number],0))</f>
        <v/>
      </c>
      <c r="M11" s="79">
        <f>INDEX(RobotDesignResults[Robot Design Rank],MATCH(TournamentData[[#This Row],[Team Number]],RobotDesignResults[Team Number],0))</f>
        <v/>
      </c>
      <c r="N11" s="79">
        <f>SUM(TournamentData[[#This Row],[Robot Game Rank]:[Robot Design Rank]])</f>
        <v/>
      </c>
      <c r="O11" s="79">
        <f>RANK(TournamentData[[#This Row],[Champion''s Score]],TournamentData[Champion''s Score],1)</f>
        <v/>
      </c>
      <c r="P11" s="80" t="n"/>
      <c r="Q11" s="86" t="inlineStr">
        <is>
          <t>No</t>
        </is>
      </c>
      <c r="R11" s="81">
        <f>IF(ISNA(INDEX(CoreValuesResults[Core Values Score],MATCH(TournamentData[[#This Row],[Team Number]],CoreValuesResults[Team Number],0))),0,INDEX(CoreValuesResults[Core Values Score],MATCH(TournamentData[[#This Row],[Team Number]],CoreValuesResults[Team Number],0)))</f>
        <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
      </c>
      <c r="T11" s="81">
        <f>IF(ISNA(INDEX(RobotDesignResults[Robot Design Score],MATCH(TournamentData[[#This Row],[Team Number]],RobotDesignResults[Team Number],0))),0,INDEX(RobotDesignResults[Robot Design Score],MATCH(TournamentData[[#This Row],[Team Number]],RobotDesignResults[Team Number],0)))</f>
        <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80">
        <f>IF(U11,_xlfn.RANK.EQ(U11,U$3:U$17,0),NumberOfTeams)</f>
        <v/>
      </c>
      <c r="W11" s="80" t="n"/>
    </row>
    <row r="12" ht="20.25" customHeight="1">
      <c r="A12" s="79" t="n">
        <v>10</v>
      </c>
      <c r="B12" s="79">
        <f>INDEX(OfficialTeamList[Pod Number],MATCH(TournamentData[[#This Row],[Team Number]], OfficialTeamList[Team '#],0))</f>
        <v/>
      </c>
      <c r="C12" s="105">
        <f>INDEX(OfficialTeamList[Team Name],MATCH(TournamentData[[#This Row],[Team Number]], OfficialTeamList[Team '#],0))</f>
        <v/>
      </c>
      <c r="D12" s="79">
        <f>IF(TournamentData[[#This Row],[Team Number]]="","",IF(ISNA(INDEX('Robot Game Scores'!C:C,MATCH(TournamentData[[#This Row],[Team Number]], 'Robot Game Scores'!$A:$A,0))),0,INDEX('Robot Game Scores'!C:C,MATCH(TournamentData[[#This Row],[Team Number]], 'Robot Game Scores'!$A:$A,0))))</f>
        <v/>
      </c>
      <c r="E12" s="79">
        <f>IF(TournamentData[[#This Row],[Team Number]]="","",IF(ISNA(INDEX('Robot Game Scores'!D:D,MATCH(TournamentData[[#This Row],[Team Number]], 'Robot Game Scores'!$A:$A,0))),0,INDEX('Robot Game Scores'!D:D,MATCH(TournamentData[[#This Row],[Team Number]], 'Robot Game Scores'!$A:$A,0))))</f>
        <v/>
      </c>
      <c r="F12" s="79">
        <f>IF(TournamentData[[#This Row],[Team Number]]="","",IF(ISNA(INDEX('Robot Game Scores'!E:E,MATCH(TournamentData[[#This Row],[Team Number]], 'Robot Game Scores'!$A:$A,0))),0,INDEX('Robot Game Scores'!E:E,MATCH(TournamentData[[#This Row],[Team Number]], 'Robot Game Scores'!$A:$A,0))))</f>
        <v/>
      </c>
      <c r="G12" s="79">
        <f>IF(TournamentData[[#This Row],[Team Number]]="","",IF(ISNA(INDEX('Robot Game Scores'!#REF!,MATCH(TournamentData[[#This Row],[Team Number]], 'Robot Game Scores'!$A:$A,0))),0,INDEX('Robot Game Scores'!#REF!,MATCH(TournamentData[[#This Row],[Team Number]], 'Robot Game Scores'!$A:$A,0))))</f>
        <v/>
      </c>
      <c r="H12" s="79">
        <f>IF(TournamentData[[#This Row],[Team Number]]="","",IF(ISNA(INDEX('Robot Game Scores'!#REF!,MATCH(TournamentData[[#This Row],[Team Number]], 'Robot Game Scores'!$A:$A,0))),0,INDEX('Robot Game Scores'!#REF!,MATCH(TournamentData[[#This Row],[Team Number]], 'Robot Game Scores'!$A:$A,0))))</f>
        <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9">
        <f>_xlfn.RANK.EQ(TournamentData[[#This Row],[Max Robot Game Score]],TournamentData[Max Robot Game Score])</f>
        <v/>
      </c>
      <c r="K12" s="79">
        <f>INDEX(CoreValuesResults[Core Values Rank],MATCH(TournamentData[[#This Row],[Team Number]],CoreValuesResults[Team Number],0))</f>
        <v/>
      </c>
      <c r="L12" s="79">
        <f>INDEX(InnovationProjectResults[Innovation Project Rank],MATCH(TournamentData[[#This Row],[Team Number]],InnovationProjectResults[Team Number],0))</f>
        <v/>
      </c>
      <c r="M12" s="79">
        <f>INDEX(RobotDesignResults[Robot Design Rank],MATCH(TournamentData[[#This Row],[Team Number]],RobotDesignResults[Team Number],0))</f>
        <v/>
      </c>
      <c r="N12" s="79">
        <f>SUM(TournamentData[[#This Row],[Robot Game Rank]:[Robot Design Rank]])</f>
        <v/>
      </c>
      <c r="O12" s="79">
        <f>RANK(TournamentData[[#This Row],[Champion''s Score]],TournamentData[Champion''s Score],1)</f>
        <v/>
      </c>
      <c r="P12" s="80" t="n"/>
      <c r="Q12" s="86" t="inlineStr">
        <is>
          <t>No</t>
        </is>
      </c>
      <c r="R12" s="81">
        <f>IF(ISNA(INDEX(CoreValuesResults[Core Values Score],MATCH(TournamentData[[#This Row],[Team Number]],CoreValuesResults[Team Number],0))),0,INDEX(CoreValuesResults[Core Values Score],MATCH(TournamentData[[#This Row],[Team Number]],CoreValuesResults[Team Number],0)))</f>
        <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
      </c>
      <c r="T12" s="81">
        <f>IF(ISNA(INDEX(RobotDesignResults[Robot Design Score],MATCH(TournamentData[[#This Row],[Team Number]],RobotDesignResults[Team Number],0))),0,INDEX(RobotDesignResults[Robot Design Score],MATCH(TournamentData[[#This Row],[Team Number]],RobotDesignResults[Team Number],0)))</f>
        <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80">
        <f>IF(U12,_xlfn.RANK.EQ(U12,U$3:U$17,0),NumberOfTeams)</f>
        <v/>
      </c>
      <c r="W12" s="80" t="n"/>
    </row>
    <row r="13" ht="20.25" customHeight="1">
      <c r="A13" s="79" t="n">
        <v>11</v>
      </c>
      <c r="B13" s="79">
        <f>INDEX(OfficialTeamList[Pod Number],MATCH(TournamentData[[#This Row],[Team Number]], OfficialTeamList[Team '#],0))</f>
        <v/>
      </c>
      <c r="C13" s="105">
        <f>INDEX(OfficialTeamList[Team Name],MATCH(TournamentData[[#This Row],[Team Number]], OfficialTeamList[Team '#],0))</f>
        <v/>
      </c>
      <c r="D13" s="79">
        <f>IF(TournamentData[[#This Row],[Team Number]]="","",IF(ISNA(INDEX('Robot Game Scores'!C:C,MATCH(TournamentData[[#This Row],[Team Number]], 'Robot Game Scores'!$A:$A,0))),0,INDEX('Robot Game Scores'!C:C,MATCH(TournamentData[[#This Row],[Team Number]], 'Robot Game Scores'!$A:$A,0))))</f>
        <v/>
      </c>
      <c r="E13" s="79">
        <f>IF(TournamentData[[#This Row],[Team Number]]="","",IF(ISNA(INDEX('Robot Game Scores'!D:D,MATCH(TournamentData[[#This Row],[Team Number]], 'Robot Game Scores'!$A:$A,0))),0,INDEX('Robot Game Scores'!D:D,MATCH(TournamentData[[#This Row],[Team Number]], 'Robot Game Scores'!$A:$A,0))))</f>
        <v/>
      </c>
      <c r="F13" s="79">
        <f>IF(TournamentData[[#This Row],[Team Number]]="","",IF(ISNA(INDEX('Robot Game Scores'!E:E,MATCH(TournamentData[[#This Row],[Team Number]], 'Robot Game Scores'!$A:$A,0))),0,INDEX('Robot Game Scores'!E:E,MATCH(TournamentData[[#This Row],[Team Number]], 'Robot Game Scores'!$A:$A,0))))</f>
        <v/>
      </c>
      <c r="G13" s="79">
        <f>IF(TournamentData[[#This Row],[Team Number]]="","",IF(ISNA(INDEX('Robot Game Scores'!#REF!,MATCH(TournamentData[[#This Row],[Team Number]], 'Robot Game Scores'!$A:$A,0))),0,INDEX('Robot Game Scores'!#REF!,MATCH(TournamentData[[#This Row],[Team Number]], 'Robot Game Scores'!$A:$A,0))))</f>
        <v/>
      </c>
      <c r="H13" s="79">
        <f>IF(TournamentData[[#This Row],[Team Number]]="","",IF(ISNA(INDEX('Robot Game Scores'!#REF!,MATCH(TournamentData[[#This Row],[Team Number]], 'Robot Game Scores'!$A:$A,0))),0,INDEX('Robot Game Scores'!#REF!,MATCH(TournamentData[[#This Row],[Team Number]], 'Robot Game Scores'!$A:$A,0))))</f>
        <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9">
        <f>_xlfn.RANK.EQ(TournamentData[[#This Row],[Max Robot Game Score]],TournamentData[Max Robot Game Score])</f>
        <v/>
      </c>
      <c r="K13" s="79">
        <f>INDEX(CoreValuesResults[Core Values Rank],MATCH(TournamentData[[#This Row],[Team Number]],CoreValuesResults[Team Number],0))</f>
        <v/>
      </c>
      <c r="L13" s="79">
        <f>INDEX(InnovationProjectResults[Innovation Project Rank],MATCH(TournamentData[[#This Row],[Team Number]],InnovationProjectResults[Team Number],0))</f>
        <v/>
      </c>
      <c r="M13" s="79">
        <f>INDEX(RobotDesignResults[Robot Design Rank],MATCH(TournamentData[[#This Row],[Team Number]],RobotDesignResults[Team Number],0))</f>
        <v/>
      </c>
      <c r="N13" s="79">
        <f>SUM(TournamentData[[#This Row],[Robot Game Rank]:[Robot Design Rank]])</f>
        <v/>
      </c>
      <c r="O13" s="79">
        <f>RANK(TournamentData[[#This Row],[Champion''s Score]],TournamentData[Champion''s Score],1)</f>
        <v/>
      </c>
      <c r="P13" s="80" t="n"/>
      <c r="Q13" s="86" t="inlineStr">
        <is>
          <t>No</t>
        </is>
      </c>
      <c r="R13" s="81">
        <f>IF(ISNA(INDEX(CoreValuesResults[Core Values Score],MATCH(TournamentData[[#This Row],[Team Number]],CoreValuesResults[Team Number],0))),0,INDEX(CoreValuesResults[Core Values Score],MATCH(TournamentData[[#This Row],[Team Number]],CoreValuesResults[Team Number],0)))</f>
        <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
      </c>
      <c r="T13" s="81">
        <f>IF(ISNA(INDEX(RobotDesignResults[Robot Design Score],MATCH(TournamentData[[#This Row],[Team Number]],RobotDesignResults[Team Number],0))),0,INDEX(RobotDesignResults[Robot Design Score],MATCH(TournamentData[[#This Row],[Team Number]],RobotDesignResults[Team Number],0)))</f>
        <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80">
        <f>IF(U13,_xlfn.RANK.EQ(U13,U$3:U$17,0),NumberOfTeams)</f>
        <v/>
      </c>
      <c r="W13" s="80" t="n"/>
    </row>
    <row r="14" ht="20.25" customHeight="1">
      <c r="A14" s="79" t="n">
        <v>12</v>
      </c>
      <c r="B14" s="79">
        <f>INDEX(OfficialTeamList[Pod Number],MATCH(TournamentData[[#This Row],[Team Number]], OfficialTeamList[Team '#],0))</f>
        <v/>
      </c>
      <c r="C14" s="105">
        <f>INDEX(OfficialTeamList[Team Name],MATCH(TournamentData[[#This Row],[Team Number]], OfficialTeamList[Team '#],0))</f>
        <v/>
      </c>
      <c r="D14" s="79">
        <f>IF(TournamentData[[#This Row],[Team Number]]="","",IF(ISNA(INDEX('Robot Game Scores'!C:C,MATCH(TournamentData[[#This Row],[Team Number]], 'Robot Game Scores'!$A:$A,0))),0,INDEX('Robot Game Scores'!C:C,MATCH(TournamentData[[#This Row],[Team Number]], 'Robot Game Scores'!$A:$A,0))))</f>
        <v/>
      </c>
      <c r="E14" s="79">
        <f>IF(TournamentData[[#This Row],[Team Number]]="","",IF(ISNA(INDEX('Robot Game Scores'!D:D,MATCH(TournamentData[[#This Row],[Team Number]], 'Robot Game Scores'!$A:$A,0))),0,INDEX('Robot Game Scores'!D:D,MATCH(TournamentData[[#This Row],[Team Number]], 'Robot Game Scores'!$A:$A,0))))</f>
        <v/>
      </c>
      <c r="F14" s="79">
        <f>IF(TournamentData[[#This Row],[Team Number]]="","",IF(ISNA(INDEX('Robot Game Scores'!E:E,MATCH(TournamentData[[#This Row],[Team Number]], 'Robot Game Scores'!$A:$A,0))),0,INDEX('Robot Game Scores'!E:E,MATCH(TournamentData[[#This Row],[Team Number]], 'Robot Game Scores'!$A:$A,0))))</f>
        <v/>
      </c>
      <c r="G14" s="79">
        <f>IF(TournamentData[[#This Row],[Team Number]]="","",IF(ISNA(INDEX('Robot Game Scores'!#REF!,MATCH(TournamentData[[#This Row],[Team Number]], 'Robot Game Scores'!$A:$A,0))),0,INDEX('Robot Game Scores'!#REF!,MATCH(TournamentData[[#This Row],[Team Number]], 'Robot Game Scores'!$A:$A,0))))</f>
        <v/>
      </c>
      <c r="H14" s="79">
        <f>IF(TournamentData[[#This Row],[Team Number]]="","",IF(ISNA(INDEX('Robot Game Scores'!#REF!,MATCH(TournamentData[[#This Row],[Team Number]], 'Robot Game Scores'!$A:$A,0))),0,INDEX('Robot Game Scores'!#REF!,MATCH(TournamentData[[#This Row],[Team Number]], 'Robot Game Scores'!$A:$A,0))))</f>
        <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9">
        <f>_xlfn.RANK.EQ(TournamentData[[#This Row],[Max Robot Game Score]],TournamentData[Max Robot Game Score])</f>
        <v/>
      </c>
      <c r="K14" s="79">
        <f>INDEX(CoreValuesResults[Core Values Rank],MATCH(TournamentData[[#This Row],[Team Number]],CoreValuesResults[Team Number],0))</f>
        <v/>
      </c>
      <c r="L14" s="79">
        <f>INDEX(InnovationProjectResults[Innovation Project Rank],MATCH(TournamentData[[#This Row],[Team Number]],InnovationProjectResults[Team Number],0))</f>
        <v/>
      </c>
      <c r="M14" s="79">
        <f>INDEX(RobotDesignResults[Robot Design Rank],MATCH(TournamentData[[#This Row],[Team Number]],RobotDesignResults[Team Number],0))</f>
        <v/>
      </c>
      <c r="N14" s="79">
        <f>SUM(TournamentData[[#This Row],[Robot Game Rank]:[Robot Design Rank]])</f>
        <v/>
      </c>
      <c r="O14" s="79">
        <f>RANK(TournamentData[[#This Row],[Champion''s Score]],TournamentData[Champion''s Score],1)</f>
        <v/>
      </c>
      <c r="P14" s="80" t="n"/>
      <c r="Q14" s="86" t="inlineStr">
        <is>
          <t>No</t>
        </is>
      </c>
      <c r="R14" s="81">
        <f>IF(ISNA(INDEX(CoreValuesResults[Core Values Score],MATCH(TournamentData[[#This Row],[Team Number]],CoreValuesResults[Team Number],0))),0,INDEX(CoreValuesResults[Core Values Score],MATCH(TournamentData[[#This Row],[Team Number]],CoreValuesResults[Team Number],0)))</f>
        <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
      </c>
      <c r="T14" s="81">
        <f>IF(ISNA(INDEX(RobotDesignResults[Robot Design Score],MATCH(TournamentData[[#This Row],[Team Number]],RobotDesignResults[Team Number],0))),0,INDEX(RobotDesignResults[Robot Design Score],MATCH(TournamentData[[#This Row],[Team Number]],RobotDesignResults[Team Number],0)))</f>
        <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80">
        <f>IF(U14,_xlfn.RANK.EQ(U14,U$3:U$17,0),NumberOfTeams)</f>
        <v/>
      </c>
      <c r="W14" s="80" t="n"/>
    </row>
    <row r="15" ht="20.25" customHeight="1">
      <c r="A15" s="79" t="n">
        <v>13</v>
      </c>
      <c r="B15" s="79">
        <f>INDEX(OfficialTeamList[Pod Number],MATCH(TournamentData[[#This Row],[Team Number]], OfficialTeamList[Team '#],0))</f>
        <v/>
      </c>
      <c r="C15" s="105">
        <f>INDEX(OfficialTeamList[Team Name],MATCH(TournamentData[[#This Row],[Team Number]], OfficialTeamList[Team '#],0))</f>
        <v/>
      </c>
      <c r="D15" s="79">
        <f>IF(TournamentData[[#This Row],[Team Number]]="","",IF(ISNA(INDEX('Robot Game Scores'!C:C,MATCH(TournamentData[[#This Row],[Team Number]], 'Robot Game Scores'!$A:$A,0))),0,INDEX('Robot Game Scores'!C:C,MATCH(TournamentData[[#This Row],[Team Number]], 'Robot Game Scores'!$A:$A,0))))</f>
        <v/>
      </c>
      <c r="E15" s="79">
        <f>IF(TournamentData[[#This Row],[Team Number]]="","",IF(ISNA(INDEX('Robot Game Scores'!D:D,MATCH(TournamentData[[#This Row],[Team Number]], 'Robot Game Scores'!$A:$A,0))),0,INDEX('Robot Game Scores'!D:D,MATCH(TournamentData[[#This Row],[Team Number]], 'Robot Game Scores'!$A:$A,0))))</f>
        <v/>
      </c>
      <c r="F15" s="79">
        <f>IF(TournamentData[[#This Row],[Team Number]]="","",IF(ISNA(INDEX('Robot Game Scores'!E:E,MATCH(TournamentData[[#This Row],[Team Number]], 'Robot Game Scores'!$A:$A,0))),0,INDEX('Robot Game Scores'!E:E,MATCH(TournamentData[[#This Row],[Team Number]], 'Robot Game Scores'!$A:$A,0))))</f>
        <v/>
      </c>
      <c r="G15" s="79">
        <f>IF(TournamentData[[#This Row],[Team Number]]="","",IF(ISNA(INDEX('Robot Game Scores'!#REF!,MATCH(TournamentData[[#This Row],[Team Number]], 'Robot Game Scores'!$A:$A,0))),0,INDEX('Robot Game Scores'!#REF!,MATCH(TournamentData[[#This Row],[Team Number]], 'Robot Game Scores'!$A:$A,0))))</f>
        <v/>
      </c>
      <c r="H15" s="79">
        <f>IF(TournamentData[[#This Row],[Team Number]]="","",IF(ISNA(INDEX('Robot Game Scores'!#REF!,MATCH(TournamentData[[#This Row],[Team Number]], 'Robot Game Scores'!$A:$A,0))),0,INDEX('Robot Game Scores'!#REF!,MATCH(TournamentData[[#This Row],[Team Number]], 'Robot Game Scores'!$A:$A,0))))</f>
        <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9">
        <f>_xlfn.RANK.EQ(TournamentData[[#This Row],[Max Robot Game Score]],TournamentData[Max Robot Game Score])</f>
        <v/>
      </c>
      <c r="K15" s="79">
        <f>INDEX(CoreValuesResults[Core Values Rank],MATCH(TournamentData[[#This Row],[Team Number]],CoreValuesResults[Team Number],0))</f>
        <v/>
      </c>
      <c r="L15" s="79">
        <f>INDEX(InnovationProjectResults[Innovation Project Rank],MATCH(TournamentData[[#This Row],[Team Number]],InnovationProjectResults[Team Number],0))</f>
        <v/>
      </c>
      <c r="M15" s="79">
        <f>INDEX(RobotDesignResults[Robot Design Rank],MATCH(TournamentData[[#This Row],[Team Number]],RobotDesignResults[Team Number],0))</f>
        <v/>
      </c>
      <c r="N15" s="79">
        <f>SUM(TournamentData[[#This Row],[Robot Game Rank]:[Robot Design Rank]])</f>
        <v/>
      </c>
      <c r="O15" s="79">
        <f>RANK(TournamentData[[#This Row],[Champion''s Score]],TournamentData[Champion''s Score],1)</f>
        <v/>
      </c>
      <c r="P15" s="80" t="n"/>
      <c r="Q15" s="86" t="inlineStr">
        <is>
          <t>No</t>
        </is>
      </c>
      <c r="R15" s="81">
        <f>IF(ISNA(INDEX(CoreValuesResults[Core Values Score],MATCH(TournamentData[[#This Row],[Team Number]],CoreValuesResults[Team Number],0))),0,INDEX(CoreValuesResults[Core Values Score],MATCH(TournamentData[[#This Row],[Team Number]],CoreValuesResults[Team Number],0)))</f>
        <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
      </c>
      <c r="T15" s="81">
        <f>IF(ISNA(INDEX(RobotDesignResults[Robot Design Score],MATCH(TournamentData[[#This Row],[Team Number]],RobotDesignResults[Team Number],0))),0,INDEX(RobotDesignResults[Robot Design Score],MATCH(TournamentData[[#This Row],[Team Number]],RobotDesignResults[Team Number],0)))</f>
        <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80">
        <f>IF(U15,_xlfn.RANK.EQ(U15,U$3:U$17,0),NumberOfTeams)</f>
        <v/>
      </c>
      <c r="W15" s="80" t="n"/>
    </row>
    <row r="16" ht="20.25" customHeight="1">
      <c r="A16" s="79" t="n">
        <v>14</v>
      </c>
      <c r="B16" s="79">
        <f>INDEX(OfficialTeamList[Pod Number],MATCH(TournamentData[[#This Row],[Team Number]], OfficialTeamList[Team '#],0))</f>
        <v/>
      </c>
      <c r="C16" s="105">
        <f>INDEX(OfficialTeamList[Team Name],MATCH(TournamentData[[#This Row],[Team Number]], OfficialTeamList[Team '#],0))</f>
        <v/>
      </c>
      <c r="D16" s="79">
        <f>IF(TournamentData[[#This Row],[Team Number]]="","",IF(ISNA(INDEX('Robot Game Scores'!C:C,MATCH(TournamentData[[#This Row],[Team Number]], 'Robot Game Scores'!$A:$A,0))),0,INDEX('Robot Game Scores'!C:C,MATCH(TournamentData[[#This Row],[Team Number]], 'Robot Game Scores'!$A:$A,0))))</f>
        <v/>
      </c>
      <c r="E16" s="79">
        <f>IF(TournamentData[[#This Row],[Team Number]]="","",IF(ISNA(INDEX('Robot Game Scores'!D:D,MATCH(TournamentData[[#This Row],[Team Number]], 'Robot Game Scores'!$A:$A,0))),0,INDEX('Robot Game Scores'!D:D,MATCH(TournamentData[[#This Row],[Team Number]], 'Robot Game Scores'!$A:$A,0))))</f>
        <v/>
      </c>
      <c r="F16" s="79">
        <f>IF(TournamentData[[#This Row],[Team Number]]="","",IF(ISNA(INDEX('Robot Game Scores'!E:E,MATCH(TournamentData[[#This Row],[Team Number]], 'Robot Game Scores'!$A:$A,0))),0,INDEX('Robot Game Scores'!E:E,MATCH(TournamentData[[#This Row],[Team Number]], 'Robot Game Scores'!$A:$A,0))))</f>
        <v/>
      </c>
      <c r="G16" s="79">
        <f>IF(TournamentData[[#This Row],[Team Number]]="","",IF(ISNA(INDEX('Robot Game Scores'!#REF!,MATCH(TournamentData[[#This Row],[Team Number]], 'Robot Game Scores'!$A:$A,0))),0,INDEX('Robot Game Scores'!#REF!,MATCH(TournamentData[[#This Row],[Team Number]], 'Robot Game Scores'!$A:$A,0))))</f>
        <v/>
      </c>
      <c r="H16" s="79">
        <f>IF(TournamentData[[#This Row],[Team Number]]="","",IF(ISNA(INDEX('Robot Game Scores'!#REF!,MATCH(TournamentData[[#This Row],[Team Number]], 'Robot Game Scores'!$A:$A,0))),0,INDEX('Robot Game Scores'!#REF!,MATCH(TournamentData[[#This Row],[Team Number]], 'Robot Game Scores'!$A:$A,0))))</f>
        <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9">
        <f>_xlfn.RANK.EQ(TournamentData[[#This Row],[Max Robot Game Score]],TournamentData[Max Robot Game Score])</f>
        <v/>
      </c>
      <c r="K16" s="79">
        <f>INDEX(CoreValuesResults[Core Values Rank],MATCH(TournamentData[[#This Row],[Team Number]],CoreValuesResults[Team Number],0))</f>
        <v/>
      </c>
      <c r="L16" s="79">
        <f>INDEX(InnovationProjectResults[Innovation Project Rank],MATCH(TournamentData[[#This Row],[Team Number]],InnovationProjectResults[Team Number],0))</f>
        <v/>
      </c>
      <c r="M16" s="79">
        <f>INDEX(RobotDesignResults[Robot Design Rank],MATCH(TournamentData[[#This Row],[Team Number]],RobotDesignResults[Team Number],0))</f>
        <v/>
      </c>
      <c r="N16" s="79">
        <f>SUM(TournamentData[[#This Row],[Robot Game Rank]:[Robot Design Rank]])</f>
        <v/>
      </c>
      <c r="O16" s="79">
        <f>RANK(TournamentData[[#This Row],[Champion''s Score]],TournamentData[Champion''s Score],1)</f>
        <v/>
      </c>
      <c r="P16" s="80" t="n"/>
      <c r="Q16" s="86" t="inlineStr">
        <is>
          <t>No</t>
        </is>
      </c>
      <c r="R16" s="81">
        <f>IF(ISNA(INDEX(CoreValuesResults[Core Values Score],MATCH(TournamentData[[#This Row],[Team Number]],CoreValuesResults[Team Number],0))),0,INDEX(CoreValuesResults[Core Values Score],MATCH(TournamentData[[#This Row],[Team Number]],CoreValuesResults[Team Number],0)))</f>
        <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
      </c>
      <c r="T16" s="81">
        <f>IF(ISNA(INDEX(RobotDesignResults[Robot Design Score],MATCH(TournamentData[[#This Row],[Team Number]],RobotDesignResults[Team Number],0))),0,INDEX(RobotDesignResults[Robot Design Score],MATCH(TournamentData[[#This Row],[Team Number]],RobotDesignResults[Team Number],0)))</f>
        <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80">
        <f>IF(U16,_xlfn.RANK.EQ(U16,U$3:U$17,0),NumberOfTeams)</f>
        <v/>
      </c>
      <c r="W16" s="80" t="n"/>
    </row>
    <row r="17" ht="20.25" customHeight="1">
      <c r="A17" s="79" t="n">
        <v>15</v>
      </c>
      <c r="B17" s="79">
        <f>INDEX(OfficialTeamList[Pod Number],MATCH(TournamentData[[#This Row],[Team Number]], OfficialTeamList[Team '#],0))</f>
        <v/>
      </c>
      <c r="C17" s="105">
        <f>INDEX(OfficialTeamList[Team Name],MATCH(TournamentData[[#This Row],[Team Number]], OfficialTeamList[Team '#],0))</f>
        <v/>
      </c>
      <c r="D17" s="79">
        <f>IF(TournamentData[[#This Row],[Team Number]]="","",IF(ISNA(INDEX('Robot Game Scores'!C:C,MATCH(TournamentData[[#This Row],[Team Number]], 'Robot Game Scores'!$A:$A,0))),0,INDEX('Robot Game Scores'!C:C,MATCH(TournamentData[[#This Row],[Team Number]], 'Robot Game Scores'!$A:$A,0))))</f>
        <v/>
      </c>
      <c r="E17" s="79">
        <f>IF(TournamentData[[#This Row],[Team Number]]="","",IF(ISNA(INDEX('Robot Game Scores'!D:D,MATCH(TournamentData[[#This Row],[Team Number]], 'Robot Game Scores'!$A:$A,0))),0,INDEX('Robot Game Scores'!D:D,MATCH(TournamentData[[#This Row],[Team Number]], 'Robot Game Scores'!$A:$A,0))))</f>
        <v/>
      </c>
      <c r="F17" s="79">
        <f>IF(TournamentData[[#This Row],[Team Number]]="","",IF(ISNA(INDEX('Robot Game Scores'!E:E,MATCH(TournamentData[[#This Row],[Team Number]], 'Robot Game Scores'!$A:$A,0))),0,INDEX('Robot Game Scores'!E:E,MATCH(TournamentData[[#This Row],[Team Number]], 'Robot Game Scores'!$A:$A,0))))</f>
        <v/>
      </c>
      <c r="G17" s="79">
        <f>IF(TournamentData[[#This Row],[Team Number]]="","",IF(ISNA(INDEX('Robot Game Scores'!#REF!,MATCH(TournamentData[[#This Row],[Team Number]], 'Robot Game Scores'!$A:$A,0))),0,INDEX('Robot Game Scores'!#REF!,MATCH(TournamentData[[#This Row],[Team Number]], 'Robot Game Scores'!$A:$A,0))))</f>
        <v/>
      </c>
      <c r="H17" s="79">
        <f>IF(TournamentData[[#This Row],[Team Number]]="","",IF(ISNA(INDEX('Robot Game Scores'!#REF!,MATCH(TournamentData[[#This Row],[Team Number]], 'Robot Game Scores'!$A:$A,0))),0,INDEX('Robot Game Scores'!#REF!,MATCH(TournamentData[[#This Row],[Team Number]], 'Robot Game Scores'!$A:$A,0))))</f>
        <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9">
        <f>_xlfn.RANK.EQ(TournamentData[[#This Row],[Max Robot Game Score]],TournamentData[Max Robot Game Score])</f>
        <v/>
      </c>
      <c r="K17" s="79">
        <f>INDEX(CoreValuesResults[Core Values Rank],MATCH(TournamentData[[#This Row],[Team Number]],CoreValuesResults[Team Number],0))</f>
        <v/>
      </c>
      <c r="L17" s="79">
        <f>INDEX(InnovationProjectResults[Innovation Project Rank],MATCH(TournamentData[[#This Row],[Team Number]],InnovationProjectResults[Team Number],0))</f>
        <v/>
      </c>
      <c r="M17" s="79">
        <f>INDEX(RobotDesignResults[Robot Design Rank],MATCH(TournamentData[[#This Row],[Team Number]],RobotDesignResults[Team Number],0))</f>
        <v/>
      </c>
      <c r="N17" s="79">
        <f>SUM(TournamentData[[#This Row],[Robot Game Rank]:[Robot Design Rank]])</f>
        <v/>
      </c>
      <c r="O17" s="79">
        <f>RANK(TournamentData[[#This Row],[Champion''s Score]],TournamentData[Champion''s Score],1)</f>
        <v/>
      </c>
      <c r="P17" s="80" t="n"/>
      <c r="Q17" s="86" t="inlineStr">
        <is>
          <t>No</t>
        </is>
      </c>
      <c r="R17" s="81">
        <f>IF(ISNA(INDEX(CoreValuesResults[Core Values Score],MATCH(TournamentData[[#This Row],[Team Number]],CoreValuesResults[Team Number],0))),0,INDEX(CoreValuesResults[Core Values Score],MATCH(TournamentData[[#This Row],[Team Number]],CoreValuesResults[Team Number],0)))</f>
        <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
      </c>
      <c r="T17" s="81">
        <f>IF(ISNA(INDEX(RobotDesignResults[Robot Design Score],MATCH(TournamentData[[#This Row],[Team Number]],RobotDesignResults[Team Number],0))),0,INDEX(RobotDesignResults[Robot Design Score],MATCH(TournamentData[[#This Row],[Team Number]],RobotDesignResults[Team Number],0)))</f>
        <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80">
        <f>IF(U17,_xlfn.RANK.EQ(U17,U$3:U$17,0),NumberOfTeams)</f>
        <v/>
      </c>
      <c r="W17" s="80" t="n"/>
    </row>
    <row r="18" ht="20.25" customHeight="1">
      <c r="A18" s="79" t="n">
        <v>16</v>
      </c>
      <c r="B18" s="79">
        <f>INDEX(OfficialTeamList[Pod Number],MATCH(TournamentData[[#This Row],[Team Number]], OfficialTeamList[Team '#],0))</f>
        <v/>
      </c>
      <c r="C18" s="105">
        <f>INDEX(OfficialTeamList[Team Name],MATCH(TournamentData[[#This Row],[Team Number]], OfficialTeamList[Team '#],0))</f>
        <v/>
      </c>
      <c r="D18" s="79">
        <f>IF(TournamentData[[#This Row],[Team Number]]="","",IF(ISNA(INDEX('Robot Game Scores'!C:C,MATCH(TournamentData[[#This Row],[Team Number]], 'Robot Game Scores'!$A:$A,0))),0,INDEX('Robot Game Scores'!C:C,MATCH(TournamentData[[#This Row],[Team Number]], 'Robot Game Scores'!$A:$A,0))))</f>
        <v/>
      </c>
      <c r="E18" s="79">
        <f>IF(TournamentData[[#This Row],[Team Number]]="","",IF(ISNA(INDEX('Robot Game Scores'!D:D,MATCH(TournamentData[[#This Row],[Team Number]], 'Robot Game Scores'!$A:$A,0))),0,INDEX('Robot Game Scores'!D:D,MATCH(TournamentData[[#This Row],[Team Number]], 'Robot Game Scores'!$A:$A,0))))</f>
        <v/>
      </c>
      <c r="F18" s="79">
        <f>IF(TournamentData[[#This Row],[Team Number]]="","",IF(ISNA(INDEX('Robot Game Scores'!E:E,MATCH(TournamentData[[#This Row],[Team Number]], 'Robot Game Scores'!$A:$A,0))),0,INDEX('Robot Game Scores'!E:E,MATCH(TournamentData[[#This Row],[Team Number]], 'Robot Game Scores'!$A:$A,0))))</f>
        <v/>
      </c>
      <c r="G18" s="79">
        <f>IF(TournamentData[[#This Row],[Team Number]]="","",IF(ISNA(INDEX('Robot Game Scores'!#REF!,MATCH(TournamentData[[#This Row],[Team Number]], 'Robot Game Scores'!$A:$A,0))),0,INDEX('Robot Game Scores'!#REF!,MATCH(TournamentData[[#This Row],[Team Number]], 'Robot Game Scores'!$A:$A,0))))</f>
        <v/>
      </c>
      <c r="H18" s="79">
        <f>IF(TournamentData[[#This Row],[Team Number]]="","",IF(ISNA(INDEX('Robot Game Scores'!#REF!,MATCH(TournamentData[[#This Row],[Team Number]], 'Robot Game Scores'!$A:$A,0))),0,INDEX('Robot Game Scores'!#REF!,MATCH(TournamentData[[#This Row],[Team Number]], 'Robot Game Scores'!$A:$A,0))))</f>
        <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9">
        <f>_xlfn.RANK.EQ(TournamentData[[#This Row],[Max Robot Game Score]],TournamentData[Max Robot Game Score])</f>
        <v/>
      </c>
      <c r="K18" s="79">
        <f>INDEX(CoreValuesResults[Core Values Rank],MATCH(TournamentData[[#This Row],[Team Number]],CoreValuesResults[Team Number],0))</f>
        <v/>
      </c>
      <c r="L18" s="79">
        <f>INDEX(InnovationProjectResults[Innovation Project Rank],MATCH(TournamentData[[#This Row],[Team Number]],InnovationProjectResults[Team Number],0))</f>
        <v/>
      </c>
      <c r="M18" s="79">
        <f>INDEX(RobotDesignResults[Robot Design Rank],MATCH(TournamentData[[#This Row],[Team Number]],RobotDesignResults[Team Number],0))</f>
        <v/>
      </c>
      <c r="N18" s="79">
        <f>SUM(TournamentData[[#This Row],[Robot Game Rank]:[Robot Design Rank]])</f>
        <v/>
      </c>
      <c r="O18" s="79">
        <f>RANK(TournamentData[[#This Row],[Champion''s Score]],TournamentData[Champion''s Score],1)</f>
        <v/>
      </c>
      <c r="P18" s="80" t="n"/>
      <c r="Q18" s="86" t="inlineStr">
        <is>
          <t>No</t>
        </is>
      </c>
      <c r="R18" s="81">
        <f>IF(ISNA(INDEX(CoreValuesResults[Core Values Score],MATCH(TournamentData[[#This Row],[Team Number]],CoreValuesResults[Team Number],0))),0,INDEX(CoreValuesResults[Core Values Score],MATCH(TournamentData[[#This Row],[Team Number]],CoreValuesResults[Team Number],0)))</f>
        <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
      </c>
      <c r="T18" s="81">
        <f>IF(ISNA(INDEX(RobotDesignResults[Robot Design Score],MATCH(TournamentData[[#This Row],[Team Number]],RobotDesignResults[Team Number],0))),0,INDEX(RobotDesignResults[Robot Design Score],MATCH(TournamentData[[#This Row],[Team Number]],RobotDesignResults[Team Number],0)))</f>
        <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80">
        <f>IF(U18,_xlfn.RANK.EQ(U18,U$3:U$17,0),NumberOfTeams)</f>
        <v/>
      </c>
      <c r="W18" s="80" t="n"/>
    </row>
    <row r="19" ht="20.25" customHeight="1">
      <c r="A19" s="79" t="n">
        <v>17</v>
      </c>
      <c r="B19" s="79">
        <f>INDEX(OfficialTeamList[Pod Number],MATCH(TournamentData[[#This Row],[Team Number]], OfficialTeamList[Team '#],0))</f>
        <v/>
      </c>
      <c r="C19" s="105">
        <f>INDEX(OfficialTeamList[Team Name],MATCH(TournamentData[[#This Row],[Team Number]], OfficialTeamList[Team '#],0))</f>
        <v/>
      </c>
      <c r="D19" s="79">
        <f>IF(TournamentData[[#This Row],[Team Number]]="","",IF(ISNA(INDEX('Robot Game Scores'!C:C,MATCH(TournamentData[[#This Row],[Team Number]], 'Robot Game Scores'!$A:$A,0))),0,INDEX('Robot Game Scores'!C:C,MATCH(TournamentData[[#This Row],[Team Number]], 'Robot Game Scores'!$A:$A,0))))</f>
        <v/>
      </c>
      <c r="E19" s="79">
        <f>IF(TournamentData[[#This Row],[Team Number]]="","",IF(ISNA(INDEX('Robot Game Scores'!D:D,MATCH(TournamentData[[#This Row],[Team Number]], 'Robot Game Scores'!$A:$A,0))),0,INDEX('Robot Game Scores'!D:D,MATCH(TournamentData[[#This Row],[Team Number]], 'Robot Game Scores'!$A:$A,0))))</f>
        <v/>
      </c>
      <c r="F19" s="79">
        <f>IF(TournamentData[[#This Row],[Team Number]]="","",IF(ISNA(INDEX('Robot Game Scores'!E:E,MATCH(TournamentData[[#This Row],[Team Number]], 'Robot Game Scores'!$A:$A,0))),0,INDEX('Robot Game Scores'!E:E,MATCH(TournamentData[[#This Row],[Team Number]], 'Robot Game Scores'!$A:$A,0))))</f>
        <v/>
      </c>
      <c r="G19" s="79">
        <f>IF(TournamentData[[#This Row],[Team Number]]="","",IF(ISNA(INDEX('Robot Game Scores'!#REF!,MATCH(TournamentData[[#This Row],[Team Number]], 'Robot Game Scores'!$A:$A,0))),0,INDEX('Robot Game Scores'!#REF!,MATCH(TournamentData[[#This Row],[Team Number]], 'Robot Game Scores'!$A:$A,0))))</f>
        <v/>
      </c>
      <c r="H19" s="79">
        <f>IF(TournamentData[[#This Row],[Team Number]]="","",IF(ISNA(INDEX('Robot Game Scores'!#REF!,MATCH(TournamentData[[#This Row],[Team Number]], 'Robot Game Scores'!$A:$A,0))),0,INDEX('Robot Game Scores'!#REF!,MATCH(TournamentData[[#This Row],[Team Number]], 'Robot Game Scores'!$A:$A,0))))</f>
        <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9" s="79">
        <f>_xlfn.RANK.EQ(TournamentData[[#This Row],[Max Robot Game Score]],TournamentData[Max Robot Game Score])</f>
        <v/>
      </c>
      <c r="K19" s="79">
        <f>INDEX(CoreValuesResults[Core Values Rank],MATCH(TournamentData[[#This Row],[Team Number]],CoreValuesResults[Team Number],0))</f>
        <v/>
      </c>
      <c r="L19" s="79">
        <f>INDEX(InnovationProjectResults[Innovation Project Rank],MATCH(TournamentData[[#This Row],[Team Number]],InnovationProjectResults[Team Number],0))</f>
        <v/>
      </c>
      <c r="M19" s="79">
        <f>INDEX(RobotDesignResults[Robot Design Rank],MATCH(TournamentData[[#This Row],[Team Number]],RobotDesignResults[Team Number],0))</f>
        <v/>
      </c>
      <c r="N19" s="79">
        <f>SUM(TournamentData[[#This Row],[Robot Game Rank]:[Robot Design Rank]])</f>
        <v/>
      </c>
      <c r="O19" s="79">
        <f>RANK(TournamentData[[#This Row],[Champion''s Score]],TournamentData[Champion''s Score],1)</f>
        <v/>
      </c>
      <c r="P19" s="80" t="n"/>
      <c r="Q19" s="86" t="inlineStr">
        <is>
          <t>No</t>
        </is>
      </c>
      <c r="R19" s="81">
        <f>IF(ISNA(INDEX(CoreValuesResults[Core Values Score],MATCH(TournamentData[[#This Row],[Team Number]],CoreValuesResults[Team Number],0))),0,INDEX(CoreValuesResults[Core Values Score],MATCH(TournamentData[[#This Row],[Team Number]],CoreValuesResults[Team Number],0)))</f>
        <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
      </c>
      <c r="T19" s="81">
        <f>IF(ISNA(INDEX(RobotDesignResults[Robot Design Score],MATCH(TournamentData[[#This Row],[Team Number]],RobotDesignResults[Team Number],0))),0,INDEX(RobotDesignResults[Robot Design Score],MATCH(TournamentData[[#This Row],[Team Number]],RobotDesignResults[Team Number],0)))</f>
        <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9" s="80">
        <f>IF(U19,_xlfn.RANK.EQ(U19,U$3:U$17,0),NumberOfTeams)</f>
        <v/>
      </c>
      <c r="W19" s="80" t="n"/>
    </row>
    <row r="20" ht="20.25" customHeight="1">
      <c r="A20" s="79" t="n">
        <v>18</v>
      </c>
      <c r="B20" s="79">
        <f>INDEX(OfficialTeamList[Pod Number],MATCH(TournamentData[[#This Row],[Team Number]], OfficialTeamList[Team '#],0))</f>
        <v/>
      </c>
      <c r="C20" s="105">
        <f>INDEX(OfficialTeamList[Team Name],MATCH(TournamentData[[#This Row],[Team Number]], OfficialTeamList[Team '#],0))</f>
        <v/>
      </c>
      <c r="D20" s="79">
        <f>IF(TournamentData[[#This Row],[Team Number]]="","",IF(ISNA(INDEX('Robot Game Scores'!C:C,MATCH(TournamentData[[#This Row],[Team Number]], 'Robot Game Scores'!$A:$A,0))),0,INDEX('Robot Game Scores'!C:C,MATCH(TournamentData[[#This Row],[Team Number]], 'Robot Game Scores'!$A:$A,0))))</f>
        <v/>
      </c>
      <c r="E20" s="79">
        <f>IF(TournamentData[[#This Row],[Team Number]]="","",IF(ISNA(INDEX('Robot Game Scores'!D:D,MATCH(TournamentData[[#This Row],[Team Number]], 'Robot Game Scores'!$A:$A,0))),0,INDEX('Robot Game Scores'!D:D,MATCH(TournamentData[[#This Row],[Team Number]], 'Robot Game Scores'!$A:$A,0))))</f>
        <v/>
      </c>
      <c r="F20" s="79">
        <f>IF(TournamentData[[#This Row],[Team Number]]="","",IF(ISNA(INDEX('Robot Game Scores'!E:E,MATCH(TournamentData[[#This Row],[Team Number]], 'Robot Game Scores'!$A:$A,0))),0,INDEX('Robot Game Scores'!E:E,MATCH(TournamentData[[#This Row],[Team Number]], 'Robot Game Scores'!$A:$A,0))))</f>
        <v/>
      </c>
      <c r="G20" s="79">
        <f>IF(TournamentData[[#This Row],[Team Number]]="","",IF(ISNA(INDEX('Robot Game Scores'!#REF!,MATCH(TournamentData[[#This Row],[Team Number]], 'Robot Game Scores'!$A:$A,0))),0,INDEX('Robot Game Scores'!#REF!,MATCH(TournamentData[[#This Row],[Team Number]], 'Robot Game Scores'!$A:$A,0))))</f>
        <v/>
      </c>
      <c r="H20" s="79">
        <f>IF(TournamentData[[#This Row],[Team Number]]="","",IF(ISNA(INDEX('Robot Game Scores'!#REF!,MATCH(TournamentData[[#This Row],[Team Number]], 'Robot Game Scores'!$A:$A,0))),0,INDEX('Robot Game Scores'!#REF!,MATCH(TournamentData[[#This Row],[Team Number]], 'Robot Game Scores'!$A:$A,0))))</f>
        <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0" s="79">
        <f>_xlfn.RANK.EQ(TournamentData[[#This Row],[Max Robot Game Score]],TournamentData[Max Robot Game Score])</f>
        <v/>
      </c>
      <c r="K20" s="79">
        <f>INDEX(CoreValuesResults[Core Values Rank],MATCH(TournamentData[[#This Row],[Team Number]],CoreValuesResults[Team Number],0))</f>
        <v/>
      </c>
      <c r="L20" s="79">
        <f>INDEX(InnovationProjectResults[Innovation Project Rank],MATCH(TournamentData[[#This Row],[Team Number]],InnovationProjectResults[Team Number],0))</f>
        <v/>
      </c>
      <c r="M20" s="79">
        <f>INDEX(RobotDesignResults[Robot Design Rank],MATCH(TournamentData[[#This Row],[Team Number]],RobotDesignResults[Team Number],0))</f>
        <v/>
      </c>
      <c r="N20" s="79">
        <f>SUM(TournamentData[[#This Row],[Robot Game Rank]:[Robot Design Rank]])</f>
        <v/>
      </c>
      <c r="O20" s="79">
        <f>RANK(TournamentData[[#This Row],[Champion''s Score]],TournamentData[Champion''s Score],1)</f>
        <v/>
      </c>
      <c r="P20" s="80" t="n"/>
      <c r="Q20" s="86" t="inlineStr">
        <is>
          <t>No</t>
        </is>
      </c>
      <c r="R20" s="81">
        <f>IF(ISNA(INDEX(CoreValuesResults[Core Values Score],MATCH(TournamentData[[#This Row],[Team Number]],CoreValuesResults[Team Number],0))),0,INDEX(CoreValuesResults[Core Values Score],MATCH(TournamentData[[#This Row],[Team Number]],CoreValuesResults[Team Number],0)))</f>
        <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
      </c>
      <c r="T20" s="81">
        <f>IF(ISNA(INDEX(RobotDesignResults[Robot Design Score],MATCH(TournamentData[[#This Row],[Team Number]],RobotDesignResults[Team Number],0))),0,INDEX(RobotDesignResults[Robot Design Score],MATCH(TournamentData[[#This Row],[Team Number]],RobotDesignResults[Team Number],0)))</f>
        <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0" s="80">
        <f>IF(U20,_xlfn.RANK.EQ(U20,U$3:U$17,0),NumberOfTeams)</f>
        <v/>
      </c>
      <c r="W20" s="80" t="n"/>
    </row>
    <row r="21" ht="20.25" customHeight="1">
      <c r="A21" s="79" t="n">
        <v>19</v>
      </c>
      <c r="B21" s="79">
        <f>INDEX(OfficialTeamList[Pod Number],MATCH(TournamentData[[#This Row],[Team Number]], OfficialTeamList[Team '#],0))</f>
        <v/>
      </c>
      <c r="C21" s="105">
        <f>INDEX(OfficialTeamList[Team Name],MATCH(TournamentData[[#This Row],[Team Number]], OfficialTeamList[Team '#],0))</f>
        <v/>
      </c>
      <c r="D21" s="79">
        <f>IF(TournamentData[[#This Row],[Team Number]]="","",IF(ISNA(INDEX('Robot Game Scores'!C:C,MATCH(TournamentData[[#This Row],[Team Number]], 'Robot Game Scores'!$A:$A,0))),0,INDEX('Robot Game Scores'!C:C,MATCH(TournamentData[[#This Row],[Team Number]], 'Robot Game Scores'!$A:$A,0))))</f>
        <v/>
      </c>
      <c r="E21" s="79">
        <f>IF(TournamentData[[#This Row],[Team Number]]="","",IF(ISNA(INDEX('Robot Game Scores'!D:D,MATCH(TournamentData[[#This Row],[Team Number]], 'Robot Game Scores'!$A:$A,0))),0,INDEX('Robot Game Scores'!D:D,MATCH(TournamentData[[#This Row],[Team Number]], 'Robot Game Scores'!$A:$A,0))))</f>
        <v/>
      </c>
      <c r="F21" s="79">
        <f>IF(TournamentData[[#This Row],[Team Number]]="","",IF(ISNA(INDEX('Robot Game Scores'!E:E,MATCH(TournamentData[[#This Row],[Team Number]], 'Robot Game Scores'!$A:$A,0))),0,INDEX('Robot Game Scores'!E:E,MATCH(TournamentData[[#This Row],[Team Number]], 'Robot Game Scores'!$A:$A,0))))</f>
        <v/>
      </c>
      <c r="G21" s="79">
        <f>IF(TournamentData[[#This Row],[Team Number]]="","",IF(ISNA(INDEX('Robot Game Scores'!#REF!,MATCH(TournamentData[[#This Row],[Team Number]], 'Robot Game Scores'!$A:$A,0))),0,INDEX('Robot Game Scores'!#REF!,MATCH(TournamentData[[#This Row],[Team Number]], 'Robot Game Scores'!$A:$A,0))))</f>
        <v/>
      </c>
      <c r="H21" s="79">
        <f>IF(TournamentData[[#This Row],[Team Number]]="","",IF(ISNA(INDEX('Robot Game Scores'!#REF!,MATCH(TournamentData[[#This Row],[Team Number]], 'Robot Game Scores'!$A:$A,0))),0,INDEX('Robot Game Scores'!#REF!,MATCH(TournamentData[[#This Row],[Team Number]], 'Robot Game Scores'!$A:$A,0))))</f>
        <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1" s="79">
        <f>_xlfn.RANK.EQ(TournamentData[[#This Row],[Max Robot Game Score]],TournamentData[Max Robot Game Score])</f>
        <v/>
      </c>
      <c r="K21" s="79">
        <f>INDEX(CoreValuesResults[Core Values Rank],MATCH(TournamentData[[#This Row],[Team Number]],CoreValuesResults[Team Number],0))</f>
        <v/>
      </c>
      <c r="L21" s="79">
        <f>INDEX(InnovationProjectResults[Innovation Project Rank],MATCH(TournamentData[[#This Row],[Team Number]],InnovationProjectResults[Team Number],0))</f>
        <v/>
      </c>
      <c r="M21" s="79">
        <f>INDEX(RobotDesignResults[Robot Design Rank],MATCH(TournamentData[[#This Row],[Team Number]],RobotDesignResults[Team Number],0))</f>
        <v/>
      </c>
      <c r="N21" s="79">
        <f>SUM(TournamentData[[#This Row],[Robot Game Rank]:[Robot Design Rank]])</f>
        <v/>
      </c>
      <c r="O21" s="79">
        <f>RANK(TournamentData[[#This Row],[Champion''s Score]],TournamentData[Champion''s Score],1)</f>
        <v/>
      </c>
      <c r="P21" s="80" t="n"/>
      <c r="Q21" s="86" t="inlineStr">
        <is>
          <t>No</t>
        </is>
      </c>
      <c r="R21" s="81">
        <f>IF(ISNA(INDEX(CoreValuesResults[Core Values Score],MATCH(TournamentData[[#This Row],[Team Number]],CoreValuesResults[Team Number],0))),0,INDEX(CoreValuesResults[Core Values Score],MATCH(TournamentData[[#This Row],[Team Number]],CoreValuesResults[Team Number],0)))</f>
        <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
      </c>
      <c r="T21" s="81">
        <f>IF(ISNA(INDEX(RobotDesignResults[Robot Design Score],MATCH(TournamentData[[#This Row],[Team Number]],RobotDesignResults[Team Number],0))),0,INDEX(RobotDesignResults[Robot Design Score],MATCH(TournamentData[[#This Row],[Team Number]],RobotDesignResults[Team Number],0)))</f>
        <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1" s="80">
        <f>IF(U21,_xlfn.RANK.EQ(U21,U$3:U$17,0),NumberOfTeams)</f>
        <v/>
      </c>
      <c r="W21" s="80" t="n"/>
    </row>
    <row r="22" ht="20.25" customHeight="1">
      <c r="A22" s="79" t="n">
        <v>20</v>
      </c>
      <c r="B22" s="79">
        <f>INDEX(OfficialTeamList[Pod Number],MATCH(TournamentData[[#This Row],[Team Number]], OfficialTeamList[Team '#],0))</f>
        <v/>
      </c>
      <c r="C22" s="105">
        <f>INDEX(OfficialTeamList[Team Name],MATCH(TournamentData[[#This Row],[Team Number]], OfficialTeamList[Team '#],0))</f>
        <v/>
      </c>
      <c r="D22" s="79">
        <f>IF(TournamentData[[#This Row],[Team Number]]="","",IF(ISNA(INDEX('Robot Game Scores'!C:C,MATCH(TournamentData[[#This Row],[Team Number]], 'Robot Game Scores'!$A:$A,0))),0,INDEX('Robot Game Scores'!C:C,MATCH(TournamentData[[#This Row],[Team Number]], 'Robot Game Scores'!$A:$A,0))))</f>
        <v/>
      </c>
      <c r="E22" s="79">
        <f>IF(TournamentData[[#This Row],[Team Number]]="","",IF(ISNA(INDEX('Robot Game Scores'!D:D,MATCH(TournamentData[[#This Row],[Team Number]], 'Robot Game Scores'!$A:$A,0))),0,INDEX('Robot Game Scores'!D:D,MATCH(TournamentData[[#This Row],[Team Number]], 'Robot Game Scores'!$A:$A,0))))</f>
        <v/>
      </c>
      <c r="F22" s="79">
        <f>IF(TournamentData[[#This Row],[Team Number]]="","",IF(ISNA(INDEX('Robot Game Scores'!E:E,MATCH(TournamentData[[#This Row],[Team Number]], 'Robot Game Scores'!$A:$A,0))),0,INDEX('Robot Game Scores'!E:E,MATCH(TournamentData[[#This Row],[Team Number]], 'Robot Game Scores'!$A:$A,0))))</f>
        <v/>
      </c>
      <c r="G22" s="79">
        <f>IF(TournamentData[[#This Row],[Team Number]]="","",IF(ISNA(INDEX('Robot Game Scores'!#REF!,MATCH(TournamentData[[#This Row],[Team Number]], 'Robot Game Scores'!$A:$A,0))),0,INDEX('Robot Game Scores'!#REF!,MATCH(TournamentData[[#This Row],[Team Number]], 'Robot Game Scores'!$A:$A,0))))</f>
        <v/>
      </c>
      <c r="H22" s="79">
        <f>IF(TournamentData[[#This Row],[Team Number]]="","",IF(ISNA(INDEX('Robot Game Scores'!#REF!,MATCH(TournamentData[[#This Row],[Team Number]], 'Robot Game Scores'!$A:$A,0))),0,INDEX('Robot Game Scores'!#REF!,MATCH(TournamentData[[#This Row],[Team Number]], 'Robot Game Scores'!$A:$A,0))))</f>
        <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2" s="79">
        <f>_xlfn.RANK.EQ(TournamentData[[#This Row],[Max Robot Game Score]],TournamentData[Max Robot Game Score])</f>
        <v/>
      </c>
      <c r="K22" s="79">
        <f>INDEX(CoreValuesResults[Core Values Rank],MATCH(TournamentData[[#This Row],[Team Number]],CoreValuesResults[Team Number],0))</f>
        <v/>
      </c>
      <c r="L22" s="79">
        <f>INDEX(InnovationProjectResults[Innovation Project Rank],MATCH(TournamentData[[#This Row],[Team Number]],InnovationProjectResults[Team Number],0))</f>
        <v/>
      </c>
      <c r="M22" s="79">
        <f>INDEX(RobotDesignResults[Robot Design Rank],MATCH(TournamentData[[#This Row],[Team Number]],RobotDesignResults[Team Number],0))</f>
        <v/>
      </c>
      <c r="N22" s="79">
        <f>SUM(TournamentData[[#This Row],[Robot Game Rank]:[Robot Design Rank]])</f>
        <v/>
      </c>
      <c r="O22" s="79">
        <f>RANK(TournamentData[[#This Row],[Champion''s Score]],TournamentData[Champion''s Score],1)</f>
        <v/>
      </c>
      <c r="P22" s="80" t="n"/>
      <c r="Q22" s="86" t="inlineStr">
        <is>
          <t>No</t>
        </is>
      </c>
      <c r="R22" s="81">
        <f>IF(ISNA(INDEX(CoreValuesResults[Core Values Score],MATCH(TournamentData[[#This Row],[Team Number]],CoreValuesResults[Team Number],0))),0,INDEX(CoreValuesResults[Core Values Score],MATCH(TournamentData[[#This Row],[Team Number]],CoreValuesResults[Team Number],0)))</f>
        <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
      </c>
      <c r="T22" s="81">
        <f>IF(ISNA(INDEX(RobotDesignResults[Robot Design Score],MATCH(TournamentData[[#This Row],[Team Number]],RobotDesignResults[Team Number],0))),0,INDEX(RobotDesignResults[Robot Design Score],MATCH(TournamentData[[#This Row],[Team Number]],RobotDesignResults[Team Number],0)))</f>
        <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2" s="80">
        <f>IF(U22,_xlfn.RANK.EQ(U22,U$3:U$17,0),NumberOfTeams)</f>
        <v/>
      </c>
      <c r="W22" s="80" t="n"/>
    </row>
    <row r="23" ht="20.25" customHeight="1">
      <c r="A23" s="79" t="n">
        <v>21</v>
      </c>
      <c r="B23" s="79">
        <f>INDEX(OfficialTeamList[Pod Number],MATCH(TournamentData[[#This Row],[Team Number]], OfficialTeamList[Team '#],0))</f>
        <v/>
      </c>
      <c r="C23" s="105">
        <f>INDEX(OfficialTeamList[Team Name],MATCH(TournamentData[[#This Row],[Team Number]], OfficialTeamList[Team '#],0))</f>
        <v/>
      </c>
      <c r="D23" s="79">
        <f>IF(TournamentData[[#This Row],[Team Number]]="","",IF(ISNA(INDEX('Robot Game Scores'!C:C,MATCH(TournamentData[[#This Row],[Team Number]], 'Robot Game Scores'!$A:$A,0))),0,INDEX('Robot Game Scores'!C:C,MATCH(TournamentData[[#This Row],[Team Number]], 'Robot Game Scores'!$A:$A,0))))</f>
        <v/>
      </c>
      <c r="E23" s="79">
        <f>IF(TournamentData[[#This Row],[Team Number]]="","",IF(ISNA(INDEX('Robot Game Scores'!D:D,MATCH(TournamentData[[#This Row],[Team Number]], 'Robot Game Scores'!$A:$A,0))),0,INDEX('Robot Game Scores'!D:D,MATCH(TournamentData[[#This Row],[Team Number]], 'Robot Game Scores'!$A:$A,0))))</f>
        <v/>
      </c>
      <c r="F23" s="79">
        <f>IF(TournamentData[[#This Row],[Team Number]]="","",IF(ISNA(INDEX('Robot Game Scores'!E:E,MATCH(TournamentData[[#This Row],[Team Number]], 'Robot Game Scores'!$A:$A,0))),0,INDEX('Robot Game Scores'!E:E,MATCH(TournamentData[[#This Row],[Team Number]], 'Robot Game Scores'!$A:$A,0))))</f>
        <v/>
      </c>
      <c r="G23" s="79">
        <f>IF(TournamentData[[#This Row],[Team Number]]="","",IF(ISNA(INDEX('Robot Game Scores'!#REF!,MATCH(TournamentData[[#This Row],[Team Number]], 'Robot Game Scores'!$A:$A,0))),0,INDEX('Robot Game Scores'!#REF!,MATCH(TournamentData[[#This Row],[Team Number]], 'Robot Game Scores'!$A:$A,0))))</f>
        <v/>
      </c>
      <c r="H23" s="79">
        <f>IF(TournamentData[[#This Row],[Team Number]]="","",IF(ISNA(INDEX('Robot Game Scores'!#REF!,MATCH(TournamentData[[#This Row],[Team Number]], 'Robot Game Scores'!$A:$A,0))),0,INDEX('Robot Game Scores'!#REF!,MATCH(TournamentData[[#This Row],[Team Number]], 'Robot Game Scores'!$A:$A,0))))</f>
        <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3" s="79">
        <f>_xlfn.RANK.EQ(TournamentData[[#This Row],[Max Robot Game Score]],TournamentData[Max Robot Game Score])</f>
        <v/>
      </c>
      <c r="K23" s="79">
        <f>INDEX(CoreValuesResults[Core Values Rank],MATCH(TournamentData[[#This Row],[Team Number]],CoreValuesResults[Team Number],0))</f>
        <v/>
      </c>
      <c r="L23" s="79">
        <f>INDEX(InnovationProjectResults[Innovation Project Rank],MATCH(TournamentData[[#This Row],[Team Number]],InnovationProjectResults[Team Number],0))</f>
        <v/>
      </c>
      <c r="M23" s="79">
        <f>INDEX(RobotDesignResults[Robot Design Rank],MATCH(TournamentData[[#This Row],[Team Number]],RobotDesignResults[Team Number],0))</f>
        <v/>
      </c>
      <c r="N23" s="79">
        <f>SUM(TournamentData[[#This Row],[Robot Game Rank]:[Robot Design Rank]])</f>
        <v/>
      </c>
      <c r="O23" s="79">
        <f>RANK(TournamentData[[#This Row],[Champion''s Score]],TournamentData[Champion''s Score],1)</f>
        <v/>
      </c>
      <c r="P23" s="80" t="n"/>
      <c r="Q23" s="86" t="inlineStr">
        <is>
          <t>No</t>
        </is>
      </c>
      <c r="R23" s="81">
        <f>IF(ISNA(INDEX(CoreValuesResults[Core Values Score],MATCH(TournamentData[[#This Row],[Team Number]],CoreValuesResults[Team Number],0))),0,INDEX(CoreValuesResults[Core Values Score],MATCH(TournamentData[[#This Row],[Team Number]],CoreValuesResults[Team Number],0)))</f>
        <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
      </c>
      <c r="T23" s="81">
        <f>IF(ISNA(INDEX(RobotDesignResults[Robot Design Score],MATCH(TournamentData[[#This Row],[Team Number]],RobotDesignResults[Team Number],0))),0,INDEX(RobotDesignResults[Robot Design Score],MATCH(TournamentData[[#This Row],[Team Number]],RobotDesignResults[Team Number],0)))</f>
        <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3" s="80">
        <f>IF(U23,_xlfn.RANK.EQ(U23,U$3:U$17,0),NumberOfTeams)</f>
        <v/>
      </c>
      <c r="W23" s="80" t="n"/>
    </row>
    <row r="24" ht="20.25" customHeight="1">
      <c r="A24" s="79" t="n">
        <v>22</v>
      </c>
      <c r="B24" s="79">
        <f>INDEX(OfficialTeamList[Pod Number],MATCH(TournamentData[[#This Row],[Team Number]], OfficialTeamList[Team '#],0))</f>
        <v/>
      </c>
      <c r="C24" s="105">
        <f>INDEX(OfficialTeamList[Team Name],MATCH(TournamentData[[#This Row],[Team Number]], OfficialTeamList[Team '#],0))</f>
        <v/>
      </c>
      <c r="D24" s="79">
        <f>IF(TournamentData[[#This Row],[Team Number]]="","",IF(ISNA(INDEX('Robot Game Scores'!C:C,MATCH(TournamentData[[#This Row],[Team Number]], 'Robot Game Scores'!$A:$A,0))),0,INDEX('Robot Game Scores'!C:C,MATCH(TournamentData[[#This Row],[Team Number]], 'Robot Game Scores'!$A:$A,0))))</f>
        <v/>
      </c>
      <c r="E24" s="79">
        <f>IF(TournamentData[[#This Row],[Team Number]]="","",IF(ISNA(INDEX('Robot Game Scores'!D:D,MATCH(TournamentData[[#This Row],[Team Number]], 'Robot Game Scores'!$A:$A,0))),0,INDEX('Robot Game Scores'!D:D,MATCH(TournamentData[[#This Row],[Team Number]], 'Robot Game Scores'!$A:$A,0))))</f>
        <v/>
      </c>
      <c r="F24" s="79">
        <f>IF(TournamentData[[#This Row],[Team Number]]="","",IF(ISNA(INDEX('Robot Game Scores'!E:E,MATCH(TournamentData[[#This Row],[Team Number]], 'Robot Game Scores'!$A:$A,0))),0,INDEX('Robot Game Scores'!E:E,MATCH(TournamentData[[#This Row],[Team Number]], 'Robot Game Scores'!$A:$A,0))))</f>
        <v/>
      </c>
      <c r="G24" s="79">
        <f>IF(TournamentData[[#This Row],[Team Number]]="","",IF(ISNA(INDEX('Robot Game Scores'!#REF!,MATCH(TournamentData[[#This Row],[Team Number]], 'Robot Game Scores'!$A:$A,0))),0,INDEX('Robot Game Scores'!#REF!,MATCH(TournamentData[[#This Row],[Team Number]], 'Robot Game Scores'!$A:$A,0))))</f>
        <v/>
      </c>
      <c r="H24" s="79">
        <f>IF(TournamentData[[#This Row],[Team Number]]="","",IF(ISNA(INDEX('Robot Game Scores'!#REF!,MATCH(TournamentData[[#This Row],[Team Number]], 'Robot Game Scores'!$A:$A,0))),0,INDEX('Robot Game Scores'!#REF!,MATCH(TournamentData[[#This Row],[Team Number]], 'Robot Game Scores'!$A:$A,0))))</f>
        <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4" s="79">
        <f>_xlfn.RANK.EQ(TournamentData[[#This Row],[Max Robot Game Score]],TournamentData[Max Robot Game Score])</f>
        <v/>
      </c>
      <c r="K24" s="79">
        <f>INDEX(CoreValuesResults[Core Values Rank],MATCH(TournamentData[[#This Row],[Team Number]],CoreValuesResults[Team Number],0))</f>
        <v/>
      </c>
      <c r="L24" s="79">
        <f>INDEX(InnovationProjectResults[Innovation Project Rank],MATCH(TournamentData[[#This Row],[Team Number]],InnovationProjectResults[Team Number],0))</f>
        <v/>
      </c>
      <c r="M24" s="79">
        <f>INDEX(RobotDesignResults[Robot Design Rank],MATCH(TournamentData[[#This Row],[Team Number]],RobotDesignResults[Team Number],0))</f>
        <v/>
      </c>
      <c r="N24" s="79">
        <f>SUM(TournamentData[[#This Row],[Robot Game Rank]:[Robot Design Rank]])</f>
        <v/>
      </c>
      <c r="O24" s="79">
        <f>RANK(TournamentData[[#This Row],[Champion''s Score]],TournamentData[Champion''s Score],1)</f>
        <v/>
      </c>
      <c r="P24" s="80" t="n"/>
      <c r="Q24" s="86" t="inlineStr">
        <is>
          <t>No</t>
        </is>
      </c>
      <c r="R24" s="81">
        <f>IF(ISNA(INDEX(CoreValuesResults[Core Values Score],MATCH(TournamentData[[#This Row],[Team Number]],CoreValuesResults[Team Number],0))),0,INDEX(CoreValuesResults[Core Values Score],MATCH(TournamentData[[#This Row],[Team Number]],CoreValuesResults[Team Number],0)))</f>
        <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
      </c>
      <c r="T24" s="81">
        <f>IF(ISNA(INDEX(RobotDesignResults[Robot Design Score],MATCH(TournamentData[[#This Row],[Team Number]],RobotDesignResults[Team Number],0))),0,INDEX(RobotDesignResults[Robot Design Score],MATCH(TournamentData[[#This Row],[Team Number]],RobotDesignResults[Team Number],0)))</f>
        <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4" s="80">
        <f>IF(U24,_xlfn.RANK.EQ(U24,U$3:U$17,0),NumberOfTeams)</f>
        <v/>
      </c>
      <c r="W24" s="80" t="n"/>
    </row>
    <row r="25" ht="20.25" customHeight="1">
      <c r="A25" s="79" t="n">
        <v>23</v>
      </c>
      <c r="B25" s="79">
        <f>INDEX(OfficialTeamList[Pod Number],MATCH(TournamentData[[#This Row],[Team Number]], OfficialTeamList[Team '#],0))</f>
        <v/>
      </c>
      <c r="C25" s="105">
        <f>INDEX(OfficialTeamList[Team Name],MATCH(TournamentData[[#This Row],[Team Number]], OfficialTeamList[Team '#],0))</f>
        <v/>
      </c>
      <c r="D25" s="79">
        <f>IF(TournamentData[[#This Row],[Team Number]]="","",IF(ISNA(INDEX('Robot Game Scores'!C:C,MATCH(TournamentData[[#This Row],[Team Number]], 'Robot Game Scores'!$A:$A,0))),0,INDEX('Robot Game Scores'!C:C,MATCH(TournamentData[[#This Row],[Team Number]], 'Robot Game Scores'!$A:$A,0))))</f>
        <v/>
      </c>
      <c r="E25" s="79">
        <f>IF(TournamentData[[#This Row],[Team Number]]="","",IF(ISNA(INDEX('Robot Game Scores'!D:D,MATCH(TournamentData[[#This Row],[Team Number]], 'Robot Game Scores'!$A:$A,0))),0,INDEX('Robot Game Scores'!D:D,MATCH(TournamentData[[#This Row],[Team Number]], 'Robot Game Scores'!$A:$A,0))))</f>
        <v/>
      </c>
      <c r="F25" s="79">
        <f>IF(TournamentData[[#This Row],[Team Number]]="","",IF(ISNA(INDEX('Robot Game Scores'!E:E,MATCH(TournamentData[[#This Row],[Team Number]], 'Robot Game Scores'!$A:$A,0))),0,INDEX('Robot Game Scores'!E:E,MATCH(TournamentData[[#This Row],[Team Number]], 'Robot Game Scores'!$A:$A,0))))</f>
        <v/>
      </c>
      <c r="G25" s="79">
        <f>IF(TournamentData[[#This Row],[Team Number]]="","",IF(ISNA(INDEX('Robot Game Scores'!#REF!,MATCH(TournamentData[[#This Row],[Team Number]], 'Robot Game Scores'!$A:$A,0))),0,INDEX('Robot Game Scores'!#REF!,MATCH(TournamentData[[#This Row],[Team Number]], 'Robot Game Scores'!$A:$A,0))))</f>
        <v/>
      </c>
      <c r="H25" s="79">
        <f>IF(TournamentData[[#This Row],[Team Number]]="","",IF(ISNA(INDEX('Robot Game Scores'!#REF!,MATCH(TournamentData[[#This Row],[Team Number]], 'Robot Game Scores'!$A:$A,0))),0,INDEX('Robot Game Scores'!#REF!,MATCH(TournamentData[[#This Row],[Team Number]], 'Robot Game Scores'!$A:$A,0))))</f>
        <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5" s="79">
        <f>_xlfn.RANK.EQ(TournamentData[[#This Row],[Max Robot Game Score]],TournamentData[Max Robot Game Score])</f>
        <v/>
      </c>
      <c r="K25" s="79">
        <f>INDEX(CoreValuesResults[Core Values Rank],MATCH(TournamentData[[#This Row],[Team Number]],CoreValuesResults[Team Number],0))</f>
        <v/>
      </c>
      <c r="L25" s="79">
        <f>INDEX(InnovationProjectResults[Innovation Project Rank],MATCH(TournamentData[[#This Row],[Team Number]],InnovationProjectResults[Team Number],0))</f>
        <v/>
      </c>
      <c r="M25" s="79">
        <f>INDEX(RobotDesignResults[Robot Design Rank],MATCH(TournamentData[[#This Row],[Team Number]],RobotDesignResults[Team Number],0))</f>
        <v/>
      </c>
      <c r="N25" s="79">
        <f>SUM(TournamentData[[#This Row],[Robot Game Rank]:[Robot Design Rank]])</f>
        <v/>
      </c>
      <c r="O25" s="79">
        <f>RANK(TournamentData[[#This Row],[Champion''s Score]],TournamentData[Champion''s Score],1)</f>
        <v/>
      </c>
      <c r="P25" s="80" t="n"/>
      <c r="Q25" s="86" t="inlineStr">
        <is>
          <t>No</t>
        </is>
      </c>
      <c r="R25" s="81">
        <f>IF(ISNA(INDEX(CoreValuesResults[Core Values Score],MATCH(TournamentData[[#This Row],[Team Number]],CoreValuesResults[Team Number],0))),0,INDEX(CoreValuesResults[Core Values Score],MATCH(TournamentData[[#This Row],[Team Number]],CoreValuesResults[Team Number],0)))</f>
        <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
      </c>
      <c r="T25" s="81">
        <f>IF(ISNA(INDEX(RobotDesignResults[Robot Design Score],MATCH(TournamentData[[#This Row],[Team Number]],RobotDesignResults[Team Number],0))),0,INDEX(RobotDesignResults[Robot Design Score],MATCH(TournamentData[[#This Row],[Team Number]],RobotDesignResults[Team Number],0)))</f>
        <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5" s="80">
        <f>IF(U25,_xlfn.RANK.EQ(U25,U$3:U$17,0),NumberOfTeams)</f>
        <v/>
      </c>
      <c r="W25" s="80" t="n"/>
    </row>
    <row r="26" ht="20.25" customHeight="1">
      <c r="A26" s="79" t="n">
        <v>24</v>
      </c>
      <c r="B26" s="79">
        <f>INDEX(OfficialTeamList[Pod Number],MATCH(TournamentData[[#This Row],[Team Number]], OfficialTeamList[Team '#],0))</f>
        <v/>
      </c>
      <c r="C26" s="105">
        <f>INDEX(OfficialTeamList[Team Name],MATCH(TournamentData[[#This Row],[Team Number]], OfficialTeamList[Team '#],0))</f>
        <v/>
      </c>
      <c r="D26" s="79">
        <f>IF(TournamentData[[#This Row],[Team Number]]="","",IF(ISNA(INDEX('Robot Game Scores'!C:C,MATCH(TournamentData[[#This Row],[Team Number]], 'Robot Game Scores'!$A:$A,0))),0,INDEX('Robot Game Scores'!C:C,MATCH(TournamentData[[#This Row],[Team Number]], 'Robot Game Scores'!$A:$A,0))))</f>
        <v/>
      </c>
      <c r="E26" s="79">
        <f>IF(TournamentData[[#This Row],[Team Number]]="","",IF(ISNA(INDEX('Robot Game Scores'!D:D,MATCH(TournamentData[[#This Row],[Team Number]], 'Robot Game Scores'!$A:$A,0))),0,INDEX('Robot Game Scores'!D:D,MATCH(TournamentData[[#This Row],[Team Number]], 'Robot Game Scores'!$A:$A,0))))</f>
        <v/>
      </c>
      <c r="F26" s="79">
        <f>IF(TournamentData[[#This Row],[Team Number]]="","",IF(ISNA(INDEX('Robot Game Scores'!E:E,MATCH(TournamentData[[#This Row],[Team Number]], 'Robot Game Scores'!$A:$A,0))),0,INDEX('Robot Game Scores'!E:E,MATCH(TournamentData[[#This Row],[Team Number]], 'Robot Game Scores'!$A:$A,0))))</f>
        <v/>
      </c>
      <c r="G26" s="79">
        <f>IF(TournamentData[[#This Row],[Team Number]]="","",IF(ISNA(INDEX('Robot Game Scores'!#REF!,MATCH(TournamentData[[#This Row],[Team Number]], 'Robot Game Scores'!$A:$A,0))),0,INDEX('Robot Game Scores'!#REF!,MATCH(TournamentData[[#This Row],[Team Number]], 'Robot Game Scores'!$A:$A,0))))</f>
        <v/>
      </c>
      <c r="H26" s="79">
        <f>IF(TournamentData[[#This Row],[Team Number]]="","",IF(ISNA(INDEX('Robot Game Scores'!#REF!,MATCH(TournamentData[[#This Row],[Team Number]], 'Robot Game Scores'!$A:$A,0))),0,INDEX('Robot Game Scores'!#REF!,MATCH(TournamentData[[#This Row],[Team Number]], 'Robot Game Scores'!$A:$A,0))))</f>
        <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6" s="79">
        <f>_xlfn.RANK.EQ(TournamentData[[#This Row],[Max Robot Game Score]],TournamentData[Max Robot Game Score])</f>
        <v/>
      </c>
      <c r="K26" s="79">
        <f>INDEX(CoreValuesResults[Core Values Rank],MATCH(TournamentData[[#This Row],[Team Number]],CoreValuesResults[Team Number],0))</f>
        <v/>
      </c>
      <c r="L26" s="79">
        <f>INDEX(InnovationProjectResults[Innovation Project Rank],MATCH(TournamentData[[#This Row],[Team Number]],InnovationProjectResults[Team Number],0))</f>
        <v/>
      </c>
      <c r="M26" s="79">
        <f>INDEX(RobotDesignResults[Robot Design Rank],MATCH(TournamentData[[#This Row],[Team Number]],RobotDesignResults[Team Number],0))</f>
        <v/>
      </c>
      <c r="N26" s="79">
        <f>SUM(TournamentData[[#This Row],[Robot Game Rank]:[Robot Design Rank]])</f>
        <v/>
      </c>
      <c r="O26" s="79">
        <f>RANK(TournamentData[[#This Row],[Champion''s Score]],TournamentData[Champion''s Score],1)</f>
        <v/>
      </c>
      <c r="P26" s="80" t="n"/>
      <c r="Q26" s="86" t="inlineStr">
        <is>
          <t>No</t>
        </is>
      </c>
      <c r="R26" s="81">
        <f>IF(ISNA(INDEX(CoreValuesResults[Core Values Score],MATCH(TournamentData[[#This Row],[Team Number]],CoreValuesResults[Team Number],0))),0,INDEX(CoreValuesResults[Core Values Score],MATCH(TournamentData[[#This Row],[Team Number]],CoreValuesResults[Team Number],0)))</f>
        <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
      </c>
      <c r="T26" s="81">
        <f>IF(ISNA(INDEX(RobotDesignResults[Robot Design Score],MATCH(TournamentData[[#This Row],[Team Number]],RobotDesignResults[Team Number],0))),0,INDEX(RobotDesignResults[Robot Design Score],MATCH(TournamentData[[#This Row],[Team Number]],RobotDesignResults[Team Number],0)))</f>
        <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6" s="80">
        <f>IF(U26,_xlfn.RANK.EQ(U26,U$3:U$17,0),NumberOfTeams)</f>
        <v/>
      </c>
      <c r="W26" s="80" t="n"/>
    </row>
    <row r="27" ht="20.25" customHeight="1">
      <c r="A27" s="79" t="n">
        <v>25</v>
      </c>
      <c r="B27" s="79">
        <f>INDEX(OfficialTeamList[Pod Number],MATCH(TournamentData[[#This Row],[Team Number]], OfficialTeamList[Team '#],0))</f>
        <v/>
      </c>
      <c r="C27" s="105">
        <f>INDEX(OfficialTeamList[Team Name],MATCH(TournamentData[[#This Row],[Team Number]], OfficialTeamList[Team '#],0))</f>
        <v/>
      </c>
      <c r="D27" s="79">
        <f>IF(TournamentData[[#This Row],[Team Number]]="","",IF(ISNA(INDEX('Robot Game Scores'!C:C,MATCH(TournamentData[[#This Row],[Team Number]], 'Robot Game Scores'!$A:$A,0))),0,INDEX('Robot Game Scores'!C:C,MATCH(TournamentData[[#This Row],[Team Number]], 'Robot Game Scores'!$A:$A,0))))</f>
        <v/>
      </c>
      <c r="E27" s="79">
        <f>IF(TournamentData[[#This Row],[Team Number]]="","",IF(ISNA(INDEX('Robot Game Scores'!D:D,MATCH(TournamentData[[#This Row],[Team Number]], 'Robot Game Scores'!$A:$A,0))),0,INDEX('Robot Game Scores'!D:D,MATCH(TournamentData[[#This Row],[Team Number]], 'Robot Game Scores'!$A:$A,0))))</f>
        <v/>
      </c>
      <c r="F27" s="79">
        <f>IF(TournamentData[[#This Row],[Team Number]]="","",IF(ISNA(INDEX('Robot Game Scores'!E:E,MATCH(TournamentData[[#This Row],[Team Number]], 'Robot Game Scores'!$A:$A,0))),0,INDEX('Robot Game Scores'!E:E,MATCH(TournamentData[[#This Row],[Team Number]], 'Robot Game Scores'!$A:$A,0))))</f>
        <v/>
      </c>
      <c r="G27" s="79">
        <f>IF(TournamentData[[#This Row],[Team Number]]="","",IF(ISNA(INDEX('Robot Game Scores'!#REF!,MATCH(TournamentData[[#This Row],[Team Number]], 'Robot Game Scores'!$A:$A,0))),0,INDEX('Robot Game Scores'!#REF!,MATCH(TournamentData[[#This Row],[Team Number]], 'Robot Game Scores'!$A:$A,0))))</f>
        <v/>
      </c>
      <c r="H27" s="79">
        <f>IF(TournamentData[[#This Row],[Team Number]]="","",IF(ISNA(INDEX('Robot Game Scores'!#REF!,MATCH(TournamentData[[#This Row],[Team Number]], 'Robot Game Scores'!$A:$A,0))),0,INDEX('Robot Game Scores'!#REF!,MATCH(TournamentData[[#This Row],[Team Number]], 'Robot Game Scores'!$A:$A,0))))</f>
        <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7" s="79">
        <f>_xlfn.RANK.EQ(TournamentData[[#This Row],[Max Robot Game Score]],TournamentData[Max Robot Game Score])</f>
        <v/>
      </c>
      <c r="K27" s="79">
        <f>INDEX(CoreValuesResults[Core Values Rank],MATCH(TournamentData[[#This Row],[Team Number]],CoreValuesResults[Team Number],0))</f>
        <v/>
      </c>
      <c r="L27" s="79">
        <f>INDEX(InnovationProjectResults[Innovation Project Rank],MATCH(TournamentData[[#This Row],[Team Number]],InnovationProjectResults[Team Number],0))</f>
        <v/>
      </c>
      <c r="M27" s="79">
        <f>INDEX(RobotDesignResults[Robot Design Rank],MATCH(TournamentData[[#This Row],[Team Number]],RobotDesignResults[Team Number],0))</f>
        <v/>
      </c>
      <c r="N27" s="79">
        <f>SUM(TournamentData[[#This Row],[Robot Game Rank]:[Robot Design Rank]])</f>
        <v/>
      </c>
      <c r="O27" s="79">
        <f>RANK(TournamentData[[#This Row],[Champion''s Score]],TournamentData[Champion''s Score],1)</f>
        <v/>
      </c>
      <c r="P27" s="80" t="n"/>
      <c r="Q27" s="86" t="inlineStr">
        <is>
          <t>No</t>
        </is>
      </c>
      <c r="R27" s="81">
        <f>IF(ISNA(INDEX(CoreValuesResults[Core Values Score],MATCH(TournamentData[[#This Row],[Team Number]],CoreValuesResults[Team Number],0))),0,INDEX(CoreValuesResults[Core Values Score],MATCH(TournamentData[[#This Row],[Team Number]],CoreValuesResults[Team Number],0)))</f>
        <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
      </c>
      <c r="T27" s="81">
        <f>IF(ISNA(INDEX(RobotDesignResults[Robot Design Score],MATCH(TournamentData[[#This Row],[Team Number]],RobotDesignResults[Team Number],0))),0,INDEX(RobotDesignResults[Robot Design Score],MATCH(TournamentData[[#This Row],[Team Number]],RobotDesignResults[Team Number],0)))</f>
        <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7" s="80">
        <f>IF(U27,_xlfn.RANK.EQ(U27,U$3:U$17,0),NumberOfTeams)</f>
        <v/>
      </c>
      <c r="W27" s="80" t="n"/>
    </row>
    <row r="28" ht="20.25" customHeight="1">
      <c r="A28" s="79" t="n">
        <v>26</v>
      </c>
      <c r="B28" s="79">
        <f>INDEX(OfficialTeamList[Pod Number],MATCH(TournamentData[[#This Row],[Team Number]], OfficialTeamList[Team '#],0))</f>
        <v/>
      </c>
      <c r="C28" s="105">
        <f>INDEX(OfficialTeamList[Team Name],MATCH(TournamentData[[#This Row],[Team Number]], OfficialTeamList[Team '#],0))</f>
        <v/>
      </c>
      <c r="D28" s="79">
        <f>IF(TournamentData[[#This Row],[Team Number]]="","",IF(ISNA(INDEX('Robot Game Scores'!C:C,MATCH(TournamentData[[#This Row],[Team Number]], 'Robot Game Scores'!$A:$A,0))),0,INDEX('Robot Game Scores'!C:C,MATCH(TournamentData[[#This Row],[Team Number]], 'Robot Game Scores'!$A:$A,0))))</f>
        <v/>
      </c>
      <c r="E28" s="79">
        <f>IF(TournamentData[[#This Row],[Team Number]]="","",IF(ISNA(INDEX('Robot Game Scores'!D:D,MATCH(TournamentData[[#This Row],[Team Number]], 'Robot Game Scores'!$A:$A,0))),0,INDEX('Robot Game Scores'!D:D,MATCH(TournamentData[[#This Row],[Team Number]], 'Robot Game Scores'!$A:$A,0))))</f>
        <v/>
      </c>
      <c r="F28" s="79">
        <f>IF(TournamentData[[#This Row],[Team Number]]="","",IF(ISNA(INDEX('Robot Game Scores'!E:E,MATCH(TournamentData[[#This Row],[Team Number]], 'Robot Game Scores'!$A:$A,0))),0,INDEX('Robot Game Scores'!E:E,MATCH(TournamentData[[#This Row],[Team Number]], 'Robot Game Scores'!$A:$A,0))))</f>
        <v/>
      </c>
      <c r="G28" s="79">
        <f>IF(TournamentData[[#This Row],[Team Number]]="","",IF(ISNA(INDEX('Robot Game Scores'!#REF!,MATCH(TournamentData[[#This Row],[Team Number]], 'Robot Game Scores'!$A:$A,0))),0,INDEX('Robot Game Scores'!#REF!,MATCH(TournamentData[[#This Row],[Team Number]], 'Robot Game Scores'!$A:$A,0))))</f>
        <v/>
      </c>
      <c r="H28" s="79">
        <f>IF(TournamentData[[#This Row],[Team Number]]="","",IF(ISNA(INDEX('Robot Game Scores'!#REF!,MATCH(TournamentData[[#This Row],[Team Number]], 'Robot Game Scores'!$A:$A,0))),0,INDEX('Robot Game Scores'!#REF!,MATCH(TournamentData[[#This Row],[Team Number]], 'Robot Game Scores'!$A:$A,0))))</f>
        <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8" s="79">
        <f>_xlfn.RANK.EQ(TournamentData[[#This Row],[Max Robot Game Score]],TournamentData[Max Robot Game Score])</f>
        <v/>
      </c>
      <c r="K28" s="79">
        <f>INDEX(CoreValuesResults[Core Values Rank],MATCH(TournamentData[[#This Row],[Team Number]],CoreValuesResults[Team Number],0))</f>
        <v/>
      </c>
      <c r="L28" s="79">
        <f>INDEX(InnovationProjectResults[Innovation Project Rank],MATCH(TournamentData[[#This Row],[Team Number]],InnovationProjectResults[Team Number],0))</f>
        <v/>
      </c>
      <c r="M28" s="79">
        <f>INDEX(RobotDesignResults[Robot Design Rank],MATCH(TournamentData[[#This Row],[Team Number]],RobotDesignResults[Team Number],0))</f>
        <v/>
      </c>
      <c r="N28" s="79">
        <f>SUM(TournamentData[[#This Row],[Robot Game Rank]:[Robot Design Rank]])</f>
        <v/>
      </c>
      <c r="O28" s="79">
        <f>RANK(TournamentData[[#This Row],[Champion''s Score]],TournamentData[Champion''s Score],1)</f>
        <v/>
      </c>
      <c r="P28" s="80" t="n"/>
      <c r="Q28" s="86" t="inlineStr">
        <is>
          <t>No</t>
        </is>
      </c>
      <c r="R28" s="81">
        <f>IF(ISNA(INDEX(CoreValuesResults[Core Values Score],MATCH(TournamentData[[#This Row],[Team Number]],CoreValuesResults[Team Number],0))),0,INDEX(CoreValuesResults[Core Values Score],MATCH(TournamentData[[#This Row],[Team Number]],CoreValuesResults[Team Number],0)))</f>
        <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
      </c>
      <c r="T28" s="81">
        <f>IF(ISNA(INDEX(RobotDesignResults[Robot Design Score],MATCH(TournamentData[[#This Row],[Team Number]],RobotDesignResults[Team Number],0))),0,INDEX(RobotDesignResults[Robot Design Score],MATCH(TournamentData[[#This Row],[Team Number]],RobotDesignResults[Team Number],0)))</f>
        <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8" s="80">
        <f>IF(U28,_xlfn.RANK.EQ(U28,U$3:U$17,0),NumberOfTeams)</f>
        <v/>
      </c>
      <c r="W28" s="80" t="n"/>
    </row>
    <row r="29" ht="20.25" customHeight="1">
      <c r="A29" s="79" t="n">
        <v>27</v>
      </c>
      <c r="B29" s="79">
        <f>INDEX(OfficialTeamList[Pod Number],MATCH(TournamentData[[#This Row],[Team Number]], OfficialTeamList[Team '#],0))</f>
        <v/>
      </c>
      <c r="C29" s="105">
        <f>INDEX(OfficialTeamList[Team Name],MATCH(TournamentData[[#This Row],[Team Number]], OfficialTeamList[Team '#],0))</f>
        <v/>
      </c>
      <c r="D29" s="79">
        <f>IF(TournamentData[[#This Row],[Team Number]]="","",IF(ISNA(INDEX('Robot Game Scores'!C:C,MATCH(TournamentData[[#This Row],[Team Number]], 'Robot Game Scores'!$A:$A,0))),0,INDEX('Robot Game Scores'!C:C,MATCH(TournamentData[[#This Row],[Team Number]], 'Robot Game Scores'!$A:$A,0))))</f>
        <v/>
      </c>
      <c r="E29" s="79">
        <f>IF(TournamentData[[#This Row],[Team Number]]="","",IF(ISNA(INDEX('Robot Game Scores'!D:D,MATCH(TournamentData[[#This Row],[Team Number]], 'Robot Game Scores'!$A:$A,0))),0,INDEX('Robot Game Scores'!D:D,MATCH(TournamentData[[#This Row],[Team Number]], 'Robot Game Scores'!$A:$A,0))))</f>
        <v/>
      </c>
      <c r="F29" s="79">
        <f>IF(TournamentData[[#This Row],[Team Number]]="","",IF(ISNA(INDEX('Robot Game Scores'!E:E,MATCH(TournamentData[[#This Row],[Team Number]], 'Robot Game Scores'!$A:$A,0))),0,INDEX('Robot Game Scores'!E:E,MATCH(TournamentData[[#This Row],[Team Number]], 'Robot Game Scores'!$A:$A,0))))</f>
        <v/>
      </c>
      <c r="G29" s="79">
        <f>IF(TournamentData[[#This Row],[Team Number]]="","",IF(ISNA(INDEX('Robot Game Scores'!#REF!,MATCH(TournamentData[[#This Row],[Team Number]], 'Robot Game Scores'!$A:$A,0))),0,INDEX('Robot Game Scores'!#REF!,MATCH(TournamentData[[#This Row],[Team Number]], 'Robot Game Scores'!$A:$A,0))))</f>
        <v/>
      </c>
      <c r="H29" s="79">
        <f>IF(TournamentData[[#This Row],[Team Number]]="","",IF(ISNA(INDEX('Robot Game Scores'!#REF!,MATCH(TournamentData[[#This Row],[Team Number]], 'Robot Game Scores'!$A:$A,0))),0,INDEX('Robot Game Scores'!#REF!,MATCH(TournamentData[[#This Row],[Team Number]], 'Robot Game Scores'!$A:$A,0))))</f>
        <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9" s="79">
        <f>_xlfn.RANK.EQ(TournamentData[[#This Row],[Max Robot Game Score]],TournamentData[Max Robot Game Score])</f>
        <v/>
      </c>
      <c r="K29" s="79">
        <f>INDEX(CoreValuesResults[Core Values Rank],MATCH(TournamentData[[#This Row],[Team Number]],CoreValuesResults[Team Number],0))</f>
        <v/>
      </c>
      <c r="L29" s="79">
        <f>INDEX(InnovationProjectResults[Innovation Project Rank],MATCH(TournamentData[[#This Row],[Team Number]],InnovationProjectResults[Team Number],0))</f>
        <v/>
      </c>
      <c r="M29" s="79">
        <f>INDEX(RobotDesignResults[Robot Design Rank],MATCH(TournamentData[[#This Row],[Team Number]],RobotDesignResults[Team Number],0))</f>
        <v/>
      </c>
      <c r="N29" s="79">
        <f>SUM(TournamentData[[#This Row],[Robot Game Rank]:[Robot Design Rank]])</f>
        <v/>
      </c>
      <c r="O29" s="79">
        <f>RANK(TournamentData[[#This Row],[Champion''s Score]],TournamentData[Champion''s Score],1)</f>
        <v/>
      </c>
      <c r="P29" s="80" t="n"/>
      <c r="Q29" s="86" t="inlineStr">
        <is>
          <t>No</t>
        </is>
      </c>
      <c r="R29" s="81">
        <f>IF(ISNA(INDEX(CoreValuesResults[Core Values Score],MATCH(TournamentData[[#This Row],[Team Number]],CoreValuesResults[Team Number],0))),0,INDEX(CoreValuesResults[Core Values Score],MATCH(TournamentData[[#This Row],[Team Number]],CoreValuesResults[Team Number],0)))</f>
        <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
      </c>
      <c r="T29" s="81">
        <f>IF(ISNA(INDEX(RobotDesignResults[Robot Design Score],MATCH(TournamentData[[#This Row],[Team Number]],RobotDesignResults[Team Number],0))),0,INDEX(RobotDesignResults[Robot Design Score],MATCH(TournamentData[[#This Row],[Team Number]],RobotDesignResults[Team Number],0)))</f>
        <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9" s="80">
        <f>IF(U29,_xlfn.RANK.EQ(U29,U$3:U$17,0),NumberOfTeams)</f>
        <v/>
      </c>
      <c r="W29" s="80" t="n"/>
    </row>
    <row r="30" ht="20.25" customHeight="1">
      <c r="A30" s="79" t="n">
        <v>28</v>
      </c>
      <c r="B30" s="79">
        <f>INDEX(OfficialTeamList[Pod Number],MATCH(TournamentData[[#This Row],[Team Number]], OfficialTeamList[Team '#],0))</f>
        <v/>
      </c>
      <c r="C30" s="105">
        <f>INDEX(OfficialTeamList[Team Name],MATCH(TournamentData[[#This Row],[Team Number]], OfficialTeamList[Team '#],0))</f>
        <v/>
      </c>
      <c r="D30" s="79">
        <f>IF(TournamentData[[#This Row],[Team Number]]="","",IF(ISNA(INDEX('Robot Game Scores'!C:C,MATCH(TournamentData[[#This Row],[Team Number]], 'Robot Game Scores'!$A:$A,0))),0,INDEX('Robot Game Scores'!C:C,MATCH(TournamentData[[#This Row],[Team Number]], 'Robot Game Scores'!$A:$A,0))))</f>
        <v/>
      </c>
      <c r="E30" s="79">
        <f>IF(TournamentData[[#This Row],[Team Number]]="","",IF(ISNA(INDEX('Robot Game Scores'!D:D,MATCH(TournamentData[[#This Row],[Team Number]], 'Robot Game Scores'!$A:$A,0))),0,INDEX('Robot Game Scores'!D:D,MATCH(TournamentData[[#This Row],[Team Number]], 'Robot Game Scores'!$A:$A,0))))</f>
        <v/>
      </c>
      <c r="F30" s="79">
        <f>IF(TournamentData[[#This Row],[Team Number]]="","",IF(ISNA(INDEX('Robot Game Scores'!E:E,MATCH(TournamentData[[#This Row],[Team Number]], 'Robot Game Scores'!$A:$A,0))),0,INDEX('Robot Game Scores'!E:E,MATCH(TournamentData[[#This Row],[Team Number]], 'Robot Game Scores'!$A:$A,0))))</f>
        <v/>
      </c>
      <c r="G30" s="79">
        <f>IF(TournamentData[[#This Row],[Team Number]]="","",IF(ISNA(INDEX('Robot Game Scores'!#REF!,MATCH(TournamentData[[#This Row],[Team Number]], 'Robot Game Scores'!$A:$A,0))),0,INDEX('Robot Game Scores'!#REF!,MATCH(TournamentData[[#This Row],[Team Number]], 'Robot Game Scores'!$A:$A,0))))</f>
        <v/>
      </c>
      <c r="H30" s="79">
        <f>IF(TournamentData[[#This Row],[Team Number]]="","",IF(ISNA(INDEX('Robot Game Scores'!#REF!,MATCH(TournamentData[[#This Row],[Team Number]], 'Robot Game Scores'!$A:$A,0))),0,INDEX('Robot Game Scores'!#REF!,MATCH(TournamentData[[#This Row],[Team Number]], 'Robot Game Scores'!$A:$A,0))))</f>
        <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0" s="79">
        <f>_xlfn.RANK.EQ(TournamentData[[#This Row],[Max Robot Game Score]],TournamentData[Max Robot Game Score])</f>
        <v/>
      </c>
      <c r="K30" s="79">
        <f>INDEX(CoreValuesResults[Core Values Rank],MATCH(TournamentData[[#This Row],[Team Number]],CoreValuesResults[Team Number],0))</f>
        <v/>
      </c>
      <c r="L30" s="79">
        <f>INDEX(InnovationProjectResults[Innovation Project Rank],MATCH(TournamentData[[#This Row],[Team Number]],InnovationProjectResults[Team Number],0))</f>
        <v/>
      </c>
      <c r="M30" s="79">
        <f>INDEX(RobotDesignResults[Robot Design Rank],MATCH(TournamentData[[#This Row],[Team Number]],RobotDesignResults[Team Number],0))</f>
        <v/>
      </c>
      <c r="N30" s="79">
        <f>SUM(TournamentData[[#This Row],[Robot Game Rank]:[Robot Design Rank]])</f>
        <v/>
      </c>
      <c r="O30" s="79">
        <f>RANK(TournamentData[[#This Row],[Champion''s Score]],TournamentData[Champion''s Score],1)</f>
        <v/>
      </c>
      <c r="P30" s="80" t="n"/>
      <c r="Q30" s="86" t="inlineStr">
        <is>
          <t>No</t>
        </is>
      </c>
      <c r="R30" s="81">
        <f>IF(ISNA(INDEX(CoreValuesResults[Core Values Score],MATCH(TournamentData[[#This Row],[Team Number]],CoreValuesResults[Team Number],0))),0,INDEX(CoreValuesResults[Core Values Score],MATCH(TournamentData[[#This Row],[Team Number]],CoreValuesResults[Team Number],0)))</f>
        <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
      </c>
      <c r="T30" s="81">
        <f>IF(ISNA(INDEX(RobotDesignResults[Robot Design Score],MATCH(TournamentData[[#This Row],[Team Number]],RobotDesignResults[Team Number],0))),0,INDEX(RobotDesignResults[Robot Design Score],MATCH(TournamentData[[#This Row],[Team Number]],RobotDesignResults[Team Number],0)))</f>
        <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0" s="80">
        <f>IF(U30,_xlfn.RANK.EQ(U30,U$3:U$17,0),NumberOfTeams)</f>
        <v/>
      </c>
      <c r="W30" s="80" t="n"/>
    </row>
    <row r="31" ht="20.25" customHeight="1">
      <c r="A31" s="79" t="n">
        <v>29</v>
      </c>
      <c r="B31" s="79">
        <f>INDEX(OfficialTeamList[Pod Number],MATCH(TournamentData[[#This Row],[Team Number]], OfficialTeamList[Team '#],0))</f>
        <v/>
      </c>
      <c r="C31" s="105">
        <f>INDEX(OfficialTeamList[Team Name],MATCH(TournamentData[[#This Row],[Team Number]], OfficialTeamList[Team '#],0))</f>
        <v/>
      </c>
      <c r="D31" s="79">
        <f>IF(TournamentData[[#This Row],[Team Number]]="","",IF(ISNA(INDEX('Robot Game Scores'!C:C,MATCH(TournamentData[[#This Row],[Team Number]], 'Robot Game Scores'!$A:$A,0))),0,INDEX('Robot Game Scores'!C:C,MATCH(TournamentData[[#This Row],[Team Number]], 'Robot Game Scores'!$A:$A,0))))</f>
        <v/>
      </c>
      <c r="E31" s="79">
        <f>IF(TournamentData[[#This Row],[Team Number]]="","",IF(ISNA(INDEX('Robot Game Scores'!D:D,MATCH(TournamentData[[#This Row],[Team Number]], 'Robot Game Scores'!$A:$A,0))),0,INDEX('Robot Game Scores'!D:D,MATCH(TournamentData[[#This Row],[Team Number]], 'Robot Game Scores'!$A:$A,0))))</f>
        <v/>
      </c>
      <c r="F31" s="79">
        <f>IF(TournamentData[[#This Row],[Team Number]]="","",IF(ISNA(INDEX('Robot Game Scores'!E:E,MATCH(TournamentData[[#This Row],[Team Number]], 'Robot Game Scores'!$A:$A,0))),0,INDEX('Robot Game Scores'!E:E,MATCH(TournamentData[[#This Row],[Team Number]], 'Robot Game Scores'!$A:$A,0))))</f>
        <v/>
      </c>
      <c r="G31" s="79">
        <f>IF(TournamentData[[#This Row],[Team Number]]="","",IF(ISNA(INDEX('Robot Game Scores'!#REF!,MATCH(TournamentData[[#This Row],[Team Number]], 'Robot Game Scores'!$A:$A,0))),0,INDEX('Robot Game Scores'!#REF!,MATCH(TournamentData[[#This Row],[Team Number]], 'Robot Game Scores'!$A:$A,0))))</f>
        <v/>
      </c>
      <c r="H31" s="79">
        <f>IF(TournamentData[[#This Row],[Team Number]]="","",IF(ISNA(INDEX('Robot Game Scores'!#REF!,MATCH(TournamentData[[#This Row],[Team Number]], 'Robot Game Scores'!$A:$A,0))),0,INDEX('Robot Game Scores'!#REF!,MATCH(TournamentData[[#This Row],[Team Number]], 'Robot Game Scores'!$A:$A,0))))</f>
        <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1" s="79">
        <f>_xlfn.RANK.EQ(TournamentData[[#This Row],[Max Robot Game Score]],TournamentData[Max Robot Game Score])</f>
        <v/>
      </c>
      <c r="K31" s="79">
        <f>INDEX(CoreValuesResults[Core Values Rank],MATCH(TournamentData[[#This Row],[Team Number]],CoreValuesResults[Team Number],0))</f>
        <v/>
      </c>
      <c r="L31" s="79">
        <f>INDEX(InnovationProjectResults[Innovation Project Rank],MATCH(TournamentData[[#This Row],[Team Number]],InnovationProjectResults[Team Number],0))</f>
        <v/>
      </c>
      <c r="M31" s="79">
        <f>INDEX(RobotDesignResults[Robot Design Rank],MATCH(TournamentData[[#This Row],[Team Number]],RobotDesignResults[Team Number],0))</f>
        <v/>
      </c>
      <c r="N31" s="79">
        <f>SUM(TournamentData[[#This Row],[Robot Game Rank]:[Robot Design Rank]])</f>
        <v/>
      </c>
      <c r="O31" s="79">
        <f>RANK(TournamentData[[#This Row],[Champion''s Score]],TournamentData[Champion''s Score],1)</f>
        <v/>
      </c>
      <c r="P31" s="80" t="n"/>
      <c r="Q31" s="86" t="inlineStr">
        <is>
          <t>No</t>
        </is>
      </c>
      <c r="R31" s="81">
        <f>IF(ISNA(INDEX(CoreValuesResults[Core Values Score],MATCH(TournamentData[[#This Row],[Team Number]],CoreValuesResults[Team Number],0))),0,INDEX(CoreValuesResults[Core Values Score],MATCH(TournamentData[[#This Row],[Team Number]],CoreValuesResults[Team Number],0)))</f>
        <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
      </c>
      <c r="T31" s="81">
        <f>IF(ISNA(INDEX(RobotDesignResults[Robot Design Score],MATCH(TournamentData[[#This Row],[Team Number]],RobotDesignResults[Team Number],0))),0,INDEX(RobotDesignResults[Robot Design Score],MATCH(TournamentData[[#This Row],[Team Number]],RobotDesignResults[Team Number],0)))</f>
        <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1" s="80">
        <f>IF(U31,_xlfn.RANK.EQ(U31,U$3:U$17,0),NumberOfTeams)</f>
        <v/>
      </c>
      <c r="W31" s="80" t="n"/>
    </row>
    <row r="32" ht="20.25" customHeight="1">
      <c r="A32" s="79" t="n">
        <v>30</v>
      </c>
      <c r="B32" s="79">
        <f>INDEX(OfficialTeamList[Pod Number],MATCH(TournamentData[[#This Row],[Team Number]], OfficialTeamList[Team '#],0))</f>
        <v/>
      </c>
      <c r="C32" s="105">
        <f>INDEX(OfficialTeamList[Team Name],MATCH(TournamentData[[#This Row],[Team Number]], OfficialTeamList[Team '#],0))</f>
        <v/>
      </c>
      <c r="D32" s="79">
        <f>IF(TournamentData[[#This Row],[Team Number]]="","",IF(ISNA(INDEX('Robot Game Scores'!C:C,MATCH(TournamentData[[#This Row],[Team Number]], 'Robot Game Scores'!$A:$A,0))),0,INDEX('Robot Game Scores'!C:C,MATCH(TournamentData[[#This Row],[Team Number]], 'Robot Game Scores'!$A:$A,0))))</f>
        <v/>
      </c>
      <c r="E32" s="79">
        <f>IF(TournamentData[[#This Row],[Team Number]]="","",IF(ISNA(INDEX('Robot Game Scores'!D:D,MATCH(TournamentData[[#This Row],[Team Number]], 'Robot Game Scores'!$A:$A,0))),0,INDEX('Robot Game Scores'!D:D,MATCH(TournamentData[[#This Row],[Team Number]], 'Robot Game Scores'!$A:$A,0))))</f>
        <v/>
      </c>
      <c r="F32" s="79">
        <f>IF(TournamentData[[#This Row],[Team Number]]="","",IF(ISNA(INDEX('Robot Game Scores'!E:E,MATCH(TournamentData[[#This Row],[Team Number]], 'Robot Game Scores'!$A:$A,0))),0,INDEX('Robot Game Scores'!E:E,MATCH(TournamentData[[#This Row],[Team Number]], 'Robot Game Scores'!$A:$A,0))))</f>
        <v/>
      </c>
      <c r="G32" s="79">
        <f>IF(TournamentData[[#This Row],[Team Number]]="","",IF(ISNA(INDEX('Robot Game Scores'!#REF!,MATCH(TournamentData[[#This Row],[Team Number]], 'Robot Game Scores'!$A:$A,0))),0,INDEX('Robot Game Scores'!#REF!,MATCH(TournamentData[[#This Row],[Team Number]], 'Robot Game Scores'!$A:$A,0))))</f>
        <v/>
      </c>
      <c r="H32" s="79">
        <f>IF(TournamentData[[#This Row],[Team Number]]="","",IF(ISNA(INDEX('Robot Game Scores'!#REF!,MATCH(TournamentData[[#This Row],[Team Number]], 'Robot Game Scores'!$A:$A,0))),0,INDEX('Robot Game Scores'!#REF!,MATCH(TournamentData[[#This Row],[Team Number]], 'Robot Game Scores'!$A:$A,0))))</f>
        <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2" s="79">
        <f>_xlfn.RANK.EQ(TournamentData[[#This Row],[Max Robot Game Score]],TournamentData[Max Robot Game Score])</f>
        <v/>
      </c>
      <c r="K32" s="79">
        <f>INDEX(CoreValuesResults[Core Values Rank],MATCH(TournamentData[[#This Row],[Team Number]],CoreValuesResults[Team Number],0))</f>
        <v/>
      </c>
      <c r="L32" s="79">
        <f>INDEX(InnovationProjectResults[Innovation Project Rank],MATCH(TournamentData[[#This Row],[Team Number]],InnovationProjectResults[Team Number],0))</f>
        <v/>
      </c>
      <c r="M32" s="79">
        <f>INDEX(RobotDesignResults[Robot Design Rank],MATCH(TournamentData[[#This Row],[Team Number]],RobotDesignResults[Team Number],0))</f>
        <v/>
      </c>
      <c r="N32" s="79">
        <f>SUM(TournamentData[[#This Row],[Robot Game Rank]:[Robot Design Rank]])</f>
        <v/>
      </c>
      <c r="O32" s="79">
        <f>RANK(TournamentData[[#This Row],[Champion''s Score]],TournamentData[Champion''s Score],1)</f>
        <v/>
      </c>
      <c r="P32" s="80" t="n"/>
      <c r="Q32" s="86" t="inlineStr">
        <is>
          <t>No</t>
        </is>
      </c>
      <c r="R32" s="81">
        <f>IF(ISNA(INDEX(CoreValuesResults[Core Values Score],MATCH(TournamentData[[#This Row],[Team Number]],CoreValuesResults[Team Number],0))),0,INDEX(CoreValuesResults[Core Values Score],MATCH(TournamentData[[#This Row],[Team Number]],CoreValuesResults[Team Number],0)))</f>
        <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
      </c>
      <c r="T32" s="81">
        <f>IF(ISNA(INDEX(RobotDesignResults[Robot Design Score],MATCH(TournamentData[[#This Row],[Team Number]],RobotDesignResults[Team Number],0))),0,INDEX(RobotDesignResults[Robot Design Score],MATCH(TournamentData[[#This Row],[Team Number]],RobotDesignResults[Team Number],0)))</f>
        <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2" s="80">
        <f>IF(U32,_xlfn.RANK.EQ(U32,U$3:U$17,0),NumberOfTeams)</f>
        <v/>
      </c>
      <c r="W32" s="80" t="n"/>
    </row>
    <row r="33" ht="20.25" customHeight="1">
      <c r="A33" s="79" t="n">
        <v>31</v>
      </c>
      <c r="B33" s="79">
        <f>INDEX(OfficialTeamList[Pod Number],MATCH(TournamentData[[#This Row],[Team Number]], OfficialTeamList[Team '#],0))</f>
        <v/>
      </c>
      <c r="C33" s="105">
        <f>INDEX(OfficialTeamList[Team Name],MATCH(TournamentData[[#This Row],[Team Number]], OfficialTeamList[Team '#],0))</f>
        <v/>
      </c>
      <c r="D33" s="79">
        <f>IF(TournamentData[[#This Row],[Team Number]]="","",IF(ISNA(INDEX('Robot Game Scores'!C:C,MATCH(TournamentData[[#This Row],[Team Number]], 'Robot Game Scores'!$A:$A,0))),0,INDEX('Robot Game Scores'!C:C,MATCH(TournamentData[[#This Row],[Team Number]], 'Robot Game Scores'!$A:$A,0))))</f>
        <v/>
      </c>
      <c r="E33" s="79">
        <f>IF(TournamentData[[#This Row],[Team Number]]="","",IF(ISNA(INDEX('Robot Game Scores'!D:D,MATCH(TournamentData[[#This Row],[Team Number]], 'Robot Game Scores'!$A:$A,0))),0,INDEX('Robot Game Scores'!D:D,MATCH(TournamentData[[#This Row],[Team Number]], 'Robot Game Scores'!$A:$A,0))))</f>
        <v/>
      </c>
      <c r="F33" s="79">
        <f>IF(TournamentData[[#This Row],[Team Number]]="","",IF(ISNA(INDEX('Robot Game Scores'!E:E,MATCH(TournamentData[[#This Row],[Team Number]], 'Robot Game Scores'!$A:$A,0))),0,INDEX('Robot Game Scores'!E:E,MATCH(TournamentData[[#This Row],[Team Number]], 'Robot Game Scores'!$A:$A,0))))</f>
        <v/>
      </c>
      <c r="G33" s="79">
        <f>IF(TournamentData[[#This Row],[Team Number]]="","",IF(ISNA(INDEX('Robot Game Scores'!#REF!,MATCH(TournamentData[[#This Row],[Team Number]], 'Robot Game Scores'!$A:$A,0))),0,INDEX('Robot Game Scores'!#REF!,MATCH(TournamentData[[#This Row],[Team Number]], 'Robot Game Scores'!$A:$A,0))))</f>
        <v/>
      </c>
      <c r="H33" s="79">
        <f>IF(TournamentData[[#This Row],[Team Number]]="","",IF(ISNA(INDEX('Robot Game Scores'!#REF!,MATCH(TournamentData[[#This Row],[Team Number]], 'Robot Game Scores'!$A:$A,0))),0,INDEX('Robot Game Scores'!#REF!,MATCH(TournamentData[[#This Row],[Team Number]], 'Robot Game Scores'!$A:$A,0))))</f>
        <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3" s="79">
        <f>_xlfn.RANK.EQ(TournamentData[[#This Row],[Max Robot Game Score]],TournamentData[Max Robot Game Score])</f>
        <v/>
      </c>
      <c r="K33" s="79">
        <f>INDEX(CoreValuesResults[Core Values Rank],MATCH(TournamentData[[#This Row],[Team Number]],CoreValuesResults[Team Number],0))</f>
        <v/>
      </c>
      <c r="L33" s="79">
        <f>INDEX(InnovationProjectResults[Innovation Project Rank],MATCH(TournamentData[[#This Row],[Team Number]],InnovationProjectResults[Team Number],0))</f>
        <v/>
      </c>
      <c r="M33" s="79">
        <f>INDEX(RobotDesignResults[Robot Design Rank],MATCH(TournamentData[[#This Row],[Team Number]],RobotDesignResults[Team Number],0))</f>
        <v/>
      </c>
      <c r="N33" s="79">
        <f>SUM(TournamentData[[#This Row],[Robot Game Rank]:[Robot Design Rank]])</f>
        <v/>
      </c>
      <c r="O33" s="79">
        <f>RANK(TournamentData[[#This Row],[Champion''s Score]],TournamentData[Champion''s Score],1)</f>
        <v/>
      </c>
      <c r="P33" s="80" t="n"/>
      <c r="Q33" s="86" t="inlineStr">
        <is>
          <t>No</t>
        </is>
      </c>
      <c r="R33" s="81">
        <f>IF(ISNA(INDEX(CoreValuesResults[Core Values Score],MATCH(TournamentData[[#This Row],[Team Number]],CoreValuesResults[Team Number],0))),0,INDEX(CoreValuesResults[Core Values Score],MATCH(TournamentData[[#This Row],[Team Number]],CoreValuesResults[Team Number],0)))</f>
        <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
      </c>
      <c r="T33" s="81">
        <f>IF(ISNA(INDEX(RobotDesignResults[Robot Design Score],MATCH(TournamentData[[#This Row],[Team Number]],RobotDesignResults[Team Number],0))),0,INDEX(RobotDesignResults[Robot Design Score],MATCH(TournamentData[[#This Row],[Team Number]],RobotDesignResults[Team Number],0)))</f>
        <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3" s="80">
        <f>IF(U33,_xlfn.RANK.EQ(U33,U$3:U$17,0),NumberOfTeams)</f>
        <v/>
      </c>
      <c r="W33" s="80" t="n"/>
    </row>
    <row r="34" ht="20.25" customHeight="1">
      <c r="A34" s="79" t="n">
        <v>32</v>
      </c>
      <c r="B34" s="79">
        <f>INDEX(OfficialTeamList[Pod Number],MATCH(TournamentData[[#This Row],[Team Number]], OfficialTeamList[Team '#],0))</f>
        <v/>
      </c>
      <c r="C34" s="105">
        <f>INDEX(OfficialTeamList[Team Name],MATCH(TournamentData[[#This Row],[Team Number]], OfficialTeamList[Team '#],0))</f>
        <v/>
      </c>
      <c r="D34" s="79">
        <f>IF(TournamentData[[#This Row],[Team Number]]="","",IF(ISNA(INDEX('Robot Game Scores'!C:C,MATCH(TournamentData[[#This Row],[Team Number]], 'Robot Game Scores'!$A:$A,0))),0,INDEX('Robot Game Scores'!C:C,MATCH(TournamentData[[#This Row],[Team Number]], 'Robot Game Scores'!$A:$A,0))))</f>
        <v/>
      </c>
      <c r="E34" s="79">
        <f>IF(TournamentData[[#This Row],[Team Number]]="","",IF(ISNA(INDEX('Robot Game Scores'!D:D,MATCH(TournamentData[[#This Row],[Team Number]], 'Robot Game Scores'!$A:$A,0))),0,INDEX('Robot Game Scores'!D:D,MATCH(TournamentData[[#This Row],[Team Number]], 'Robot Game Scores'!$A:$A,0))))</f>
        <v/>
      </c>
      <c r="F34" s="79">
        <f>IF(TournamentData[[#This Row],[Team Number]]="","",IF(ISNA(INDEX('Robot Game Scores'!E:E,MATCH(TournamentData[[#This Row],[Team Number]], 'Robot Game Scores'!$A:$A,0))),0,INDEX('Robot Game Scores'!E:E,MATCH(TournamentData[[#This Row],[Team Number]], 'Robot Game Scores'!$A:$A,0))))</f>
        <v/>
      </c>
      <c r="G34" s="79">
        <f>IF(TournamentData[[#This Row],[Team Number]]="","",IF(ISNA(INDEX('Robot Game Scores'!#REF!,MATCH(TournamentData[[#This Row],[Team Number]], 'Robot Game Scores'!$A:$A,0))),0,INDEX('Robot Game Scores'!#REF!,MATCH(TournamentData[[#This Row],[Team Number]], 'Robot Game Scores'!$A:$A,0))))</f>
        <v/>
      </c>
      <c r="H34" s="79">
        <f>IF(TournamentData[[#This Row],[Team Number]]="","",IF(ISNA(INDEX('Robot Game Scores'!#REF!,MATCH(TournamentData[[#This Row],[Team Number]], 'Robot Game Scores'!$A:$A,0))),0,INDEX('Robot Game Scores'!#REF!,MATCH(TournamentData[[#This Row],[Team Number]], 'Robot Game Scores'!$A:$A,0))))</f>
        <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4" s="79">
        <f>_xlfn.RANK.EQ(TournamentData[[#This Row],[Max Robot Game Score]],TournamentData[Max Robot Game Score])</f>
        <v/>
      </c>
      <c r="K34" s="79">
        <f>INDEX(CoreValuesResults[Core Values Rank],MATCH(TournamentData[[#This Row],[Team Number]],CoreValuesResults[Team Number],0))</f>
        <v/>
      </c>
      <c r="L34" s="79">
        <f>INDEX(InnovationProjectResults[Innovation Project Rank],MATCH(TournamentData[[#This Row],[Team Number]],InnovationProjectResults[Team Number],0))</f>
        <v/>
      </c>
      <c r="M34" s="79">
        <f>INDEX(RobotDesignResults[Robot Design Rank],MATCH(TournamentData[[#This Row],[Team Number]],RobotDesignResults[Team Number],0))</f>
        <v/>
      </c>
      <c r="N34" s="79">
        <f>SUM(TournamentData[[#This Row],[Robot Game Rank]:[Robot Design Rank]])</f>
        <v/>
      </c>
      <c r="O34" s="79">
        <f>RANK(TournamentData[[#This Row],[Champion''s Score]],TournamentData[Champion''s Score],1)</f>
        <v/>
      </c>
      <c r="P34" s="80" t="n"/>
      <c r="Q34" s="86" t="inlineStr">
        <is>
          <t>No</t>
        </is>
      </c>
      <c r="R34" s="81">
        <f>IF(ISNA(INDEX(CoreValuesResults[Core Values Score],MATCH(TournamentData[[#This Row],[Team Number]],CoreValuesResults[Team Number],0))),0,INDEX(CoreValuesResults[Core Values Score],MATCH(TournamentData[[#This Row],[Team Number]],CoreValuesResults[Team Number],0)))</f>
        <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
      </c>
      <c r="T34" s="81">
        <f>IF(ISNA(INDEX(RobotDesignResults[Robot Design Score],MATCH(TournamentData[[#This Row],[Team Number]],RobotDesignResults[Team Number],0))),0,INDEX(RobotDesignResults[Robot Design Score],MATCH(TournamentData[[#This Row],[Team Number]],RobotDesignResults[Team Number],0)))</f>
        <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4" s="80">
        <f>IF(U34,_xlfn.RANK.EQ(U34,U$3:U$17,0),NumberOfTeams)</f>
        <v/>
      </c>
      <c r="W34" s="80" t="n"/>
    </row>
    <row r="35" ht="20.25" customHeight="1">
      <c r="A35" s="79" t="n">
        <v>33</v>
      </c>
      <c r="B35" s="79">
        <f>INDEX(OfficialTeamList[Pod Number],MATCH(TournamentData[[#This Row],[Team Number]], OfficialTeamList[Team '#],0))</f>
        <v/>
      </c>
      <c r="C35" s="105">
        <f>INDEX(OfficialTeamList[Team Name],MATCH(TournamentData[[#This Row],[Team Number]], OfficialTeamList[Team '#],0))</f>
        <v/>
      </c>
      <c r="D35" s="79">
        <f>IF(TournamentData[[#This Row],[Team Number]]="","",IF(ISNA(INDEX('Robot Game Scores'!C:C,MATCH(TournamentData[[#This Row],[Team Number]], 'Robot Game Scores'!$A:$A,0))),0,INDEX('Robot Game Scores'!C:C,MATCH(TournamentData[[#This Row],[Team Number]], 'Robot Game Scores'!$A:$A,0))))</f>
        <v/>
      </c>
      <c r="E35" s="79">
        <f>IF(TournamentData[[#This Row],[Team Number]]="","",IF(ISNA(INDEX('Robot Game Scores'!D:D,MATCH(TournamentData[[#This Row],[Team Number]], 'Robot Game Scores'!$A:$A,0))),0,INDEX('Robot Game Scores'!D:D,MATCH(TournamentData[[#This Row],[Team Number]], 'Robot Game Scores'!$A:$A,0))))</f>
        <v/>
      </c>
      <c r="F35" s="79">
        <f>IF(TournamentData[[#This Row],[Team Number]]="","",IF(ISNA(INDEX('Robot Game Scores'!E:E,MATCH(TournamentData[[#This Row],[Team Number]], 'Robot Game Scores'!$A:$A,0))),0,INDEX('Robot Game Scores'!E:E,MATCH(TournamentData[[#This Row],[Team Number]], 'Robot Game Scores'!$A:$A,0))))</f>
        <v/>
      </c>
      <c r="G35" s="79">
        <f>IF(TournamentData[[#This Row],[Team Number]]="","",IF(ISNA(INDEX('Robot Game Scores'!#REF!,MATCH(TournamentData[[#This Row],[Team Number]], 'Robot Game Scores'!$A:$A,0))),0,INDEX('Robot Game Scores'!#REF!,MATCH(TournamentData[[#This Row],[Team Number]], 'Robot Game Scores'!$A:$A,0))))</f>
        <v/>
      </c>
      <c r="H35" s="79">
        <f>IF(TournamentData[[#This Row],[Team Number]]="","",IF(ISNA(INDEX('Robot Game Scores'!#REF!,MATCH(TournamentData[[#This Row],[Team Number]], 'Robot Game Scores'!$A:$A,0))),0,INDEX('Robot Game Scores'!#REF!,MATCH(TournamentData[[#This Row],[Team Number]], 'Robot Game Scores'!$A:$A,0))))</f>
        <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5" s="79">
        <f>_xlfn.RANK.EQ(TournamentData[[#This Row],[Max Robot Game Score]],TournamentData[Max Robot Game Score])</f>
        <v/>
      </c>
      <c r="K35" s="79">
        <f>INDEX(CoreValuesResults[Core Values Rank],MATCH(TournamentData[[#This Row],[Team Number]],CoreValuesResults[Team Number],0))</f>
        <v/>
      </c>
      <c r="L35" s="79">
        <f>INDEX(InnovationProjectResults[Innovation Project Rank],MATCH(TournamentData[[#This Row],[Team Number]],InnovationProjectResults[Team Number],0))</f>
        <v/>
      </c>
      <c r="M35" s="79">
        <f>INDEX(RobotDesignResults[Robot Design Rank],MATCH(TournamentData[[#This Row],[Team Number]],RobotDesignResults[Team Number],0))</f>
        <v/>
      </c>
      <c r="N35" s="79">
        <f>SUM(TournamentData[[#This Row],[Robot Game Rank]:[Robot Design Rank]])</f>
        <v/>
      </c>
      <c r="O35" s="79">
        <f>RANK(TournamentData[[#This Row],[Champion''s Score]],TournamentData[Champion''s Score],1)</f>
        <v/>
      </c>
      <c r="P35" s="80" t="n"/>
      <c r="Q35" s="86" t="inlineStr">
        <is>
          <t>No</t>
        </is>
      </c>
      <c r="R35" s="81">
        <f>IF(ISNA(INDEX(CoreValuesResults[Core Values Score],MATCH(TournamentData[[#This Row],[Team Number]],CoreValuesResults[Team Number],0))),0,INDEX(CoreValuesResults[Core Values Score],MATCH(TournamentData[[#This Row],[Team Number]],CoreValuesResults[Team Number],0)))</f>
        <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
      </c>
      <c r="T35" s="81">
        <f>IF(ISNA(INDEX(RobotDesignResults[Robot Design Score],MATCH(TournamentData[[#This Row],[Team Number]],RobotDesignResults[Team Number],0))),0,INDEX(RobotDesignResults[Robot Design Score],MATCH(TournamentData[[#This Row],[Team Number]],RobotDesignResults[Team Number],0)))</f>
        <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5" s="80">
        <f>IF(U35,_xlfn.RANK.EQ(U35,U$3:U$17,0),NumberOfTeams)</f>
        <v/>
      </c>
      <c r="W35" s="80" t="n"/>
    </row>
    <row r="36" ht="20.25" customHeight="1">
      <c r="A36" s="79" t="n">
        <v>34</v>
      </c>
      <c r="B36" s="79">
        <f>INDEX(OfficialTeamList[Pod Number],MATCH(TournamentData[[#This Row],[Team Number]], OfficialTeamList[Team '#],0))</f>
        <v/>
      </c>
      <c r="C36" s="105">
        <f>INDEX(OfficialTeamList[Team Name],MATCH(TournamentData[[#This Row],[Team Number]], OfficialTeamList[Team '#],0))</f>
        <v/>
      </c>
      <c r="D36" s="79">
        <f>IF(TournamentData[[#This Row],[Team Number]]="","",IF(ISNA(INDEX('Robot Game Scores'!C:C,MATCH(TournamentData[[#This Row],[Team Number]], 'Robot Game Scores'!$A:$A,0))),0,INDEX('Robot Game Scores'!C:C,MATCH(TournamentData[[#This Row],[Team Number]], 'Robot Game Scores'!$A:$A,0))))</f>
        <v/>
      </c>
      <c r="E36" s="79">
        <f>IF(TournamentData[[#This Row],[Team Number]]="","",IF(ISNA(INDEX('Robot Game Scores'!D:D,MATCH(TournamentData[[#This Row],[Team Number]], 'Robot Game Scores'!$A:$A,0))),0,INDEX('Robot Game Scores'!D:D,MATCH(TournamentData[[#This Row],[Team Number]], 'Robot Game Scores'!$A:$A,0))))</f>
        <v/>
      </c>
      <c r="F36" s="79">
        <f>IF(TournamentData[[#This Row],[Team Number]]="","",IF(ISNA(INDEX('Robot Game Scores'!E:E,MATCH(TournamentData[[#This Row],[Team Number]], 'Robot Game Scores'!$A:$A,0))),0,INDEX('Robot Game Scores'!E:E,MATCH(TournamentData[[#This Row],[Team Number]], 'Robot Game Scores'!$A:$A,0))))</f>
        <v/>
      </c>
      <c r="G36" s="79">
        <f>IF(TournamentData[[#This Row],[Team Number]]="","",IF(ISNA(INDEX('Robot Game Scores'!#REF!,MATCH(TournamentData[[#This Row],[Team Number]], 'Robot Game Scores'!$A:$A,0))),0,INDEX('Robot Game Scores'!#REF!,MATCH(TournamentData[[#This Row],[Team Number]], 'Robot Game Scores'!$A:$A,0))))</f>
        <v/>
      </c>
      <c r="H36" s="79">
        <f>IF(TournamentData[[#This Row],[Team Number]]="","",IF(ISNA(INDEX('Robot Game Scores'!#REF!,MATCH(TournamentData[[#This Row],[Team Number]], 'Robot Game Scores'!$A:$A,0))),0,INDEX('Robot Game Scores'!#REF!,MATCH(TournamentData[[#This Row],[Team Number]], 'Robot Game Scores'!$A:$A,0))))</f>
        <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6" s="79">
        <f>_xlfn.RANK.EQ(TournamentData[[#This Row],[Max Robot Game Score]],TournamentData[Max Robot Game Score])</f>
        <v/>
      </c>
      <c r="K36" s="79">
        <f>INDEX(CoreValuesResults[Core Values Rank],MATCH(TournamentData[[#This Row],[Team Number]],CoreValuesResults[Team Number],0))</f>
        <v/>
      </c>
      <c r="L36" s="79">
        <f>INDEX(InnovationProjectResults[Innovation Project Rank],MATCH(TournamentData[[#This Row],[Team Number]],InnovationProjectResults[Team Number],0))</f>
        <v/>
      </c>
      <c r="M36" s="79">
        <f>INDEX(RobotDesignResults[Robot Design Rank],MATCH(TournamentData[[#This Row],[Team Number]],RobotDesignResults[Team Number],0))</f>
        <v/>
      </c>
      <c r="N36" s="79">
        <f>SUM(TournamentData[[#This Row],[Robot Game Rank]:[Robot Design Rank]])</f>
        <v/>
      </c>
      <c r="O36" s="79">
        <f>RANK(TournamentData[[#This Row],[Champion''s Score]],TournamentData[Champion''s Score],1)</f>
        <v/>
      </c>
      <c r="P36" s="80" t="n"/>
      <c r="Q36" s="86" t="inlineStr">
        <is>
          <t>No</t>
        </is>
      </c>
      <c r="R36" s="81">
        <f>IF(ISNA(INDEX(CoreValuesResults[Core Values Score],MATCH(TournamentData[[#This Row],[Team Number]],CoreValuesResults[Team Number],0))),0,INDEX(CoreValuesResults[Core Values Score],MATCH(TournamentData[[#This Row],[Team Number]],CoreValuesResults[Team Number],0)))</f>
        <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
      </c>
      <c r="T36" s="81">
        <f>IF(ISNA(INDEX(RobotDesignResults[Robot Design Score],MATCH(TournamentData[[#This Row],[Team Number]],RobotDesignResults[Team Number],0))),0,INDEX(RobotDesignResults[Robot Design Score],MATCH(TournamentData[[#This Row],[Team Number]],RobotDesignResults[Team Number],0)))</f>
        <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6" s="80">
        <f>IF(U36,_xlfn.RANK.EQ(U36,U$3:U$17,0),NumberOfTeams)</f>
        <v/>
      </c>
      <c r="W36" s="80" t="n"/>
    </row>
    <row r="37" ht="20.25" customHeight="1">
      <c r="A37" s="79" t="n">
        <v>35</v>
      </c>
      <c r="B37" s="79">
        <f>INDEX(OfficialTeamList[Pod Number],MATCH(TournamentData[[#This Row],[Team Number]], OfficialTeamList[Team '#],0))</f>
        <v/>
      </c>
      <c r="C37" s="105">
        <f>INDEX(OfficialTeamList[Team Name],MATCH(TournamentData[[#This Row],[Team Number]], OfficialTeamList[Team '#],0))</f>
        <v/>
      </c>
      <c r="D37" s="79">
        <f>IF(TournamentData[[#This Row],[Team Number]]="","",IF(ISNA(INDEX('Robot Game Scores'!C:C,MATCH(TournamentData[[#This Row],[Team Number]], 'Robot Game Scores'!$A:$A,0))),0,INDEX('Robot Game Scores'!C:C,MATCH(TournamentData[[#This Row],[Team Number]], 'Robot Game Scores'!$A:$A,0))))</f>
        <v/>
      </c>
      <c r="E37" s="79">
        <f>IF(TournamentData[[#This Row],[Team Number]]="","",IF(ISNA(INDEX('Robot Game Scores'!D:D,MATCH(TournamentData[[#This Row],[Team Number]], 'Robot Game Scores'!$A:$A,0))),0,INDEX('Robot Game Scores'!D:D,MATCH(TournamentData[[#This Row],[Team Number]], 'Robot Game Scores'!$A:$A,0))))</f>
        <v/>
      </c>
      <c r="F37" s="79">
        <f>IF(TournamentData[[#This Row],[Team Number]]="","",IF(ISNA(INDEX('Robot Game Scores'!E:E,MATCH(TournamentData[[#This Row],[Team Number]], 'Robot Game Scores'!$A:$A,0))),0,INDEX('Robot Game Scores'!E:E,MATCH(TournamentData[[#This Row],[Team Number]], 'Robot Game Scores'!$A:$A,0))))</f>
        <v/>
      </c>
      <c r="G37" s="79">
        <f>IF(TournamentData[[#This Row],[Team Number]]="","",IF(ISNA(INDEX('Robot Game Scores'!#REF!,MATCH(TournamentData[[#This Row],[Team Number]], 'Robot Game Scores'!$A:$A,0))),0,INDEX('Robot Game Scores'!#REF!,MATCH(TournamentData[[#This Row],[Team Number]], 'Robot Game Scores'!$A:$A,0))))</f>
        <v/>
      </c>
      <c r="H37" s="79">
        <f>IF(TournamentData[[#This Row],[Team Number]]="","",IF(ISNA(INDEX('Robot Game Scores'!#REF!,MATCH(TournamentData[[#This Row],[Team Number]], 'Robot Game Scores'!$A:$A,0))),0,INDEX('Robot Game Scores'!#REF!,MATCH(TournamentData[[#This Row],[Team Number]], 'Robot Game Scores'!$A:$A,0))))</f>
        <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7" s="79">
        <f>_xlfn.RANK.EQ(TournamentData[[#This Row],[Max Robot Game Score]],TournamentData[Max Robot Game Score])</f>
        <v/>
      </c>
      <c r="K37" s="79">
        <f>INDEX(CoreValuesResults[Core Values Rank],MATCH(TournamentData[[#This Row],[Team Number]],CoreValuesResults[Team Number],0))</f>
        <v/>
      </c>
      <c r="L37" s="79">
        <f>INDEX(InnovationProjectResults[Innovation Project Rank],MATCH(TournamentData[[#This Row],[Team Number]],InnovationProjectResults[Team Number],0))</f>
        <v/>
      </c>
      <c r="M37" s="79">
        <f>INDEX(RobotDesignResults[Robot Design Rank],MATCH(TournamentData[[#This Row],[Team Number]],RobotDesignResults[Team Number],0))</f>
        <v/>
      </c>
      <c r="N37" s="79">
        <f>SUM(TournamentData[[#This Row],[Robot Game Rank]:[Robot Design Rank]])</f>
        <v/>
      </c>
      <c r="O37" s="79">
        <f>RANK(TournamentData[[#This Row],[Champion''s Score]],TournamentData[Champion''s Score],1)</f>
        <v/>
      </c>
      <c r="P37" s="80" t="n"/>
      <c r="Q37" s="86" t="inlineStr">
        <is>
          <t>No</t>
        </is>
      </c>
      <c r="R37" s="81">
        <f>IF(ISNA(INDEX(CoreValuesResults[Core Values Score],MATCH(TournamentData[[#This Row],[Team Number]],CoreValuesResults[Team Number],0))),0,INDEX(CoreValuesResults[Core Values Score],MATCH(TournamentData[[#This Row],[Team Number]],CoreValuesResults[Team Number],0)))</f>
        <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
      </c>
      <c r="T37" s="81">
        <f>IF(ISNA(INDEX(RobotDesignResults[Robot Design Score],MATCH(TournamentData[[#This Row],[Team Number]],RobotDesignResults[Team Number],0))),0,INDEX(RobotDesignResults[Robot Design Score],MATCH(TournamentData[[#This Row],[Team Number]],RobotDesignResults[Team Number],0)))</f>
        <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7" s="80">
        <f>IF(U37,_xlfn.RANK.EQ(U37,U$3:U$17,0),NumberOfTeams)</f>
        <v/>
      </c>
      <c r="W37" s="80" t="n"/>
    </row>
    <row r="38" ht="20.25" customHeight="1">
      <c r="A38" s="79" t="n">
        <v>36</v>
      </c>
      <c r="B38" s="79">
        <f>INDEX(OfficialTeamList[Pod Number],MATCH(TournamentData[[#This Row],[Team Number]], OfficialTeamList[Team '#],0))</f>
        <v/>
      </c>
      <c r="C38" s="105">
        <f>INDEX(OfficialTeamList[Team Name],MATCH(TournamentData[[#This Row],[Team Number]], OfficialTeamList[Team '#],0))</f>
        <v/>
      </c>
      <c r="D38" s="79">
        <f>IF(TournamentData[[#This Row],[Team Number]]="","",IF(ISNA(INDEX('Robot Game Scores'!C:C,MATCH(TournamentData[[#This Row],[Team Number]], 'Robot Game Scores'!$A:$A,0))),0,INDEX('Robot Game Scores'!C:C,MATCH(TournamentData[[#This Row],[Team Number]], 'Robot Game Scores'!$A:$A,0))))</f>
        <v/>
      </c>
      <c r="E38" s="79">
        <f>IF(TournamentData[[#This Row],[Team Number]]="","",IF(ISNA(INDEX('Robot Game Scores'!D:D,MATCH(TournamentData[[#This Row],[Team Number]], 'Robot Game Scores'!$A:$A,0))),0,INDEX('Robot Game Scores'!D:D,MATCH(TournamentData[[#This Row],[Team Number]], 'Robot Game Scores'!$A:$A,0))))</f>
        <v/>
      </c>
      <c r="F38" s="79">
        <f>IF(TournamentData[[#This Row],[Team Number]]="","",IF(ISNA(INDEX('Robot Game Scores'!E:E,MATCH(TournamentData[[#This Row],[Team Number]], 'Robot Game Scores'!$A:$A,0))),0,INDEX('Robot Game Scores'!E:E,MATCH(TournamentData[[#This Row],[Team Number]], 'Robot Game Scores'!$A:$A,0))))</f>
        <v/>
      </c>
      <c r="G38" s="79">
        <f>IF(TournamentData[[#This Row],[Team Number]]="","",IF(ISNA(INDEX('Robot Game Scores'!#REF!,MATCH(TournamentData[[#This Row],[Team Number]], 'Robot Game Scores'!$A:$A,0))),0,INDEX('Robot Game Scores'!#REF!,MATCH(TournamentData[[#This Row],[Team Number]], 'Robot Game Scores'!$A:$A,0))))</f>
        <v/>
      </c>
      <c r="H38" s="79">
        <f>IF(TournamentData[[#This Row],[Team Number]]="","",IF(ISNA(INDEX('Robot Game Scores'!#REF!,MATCH(TournamentData[[#This Row],[Team Number]], 'Robot Game Scores'!$A:$A,0))),0,INDEX('Robot Game Scores'!#REF!,MATCH(TournamentData[[#This Row],[Team Number]], 'Robot Game Scores'!$A:$A,0))))</f>
        <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8" s="79">
        <f>_xlfn.RANK.EQ(TournamentData[[#This Row],[Max Robot Game Score]],TournamentData[Max Robot Game Score])</f>
        <v/>
      </c>
      <c r="K38" s="79">
        <f>INDEX(CoreValuesResults[Core Values Rank],MATCH(TournamentData[[#This Row],[Team Number]],CoreValuesResults[Team Number],0))</f>
        <v/>
      </c>
      <c r="L38" s="79">
        <f>INDEX(InnovationProjectResults[Innovation Project Rank],MATCH(TournamentData[[#This Row],[Team Number]],InnovationProjectResults[Team Number],0))</f>
        <v/>
      </c>
      <c r="M38" s="79">
        <f>INDEX(RobotDesignResults[Robot Design Rank],MATCH(TournamentData[[#This Row],[Team Number]],RobotDesignResults[Team Number],0))</f>
        <v/>
      </c>
      <c r="N38" s="79">
        <f>SUM(TournamentData[[#This Row],[Robot Game Rank]:[Robot Design Rank]])</f>
        <v/>
      </c>
      <c r="O38" s="79">
        <f>RANK(TournamentData[[#This Row],[Champion''s Score]],TournamentData[Champion''s Score],1)</f>
        <v/>
      </c>
      <c r="P38" s="80" t="n"/>
      <c r="Q38" s="86" t="inlineStr">
        <is>
          <t>No</t>
        </is>
      </c>
      <c r="R38" s="81">
        <f>IF(ISNA(INDEX(CoreValuesResults[Core Values Score],MATCH(TournamentData[[#This Row],[Team Number]],CoreValuesResults[Team Number],0))),0,INDEX(CoreValuesResults[Core Values Score],MATCH(TournamentData[[#This Row],[Team Number]],CoreValuesResults[Team Number],0)))</f>
        <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
      </c>
      <c r="T38" s="81">
        <f>IF(ISNA(INDEX(RobotDesignResults[Robot Design Score],MATCH(TournamentData[[#This Row],[Team Number]],RobotDesignResults[Team Number],0))),0,INDEX(RobotDesignResults[Robot Design Score],MATCH(TournamentData[[#This Row],[Team Number]],RobotDesignResults[Team Number],0)))</f>
        <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8" s="80">
        <f>IF(U38,_xlfn.RANK.EQ(U38,U$3:U$17,0),NumberOfTeams)</f>
        <v/>
      </c>
      <c r="W38" s="80" t="n"/>
    </row>
    <row r="39" ht="20.25" customHeight="1">
      <c r="A39" s="79" t="n">
        <v>37</v>
      </c>
      <c r="B39" s="79">
        <f>INDEX(OfficialTeamList[Pod Number],MATCH(TournamentData[[#This Row],[Team Number]], OfficialTeamList[Team '#],0))</f>
        <v/>
      </c>
      <c r="C39" s="105">
        <f>INDEX(OfficialTeamList[Team Name],MATCH(TournamentData[[#This Row],[Team Number]], OfficialTeamList[Team '#],0))</f>
        <v/>
      </c>
      <c r="D39" s="79">
        <f>IF(TournamentData[[#This Row],[Team Number]]="","",IF(ISNA(INDEX('Robot Game Scores'!C:C,MATCH(TournamentData[[#This Row],[Team Number]], 'Robot Game Scores'!$A:$A,0))),0,INDEX('Robot Game Scores'!C:C,MATCH(TournamentData[[#This Row],[Team Number]], 'Robot Game Scores'!$A:$A,0))))</f>
        <v/>
      </c>
      <c r="E39" s="79">
        <f>IF(TournamentData[[#This Row],[Team Number]]="","",IF(ISNA(INDEX('Robot Game Scores'!D:D,MATCH(TournamentData[[#This Row],[Team Number]], 'Robot Game Scores'!$A:$A,0))),0,INDEX('Robot Game Scores'!D:D,MATCH(TournamentData[[#This Row],[Team Number]], 'Robot Game Scores'!$A:$A,0))))</f>
        <v/>
      </c>
      <c r="F39" s="79">
        <f>IF(TournamentData[[#This Row],[Team Number]]="","",IF(ISNA(INDEX('Robot Game Scores'!E:E,MATCH(TournamentData[[#This Row],[Team Number]], 'Robot Game Scores'!$A:$A,0))),0,INDEX('Robot Game Scores'!E:E,MATCH(TournamentData[[#This Row],[Team Number]], 'Robot Game Scores'!$A:$A,0))))</f>
        <v/>
      </c>
      <c r="G39" s="79">
        <f>IF(TournamentData[[#This Row],[Team Number]]="","",IF(ISNA(INDEX('Robot Game Scores'!#REF!,MATCH(TournamentData[[#This Row],[Team Number]], 'Robot Game Scores'!$A:$A,0))),0,INDEX('Robot Game Scores'!#REF!,MATCH(TournamentData[[#This Row],[Team Number]], 'Robot Game Scores'!$A:$A,0))))</f>
        <v/>
      </c>
      <c r="H39" s="79">
        <f>IF(TournamentData[[#This Row],[Team Number]]="","",IF(ISNA(INDEX('Robot Game Scores'!#REF!,MATCH(TournamentData[[#This Row],[Team Number]], 'Robot Game Scores'!$A:$A,0))),0,INDEX('Robot Game Scores'!#REF!,MATCH(TournamentData[[#This Row],[Team Number]], 'Robot Game Scores'!$A:$A,0))))</f>
        <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9" s="79">
        <f>_xlfn.RANK.EQ(TournamentData[[#This Row],[Max Robot Game Score]],TournamentData[Max Robot Game Score])</f>
        <v/>
      </c>
      <c r="K39" s="79">
        <f>INDEX(CoreValuesResults[Core Values Rank],MATCH(TournamentData[[#This Row],[Team Number]],CoreValuesResults[Team Number],0))</f>
        <v/>
      </c>
      <c r="L39" s="79">
        <f>INDEX(InnovationProjectResults[Innovation Project Rank],MATCH(TournamentData[[#This Row],[Team Number]],InnovationProjectResults[Team Number],0))</f>
        <v/>
      </c>
      <c r="M39" s="79">
        <f>INDEX(RobotDesignResults[Robot Design Rank],MATCH(TournamentData[[#This Row],[Team Number]],RobotDesignResults[Team Number],0))</f>
        <v/>
      </c>
      <c r="N39" s="79">
        <f>SUM(TournamentData[[#This Row],[Robot Game Rank]:[Robot Design Rank]])</f>
        <v/>
      </c>
      <c r="O39" s="79">
        <f>RANK(TournamentData[[#This Row],[Champion''s Score]],TournamentData[Champion''s Score],1)</f>
        <v/>
      </c>
      <c r="P39" s="80" t="n"/>
      <c r="Q39" s="86" t="inlineStr">
        <is>
          <t>No</t>
        </is>
      </c>
      <c r="R39" s="81">
        <f>IF(ISNA(INDEX(CoreValuesResults[Core Values Score],MATCH(TournamentData[[#This Row],[Team Number]],CoreValuesResults[Team Number],0))),0,INDEX(CoreValuesResults[Core Values Score],MATCH(TournamentData[[#This Row],[Team Number]],CoreValuesResults[Team Number],0)))</f>
        <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
      </c>
      <c r="T39" s="81">
        <f>IF(ISNA(INDEX(RobotDesignResults[Robot Design Score],MATCH(TournamentData[[#This Row],[Team Number]],RobotDesignResults[Team Number],0))),0,INDEX(RobotDesignResults[Robot Design Score],MATCH(TournamentData[[#This Row],[Team Number]],RobotDesignResults[Team Number],0)))</f>
        <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9" s="80">
        <f>IF(U39,_xlfn.RANK.EQ(U39,U$3:U$17,0),NumberOfTeams)</f>
        <v/>
      </c>
      <c r="W39" s="80" t="n"/>
    </row>
    <row r="40" ht="20.25" customHeight="1">
      <c r="A40" s="79" t="n">
        <v>38</v>
      </c>
      <c r="B40" s="79">
        <f>INDEX(OfficialTeamList[Pod Number],MATCH(TournamentData[[#This Row],[Team Number]], OfficialTeamList[Team '#],0))</f>
        <v/>
      </c>
      <c r="C40" s="105">
        <f>INDEX(OfficialTeamList[Team Name],MATCH(TournamentData[[#This Row],[Team Number]], OfficialTeamList[Team '#],0))</f>
        <v/>
      </c>
      <c r="D40" s="79">
        <f>IF(TournamentData[[#This Row],[Team Number]]="","",IF(ISNA(INDEX('Robot Game Scores'!C:C,MATCH(TournamentData[[#This Row],[Team Number]], 'Robot Game Scores'!$A:$A,0))),0,INDEX('Robot Game Scores'!C:C,MATCH(TournamentData[[#This Row],[Team Number]], 'Robot Game Scores'!$A:$A,0))))</f>
        <v/>
      </c>
      <c r="E40" s="79">
        <f>IF(TournamentData[[#This Row],[Team Number]]="","",IF(ISNA(INDEX('Robot Game Scores'!D:D,MATCH(TournamentData[[#This Row],[Team Number]], 'Robot Game Scores'!$A:$A,0))),0,INDEX('Robot Game Scores'!D:D,MATCH(TournamentData[[#This Row],[Team Number]], 'Robot Game Scores'!$A:$A,0))))</f>
        <v/>
      </c>
      <c r="F40" s="79">
        <f>IF(TournamentData[[#This Row],[Team Number]]="","",IF(ISNA(INDEX('Robot Game Scores'!E:E,MATCH(TournamentData[[#This Row],[Team Number]], 'Robot Game Scores'!$A:$A,0))),0,INDEX('Robot Game Scores'!E:E,MATCH(TournamentData[[#This Row],[Team Number]], 'Robot Game Scores'!$A:$A,0))))</f>
        <v/>
      </c>
      <c r="G40" s="79">
        <f>IF(TournamentData[[#This Row],[Team Number]]="","",IF(ISNA(INDEX('Robot Game Scores'!#REF!,MATCH(TournamentData[[#This Row],[Team Number]], 'Robot Game Scores'!$A:$A,0))),0,INDEX('Robot Game Scores'!#REF!,MATCH(TournamentData[[#This Row],[Team Number]], 'Robot Game Scores'!$A:$A,0))))</f>
        <v/>
      </c>
      <c r="H40" s="79">
        <f>IF(TournamentData[[#This Row],[Team Number]]="","",IF(ISNA(INDEX('Robot Game Scores'!#REF!,MATCH(TournamentData[[#This Row],[Team Number]], 'Robot Game Scores'!$A:$A,0))),0,INDEX('Robot Game Scores'!#REF!,MATCH(TournamentData[[#This Row],[Team Number]], 'Robot Game Scores'!$A:$A,0))))</f>
        <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0" s="79">
        <f>_xlfn.RANK.EQ(TournamentData[[#This Row],[Max Robot Game Score]],TournamentData[Max Robot Game Score])</f>
        <v/>
      </c>
      <c r="K40" s="79">
        <f>INDEX(CoreValuesResults[Core Values Rank],MATCH(TournamentData[[#This Row],[Team Number]],CoreValuesResults[Team Number],0))</f>
        <v/>
      </c>
      <c r="L40" s="79">
        <f>INDEX(InnovationProjectResults[Innovation Project Rank],MATCH(TournamentData[[#This Row],[Team Number]],InnovationProjectResults[Team Number],0))</f>
        <v/>
      </c>
      <c r="M40" s="79">
        <f>INDEX(RobotDesignResults[Robot Design Rank],MATCH(TournamentData[[#This Row],[Team Number]],RobotDesignResults[Team Number],0))</f>
        <v/>
      </c>
      <c r="N40" s="79">
        <f>SUM(TournamentData[[#This Row],[Robot Game Rank]:[Robot Design Rank]])</f>
        <v/>
      </c>
      <c r="O40" s="79">
        <f>RANK(TournamentData[[#This Row],[Champion''s Score]],TournamentData[Champion''s Score],1)</f>
        <v/>
      </c>
      <c r="P40" s="80" t="n"/>
      <c r="Q40" s="86" t="inlineStr">
        <is>
          <t>No</t>
        </is>
      </c>
      <c r="R40" s="81">
        <f>IF(ISNA(INDEX(CoreValuesResults[Core Values Score],MATCH(TournamentData[[#This Row],[Team Number]],CoreValuesResults[Team Number],0))),0,INDEX(CoreValuesResults[Core Values Score],MATCH(TournamentData[[#This Row],[Team Number]],CoreValuesResults[Team Number],0)))</f>
        <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
      </c>
      <c r="T40" s="81">
        <f>IF(ISNA(INDEX(RobotDesignResults[Robot Design Score],MATCH(TournamentData[[#This Row],[Team Number]],RobotDesignResults[Team Number],0))),0,INDEX(RobotDesignResults[Robot Design Score],MATCH(TournamentData[[#This Row],[Team Number]],RobotDesignResults[Team Number],0)))</f>
        <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0" s="80">
        <f>IF(U40,_xlfn.RANK.EQ(U40,U$3:U$17,0),NumberOfTeams)</f>
        <v/>
      </c>
      <c r="W40" s="80" t="n"/>
    </row>
    <row r="41" ht="20.25" customHeight="1">
      <c r="A41" s="79" t="n">
        <v>39</v>
      </c>
      <c r="B41" s="79">
        <f>INDEX(OfficialTeamList[Pod Number],MATCH(TournamentData[[#This Row],[Team Number]], OfficialTeamList[Team '#],0))</f>
        <v/>
      </c>
      <c r="C41" s="105">
        <f>INDEX(OfficialTeamList[Team Name],MATCH(TournamentData[[#This Row],[Team Number]], OfficialTeamList[Team '#],0))</f>
        <v/>
      </c>
      <c r="D41" s="79">
        <f>IF(TournamentData[[#This Row],[Team Number]]="","",IF(ISNA(INDEX('Robot Game Scores'!C:C,MATCH(TournamentData[[#This Row],[Team Number]], 'Robot Game Scores'!$A:$A,0))),0,INDEX('Robot Game Scores'!C:C,MATCH(TournamentData[[#This Row],[Team Number]], 'Robot Game Scores'!$A:$A,0))))</f>
        <v/>
      </c>
      <c r="E41" s="79">
        <f>IF(TournamentData[[#This Row],[Team Number]]="","",IF(ISNA(INDEX('Robot Game Scores'!D:D,MATCH(TournamentData[[#This Row],[Team Number]], 'Robot Game Scores'!$A:$A,0))),0,INDEX('Robot Game Scores'!D:D,MATCH(TournamentData[[#This Row],[Team Number]], 'Robot Game Scores'!$A:$A,0))))</f>
        <v/>
      </c>
      <c r="F41" s="79">
        <f>IF(TournamentData[[#This Row],[Team Number]]="","",IF(ISNA(INDEX('Robot Game Scores'!E:E,MATCH(TournamentData[[#This Row],[Team Number]], 'Robot Game Scores'!$A:$A,0))),0,INDEX('Robot Game Scores'!E:E,MATCH(TournamentData[[#This Row],[Team Number]], 'Robot Game Scores'!$A:$A,0))))</f>
        <v/>
      </c>
      <c r="G41" s="79">
        <f>IF(TournamentData[[#This Row],[Team Number]]="","",IF(ISNA(INDEX('Robot Game Scores'!#REF!,MATCH(TournamentData[[#This Row],[Team Number]], 'Robot Game Scores'!$A:$A,0))),0,INDEX('Robot Game Scores'!#REF!,MATCH(TournamentData[[#This Row],[Team Number]], 'Robot Game Scores'!$A:$A,0))))</f>
        <v/>
      </c>
      <c r="H41" s="79">
        <f>IF(TournamentData[[#This Row],[Team Number]]="","",IF(ISNA(INDEX('Robot Game Scores'!#REF!,MATCH(TournamentData[[#This Row],[Team Number]], 'Robot Game Scores'!$A:$A,0))),0,INDEX('Robot Game Scores'!#REF!,MATCH(TournamentData[[#This Row],[Team Number]], 'Robot Game Scores'!$A:$A,0))))</f>
        <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1" s="79">
        <f>_xlfn.RANK.EQ(TournamentData[[#This Row],[Max Robot Game Score]],TournamentData[Max Robot Game Score])</f>
        <v/>
      </c>
      <c r="K41" s="79">
        <f>INDEX(CoreValuesResults[Core Values Rank],MATCH(TournamentData[[#This Row],[Team Number]],CoreValuesResults[Team Number],0))</f>
        <v/>
      </c>
      <c r="L41" s="79">
        <f>INDEX(InnovationProjectResults[Innovation Project Rank],MATCH(TournamentData[[#This Row],[Team Number]],InnovationProjectResults[Team Number],0))</f>
        <v/>
      </c>
      <c r="M41" s="79">
        <f>INDEX(RobotDesignResults[Robot Design Rank],MATCH(TournamentData[[#This Row],[Team Number]],RobotDesignResults[Team Number],0))</f>
        <v/>
      </c>
      <c r="N41" s="79">
        <f>SUM(TournamentData[[#This Row],[Robot Game Rank]:[Robot Design Rank]])</f>
        <v/>
      </c>
      <c r="O41" s="79">
        <f>RANK(TournamentData[[#This Row],[Champion''s Score]],TournamentData[Champion''s Score],1)</f>
        <v/>
      </c>
      <c r="P41" s="80" t="n"/>
      <c r="Q41" s="86" t="inlineStr">
        <is>
          <t>No</t>
        </is>
      </c>
      <c r="R41" s="81">
        <f>IF(ISNA(INDEX(CoreValuesResults[Core Values Score],MATCH(TournamentData[[#This Row],[Team Number]],CoreValuesResults[Team Number],0))),0,INDEX(CoreValuesResults[Core Values Score],MATCH(TournamentData[[#This Row],[Team Number]],CoreValuesResults[Team Number],0)))</f>
        <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
      </c>
      <c r="T41" s="81">
        <f>IF(ISNA(INDEX(RobotDesignResults[Robot Design Score],MATCH(TournamentData[[#This Row],[Team Number]],RobotDesignResults[Team Number],0))),0,INDEX(RobotDesignResults[Robot Design Score],MATCH(TournamentData[[#This Row],[Team Number]],RobotDesignResults[Team Number],0)))</f>
        <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1" s="80">
        <f>IF(U41,_xlfn.RANK.EQ(U41,U$3:U$17,0),NumberOfTeams)</f>
        <v/>
      </c>
      <c r="W41" s="80" t="n"/>
    </row>
    <row r="42" ht="20.25" customHeight="1">
      <c r="A42" s="79" t="n">
        <v>40</v>
      </c>
      <c r="B42" s="79">
        <f>INDEX(OfficialTeamList[Pod Number],MATCH(TournamentData[[#This Row],[Team Number]], OfficialTeamList[Team '#],0))</f>
        <v/>
      </c>
      <c r="C42" s="105">
        <f>INDEX(OfficialTeamList[Team Name],MATCH(TournamentData[[#This Row],[Team Number]], OfficialTeamList[Team '#],0))</f>
        <v/>
      </c>
      <c r="D42" s="79">
        <f>IF(TournamentData[[#This Row],[Team Number]]="","",IF(ISNA(INDEX('Robot Game Scores'!C:C,MATCH(TournamentData[[#This Row],[Team Number]], 'Robot Game Scores'!$A:$A,0))),0,INDEX('Robot Game Scores'!C:C,MATCH(TournamentData[[#This Row],[Team Number]], 'Robot Game Scores'!$A:$A,0))))</f>
        <v/>
      </c>
      <c r="E42" s="79">
        <f>IF(TournamentData[[#This Row],[Team Number]]="","",IF(ISNA(INDEX('Robot Game Scores'!D:D,MATCH(TournamentData[[#This Row],[Team Number]], 'Robot Game Scores'!$A:$A,0))),0,INDEX('Robot Game Scores'!D:D,MATCH(TournamentData[[#This Row],[Team Number]], 'Robot Game Scores'!$A:$A,0))))</f>
        <v/>
      </c>
      <c r="F42" s="79">
        <f>IF(TournamentData[[#This Row],[Team Number]]="","",IF(ISNA(INDEX('Robot Game Scores'!E:E,MATCH(TournamentData[[#This Row],[Team Number]], 'Robot Game Scores'!$A:$A,0))),0,INDEX('Robot Game Scores'!E:E,MATCH(TournamentData[[#This Row],[Team Number]], 'Robot Game Scores'!$A:$A,0))))</f>
        <v/>
      </c>
      <c r="G42" s="79">
        <f>IF(TournamentData[[#This Row],[Team Number]]="","",IF(ISNA(INDEX('Robot Game Scores'!#REF!,MATCH(TournamentData[[#This Row],[Team Number]], 'Robot Game Scores'!$A:$A,0))),0,INDEX('Robot Game Scores'!#REF!,MATCH(TournamentData[[#This Row],[Team Number]], 'Robot Game Scores'!$A:$A,0))))</f>
        <v/>
      </c>
      <c r="H42" s="79">
        <f>IF(TournamentData[[#This Row],[Team Number]]="","",IF(ISNA(INDEX('Robot Game Scores'!#REF!,MATCH(TournamentData[[#This Row],[Team Number]], 'Robot Game Scores'!$A:$A,0))),0,INDEX('Robot Game Scores'!#REF!,MATCH(TournamentData[[#This Row],[Team Number]], 'Robot Game Scores'!$A:$A,0))))</f>
        <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2" s="79">
        <f>_xlfn.RANK.EQ(TournamentData[[#This Row],[Max Robot Game Score]],TournamentData[Max Robot Game Score])</f>
        <v/>
      </c>
      <c r="K42" s="79">
        <f>INDEX(CoreValuesResults[Core Values Rank],MATCH(TournamentData[[#This Row],[Team Number]],CoreValuesResults[Team Number],0))</f>
        <v/>
      </c>
      <c r="L42" s="79">
        <f>INDEX(InnovationProjectResults[Innovation Project Rank],MATCH(TournamentData[[#This Row],[Team Number]],InnovationProjectResults[Team Number],0))</f>
        <v/>
      </c>
      <c r="M42" s="79">
        <f>INDEX(RobotDesignResults[Robot Design Rank],MATCH(TournamentData[[#This Row],[Team Number]],RobotDesignResults[Team Number],0))</f>
        <v/>
      </c>
      <c r="N42" s="79">
        <f>SUM(TournamentData[[#This Row],[Robot Game Rank]:[Robot Design Rank]])</f>
        <v/>
      </c>
      <c r="O42" s="79">
        <f>RANK(TournamentData[[#This Row],[Champion''s Score]],TournamentData[Champion''s Score],1)</f>
        <v/>
      </c>
      <c r="P42" s="80" t="n"/>
      <c r="Q42" s="86" t="inlineStr">
        <is>
          <t>No</t>
        </is>
      </c>
      <c r="R42" s="81">
        <f>IF(ISNA(INDEX(CoreValuesResults[Core Values Score],MATCH(TournamentData[[#This Row],[Team Number]],CoreValuesResults[Team Number],0))),0,INDEX(CoreValuesResults[Core Values Score],MATCH(TournamentData[[#This Row],[Team Number]],CoreValuesResults[Team Number],0)))</f>
        <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
      </c>
      <c r="T42" s="81">
        <f>IF(ISNA(INDEX(RobotDesignResults[Robot Design Score],MATCH(TournamentData[[#This Row],[Team Number]],RobotDesignResults[Team Number],0))),0,INDEX(RobotDesignResults[Robot Design Score],MATCH(TournamentData[[#This Row],[Team Number]],RobotDesignResults[Team Number],0)))</f>
        <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2" s="80">
        <f>IF(U42,_xlfn.RANK.EQ(U42,U$3:U$17,0),NumberOfTeams)</f>
        <v/>
      </c>
      <c r="W42" s="80" t="n"/>
    </row>
    <row r="43" ht="20.25" customHeight="1">
      <c r="A43" s="79" t="n">
        <v>41</v>
      </c>
      <c r="B43" s="79">
        <f>INDEX(OfficialTeamList[Pod Number],MATCH(TournamentData[[#This Row],[Team Number]], OfficialTeamList[Team '#],0))</f>
        <v/>
      </c>
      <c r="C43" s="105">
        <f>INDEX(OfficialTeamList[Team Name],MATCH(TournamentData[[#This Row],[Team Number]], OfficialTeamList[Team '#],0))</f>
        <v/>
      </c>
      <c r="D43" s="79">
        <f>IF(TournamentData[[#This Row],[Team Number]]="","",IF(ISNA(INDEX('Robot Game Scores'!C:C,MATCH(TournamentData[[#This Row],[Team Number]], 'Robot Game Scores'!$A:$A,0))),0,INDEX('Robot Game Scores'!C:C,MATCH(TournamentData[[#This Row],[Team Number]], 'Robot Game Scores'!$A:$A,0))))</f>
        <v/>
      </c>
      <c r="E43" s="79">
        <f>IF(TournamentData[[#This Row],[Team Number]]="","",IF(ISNA(INDEX('Robot Game Scores'!D:D,MATCH(TournamentData[[#This Row],[Team Number]], 'Robot Game Scores'!$A:$A,0))),0,INDEX('Robot Game Scores'!D:D,MATCH(TournamentData[[#This Row],[Team Number]], 'Robot Game Scores'!$A:$A,0))))</f>
        <v/>
      </c>
      <c r="F43" s="79">
        <f>IF(TournamentData[[#This Row],[Team Number]]="","",IF(ISNA(INDEX('Robot Game Scores'!E:E,MATCH(TournamentData[[#This Row],[Team Number]], 'Robot Game Scores'!$A:$A,0))),0,INDEX('Robot Game Scores'!E:E,MATCH(TournamentData[[#This Row],[Team Number]], 'Robot Game Scores'!$A:$A,0))))</f>
        <v/>
      </c>
      <c r="G43" s="79">
        <f>IF(TournamentData[[#This Row],[Team Number]]="","",IF(ISNA(INDEX('Robot Game Scores'!#REF!,MATCH(TournamentData[[#This Row],[Team Number]], 'Robot Game Scores'!$A:$A,0))),0,INDEX('Robot Game Scores'!#REF!,MATCH(TournamentData[[#This Row],[Team Number]], 'Robot Game Scores'!$A:$A,0))))</f>
        <v/>
      </c>
      <c r="H43" s="79">
        <f>IF(TournamentData[[#This Row],[Team Number]]="","",IF(ISNA(INDEX('Robot Game Scores'!#REF!,MATCH(TournamentData[[#This Row],[Team Number]], 'Robot Game Scores'!$A:$A,0))),0,INDEX('Robot Game Scores'!#REF!,MATCH(TournamentData[[#This Row],[Team Number]], 'Robot Game Scores'!$A:$A,0))))</f>
        <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3" s="79">
        <f>_xlfn.RANK.EQ(TournamentData[[#This Row],[Max Robot Game Score]],TournamentData[Max Robot Game Score])</f>
        <v/>
      </c>
      <c r="K43" s="79">
        <f>INDEX(CoreValuesResults[Core Values Rank],MATCH(TournamentData[[#This Row],[Team Number]],CoreValuesResults[Team Number],0))</f>
        <v/>
      </c>
      <c r="L43" s="79">
        <f>INDEX(InnovationProjectResults[Innovation Project Rank],MATCH(TournamentData[[#This Row],[Team Number]],InnovationProjectResults[Team Number],0))</f>
        <v/>
      </c>
      <c r="M43" s="79">
        <f>INDEX(RobotDesignResults[Robot Design Rank],MATCH(TournamentData[[#This Row],[Team Number]],RobotDesignResults[Team Number],0))</f>
        <v/>
      </c>
      <c r="N43" s="79">
        <f>SUM(TournamentData[[#This Row],[Robot Game Rank]:[Robot Design Rank]])</f>
        <v/>
      </c>
      <c r="O43" s="79">
        <f>RANK(TournamentData[[#This Row],[Champion''s Score]],TournamentData[Champion''s Score],1)</f>
        <v/>
      </c>
      <c r="P43" s="80" t="n"/>
      <c r="Q43" s="86" t="inlineStr">
        <is>
          <t>No</t>
        </is>
      </c>
      <c r="R43" s="81">
        <f>IF(ISNA(INDEX(CoreValuesResults[Core Values Score],MATCH(TournamentData[[#This Row],[Team Number]],CoreValuesResults[Team Number],0))),0,INDEX(CoreValuesResults[Core Values Score],MATCH(TournamentData[[#This Row],[Team Number]],CoreValuesResults[Team Number],0)))</f>
        <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
      </c>
      <c r="T43" s="81">
        <f>IF(ISNA(INDEX(RobotDesignResults[Robot Design Score],MATCH(TournamentData[[#This Row],[Team Number]],RobotDesignResults[Team Number],0))),0,INDEX(RobotDesignResults[Robot Design Score],MATCH(TournamentData[[#This Row],[Team Number]],RobotDesignResults[Team Number],0)))</f>
        <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3" s="80">
        <f>IF(U43,_xlfn.RANK.EQ(U43,U$3:U$17,0),NumberOfTeams)</f>
        <v/>
      </c>
      <c r="W43" s="80" t="n"/>
    </row>
    <row r="44" ht="20.25" customHeight="1">
      <c r="A44" s="79" t="n">
        <v>42</v>
      </c>
      <c r="B44" s="79">
        <f>INDEX(OfficialTeamList[Pod Number],MATCH(TournamentData[[#This Row],[Team Number]], OfficialTeamList[Team '#],0))</f>
        <v/>
      </c>
      <c r="C44" s="105">
        <f>INDEX(OfficialTeamList[Team Name],MATCH(TournamentData[[#This Row],[Team Number]], OfficialTeamList[Team '#],0))</f>
        <v/>
      </c>
      <c r="D44" s="79">
        <f>IF(TournamentData[[#This Row],[Team Number]]="","",IF(ISNA(INDEX('Robot Game Scores'!C:C,MATCH(TournamentData[[#This Row],[Team Number]], 'Robot Game Scores'!$A:$A,0))),0,INDEX('Robot Game Scores'!C:C,MATCH(TournamentData[[#This Row],[Team Number]], 'Robot Game Scores'!$A:$A,0))))</f>
        <v/>
      </c>
      <c r="E44" s="79">
        <f>IF(TournamentData[[#This Row],[Team Number]]="","",IF(ISNA(INDEX('Robot Game Scores'!D:D,MATCH(TournamentData[[#This Row],[Team Number]], 'Robot Game Scores'!$A:$A,0))),0,INDEX('Robot Game Scores'!D:D,MATCH(TournamentData[[#This Row],[Team Number]], 'Robot Game Scores'!$A:$A,0))))</f>
        <v/>
      </c>
      <c r="F44" s="79">
        <f>IF(TournamentData[[#This Row],[Team Number]]="","",IF(ISNA(INDEX('Robot Game Scores'!E:E,MATCH(TournamentData[[#This Row],[Team Number]], 'Robot Game Scores'!$A:$A,0))),0,INDEX('Robot Game Scores'!E:E,MATCH(TournamentData[[#This Row],[Team Number]], 'Robot Game Scores'!$A:$A,0))))</f>
        <v/>
      </c>
      <c r="G44" s="79">
        <f>IF(TournamentData[[#This Row],[Team Number]]="","",IF(ISNA(INDEX('Robot Game Scores'!#REF!,MATCH(TournamentData[[#This Row],[Team Number]], 'Robot Game Scores'!$A:$A,0))),0,INDEX('Robot Game Scores'!#REF!,MATCH(TournamentData[[#This Row],[Team Number]], 'Robot Game Scores'!$A:$A,0))))</f>
        <v/>
      </c>
      <c r="H44" s="79">
        <f>IF(TournamentData[[#This Row],[Team Number]]="","",IF(ISNA(INDEX('Robot Game Scores'!#REF!,MATCH(TournamentData[[#This Row],[Team Number]], 'Robot Game Scores'!$A:$A,0))),0,INDEX('Robot Game Scores'!#REF!,MATCH(TournamentData[[#This Row],[Team Number]], 'Robot Game Scores'!$A:$A,0))))</f>
        <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4" s="79">
        <f>_xlfn.RANK.EQ(TournamentData[[#This Row],[Max Robot Game Score]],TournamentData[Max Robot Game Score])</f>
        <v/>
      </c>
      <c r="K44" s="79">
        <f>INDEX(CoreValuesResults[Core Values Rank],MATCH(TournamentData[[#This Row],[Team Number]],CoreValuesResults[Team Number],0))</f>
        <v/>
      </c>
      <c r="L44" s="79">
        <f>INDEX(InnovationProjectResults[Innovation Project Rank],MATCH(TournamentData[[#This Row],[Team Number]],InnovationProjectResults[Team Number],0))</f>
        <v/>
      </c>
      <c r="M44" s="79">
        <f>INDEX(RobotDesignResults[Robot Design Rank],MATCH(TournamentData[[#This Row],[Team Number]],RobotDesignResults[Team Number],0))</f>
        <v/>
      </c>
      <c r="N44" s="79">
        <f>SUM(TournamentData[[#This Row],[Robot Game Rank]:[Robot Design Rank]])</f>
        <v/>
      </c>
      <c r="O44" s="79">
        <f>RANK(TournamentData[[#This Row],[Champion''s Score]],TournamentData[Champion''s Score],1)</f>
        <v/>
      </c>
      <c r="P44" s="80" t="n"/>
      <c r="Q44" s="86" t="inlineStr">
        <is>
          <t>No</t>
        </is>
      </c>
      <c r="R44" s="81">
        <f>IF(ISNA(INDEX(CoreValuesResults[Core Values Score],MATCH(TournamentData[[#This Row],[Team Number]],CoreValuesResults[Team Number],0))),0,INDEX(CoreValuesResults[Core Values Score],MATCH(TournamentData[[#This Row],[Team Number]],CoreValuesResults[Team Number],0)))</f>
        <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
      </c>
      <c r="T44" s="81">
        <f>IF(ISNA(INDEX(RobotDesignResults[Robot Design Score],MATCH(TournamentData[[#This Row],[Team Number]],RobotDesignResults[Team Number],0))),0,INDEX(RobotDesignResults[Robot Design Score],MATCH(TournamentData[[#This Row],[Team Number]],RobotDesignResults[Team Number],0)))</f>
        <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4" s="80">
        <f>IF(U44,_xlfn.RANK.EQ(U44,U$3:U$17,0),NumberOfTeams)</f>
        <v/>
      </c>
      <c r="W44" s="80" t="n"/>
    </row>
    <row r="45" ht="20.25" customHeight="1">
      <c r="A45" s="79" t="n">
        <v>43</v>
      </c>
      <c r="B45" s="79">
        <f>INDEX(OfficialTeamList[Pod Number],MATCH(TournamentData[[#This Row],[Team Number]], OfficialTeamList[Team '#],0))</f>
        <v/>
      </c>
      <c r="C45" s="105">
        <f>INDEX(OfficialTeamList[Team Name],MATCH(TournamentData[[#This Row],[Team Number]], OfficialTeamList[Team '#],0))</f>
        <v/>
      </c>
      <c r="D45" s="79">
        <f>IF(TournamentData[[#This Row],[Team Number]]="","",IF(ISNA(INDEX('Robot Game Scores'!C:C,MATCH(TournamentData[[#This Row],[Team Number]], 'Robot Game Scores'!$A:$A,0))),0,INDEX('Robot Game Scores'!C:C,MATCH(TournamentData[[#This Row],[Team Number]], 'Robot Game Scores'!$A:$A,0))))</f>
        <v/>
      </c>
      <c r="E45" s="79">
        <f>IF(TournamentData[[#This Row],[Team Number]]="","",IF(ISNA(INDEX('Robot Game Scores'!D:D,MATCH(TournamentData[[#This Row],[Team Number]], 'Robot Game Scores'!$A:$A,0))),0,INDEX('Robot Game Scores'!D:D,MATCH(TournamentData[[#This Row],[Team Number]], 'Robot Game Scores'!$A:$A,0))))</f>
        <v/>
      </c>
      <c r="F45" s="79">
        <f>IF(TournamentData[[#This Row],[Team Number]]="","",IF(ISNA(INDEX('Robot Game Scores'!E:E,MATCH(TournamentData[[#This Row],[Team Number]], 'Robot Game Scores'!$A:$A,0))),0,INDEX('Robot Game Scores'!E:E,MATCH(TournamentData[[#This Row],[Team Number]], 'Robot Game Scores'!$A:$A,0))))</f>
        <v/>
      </c>
      <c r="G45" s="79">
        <f>IF(TournamentData[[#This Row],[Team Number]]="","",IF(ISNA(INDEX('Robot Game Scores'!#REF!,MATCH(TournamentData[[#This Row],[Team Number]], 'Robot Game Scores'!$A:$A,0))),0,INDEX('Robot Game Scores'!#REF!,MATCH(TournamentData[[#This Row],[Team Number]], 'Robot Game Scores'!$A:$A,0))))</f>
        <v/>
      </c>
      <c r="H45" s="79">
        <f>IF(TournamentData[[#This Row],[Team Number]]="","",IF(ISNA(INDEX('Robot Game Scores'!#REF!,MATCH(TournamentData[[#This Row],[Team Number]], 'Robot Game Scores'!$A:$A,0))),0,INDEX('Robot Game Scores'!#REF!,MATCH(TournamentData[[#This Row],[Team Number]], 'Robot Game Scores'!$A:$A,0))))</f>
        <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5" s="79">
        <f>_xlfn.RANK.EQ(TournamentData[[#This Row],[Max Robot Game Score]],TournamentData[Max Robot Game Score])</f>
        <v/>
      </c>
      <c r="K45" s="79">
        <f>INDEX(CoreValuesResults[Core Values Rank],MATCH(TournamentData[[#This Row],[Team Number]],CoreValuesResults[Team Number],0))</f>
        <v/>
      </c>
      <c r="L45" s="79">
        <f>INDEX(InnovationProjectResults[Innovation Project Rank],MATCH(TournamentData[[#This Row],[Team Number]],InnovationProjectResults[Team Number],0))</f>
        <v/>
      </c>
      <c r="M45" s="79">
        <f>INDEX(RobotDesignResults[Robot Design Rank],MATCH(TournamentData[[#This Row],[Team Number]],RobotDesignResults[Team Number],0))</f>
        <v/>
      </c>
      <c r="N45" s="79">
        <f>SUM(TournamentData[[#This Row],[Robot Game Rank]:[Robot Design Rank]])</f>
        <v/>
      </c>
      <c r="O45" s="79">
        <f>RANK(TournamentData[[#This Row],[Champion''s Score]],TournamentData[Champion''s Score],1)</f>
        <v/>
      </c>
      <c r="P45" s="80" t="n"/>
      <c r="Q45" s="86" t="inlineStr">
        <is>
          <t>No</t>
        </is>
      </c>
      <c r="R45" s="81">
        <f>IF(ISNA(INDEX(CoreValuesResults[Core Values Score],MATCH(TournamentData[[#This Row],[Team Number]],CoreValuesResults[Team Number],0))),0,INDEX(CoreValuesResults[Core Values Score],MATCH(TournamentData[[#This Row],[Team Number]],CoreValuesResults[Team Number],0)))</f>
        <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
      </c>
      <c r="T45" s="81">
        <f>IF(ISNA(INDEX(RobotDesignResults[Robot Design Score],MATCH(TournamentData[[#This Row],[Team Number]],RobotDesignResults[Team Number],0))),0,INDEX(RobotDesignResults[Robot Design Score],MATCH(TournamentData[[#This Row],[Team Number]],RobotDesignResults[Team Number],0)))</f>
        <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5" s="80">
        <f>IF(U45,_xlfn.RANK.EQ(U45,U$3:U$17,0),NumberOfTeams)</f>
        <v/>
      </c>
      <c r="W45" s="80" t="n"/>
    </row>
    <row r="46" ht="20.25" customHeight="1">
      <c r="A46" s="79" t="n">
        <v>44</v>
      </c>
      <c r="B46" s="79">
        <f>INDEX(OfficialTeamList[Pod Number],MATCH(TournamentData[[#This Row],[Team Number]], OfficialTeamList[Team '#],0))</f>
        <v/>
      </c>
      <c r="C46" s="105">
        <f>INDEX(OfficialTeamList[Team Name],MATCH(TournamentData[[#This Row],[Team Number]], OfficialTeamList[Team '#],0))</f>
        <v/>
      </c>
      <c r="D46" s="79">
        <f>IF(TournamentData[[#This Row],[Team Number]]="","",IF(ISNA(INDEX('Robot Game Scores'!C:C,MATCH(TournamentData[[#This Row],[Team Number]], 'Robot Game Scores'!$A:$A,0))),0,INDEX('Robot Game Scores'!C:C,MATCH(TournamentData[[#This Row],[Team Number]], 'Robot Game Scores'!$A:$A,0))))</f>
        <v/>
      </c>
      <c r="E46" s="79">
        <f>IF(TournamentData[[#This Row],[Team Number]]="","",IF(ISNA(INDEX('Robot Game Scores'!D:D,MATCH(TournamentData[[#This Row],[Team Number]], 'Robot Game Scores'!$A:$A,0))),0,INDEX('Robot Game Scores'!D:D,MATCH(TournamentData[[#This Row],[Team Number]], 'Robot Game Scores'!$A:$A,0))))</f>
        <v/>
      </c>
      <c r="F46" s="79">
        <f>IF(TournamentData[[#This Row],[Team Number]]="","",IF(ISNA(INDEX('Robot Game Scores'!E:E,MATCH(TournamentData[[#This Row],[Team Number]], 'Robot Game Scores'!$A:$A,0))),0,INDEX('Robot Game Scores'!E:E,MATCH(TournamentData[[#This Row],[Team Number]], 'Robot Game Scores'!$A:$A,0))))</f>
        <v/>
      </c>
      <c r="G46" s="79">
        <f>IF(TournamentData[[#This Row],[Team Number]]="","",IF(ISNA(INDEX('Robot Game Scores'!#REF!,MATCH(TournamentData[[#This Row],[Team Number]], 'Robot Game Scores'!$A:$A,0))),0,INDEX('Robot Game Scores'!#REF!,MATCH(TournamentData[[#This Row],[Team Number]], 'Robot Game Scores'!$A:$A,0))))</f>
        <v/>
      </c>
      <c r="H46" s="79">
        <f>IF(TournamentData[[#This Row],[Team Number]]="","",IF(ISNA(INDEX('Robot Game Scores'!#REF!,MATCH(TournamentData[[#This Row],[Team Number]], 'Robot Game Scores'!$A:$A,0))),0,INDEX('Robot Game Scores'!#REF!,MATCH(TournamentData[[#This Row],[Team Number]], 'Robot Game Scores'!$A:$A,0))))</f>
        <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6" s="79">
        <f>_xlfn.RANK.EQ(TournamentData[[#This Row],[Max Robot Game Score]],TournamentData[Max Robot Game Score])</f>
        <v/>
      </c>
      <c r="K46" s="79">
        <f>INDEX(CoreValuesResults[Core Values Rank],MATCH(TournamentData[[#This Row],[Team Number]],CoreValuesResults[Team Number],0))</f>
        <v/>
      </c>
      <c r="L46" s="79">
        <f>INDEX(InnovationProjectResults[Innovation Project Rank],MATCH(TournamentData[[#This Row],[Team Number]],InnovationProjectResults[Team Number],0))</f>
        <v/>
      </c>
      <c r="M46" s="79">
        <f>INDEX(RobotDesignResults[Robot Design Rank],MATCH(TournamentData[[#This Row],[Team Number]],RobotDesignResults[Team Number],0))</f>
        <v/>
      </c>
      <c r="N46" s="79">
        <f>SUM(TournamentData[[#This Row],[Robot Game Rank]:[Robot Design Rank]])</f>
        <v/>
      </c>
      <c r="O46" s="79">
        <f>RANK(TournamentData[[#This Row],[Champion''s Score]],TournamentData[Champion''s Score],1)</f>
        <v/>
      </c>
      <c r="P46" s="80" t="n"/>
      <c r="Q46" s="86" t="inlineStr">
        <is>
          <t>No</t>
        </is>
      </c>
      <c r="R46" s="81">
        <f>IF(ISNA(INDEX(CoreValuesResults[Core Values Score],MATCH(TournamentData[[#This Row],[Team Number]],CoreValuesResults[Team Number],0))),0,INDEX(CoreValuesResults[Core Values Score],MATCH(TournamentData[[#This Row],[Team Number]],CoreValuesResults[Team Number],0)))</f>
        <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
      </c>
      <c r="T46" s="81">
        <f>IF(ISNA(INDEX(RobotDesignResults[Robot Design Score],MATCH(TournamentData[[#This Row],[Team Number]],RobotDesignResults[Team Number],0))),0,INDEX(RobotDesignResults[Robot Design Score],MATCH(TournamentData[[#This Row],[Team Number]],RobotDesignResults[Team Number],0)))</f>
        <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6" s="80">
        <f>IF(U46,_xlfn.RANK.EQ(U46,U$3:U$17,0),NumberOfTeams)</f>
        <v/>
      </c>
      <c r="W46" s="80" t="n"/>
    </row>
    <row r="47" ht="20.25" customHeight="1">
      <c r="A47" s="79" t="n">
        <v>45</v>
      </c>
      <c r="B47" s="79">
        <f>INDEX(OfficialTeamList[Pod Number],MATCH(TournamentData[[#This Row],[Team Number]], OfficialTeamList[Team '#],0))</f>
        <v/>
      </c>
      <c r="C47" s="105">
        <f>INDEX(OfficialTeamList[Team Name],MATCH(TournamentData[[#This Row],[Team Number]], OfficialTeamList[Team '#],0))</f>
        <v/>
      </c>
      <c r="D47" s="79">
        <f>IF(TournamentData[[#This Row],[Team Number]]="","",IF(ISNA(INDEX('Robot Game Scores'!C:C,MATCH(TournamentData[[#This Row],[Team Number]], 'Robot Game Scores'!$A:$A,0))),0,INDEX('Robot Game Scores'!C:C,MATCH(TournamentData[[#This Row],[Team Number]], 'Robot Game Scores'!$A:$A,0))))</f>
        <v/>
      </c>
      <c r="E47" s="79">
        <f>IF(TournamentData[[#This Row],[Team Number]]="","",IF(ISNA(INDEX('Robot Game Scores'!D:D,MATCH(TournamentData[[#This Row],[Team Number]], 'Robot Game Scores'!$A:$A,0))),0,INDEX('Robot Game Scores'!D:D,MATCH(TournamentData[[#This Row],[Team Number]], 'Robot Game Scores'!$A:$A,0))))</f>
        <v/>
      </c>
      <c r="F47" s="79">
        <f>IF(TournamentData[[#This Row],[Team Number]]="","",IF(ISNA(INDEX('Robot Game Scores'!E:E,MATCH(TournamentData[[#This Row],[Team Number]], 'Robot Game Scores'!$A:$A,0))),0,INDEX('Robot Game Scores'!E:E,MATCH(TournamentData[[#This Row],[Team Number]], 'Robot Game Scores'!$A:$A,0))))</f>
        <v/>
      </c>
      <c r="G47" s="79">
        <f>IF(TournamentData[[#This Row],[Team Number]]="","",IF(ISNA(INDEX('Robot Game Scores'!#REF!,MATCH(TournamentData[[#This Row],[Team Number]], 'Robot Game Scores'!$A:$A,0))),0,INDEX('Robot Game Scores'!#REF!,MATCH(TournamentData[[#This Row],[Team Number]], 'Robot Game Scores'!$A:$A,0))))</f>
        <v/>
      </c>
      <c r="H47" s="79">
        <f>IF(TournamentData[[#This Row],[Team Number]]="","",IF(ISNA(INDEX('Robot Game Scores'!#REF!,MATCH(TournamentData[[#This Row],[Team Number]], 'Robot Game Scores'!$A:$A,0))),0,INDEX('Robot Game Scores'!#REF!,MATCH(TournamentData[[#This Row],[Team Number]], 'Robot Game Scores'!$A:$A,0))))</f>
        <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7" s="79">
        <f>_xlfn.RANK.EQ(TournamentData[[#This Row],[Max Robot Game Score]],TournamentData[Max Robot Game Score])</f>
        <v/>
      </c>
      <c r="K47" s="79">
        <f>INDEX(CoreValuesResults[Core Values Rank],MATCH(TournamentData[[#This Row],[Team Number]],CoreValuesResults[Team Number],0))</f>
        <v/>
      </c>
      <c r="L47" s="79">
        <f>INDEX(InnovationProjectResults[Innovation Project Rank],MATCH(TournamentData[[#This Row],[Team Number]],InnovationProjectResults[Team Number],0))</f>
        <v/>
      </c>
      <c r="M47" s="79">
        <f>INDEX(RobotDesignResults[Robot Design Rank],MATCH(TournamentData[[#This Row],[Team Number]],RobotDesignResults[Team Number],0))</f>
        <v/>
      </c>
      <c r="N47" s="79">
        <f>SUM(TournamentData[[#This Row],[Robot Game Rank]:[Robot Design Rank]])</f>
        <v/>
      </c>
      <c r="O47" s="79">
        <f>RANK(TournamentData[[#This Row],[Champion''s Score]],TournamentData[Champion''s Score],1)</f>
        <v/>
      </c>
      <c r="P47" s="80" t="n"/>
      <c r="Q47" s="86" t="inlineStr">
        <is>
          <t>No</t>
        </is>
      </c>
      <c r="R47" s="81">
        <f>IF(ISNA(INDEX(CoreValuesResults[Core Values Score],MATCH(TournamentData[[#This Row],[Team Number]],CoreValuesResults[Team Number],0))),0,INDEX(CoreValuesResults[Core Values Score],MATCH(TournamentData[[#This Row],[Team Number]],CoreValuesResults[Team Number],0)))</f>
        <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
      </c>
      <c r="T47" s="81">
        <f>IF(ISNA(INDEX(RobotDesignResults[Robot Design Score],MATCH(TournamentData[[#This Row],[Team Number]],RobotDesignResults[Team Number],0))),0,INDEX(RobotDesignResults[Robot Design Score],MATCH(TournamentData[[#This Row],[Team Number]],RobotDesignResults[Team Number],0)))</f>
        <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7" s="80">
        <f>IF(U47,_xlfn.RANK.EQ(U47,U$3:U$17,0),NumberOfTeams)</f>
        <v/>
      </c>
      <c r="W47" s="80" t="n"/>
    </row>
    <row r="48" ht="20.25" customHeight="1">
      <c r="A48" s="79" t="n">
        <v>46</v>
      </c>
      <c r="B48" s="79">
        <f>INDEX(OfficialTeamList[Pod Number],MATCH(TournamentData[[#This Row],[Team Number]], OfficialTeamList[Team '#],0))</f>
        <v/>
      </c>
      <c r="C48" s="105">
        <f>INDEX(OfficialTeamList[Team Name],MATCH(TournamentData[[#This Row],[Team Number]], OfficialTeamList[Team '#],0))</f>
        <v/>
      </c>
      <c r="D48" s="79">
        <f>IF(TournamentData[[#This Row],[Team Number]]="","",IF(ISNA(INDEX('Robot Game Scores'!C:C,MATCH(TournamentData[[#This Row],[Team Number]], 'Robot Game Scores'!$A:$A,0))),0,INDEX('Robot Game Scores'!C:C,MATCH(TournamentData[[#This Row],[Team Number]], 'Robot Game Scores'!$A:$A,0))))</f>
        <v/>
      </c>
      <c r="E48" s="79">
        <f>IF(TournamentData[[#This Row],[Team Number]]="","",IF(ISNA(INDEX('Robot Game Scores'!D:D,MATCH(TournamentData[[#This Row],[Team Number]], 'Robot Game Scores'!$A:$A,0))),0,INDEX('Robot Game Scores'!D:D,MATCH(TournamentData[[#This Row],[Team Number]], 'Robot Game Scores'!$A:$A,0))))</f>
        <v/>
      </c>
      <c r="F48" s="79">
        <f>IF(TournamentData[[#This Row],[Team Number]]="","",IF(ISNA(INDEX('Robot Game Scores'!E:E,MATCH(TournamentData[[#This Row],[Team Number]], 'Robot Game Scores'!$A:$A,0))),0,INDEX('Robot Game Scores'!E:E,MATCH(TournamentData[[#This Row],[Team Number]], 'Robot Game Scores'!$A:$A,0))))</f>
        <v/>
      </c>
      <c r="G48" s="79">
        <f>IF(TournamentData[[#This Row],[Team Number]]="","",IF(ISNA(INDEX('Robot Game Scores'!#REF!,MATCH(TournamentData[[#This Row],[Team Number]], 'Robot Game Scores'!$A:$A,0))),0,INDEX('Robot Game Scores'!#REF!,MATCH(TournamentData[[#This Row],[Team Number]], 'Robot Game Scores'!$A:$A,0))))</f>
        <v/>
      </c>
      <c r="H48" s="79">
        <f>IF(TournamentData[[#This Row],[Team Number]]="","",IF(ISNA(INDEX('Robot Game Scores'!#REF!,MATCH(TournamentData[[#This Row],[Team Number]], 'Robot Game Scores'!$A:$A,0))),0,INDEX('Robot Game Scores'!#REF!,MATCH(TournamentData[[#This Row],[Team Number]], 'Robot Game Scores'!$A:$A,0))))</f>
        <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8" s="79">
        <f>_xlfn.RANK.EQ(TournamentData[[#This Row],[Max Robot Game Score]],TournamentData[Max Robot Game Score])</f>
        <v/>
      </c>
      <c r="K48" s="79">
        <f>INDEX(CoreValuesResults[Core Values Rank],MATCH(TournamentData[[#This Row],[Team Number]],CoreValuesResults[Team Number],0))</f>
        <v/>
      </c>
      <c r="L48" s="79">
        <f>INDEX(InnovationProjectResults[Innovation Project Rank],MATCH(TournamentData[[#This Row],[Team Number]],InnovationProjectResults[Team Number],0))</f>
        <v/>
      </c>
      <c r="M48" s="79">
        <f>INDEX(RobotDesignResults[Robot Design Rank],MATCH(TournamentData[[#This Row],[Team Number]],RobotDesignResults[Team Number],0))</f>
        <v/>
      </c>
      <c r="N48" s="79">
        <f>SUM(TournamentData[[#This Row],[Robot Game Rank]:[Robot Design Rank]])</f>
        <v/>
      </c>
      <c r="O48" s="79">
        <f>RANK(TournamentData[[#This Row],[Champion''s Score]],TournamentData[Champion''s Score],1)</f>
        <v/>
      </c>
      <c r="P48" s="80" t="n"/>
      <c r="Q48" s="86" t="inlineStr">
        <is>
          <t>No</t>
        </is>
      </c>
      <c r="R48" s="81">
        <f>IF(ISNA(INDEX(CoreValuesResults[Core Values Score],MATCH(TournamentData[[#This Row],[Team Number]],CoreValuesResults[Team Number],0))),0,INDEX(CoreValuesResults[Core Values Score],MATCH(TournamentData[[#This Row],[Team Number]],CoreValuesResults[Team Number],0)))</f>
        <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
      </c>
      <c r="T48" s="81">
        <f>IF(ISNA(INDEX(RobotDesignResults[Robot Design Score],MATCH(TournamentData[[#This Row],[Team Number]],RobotDesignResults[Team Number],0))),0,INDEX(RobotDesignResults[Robot Design Score],MATCH(TournamentData[[#This Row],[Team Number]],RobotDesignResults[Team Number],0)))</f>
        <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8" s="80">
        <f>IF(U48,_xlfn.RANK.EQ(U48,U$3:U$17,0),NumberOfTeams)</f>
        <v/>
      </c>
      <c r="W48" s="80" t="n"/>
    </row>
    <row r="49" ht="20.25" customHeight="1">
      <c r="A49" s="79" t="n">
        <v>47</v>
      </c>
      <c r="B49" s="79">
        <f>INDEX(OfficialTeamList[Pod Number],MATCH(TournamentData[[#This Row],[Team Number]], OfficialTeamList[Team '#],0))</f>
        <v/>
      </c>
      <c r="C49" s="105">
        <f>INDEX(OfficialTeamList[Team Name],MATCH(TournamentData[[#This Row],[Team Number]], OfficialTeamList[Team '#],0))</f>
        <v/>
      </c>
      <c r="D49" s="79">
        <f>IF(TournamentData[[#This Row],[Team Number]]="","",IF(ISNA(INDEX('Robot Game Scores'!C:C,MATCH(TournamentData[[#This Row],[Team Number]], 'Robot Game Scores'!$A:$A,0))),0,INDEX('Robot Game Scores'!C:C,MATCH(TournamentData[[#This Row],[Team Number]], 'Robot Game Scores'!$A:$A,0))))</f>
        <v/>
      </c>
      <c r="E49" s="79">
        <f>IF(TournamentData[[#This Row],[Team Number]]="","",IF(ISNA(INDEX('Robot Game Scores'!D:D,MATCH(TournamentData[[#This Row],[Team Number]], 'Robot Game Scores'!$A:$A,0))),0,INDEX('Robot Game Scores'!D:D,MATCH(TournamentData[[#This Row],[Team Number]], 'Robot Game Scores'!$A:$A,0))))</f>
        <v/>
      </c>
      <c r="F49" s="79">
        <f>IF(TournamentData[[#This Row],[Team Number]]="","",IF(ISNA(INDEX('Robot Game Scores'!E:E,MATCH(TournamentData[[#This Row],[Team Number]], 'Robot Game Scores'!$A:$A,0))),0,INDEX('Robot Game Scores'!E:E,MATCH(TournamentData[[#This Row],[Team Number]], 'Robot Game Scores'!$A:$A,0))))</f>
        <v/>
      </c>
      <c r="G49" s="79">
        <f>IF(TournamentData[[#This Row],[Team Number]]="","",IF(ISNA(INDEX('Robot Game Scores'!#REF!,MATCH(TournamentData[[#This Row],[Team Number]], 'Robot Game Scores'!$A:$A,0))),0,INDEX('Robot Game Scores'!#REF!,MATCH(TournamentData[[#This Row],[Team Number]], 'Robot Game Scores'!$A:$A,0))))</f>
        <v/>
      </c>
      <c r="H49" s="79">
        <f>IF(TournamentData[[#This Row],[Team Number]]="","",IF(ISNA(INDEX('Robot Game Scores'!#REF!,MATCH(TournamentData[[#This Row],[Team Number]], 'Robot Game Scores'!$A:$A,0))),0,INDEX('Robot Game Scores'!#REF!,MATCH(TournamentData[[#This Row],[Team Number]], 'Robot Game Scores'!$A:$A,0))))</f>
        <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9" s="79">
        <f>_xlfn.RANK.EQ(TournamentData[[#This Row],[Max Robot Game Score]],TournamentData[Max Robot Game Score])</f>
        <v/>
      </c>
      <c r="K49" s="79">
        <f>INDEX(CoreValuesResults[Core Values Rank],MATCH(TournamentData[[#This Row],[Team Number]],CoreValuesResults[Team Number],0))</f>
        <v/>
      </c>
      <c r="L49" s="79">
        <f>INDEX(InnovationProjectResults[Innovation Project Rank],MATCH(TournamentData[[#This Row],[Team Number]],InnovationProjectResults[Team Number],0))</f>
        <v/>
      </c>
      <c r="M49" s="79">
        <f>INDEX(RobotDesignResults[Robot Design Rank],MATCH(TournamentData[[#This Row],[Team Number]],RobotDesignResults[Team Number],0))</f>
        <v/>
      </c>
      <c r="N49" s="79">
        <f>SUM(TournamentData[[#This Row],[Robot Game Rank]:[Robot Design Rank]])</f>
        <v/>
      </c>
      <c r="O49" s="79">
        <f>RANK(TournamentData[[#This Row],[Champion''s Score]],TournamentData[Champion''s Score],1)</f>
        <v/>
      </c>
      <c r="P49" s="80" t="n"/>
      <c r="Q49" s="86" t="inlineStr">
        <is>
          <t>No</t>
        </is>
      </c>
      <c r="R49" s="81">
        <f>IF(ISNA(INDEX(CoreValuesResults[Core Values Score],MATCH(TournamentData[[#This Row],[Team Number]],CoreValuesResults[Team Number],0))),0,INDEX(CoreValuesResults[Core Values Score],MATCH(TournamentData[[#This Row],[Team Number]],CoreValuesResults[Team Number],0)))</f>
        <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
      </c>
      <c r="T49" s="81">
        <f>IF(ISNA(INDEX(RobotDesignResults[Robot Design Score],MATCH(TournamentData[[#This Row],[Team Number]],RobotDesignResults[Team Number],0))),0,INDEX(RobotDesignResults[Robot Design Score],MATCH(TournamentData[[#This Row],[Team Number]],RobotDesignResults[Team Number],0)))</f>
        <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9" s="80">
        <f>IF(U49,_xlfn.RANK.EQ(U49,U$3:U$17,0),NumberOfTeams)</f>
        <v/>
      </c>
      <c r="W49" s="80" t="n"/>
    </row>
    <row r="50" ht="20.25" customHeight="1">
      <c r="A50" s="79" t="n">
        <v>48</v>
      </c>
      <c r="B50" s="79">
        <f>INDEX(OfficialTeamList[Pod Number],MATCH(TournamentData[[#This Row],[Team Number]], OfficialTeamList[Team '#],0))</f>
        <v/>
      </c>
      <c r="C50" s="105">
        <f>INDEX(OfficialTeamList[Team Name],MATCH(TournamentData[[#This Row],[Team Number]], OfficialTeamList[Team '#],0))</f>
        <v/>
      </c>
      <c r="D50" s="79">
        <f>IF(TournamentData[[#This Row],[Team Number]]="","",IF(ISNA(INDEX('Robot Game Scores'!C:C,MATCH(TournamentData[[#This Row],[Team Number]], 'Robot Game Scores'!$A:$A,0))),0,INDEX('Robot Game Scores'!C:C,MATCH(TournamentData[[#This Row],[Team Number]], 'Robot Game Scores'!$A:$A,0))))</f>
        <v/>
      </c>
      <c r="E50" s="79">
        <f>IF(TournamentData[[#This Row],[Team Number]]="","",IF(ISNA(INDEX('Robot Game Scores'!D:D,MATCH(TournamentData[[#This Row],[Team Number]], 'Robot Game Scores'!$A:$A,0))),0,INDEX('Robot Game Scores'!D:D,MATCH(TournamentData[[#This Row],[Team Number]], 'Robot Game Scores'!$A:$A,0))))</f>
        <v/>
      </c>
      <c r="F50" s="79">
        <f>IF(TournamentData[[#This Row],[Team Number]]="","",IF(ISNA(INDEX('Robot Game Scores'!E:E,MATCH(TournamentData[[#This Row],[Team Number]], 'Robot Game Scores'!$A:$A,0))),0,INDEX('Robot Game Scores'!E:E,MATCH(TournamentData[[#This Row],[Team Number]], 'Robot Game Scores'!$A:$A,0))))</f>
        <v/>
      </c>
      <c r="G50" s="79">
        <f>IF(TournamentData[[#This Row],[Team Number]]="","",IF(ISNA(INDEX('Robot Game Scores'!#REF!,MATCH(TournamentData[[#This Row],[Team Number]], 'Robot Game Scores'!$A:$A,0))),0,INDEX('Robot Game Scores'!#REF!,MATCH(TournamentData[[#This Row],[Team Number]], 'Robot Game Scores'!$A:$A,0))))</f>
        <v/>
      </c>
      <c r="H50" s="79">
        <f>IF(TournamentData[[#This Row],[Team Number]]="","",IF(ISNA(INDEX('Robot Game Scores'!#REF!,MATCH(TournamentData[[#This Row],[Team Number]], 'Robot Game Scores'!$A:$A,0))),0,INDEX('Robot Game Scores'!#REF!,MATCH(TournamentData[[#This Row],[Team Number]], 'Robot Game Scores'!$A:$A,0))))</f>
        <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0" s="79">
        <f>_xlfn.RANK.EQ(TournamentData[[#This Row],[Max Robot Game Score]],TournamentData[Max Robot Game Score])</f>
        <v/>
      </c>
      <c r="K50" s="79">
        <f>INDEX(CoreValuesResults[Core Values Rank],MATCH(TournamentData[[#This Row],[Team Number]],CoreValuesResults[Team Number],0))</f>
        <v/>
      </c>
      <c r="L50" s="79">
        <f>INDEX(InnovationProjectResults[Innovation Project Rank],MATCH(TournamentData[[#This Row],[Team Number]],InnovationProjectResults[Team Number],0))</f>
        <v/>
      </c>
      <c r="M50" s="79">
        <f>INDEX(RobotDesignResults[Robot Design Rank],MATCH(TournamentData[[#This Row],[Team Number]],RobotDesignResults[Team Number],0))</f>
        <v/>
      </c>
      <c r="N50" s="79">
        <f>SUM(TournamentData[[#This Row],[Robot Game Rank]:[Robot Design Rank]])</f>
        <v/>
      </c>
      <c r="O50" s="79">
        <f>RANK(TournamentData[[#This Row],[Champion''s Score]],TournamentData[Champion''s Score],1)</f>
        <v/>
      </c>
      <c r="P50" s="80" t="n"/>
      <c r="Q50" s="86" t="inlineStr">
        <is>
          <t>No</t>
        </is>
      </c>
      <c r="R50" s="81">
        <f>IF(ISNA(INDEX(CoreValuesResults[Core Values Score],MATCH(TournamentData[[#This Row],[Team Number]],CoreValuesResults[Team Number],0))),0,INDEX(CoreValuesResults[Core Values Score],MATCH(TournamentData[[#This Row],[Team Number]],CoreValuesResults[Team Number],0)))</f>
        <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
      </c>
      <c r="T50" s="81">
        <f>IF(ISNA(INDEX(RobotDesignResults[Robot Design Score],MATCH(TournamentData[[#This Row],[Team Number]],RobotDesignResults[Team Number],0))),0,INDEX(RobotDesignResults[Robot Design Score],MATCH(TournamentData[[#This Row],[Team Number]],RobotDesignResults[Team Number],0)))</f>
        <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0" s="80">
        <f>IF(U50,_xlfn.RANK.EQ(U50,U$3:U$17,0),NumberOfTeams)</f>
        <v/>
      </c>
      <c r="W50" s="80" t="n"/>
    </row>
    <row r="51" ht="20.25" customHeight="1">
      <c r="A51" s="79" t="n">
        <v>49</v>
      </c>
      <c r="B51" s="79">
        <f>INDEX(OfficialTeamList[Pod Number],MATCH(TournamentData[[#This Row],[Team Number]], OfficialTeamList[Team '#],0))</f>
        <v/>
      </c>
      <c r="C51" s="105">
        <f>INDEX(OfficialTeamList[Team Name],MATCH(TournamentData[[#This Row],[Team Number]], OfficialTeamList[Team '#],0))</f>
        <v/>
      </c>
      <c r="D51" s="79">
        <f>IF(TournamentData[[#This Row],[Team Number]]="","",IF(ISNA(INDEX('Robot Game Scores'!C:C,MATCH(TournamentData[[#This Row],[Team Number]], 'Robot Game Scores'!$A:$A,0))),0,INDEX('Robot Game Scores'!C:C,MATCH(TournamentData[[#This Row],[Team Number]], 'Robot Game Scores'!$A:$A,0))))</f>
        <v/>
      </c>
      <c r="E51" s="79">
        <f>IF(TournamentData[[#This Row],[Team Number]]="","",IF(ISNA(INDEX('Robot Game Scores'!D:D,MATCH(TournamentData[[#This Row],[Team Number]], 'Robot Game Scores'!$A:$A,0))),0,INDEX('Robot Game Scores'!D:D,MATCH(TournamentData[[#This Row],[Team Number]], 'Robot Game Scores'!$A:$A,0))))</f>
        <v/>
      </c>
      <c r="F51" s="79">
        <f>IF(TournamentData[[#This Row],[Team Number]]="","",IF(ISNA(INDEX('Robot Game Scores'!E:E,MATCH(TournamentData[[#This Row],[Team Number]], 'Robot Game Scores'!$A:$A,0))),0,INDEX('Robot Game Scores'!E:E,MATCH(TournamentData[[#This Row],[Team Number]], 'Robot Game Scores'!$A:$A,0))))</f>
        <v/>
      </c>
      <c r="G51" s="79">
        <f>IF(TournamentData[[#This Row],[Team Number]]="","",IF(ISNA(INDEX('Robot Game Scores'!#REF!,MATCH(TournamentData[[#This Row],[Team Number]], 'Robot Game Scores'!$A:$A,0))),0,INDEX('Robot Game Scores'!#REF!,MATCH(TournamentData[[#This Row],[Team Number]], 'Robot Game Scores'!$A:$A,0))))</f>
        <v/>
      </c>
      <c r="H51" s="79">
        <f>IF(TournamentData[[#This Row],[Team Number]]="","",IF(ISNA(INDEX('Robot Game Scores'!#REF!,MATCH(TournamentData[[#This Row],[Team Number]], 'Robot Game Scores'!$A:$A,0))),0,INDEX('Robot Game Scores'!#REF!,MATCH(TournamentData[[#This Row],[Team Number]], 'Robot Game Scores'!$A:$A,0))))</f>
        <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1" s="79">
        <f>_xlfn.RANK.EQ(TournamentData[[#This Row],[Max Robot Game Score]],TournamentData[Max Robot Game Score])</f>
        <v/>
      </c>
      <c r="K51" s="79">
        <f>INDEX(CoreValuesResults[Core Values Rank],MATCH(TournamentData[[#This Row],[Team Number]],CoreValuesResults[Team Number],0))</f>
        <v/>
      </c>
      <c r="L51" s="79">
        <f>INDEX(InnovationProjectResults[Innovation Project Rank],MATCH(TournamentData[[#This Row],[Team Number]],InnovationProjectResults[Team Number],0))</f>
        <v/>
      </c>
      <c r="M51" s="79">
        <f>INDEX(RobotDesignResults[Robot Design Rank],MATCH(TournamentData[[#This Row],[Team Number]],RobotDesignResults[Team Number],0))</f>
        <v/>
      </c>
      <c r="N51" s="79">
        <f>SUM(TournamentData[[#This Row],[Robot Game Rank]:[Robot Design Rank]])</f>
        <v/>
      </c>
      <c r="O51" s="79">
        <f>RANK(TournamentData[[#This Row],[Champion''s Score]],TournamentData[Champion''s Score],1)</f>
        <v/>
      </c>
      <c r="P51" s="80" t="n"/>
      <c r="Q51" s="86" t="inlineStr">
        <is>
          <t>No</t>
        </is>
      </c>
      <c r="R51" s="81">
        <f>IF(ISNA(INDEX(CoreValuesResults[Core Values Score],MATCH(TournamentData[[#This Row],[Team Number]],CoreValuesResults[Team Number],0))),0,INDEX(CoreValuesResults[Core Values Score],MATCH(TournamentData[[#This Row],[Team Number]],CoreValuesResults[Team Number],0)))</f>
        <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
      </c>
      <c r="T51" s="81">
        <f>IF(ISNA(INDEX(RobotDesignResults[Robot Design Score],MATCH(TournamentData[[#This Row],[Team Number]],RobotDesignResults[Team Number],0))),0,INDEX(RobotDesignResults[Robot Design Score],MATCH(TournamentData[[#This Row],[Team Number]],RobotDesignResults[Team Number],0)))</f>
        <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1" s="80">
        <f>IF(U51,_xlfn.RANK.EQ(U51,U$3:U$17,0),NumberOfTeams)</f>
        <v/>
      </c>
      <c r="W51" s="80" t="n"/>
    </row>
    <row r="52" ht="20.25" customHeight="1">
      <c r="A52" s="79" t="n">
        <v>50</v>
      </c>
      <c r="B52" s="79">
        <f>INDEX(OfficialTeamList[Pod Number],MATCH(TournamentData[[#This Row],[Team Number]], OfficialTeamList[Team '#],0))</f>
        <v/>
      </c>
      <c r="C52" s="105">
        <f>INDEX(OfficialTeamList[Team Name],MATCH(TournamentData[[#This Row],[Team Number]], OfficialTeamList[Team '#],0))</f>
        <v/>
      </c>
      <c r="D52" s="79">
        <f>IF(TournamentData[[#This Row],[Team Number]]="","",IF(ISNA(INDEX('Robot Game Scores'!C:C,MATCH(TournamentData[[#This Row],[Team Number]], 'Robot Game Scores'!$A:$A,0))),0,INDEX('Robot Game Scores'!C:C,MATCH(TournamentData[[#This Row],[Team Number]], 'Robot Game Scores'!$A:$A,0))))</f>
        <v/>
      </c>
      <c r="E52" s="79">
        <f>IF(TournamentData[[#This Row],[Team Number]]="","",IF(ISNA(INDEX('Robot Game Scores'!D:D,MATCH(TournamentData[[#This Row],[Team Number]], 'Robot Game Scores'!$A:$A,0))),0,INDEX('Robot Game Scores'!D:D,MATCH(TournamentData[[#This Row],[Team Number]], 'Robot Game Scores'!$A:$A,0))))</f>
        <v/>
      </c>
      <c r="F52" s="79">
        <f>IF(TournamentData[[#This Row],[Team Number]]="","",IF(ISNA(INDEX('Robot Game Scores'!E:E,MATCH(TournamentData[[#This Row],[Team Number]], 'Robot Game Scores'!$A:$A,0))),0,INDEX('Robot Game Scores'!E:E,MATCH(TournamentData[[#This Row],[Team Number]], 'Robot Game Scores'!$A:$A,0))))</f>
        <v/>
      </c>
      <c r="G52" s="79">
        <f>IF(TournamentData[[#This Row],[Team Number]]="","",IF(ISNA(INDEX('Robot Game Scores'!#REF!,MATCH(TournamentData[[#This Row],[Team Number]], 'Robot Game Scores'!$A:$A,0))),0,INDEX('Robot Game Scores'!#REF!,MATCH(TournamentData[[#This Row],[Team Number]], 'Robot Game Scores'!$A:$A,0))))</f>
        <v/>
      </c>
      <c r="H52" s="79">
        <f>IF(TournamentData[[#This Row],[Team Number]]="","",IF(ISNA(INDEX('Robot Game Scores'!#REF!,MATCH(TournamentData[[#This Row],[Team Number]], 'Robot Game Scores'!$A:$A,0))),0,INDEX('Robot Game Scores'!#REF!,MATCH(TournamentData[[#This Row],[Team Number]], 'Robot Game Scores'!$A:$A,0))))</f>
        <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2" s="79">
        <f>_xlfn.RANK.EQ(TournamentData[[#This Row],[Max Robot Game Score]],TournamentData[Max Robot Game Score])</f>
        <v/>
      </c>
      <c r="K52" s="79">
        <f>INDEX(CoreValuesResults[Core Values Rank],MATCH(TournamentData[[#This Row],[Team Number]],CoreValuesResults[Team Number],0))</f>
        <v/>
      </c>
      <c r="L52" s="79">
        <f>INDEX(InnovationProjectResults[Innovation Project Rank],MATCH(TournamentData[[#This Row],[Team Number]],InnovationProjectResults[Team Number],0))</f>
        <v/>
      </c>
      <c r="M52" s="79">
        <f>INDEX(RobotDesignResults[Robot Design Rank],MATCH(TournamentData[[#This Row],[Team Number]],RobotDesignResults[Team Number],0))</f>
        <v/>
      </c>
      <c r="N52" s="79">
        <f>SUM(TournamentData[[#This Row],[Robot Game Rank]:[Robot Design Rank]])</f>
        <v/>
      </c>
      <c r="O52" s="79">
        <f>RANK(TournamentData[[#This Row],[Champion''s Score]],TournamentData[Champion''s Score],1)</f>
        <v/>
      </c>
      <c r="P52" s="80" t="n"/>
      <c r="Q52" s="86" t="inlineStr">
        <is>
          <t>No</t>
        </is>
      </c>
      <c r="R52" s="81">
        <f>IF(ISNA(INDEX(CoreValuesResults[Core Values Score],MATCH(TournamentData[[#This Row],[Team Number]],CoreValuesResults[Team Number],0))),0,INDEX(CoreValuesResults[Core Values Score],MATCH(TournamentData[[#This Row],[Team Number]],CoreValuesResults[Team Number],0)))</f>
        <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
      </c>
      <c r="T52" s="81">
        <f>IF(ISNA(INDEX(RobotDesignResults[Robot Design Score],MATCH(TournamentData[[#This Row],[Team Number]],RobotDesignResults[Team Number],0))),0,INDEX(RobotDesignResults[Robot Design Score],MATCH(TournamentData[[#This Row],[Team Number]],RobotDesignResults[Team Number],0)))</f>
        <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2" s="80">
        <f>IF(U52,_xlfn.RANK.EQ(U52,U$3:U$17,0),NumberOfTeams)</f>
        <v/>
      </c>
      <c r="W52" s="80" t="n"/>
    </row>
    <row r="53" ht="20.25" customHeight="1">
      <c r="A53" s="79" t="n">
        <v>51</v>
      </c>
      <c r="B53" s="79">
        <f>INDEX(OfficialTeamList[Pod Number],MATCH(TournamentData[[#This Row],[Team Number]], OfficialTeamList[Team '#],0))</f>
        <v/>
      </c>
      <c r="C53" s="105">
        <f>INDEX(OfficialTeamList[Team Name],MATCH(TournamentData[[#This Row],[Team Number]], OfficialTeamList[Team '#],0))</f>
        <v/>
      </c>
      <c r="D53" s="79">
        <f>IF(TournamentData[[#This Row],[Team Number]]="","",IF(ISNA(INDEX('Robot Game Scores'!C:C,MATCH(TournamentData[[#This Row],[Team Number]], 'Robot Game Scores'!$A:$A,0))),0,INDEX('Robot Game Scores'!C:C,MATCH(TournamentData[[#This Row],[Team Number]], 'Robot Game Scores'!$A:$A,0))))</f>
        <v/>
      </c>
      <c r="E53" s="79">
        <f>IF(TournamentData[[#This Row],[Team Number]]="","",IF(ISNA(INDEX('Robot Game Scores'!D:D,MATCH(TournamentData[[#This Row],[Team Number]], 'Robot Game Scores'!$A:$A,0))),0,INDEX('Robot Game Scores'!D:D,MATCH(TournamentData[[#This Row],[Team Number]], 'Robot Game Scores'!$A:$A,0))))</f>
        <v/>
      </c>
      <c r="F53" s="79">
        <f>IF(TournamentData[[#This Row],[Team Number]]="","",IF(ISNA(INDEX('Robot Game Scores'!E:E,MATCH(TournamentData[[#This Row],[Team Number]], 'Robot Game Scores'!$A:$A,0))),0,INDEX('Robot Game Scores'!E:E,MATCH(TournamentData[[#This Row],[Team Number]], 'Robot Game Scores'!$A:$A,0))))</f>
        <v/>
      </c>
      <c r="G53" s="79">
        <f>IF(TournamentData[[#This Row],[Team Number]]="","",IF(ISNA(INDEX('Robot Game Scores'!#REF!,MATCH(TournamentData[[#This Row],[Team Number]], 'Robot Game Scores'!$A:$A,0))),0,INDEX('Robot Game Scores'!#REF!,MATCH(TournamentData[[#This Row],[Team Number]], 'Robot Game Scores'!$A:$A,0))))</f>
        <v/>
      </c>
      <c r="H53" s="79">
        <f>IF(TournamentData[[#This Row],[Team Number]]="","",IF(ISNA(INDEX('Robot Game Scores'!#REF!,MATCH(TournamentData[[#This Row],[Team Number]], 'Robot Game Scores'!$A:$A,0))),0,INDEX('Robot Game Scores'!#REF!,MATCH(TournamentData[[#This Row],[Team Number]], 'Robot Game Scores'!$A:$A,0))))</f>
        <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3" s="79">
        <f>_xlfn.RANK.EQ(TournamentData[[#This Row],[Max Robot Game Score]],TournamentData[Max Robot Game Score])</f>
        <v/>
      </c>
      <c r="K53" s="79">
        <f>INDEX(CoreValuesResults[Core Values Rank],MATCH(TournamentData[[#This Row],[Team Number]],CoreValuesResults[Team Number],0))</f>
        <v/>
      </c>
      <c r="L53" s="79">
        <f>INDEX(InnovationProjectResults[Innovation Project Rank],MATCH(TournamentData[[#This Row],[Team Number]],InnovationProjectResults[Team Number],0))</f>
        <v/>
      </c>
      <c r="M53" s="79">
        <f>INDEX(RobotDesignResults[Robot Design Rank],MATCH(TournamentData[[#This Row],[Team Number]],RobotDesignResults[Team Number],0))</f>
        <v/>
      </c>
      <c r="N53" s="79">
        <f>SUM(TournamentData[[#This Row],[Robot Game Rank]:[Robot Design Rank]])</f>
        <v/>
      </c>
      <c r="O53" s="79">
        <f>RANK(TournamentData[[#This Row],[Champion''s Score]],TournamentData[Champion''s Score],1)</f>
        <v/>
      </c>
      <c r="P53" s="80" t="n"/>
      <c r="Q53" s="86" t="inlineStr">
        <is>
          <t>No</t>
        </is>
      </c>
      <c r="R53" s="81">
        <f>IF(ISNA(INDEX(CoreValuesResults[Core Values Score],MATCH(TournamentData[[#This Row],[Team Number]],CoreValuesResults[Team Number],0))),0,INDEX(CoreValuesResults[Core Values Score],MATCH(TournamentData[[#This Row],[Team Number]],CoreValuesResults[Team Number],0)))</f>
        <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
      </c>
      <c r="T53" s="81">
        <f>IF(ISNA(INDEX(RobotDesignResults[Robot Design Score],MATCH(TournamentData[[#This Row],[Team Number]],RobotDesignResults[Team Number],0))),0,INDEX(RobotDesignResults[Robot Design Score],MATCH(TournamentData[[#This Row],[Team Number]],RobotDesignResults[Team Number],0)))</f>
        <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3" s="80">
        <f>IF(U53,_xlfn.RANK.EQ(U53,U$3:U$17,0),NumberOfTeams)</f>
        <v/>
      </c>
      <c r="W53" s="80" t="n"/>
    </row>
    <row r="54" ht="20.25" customHeight="1">
      <c r="A54" s="79" t="n">
        <v>52</v>
      </c>
      <c r="B54" s="79">
        <f>INDEX(OfficialTeamList[Pod Number],MATCH(TournamentData[[#This Row],[Team Number]], OfficialTeamList[Team '#],0))</f>
        <v/>
      </c>
      <c r="C54" s="105">
        <f>INDEX(OfficialTeamList[Team Name],MATCH(TournamentData[[#This Row],[Team Number]], OfficialTeamList[Team '#],0))</f>
        <v/>
      </c>
      <c r="D54" s="79">
        <f>IF(TournamentData[[#This Row],[Team Number]]="","",IF(ISNA(INDEX('Robot Game Scores'!C:C,MATCH(TournamentData[[#This Row],[Team Number]], 'Robot Game Scores'!$A:$A,0))),0,INDEX('Robot Game Scores'!C:C,MATCH(TournamentData[[#This Row],[Team Number]], 'Robot Game Scores'!$A:$A,0))))</f>
        <v/>
      </c>
      <c r="E54" s="79">
        <f>IF(TournamentData[[#This Row],[Team Number]]="","",IF(ISNA(INDEX('Robot Game Scores'!D:D,MATCH(TournamentData[[#This Row],[Team Number]], 'Robot Game Scores'!$A:$A,0))),0,INDEX('Robot Game Scores'!D:D,MATCH(TournamentData[[#This Row],[Team Number]], 'Robot Game Scores'!$A:$A,0))))</f>
        <v/>
      </c>
      <c r="F54" s="79">
        <f>IF(TournamentData[[#This Row],[Team Number]]="","",IF(ISNA(INDEX('Robot Game Scores'!E:E,MATCH(TournamentData[[#This Row],[Team Number]], 'Robot Game Scores'!$A:$A,0))),0,INDEX('Robot Game Scores'!E:E,MATCH(TournamentData[[#This Row],[Team Number]], 'Robot Game Scores'!$A:$A,0))))</f>
        <v/>
      </c>
      <c r="G54" s="79">
        <f>IF(TournamentData[[#This Row],[Team Number]]="","",IF(ISNA(INDEX('Robot Game Scores'!#REF!,MATCH(TournamentData[[#This Row],[Team Number]], 'Robot Game Scores'!$A:$A,0))),0,INDEX('Robot Game Scores'!#REF!,MATCH(TournamentData[[#This Row],[Team Number]], 'Robot Game Scores'!$A:$A,0))))</f>
        <v/>
      </c>
      <c r="H54" s="79">
        <f>IF(TournamentData[[#This Row],[Team Number]]="","",IF(ISNA(INDEX('Robot Game Scores'!#REF!,MATCH(TournamentData[[#This Row],[Team Number]], 'Robot Game Scores'!$A:$A,0))),0,INDEX('Robot Game Scores'!#REF!,MATCH(TournamentData[[#This Row],[Team Number]], 'Robot Game Scores'!$A:$A,0))))</f>
        <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4" s="79">
        <f>_xlfn.RANK.EQ(TournamentData[[#This Row],[Max Robot Game Score]],TournamentData[Max Robot Game Score])</f>
        <v/>
      </c>
      <c r="K54" s="79">
        <f>INDEX(CoreValuesResults[Core Values Rank],MATCH(TournamentData[[#This Row],[Team Number]],CoreValuesResults[Team Number],0))</f>
        <v/>
      </c>
      <c r="L54" s="79">
        <f>INDEX(InnovationProjectResults[Innovation Project Rank],MATCH(TournamentData[[#This Row],[Team Number]],InnovationProjectResults[Team Number],0))</f>
        <v/>
      </c>
      <c r="M54" s="79">
        <f>INDEX(RobotDesignResults[Robot Design Rank],MATCH(TournamentData[[#This Row],[Team Number]],RobotDesignResults[Team Number],0))</f>
        <v/>
      </c>
      <c r="N54" s="79">
        <f>SUM(TournamentData[[#This Row],[Robot Game Rank]:[Robot Design Rank]])</f>
        <v/>
      </c>
      <c r="O54" s="79">
        <f>RANK(TournamentData[[#This Row],[Champion''s Score]],TournamentData[Champion''s Score],1)</f>
        <v/>
      </c>
      <c r="P54" s="80" t="n"/>
      <c r="Q54" s="86" t="inlineStr">
        <is>
          <t>No</t>
        </is>
      </c>
      <c r="R54" s="81">
        <f>IF(ISNA(INDEX(CoreValuesResults[Core Values Score],MATCH(TournamentData[[#This Row],[Team Number]],CoreValuesResults[Team Number],0))),0,INDEX(CoreValuesResults[Core Values Score],MATCH(TournamentData[[#This Row],[Team Number]],CoreValuesResults[Team Number],0)))</f>
        <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
      </c>
      <c r="T54" s="81">
        <f>IF(ISNA(INDEX(RobotDesignResults[Robot Design Score],MATCH(TournamentData[[#This Row],[Team Number]],RobotDesignResults[Team Number],0))),0,INDEX(RobotDesignResults[Robot Design Score],MATCH(TournamentData[[#This Row],[Team Number]],RobotDesignResults[Team Number],0)))</f>
        <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4" s="80">
        <f>IF(U54,_xlfn.RANK.EQ(U54,U$3:U$17,0),NumberOfTeams)</f>
        <v/>
      </c>
      <c r="W54" s="80" t="n"/>
    </row>
    <row r="55" ht="20.25" customHeight="1">
      <c r="A55" s="79" t="n">
        <v>53</v>
      </c>
      <c r="B55" s="79">
        <f>INDEX(OfficialTeamList[Pod Number],MATCH(TournamentData[[#This Row],[Team Number]], OfficialTeamList[Team '#],0))</f>
        <v/>
      </c>
      <c r="C55" s="105">
        <f>INDEX(OfficialTeamList[Team Name],MATCH(TournamentData[[#This Row],[Team Number]], OfficialTeamList[Team '#],0))</f>
        <v/>
      </c>
      <c r="D55" s="79">
        <f>IF(TournamentData[[#This Row],[Team Number]]="","",IF(ISNA(INDEX('Robot Game Scores'!C:C,MATCH(TournamentData[[#This Row],[Team Number]], 'Robot Game Scores'!$A:$A,0))),0,INDEX('Robot Game Scores'!C:C,MATCH(TournamentData[[#This Row],[Team Number]], 'Robot Game Scores'!$A:$A,0))))</f>
        <v/>
      </c>
      <c r="E55" s="79">
        <f>IF(TournamentData[[#This Row],[Team Number]]="","",IF(ISNA(INDEX('Robot Game Scores'!D:D,MATCH(TournamentData[[#This Row],[Team Number]], 'Robot Game Scores'!$A:$A,0))),0,INDEX('Robot Game Scores'!D:D,MATCH(TournamentData[[#This Row],[Team Number]], 'Robot Game Scores'!$A:$A,0))))</f>
        <v/>
      </c>
      <c r="F55" s="79">
        <f>IF(TournamentData[[#This Row],[Team Number]]="","",IF(ISNA(INDEX('Robot Game Scores'!E:E,MATCH(TournamentData[[#This Row],[Team Number]], 'Robot Game Scores'!$A:$A,0))),0,INDEX('Robot Game Scores'!E:E,MATCH(TournamentData[[#This Row],[Team Number]], 'Robot Game Scores'!$A:$A,0))))</f>
        <v/>
      </c>
      <c r="G55" s="79">
        <f>IF(TournamentData[[#This Row],[Team Number]]="","",IF(ISNA(INDEX('Robot Game Scores'!#REF!,MATCH(TournamentData[[#This Row],[Team Number]], 'Robot Game Scores'!$A:$A,0))),0,INDEX('Robot Game Scores'!#REF!,MATCH(TournamentData[[#This Row],[Team Number]], 'Robot Game Scores'!$A:$A,0))))</f>
        <v/>
      </c>
      <c r="H55" s="79">
        <f>IF(TournamentData[[#This Row],[Team Number]]="","",IF(ISNA(INDEX('Robot Game Scores'!#REF!,MATCH(TournamentData[[#This Row],[Team Number]], 'Robot Game Scores'!$A:$A,0))),0,INDEX('Robot Game Scores'!#REF!,MATCH(TournamentData[[#This Row],[Team Number]], 'Robot Game Scores'!$A:$A,0))))</f>
        <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5" s="79">
        <f>_xlfn.RANK.EQ(TournamentData[[#This Row],[Max Robot Game Score]],TournamentData[Max Robot Game Score])</f>
        <v/>
      </c>
      <c r="K55" s="79">
        <f>INDEX(CoreValuesResults[Core Values Rank],MATCH(TournamentData[[#This Row],[Team Number]],CoreValuesResults[Team Number],0))</f>
        <v/>
      </c>
      <c r="L55" s="79">
        <f>INDEX(InnovationProjectResults[Innovation Project Rank],MATCH(TournamentData[[#This Row],[Team Number]],InnovationProjectResults[Team Number],0))</f>
        <v/>
      </c>
      <c r="M55" s="79">
        <f>INDEX(RobotDesignResults[Robot Design Rank],MATCH(TournamentData[[#This Row],[Team Number]],RobotDesignResults[Team Number],0))</f>
        <v/>
      </c>
      <c r="N55" s="79">
        <f>SUM(TournamentData[[#This Row],[Robot Game Rank]:[Robot Design Rank]])</f>
        <v/>
      </c>
      <c r="O55" s="79">
        <f>RANK(TournamentData[[#This Row],[Champion''s Score]],TournamentData[Champion''s Score],1)</f>
        <v/>
      </c>
      <c r="P55" s="80" t="n"/>
      <c r="Q55" s="86" t="inlineStr">
        <is>
          <t>No</t>
        </is>
      </c>
      <c r="R55" s="81">
        <f>IF(ISNA(INDEX(CoreValuesResults[Core Values Score],MATCH(TournamentData[[#This Row],[Team Number]],CoreValuesResults[Team Number],0))),0,INDEX(CoreValuesResults[Core Values Score],MATCH(TournamentData[[#This Row],[Team Number]],CoreValuesResults[Team Number],0)))</f>
        <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
      </c>
      <c r="T55" s="81">
        <f>IF(ISNA(INDEX(RobotDesignResults[Robot Design Score],MATCH(TournamentData[[#This Row],[Team Number]],RobotDesignResults[Team Number],0))),0,INDEX(RobotDesignResults[Robot Design Score],MATCH(TournamentData[[#This Row],[Team Number]],RobotDesignResults[Team Number],0)))</f>
        <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5" s="80">
        <f>IF(U55,_xlfn.RANK.EQ(U55,U$3:U$17,0),NumberOfTeams)</f>
        <v/>
      </c>
      <c r="W55" s="80" t="n"/>
    </row>
    <row r="56" ht="20.25" customHeight="1">
      <c r="A56" s="79" t="n">
        <v>54</v>
      </c>
      <c r="B56" s="79">
        <f>INDEX(OfficialTeamList[Pod Number],MATCH(TournamentData[[#This Row],[Team Number]], OfficialTeamList[Team '#],0))</f>
        <v/>
      </c>
      <c r="C56" s="105">
        <f>INDEX(OfficialTeamList[Team Name],MATCH(TournamentData[[#This Row],[Team Number]], OfficialTeamList[Team '#],0))</f>
        <v/>
      </c>
      <c r="D56" s="79">
        <f>IF(TournamentData[[#This Row],[Team Number]]="","",IF(ISNA(INDEX('Robot Game Scores'!C:C,MATCH(TournamentData[[#This Row],[Team Number]], 'Robot Game Scores'!$A:$A,0))),0,INDEX('Robot Game Scores'!C:C,MATCH(TournamentData[[#This Row],[Team Number]], 'Robot Game Scores'!$A:$A,0))))</f>
        <v/>
      </c>
      <c r="E56" s="79">
        <f>IF(TournamentData[[#This Row],[Team Number]]="","",IF(ISNA(INDEX('Robot Game Scores'!D:D,MATCH(TournamentData[[#This Row],[Team Number]], 'Robot Game Scores'!$A:$A,0))),0,INDEX('Robot Game Scores'!D:D,MATCH(TournamentData[[#This Row],[Team Number]], 'Robot Game Scores'!$A:$A,0))))</f>
        <v/>
      </c>
      <c r="F56" s="79">
        <f>IF(TournamentData[[#This Row],[Team Number]]="","",IF(ISNA(INDEX('Robot Game Scores'!E:E,MATCH(TournamentData[[#This Row],[Team Number]], 'Robot Game Scores'!$A:$A,0))),0,INDEX('Robot Game Scores'!E:E,MATCH(TournamentData[[#This Row],[Team Number]], 'Robot Game Scores'!$A:$A,0))))</f>
        <v/>
      </c>
      <c r="G56" s="79">
        <f>IF(TournamentData[[#This Row],[Team Number]]="","",IF(ISNA(INDEX('Robot Game Scores'!#REF!,MATCH(TournamentData[[#This Row],[Team Number]], 'Robot Game Scores'!$A:$A,0))),0,INDEX('Robot Game Scores'!#REF!,MATCH(TournamentData[[#This Row],[Team Number]], 'Robot Game Scores'!$A:$A,0))))</f>
        <v/>
      </c>
      <c r="H56" s="79">
        <f>IF(TournamentData[[#This Row],[Team Number]]="","",IF(ISNA(INDEX('Robot Game Scores'!#REF!,MATCH(TournamentData[[#This Row],[Team Number]], 'Robot Game Scores'!$A:$A,0))),0,INDEX('Robot Game Scores'!#REF!,MATCH(TournamentData[[#This Row],[Team Number]], 'Robot Game Scores'!$A:$A,0))))</f>
        <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6" s="79">
        <f>_xlfn.RANK.EQ(TournamentData[[#This Row],[Max Robot Game Score]],TournamentData[Max Robot Game Score])</f>
        <v/>
      </c>
      <c r="K56" s="79">
        <f>INDEX(CoreValuesResults[Core Values Rank],MATCH(TournamentData[[#This Row],[Team Number]],CoreValuesResults[Team Number],0))</f>
        <v/>
      </c>
      <c r="L56" s="79">
        <f>INDEX(InnovationProjectResults[Innovation Project Rank],MATCH(TournamentData[[#This Row],[Team Number]],InnovationProjectResults[Team Number],0))</f>
        <v/>
      </c>
      <c r="M56" s="79">
        <f>INDEX(RobotDesignResults[Robot Design Rank],MATCH(TournamentData[[#This Row],[Team Number]],RobotDesignResults[Team Number],0))</f>
        <v/>
      </c>
      <c r="N56" s="79">
        <f>SUM(TournamentData[[#This Row],[Robot Game Rank]:[Robot Design Rank]])</f>
        <v/>
      </c>
      <c r="O56" s="79">
        <f>RANK(TournamentData[[#This Row],[Champion''s Score]],TournamentData[Champion''s Score],1)</f>
        <v/>
      </c>
      <c r="P56" s="80" t="n"/>
      <c r="Q56" s="86" t="inlineStr">
        <is>
          <t>No</t>
        </is>
      </c>
      <c r="R56" s="81">
        <f>IF(ISNA(INDEX(CoreValuesResults[Core Values Score],MATCH(TournamentData[[#This Row],[Team Number]],CoreValuesResults[Team Number],0))),0,INDEX(CoreValuesResults[Core Values Score],MATCH(TournamentData[[#This Row],[Team Number]],CoreValuesResults[Team Number],0)))</f>
        <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
      </c>
      <c r="T56" s="81">
        <f>IF(ISNA(INDEX(RobotDesignResults[Robot Design Score],MATCH(TournamentData[[#This Row],[Team Number]],RobotDesignResults[Team Number],0))),0,INDEX(RobotDesignResults[Robot Design Score],MATCH(TournamentData[[#This Row],[Team Number]],RobotDesignResults[Team Number],0)))</f>
        <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6" s="80">
        <f>IF(U56,_xlfn.RANK.EQ(U56,U$3:U$17,0),NumberOfTeams)</f>
        <v/>
      </c>
      <c r="W56" s="80" t="n"/>
    </row>
    <row r="57" ht="20.25" customHeight="1">
      <c r="A57" s="79" t="n">
        <v>55</v>
      </c>
      <c r="B57" s="79">
        <f>INDEX(OfficialTeamList[Pod Number],MATCH(TournamentData[[#This Row],[Team Number]], OfficialTeamList[Team '#],0))</f>
        <v/>
      </c>
      <c r="C57" s="105">
        <f>INDEX(OfficialTeamList[Team Name],MATCH(TournamentData[[#This Row],[Team Number]], OfficialTeamList[Team '#],0))</f>
        <v/>
      </c>
      <c r="D57" s="79">
        <f>IF(TournamentData[[#This Row],[Team Number]]="","",IF(ISNA(INDEX('Robot Game Scores'!C:C,MATCH(TournamentData[[#This Row],[Team Number]], 'Robot Game Scores'!$A:$A,0))),0,INDEX('Robot Game Scores'!C:C,MATCH(TournamentData[[#This Row],[Team Number]], 'Robot Game Scores'!$A:$A,0))))</f>
        <v/>
      </c>
      <c r="E57" s="79">
        <f>IF(TournamentData[[#This Row],[Team Number]]="","",IF(ISNA(INDEX('Robot Game Scores'!D:D,MATCH(TournamentData[[#This Row],[Team Number]], 'Robot Game Scores'!$A:$A,0))),0,INDEX('Robot Game Scores'!D:D,MATCH(TournamentData[[#This Row],[Team Number]], 'Robot Game Scores'!$A:$A,0))))</f>
        <v/>
      </c>
      <c r="F57" s="79">
        <f>IF(TournamentData[[#This Row],[Team Number]]="","",IF(ISNA(INDEX('Robot Game Scores'!E:E,MATCH(TournamentData[[#This Row],[Team Number]], 'Robot Game Scores'!$A:$A,0))),0,INDEX('Robot Game Scores'!E:E,MATCH(TournamentData[[#This Row],[Team Number]], 'Robot Game Scores'!$A:$A,0))))</f>
        <v/>
      </c>
      <c r="G57" s="79">
        <f>IF(TournamentData[[#This Row],[Team Number]]="","",IF(ISNA(INDEX('Robot Game Scores'!#REF!,MATCH(TournamentData[[#This Row],[Team Number]], 'Robot Game Scores'!$A:$A,0))),0,INDEX('Robot Game Scores'!#REF!,MATCH(TournamentData[[#This Row],[Team Number]], 'Robot Game Scores'!$A:$A,0))))</f>
        <v/>
      </c>
      <c r="H57" s="79">
        <f>IF(TournamentData[[#This Row],[Team Number]]="","",IF(ISNA(INDEX('Robot Game Scores'!#REF!,MATCH(TournamentData[[#This Row],[Team Number]], 'Robot Game Scores'!$A:$A,0))),0,INDEX('Robot Game Scores'!#REF!,MATCH(TournamentData[[#This Row],[Team Number]], 'Robot Game Scores'!$A:$A,0))))</f>
        <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7" s="79">
        <f>_xlfn.RANK.EQ(TournamentData[[#This Row],[Max Robot Game Score]],TournamentData[Max Robot Game Score])</f>
        <v/>
      </c>
      <c r="K57" s="79">
        <f>INDEX(CoreValuesResults[Core Values Rank],MATCH(TournamentData[[#This Row],[Team Number]],CoreValuesResults[Team Number],0))</f>
        <v/>
      </c>
      <c r="L57" s="79">
        <f>INDEX(InnovationProjectResults[Innovation Project Rank],MATCH(TournamentData[[#This Row],[Team Number]],InnovationProjectResults[Team Number],0))</f>
        <v/>
      </c>
      <c r="M57" s="79">
        <f>INDEX(RobotDesignResults[Robot Design Rank],MATCH(TournamentData[[#This Row],[Team Number]],RobotDesignResults[Team Number],0))</f>
        <v/>
      </c>
      <c r="N57" s="79">
        <f>SUM(TournamentData[[#This Row],[Robot Game Rank]:[Robot Design Rank]])</f>
        <v/>
      </c>
      <c r="O57" s="79">
        <f>RANK(TournamentData[[#This Row],[Champion''s Score]],TournamentData[Champion''s Score],1)</f>
        <v/>
      </c>
      <c r="P57" s="80" t="n"/>
      <c r="Q57" s="86" t="inlineStr">
        <is>
          <t>No</t>
        </is>
      </c>
      <c r="R57" s="81">
        <f>IF(ISNA(INDEX(CoreValuesResults[Core Values Score],MATCH(TournamentData[[#This Row],[Team Number]],CoreValuesResults[Team Number],0))),0,INDEX(CoreValuesResults[Core Values Score],MATCH(TournamentData[[#This Row],[Team Number]],CoreValuesResults[Team Number],0)))</f>
        <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
      </c>
      <c r="T57" s="81">
        <f>IF(ISNA(INDEX(RobotDesignResults[Robot Design Score],MATCH(TournamentData[[#This Row],[Team Number]],RobotDesignResults[Team Number],0))),0,INDEX(RobotDesignResults[Robot Design Score],MATCH(TournamentData[[#This Row],[Team Number]],RobotDesignResults[Team Number],0)))</f>
        <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7" s="80">
        <f>IF(U57,_xlfn.RANK.EQ(U57,U$3:U$17,0),NumberOfTeams)</f>
        <v/>
      </c>
      <c r="W57" s="80" t="n"/>
    </row>
    <row r="58" ht="20.25" customHeight="1">
      <c r="A58" s="79" t="n">
        <v>56</v>
      </c>
      <c r="B58" s="79">
        <f>INDEX(OfficialTeamList[Pod Number],MATCH(TournamentData[[#This Row],[Team Number]], OfficialTeamList[Team '#],0))</f>
        <v/>
      </c>
      <c r="C58" s="105">
        <f>INDEX(OfficialTeamList[Team Name],MATCH(TournamentData[[#This Row],[Team Number]], OfficialTeamList[Team '#],0))</f>
        <v/>
      </c>
      <c r="D58" s="79">
        <f>IF(TournamentData[[#This Row],[Team Number]]="","",IF(ISNA(INDEX('Robot Game Scores'!C:C,MATCH(TournamentData[[#This Row],[Team Number]], 'Robot Game Scores'!$A:$A,0))),0,INDEX('Robot Game Scores'!C:C,MATCH(TournamentData[[#This Row],[Team Number]], 'Robot Game Scores'!$A:$A,0))))</f>
        <v/>
      </c>
      <c r="E58" s="79">
        <f>IF(TournamentData[[#This Row],[Team Number]]="","",IF(ISNA(INDEX('Robot Game Scores'!D:D,MATCH(TournamentData[[#This Row],[Team Number]], 'Robot Game Scores'!$A:$A,0))),0,INDEX('Robot Game Scores'!D:D,MATCH(TournamentData[[#This Row],[Team Number]], 'Robot Game Scores'!$A:$A,0))))</f>
        <v/>
      </c>
      <c r="F58" s="79">
        <f>IF(TournamentData[[#This Row],[Team Number]]="","",IF(ISNA(INDEX('Robot Game Scores'!E:E,MATCH(TournamentData[[#This Row],[Team Number]], 'Robot Game Scores'!$A:$A,0))),0,INDEX('Robot Game Scores'!E:E,MATCH(TournamentData[[#This Row],[Team Number]], 'Robot Game Scores'!$A:$A,0))))</f>
        <v/>
      </c>
      <c r="G58" s="79">
        <f>IF(TournamentData[[#This Row],[Team Number]]="","",IF(ISNA(INDEX('Robot Game Scores'!#REF!,MATCH(TournamentData[[#This Row],[Team Number]], 'Robot Game Scores'!$A:$A,0))),0,INDEX('Robot Game Scores'!#REF!,MATCH(TournamentData[[#This Row],[Team Number]], 'Robot Game Scores'!$A:$A,0))))</f>
        <v/>
      </c>
      <c r="H58" s="79">
        <f>IF(TournamentData[[#This Row],[Team Number]]="","",IF(ISNA(INDEX('Robot Game Scores'!#REF!,MATCH(TournamentData[[#This Row],[Team Number]], 'Robot Game Scores'!$A:$A,0))),0,INDEX('Robot Game Scores'!#REF!,MATCH(TournamentData[[#This Row],[Team Number]], 'Robot Game Scores'!$A:$A,0))))</f>
        <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8" s="79">
        <f>_xlfn.RANK.EQ(TournamentData[[#This Row],[Max Robot Game Score]],TournamentData[Max Robot Game Score])</f>
        <v/>
      </c>
      <c r="K58" s="79">
        <f>INDEX(CoreValuesResults[Core Values Rank],MATCH(TournamentData[[#This Row],[Team Number]],CoreValuesResults[Team Number],0))</f>
        <v/>
      </c>
      <c r="L58" s="79">
        <f>INDEX(InnovationProjectResults[Innovation Project Rank],MATCH(TournamentData[[#This Row],[Team Number]],InnovationProjectResults[Team Number],0))</f>
        <v/>
      </c>
      <c r="M58" s="79">
        <f>INDEX(RobotDesignResults[Robot Design Rank],MATCH(TournamentData[[#This Row],[Team Number]],RobotDesignResults[Team Number],0))</f>
        <v/>
      </c>
      <c r="N58" s="79">
        <f>SUM(TournamentData[[#This Row],[Robot Game Rank]:[Robot Design Rank]])</f>
        <v/>
      </c>
      <c r="O58" s="79">
        <f>RANK(TournamentData[[#This Row],[Champion''s Score]],TournamentData[Champion''s Score],1)</f>
        <v/>
      </c>
      <c r="P58" s="80" t="n"/>
      <c r="Q58" s="86" t="inlineStr">
        <is>
          <t>No</t>
        </is>
      </c>
      <c r="R58" s="81">
        <f>IF(ISNA(INDEX(CoreValuesResults[Core Values Score],MATCH(TournamentData[[#This Row],[Team Number]],CoreValuesResults[Team Number],0))),0,INDEX(CoreValuesResults[Core Values Score],MATCH(TournamentData[[#This Row],[Team Number]],CoreValuesResults[Team Number],0)))</f>
        <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
      </c>
      <c r="T58" s="81">
        <f>IF(ISNA(INDEX(RobotDesignResults[Robot Design Score],MATCH(TournamentData[[#This Row],[Team Number]],RobotDesignResults[Team Number],0))),0,INDEX(RobotDesignResults[Robot Design Score],MATCH(TournamentData[[#This Row],[Team Number]],RobotDesignResults[Team Number],0)))</f>
        <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8" s="80">
        <f>IF(U58,_xlfn.RANK.EQ(U58,U$3:U$17,0),NumberOfTeams)</f>
        <v/>
      </c>
      <c r="W58" s="80" t="n"/>
    </row>
    <row r="59" ht="20.25" customHeight="1">
      <c r="A59" s="79" t="n">
        <v>57</v>
      </c>
      <c r="B59" s="79">
        <f>INDEX(OfficialTeamList[Pod Number],MATCH(TournamentData[[#This Row],[Team Number]], OfficialTeamList[Team '#],0))</f>
        <v/>
      </c>
      <c r="C59" s="105">
        <f>INDEX(OfficialTeamList[Team Name],MATCH(TournamentData[[#This Row],[Team Number]], OfficialTeamList[Team '#],0))</f>
        <v/>
      </c>
      <c r="D59" s="79">
        <f>IF(TournamentData[[#This Row],[Team Number]]="","",IF(ISNA(INDEX('Robot Game Scores'!C:C,MATCH(TournamentData[[#This Row],[Team Number]], 'Robot Game Scores'!$A:$A,0))),0,INDEX('Robot Game Scores'!C:C,MATCH(TournamentData[[#This Row],[Team Number]], 'Robot Game Scores'!$A:$A,0))))</f>
        <v/>
      </c>
      <c r="E59" s="79">
        <f>IF(TournamentData[[#This Row],[Team Number]]="","",IF(ISNA(INDEX('Robot Game Scores'!D:D,MATCH(TournamentData[[#This Row],[Team Number]], 'Robot Game Scores'!$A:$A,0))),0,INDEX('Robot Game Scores'!D:D,MATCH(TournamentData[[#This Row],[Team Number]], 'Robot Game Scores'!$A:$A,0))))</f>
        <v/>
      </c>
      <c r="F59" s="79">
        <f>IF(TournamentData[[#This Row],[Team Number]]="","",IF(ISNA(INDEX('Robot Game Scores'!E:E,MATCH(TournamentData[[#This Row],[Team Number]], 'Robot Game Scores'!$A:$A,0))),0,INDEX('Robot Game Scores'!E:E,MATCH(TournamentData[[#This Row],[Team Number]], 'Robot Game Scores'!$A:$A,0))))</f>
        <v/>
      </c>
      <c r="G59" s="79">
        <f>IF(TournamentData[[#This Row],[Team Number]]="","",IF(ISNA(INDEX('Robot Game Scores'!#REF!,MATCH(TournamentData[[#This Row],[Team Number]], 'Robot Game Scores'!$A:$A,0))),0,INDEX('Robot Game Scores'!#REF!,MATCH(TournamentData[[#This Row],[Team Number]], 'Robot Game Scores'!$A:$A,0))))</f>
        <v/>
      </c>
      <c r="H59" s="79">
        <f>IF(TournamentData[[#This Row],[Team Number]]="","",IF(ISNA(INDEX('Robot Game Scores'!#REF!,MATCH(TournamentData[[#This Row],[Team Number]], 'Robot Game Scores'!$A:$A,0))),0,INDEX('Robot Game Scores'!#REF!,MATCH(TournamentData[[#This Row],[Team Number]], 'Robot Game Scores'!$A:$A,0))))</f>
        <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9" s="79">
        <f>_xlfn.RANK.EQ(TournamentData[[#This Row],[Max Robot Game Score]],TournamentData[Max Robot Game Score])</f>
        <v/>
      </c>
      <c r="K59" s="79">
        <f>INDEX(CoreValuesResults[Core Values Rank],MATCH(TournamentData[[#This Row],[Team Number]],CoreValuesResults[Team Number],0))</f>
        <v/>
      </c>
      <c r="L59" s="79">
        <f>INDEX(InnovationProjectResults[Innovation Project Rank],MATCH(TournamentData[[#This Row],[Team Number]],InnovationProjectResults[Team Number],0))</f>
        <v/>
      </c>
      <c r="M59" s="79">
        <f>INDEX(RobotDesignResults[Robot Design Rank],MATCH(TournamentData[[#This Row],[Team Number]],RobotDesignResults[Team Number],0))</f>
        <v/>
      </c>
      <c r="N59" s="79">
        <f>SUM(TournamentData[[#This Row],[Robot Game Rank]:[Robot Design Rank]])</f>
        <v/>
      </c>
      <c r="O59" s="79">
        <f>RANK(TournamentData[[#This Row],[Champion''s Score]],TournamentData[Champion''s Score],1)</f>
        <v/>
      </c>
      <c r="P59" s="80" t="n"/>
      <c r="Q59" s="86" t="inlineStr">
        <is>
          <t>No</t>
        </is>
      </c>
      <c r="R59" s="81">
        <f>IF(ISNA(INDEX(CoreValuesResults[Core Values Score],MATCH(TournamentData[[#This Row],[Team Number]],CoreValuesResults[Team Number],0))),0,INDEX(CoreValuesResults[Core Values Score],MATCH(TournamentData[[#This Row],[Team Number]],CoreValuesResults[Team Number],0)))</f>
        <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
      </c>
      <c r="T59" s="81">
        <f>IF(ISNA(INDEX(RobotDesignResults[Robot Design Score],MATCH(TournamentData[[#This Row],[Team Number]],RobotDesignResults[Team Number],0))),0,INDEX(RobotDesignResults[Robot Design Score],MATCH(TournamentData[[#This Row],[Team Number]],RobotDesignResults[Team Number],0)))</f>
        <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9" s="80">
        <f>IF(U59,_xlfn.RANK.EQ(U59,U$3:U$17,0),NumberOfTeams)</f>
        <v/>
      </c>
      <c r="W59" s="80" t="n"/>
    </row>
    <row r="60" ht="20.25" customHeight="1">
      <c r="A60" s="79" t="n">
        <v>58</v>
      </c>
      <c r="B60" s="79">
        <f>INDEX(OfficialTeamList[Pod Number],MATCH(TournamentData[[#This Row],[Team Number]], OfficialTeamList[Team '#],0))</f>
        <v/>
      </c>
      <c r="C60" s="105">
        <f>INDEX(OfficialTeamList[Team Name],MATCH(TournamentData[[#This Row],[Team Number]], OfficialTeamList[Team '#],0))</f>
        <v/>
      </c>
      <c r="D60" s="79">
        <f>IF(TournamentData[[#This Row],[Team Number]]="","",IF(ISNA(INDEX('Robot Game Scores'!C:C,MATCH(TournamentData[[#This Row],[Team Number]], 'Robot Game Scores'!$A:$A,0))),0,INDEX('Robot Game Scores'!C:C,MATCH(TournamentData[[#This Row],[Team Number]], 'Robot Game Scores'!$A:$A,0))))</f>
        <v/>
      </c>
      <c r="E60" s="79">
        <f>IF(TournamentData[[#This Row],[Team Number]]="","",IF(ISNA(INDEX('Robot Game Scores'!D:D,MATCH(TournamentData[[#This Row],[Team Number]], 'Robot Game Scores'!$A:$A,0))),0,INDEX('Robot Game Scores'!D:D,MATCH(TournamentData[[#This Row],[Team Number]], 'Robot Game Scores'!$A:$A,0))))</f>
        <v/>
      </c>
      <c r="F60" s="79">
        <f>IF(TournamentData[[#This Row],[Team Number]]="","",IF(ISNA(INDEX('Robot Game Scores'!E:E,MATCH(TournamentData[[#This Row],[Team Number]], 'Robot Game Scores'!$A:$A,0))),0,INDEX('Robot Game Scores'!E:E,MATCH(TournamentData[[#This Row],[Team Number]], 'Robot Game Scores'!$A:$A,0))))</f>
        <v/>
      </c>
      <c r="G60" s="79">
        <f>IF(TournamentData[[#This Row],[Team Number]]="","",IF(ISNA(INDEX('Robot Game Scores'!#REF!,MATCH(TournamentData[[#This Row],[Team Number]], 'Robot Game Scores'!$A:$A,0))),0,INDEX('Robot Game Scores'!#REF!,MATCH(TournamentData[[#This Row],[Team Number]], 'Robot Game Scores'!$A:$A,0))))</f>
        <v/>
      </c>
      <c r="H60" s="79">
        <f>IF(TournamentData[[#This Row],[Team Number]]="","",IF(ISNA(INDEX('Robot Game Scores'!#REF!,MATCH(TournamentData[[#This Row],[Team Number]], 'Robot Game Scores'!$A:$A,0))),0,INDEX('Robot Game Scores'!#REF!,MATCH(TournamentData[[#This Row],[Team Number]], 'Robot Game Scores'!$A:$A,0))))</f>
        <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0" s="79">
        <f>_xlfn.RANK.EQ(TournamentData[[#This Row],[Max Robot Game Score]],TournamentData[Max Robot Game Score])</f>
        <v/>
      </c>
      <c r="K60" s="79">
        <f>INDEX(CoreValuesResults[Core Values Rank],MATCH(TournamentData[[#This Row],[Team Number]],CoreValuesResults[Team Number],0))</f>
        <v/>
      </c>
      <c r="L60" s="79">
        <f>INDEX(InnovationProjectResults[Innovation Project Rank],MATCH(TournamentData[[#This Row],[Team Number]],InnovationProjectResults[Team Number],0))</f>
        <v/>
      </c>
      <c r="M60" s="79">
        <f>INDEX(RobotDesignResults[Robot Design Rank],MATCH(TournamentData[[#This Row],[Team Number]],RobotDesignResults[Team Number],0))</f>
        <v/>
      </c>
      <c r="N60" s="79">
        <f>SUM(TournamentData[[#This Row],[Robot Game Rank]:[Robot Design Rank]])</f>
        <v/>
      </c>
      <c r="O60" s="79">
        <f>RANK(TournamentData[[#This Row],[Champion''s Score]],TournamentData[Champion''s Score],1)</f>
        <v/>
      </c>
      <c r="P60" s="80" t="n"/>
      <c r="Q60" s="86" t="inlineStr">
        <is>
          <t>No</t>
        </is>
      </c>
      <c r="R60" s="81">
        <f>IF(ISNA(INDEX(CoreValuesResults[Core Values Score],MATCH(TournamentData[[#This Row],[Team Number]],CoreValuesResults[Team Number],0))),0,INDEX(CoreValuesResults[Core Values Score],MATCH(TournamentData[[#This Row],[Team Number]],CoreValuesResults[Team Number],0)))</f>
        <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
      </c>
      <c r="T60" s="81">
        <f>IF(ISNA(INDEX(RobotDesignResults[Robot Design Score],MATCH(TournamentData[[#This Row],[Team Number]],RobotDesignResults[Team Number],0))),0,INDEX(RobotDesignResults[Robot Design Score],MATCH(TournamentData[[#This Row],[Team Number]],RobotDesignResults[Team Number],0)))</f>
        <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0" s="80">
        <f>IF(U60,_xlfn.RANK.EQ(U60,U$3:U$17,0),NumberOfTeams)</f>
        <v/>
      </c>
      <c r="W60" s="80" t="n"/>
    </row>
    <row r="61" ht="20.25" customHeight="1">
      <c r="A61" s="79" t="n">
        <v>59</v>
      </c>
      <c r="B61" s="79">
        <f>INDEX(OfficialTeamList[Pod Number],MATCH(TournamentData[[#This Row],[Team Number]], OfficialTeamList[Team '#],0))</f>
        <v/>
      </c>
      <c r="C61" s="105">
        <f>INDEX(OfficialTeamList[Team Name],MATCH(TournamentData[[#This Row],[Team Number]], OfficialTeamList[Team '#],0))</f>
        <v/>
      </c>
      <c r="D61" s="79">
        <f>IF(TournamentData[[#This Row],[Team Number]]="","",IF(ISNA(INDEX('Robot Game Scores'!C:C,MATCH(TournamentData[[#This Row],[Team Number]], 'Robot Game Scores'!$A:$A,0))),0,INDEX('Robot Game Scores'!C:C,MATCH(TournamentData[[#This Row],[Team Number]], 'Robot Game Scores'!$A:$A,0))))</f>
        <v/>
      </c>
      <c r="E61" s="79">
        <f>IF(TournamentData[[#This Row],[Team Number]]="","",IF(ISNA(INDEX('Robot Game Scores'!D:D,MATCH(TournamentData[[#This Row],[Team Number]], 'Robot Game Scores'!$A:$A,0))),0,INDEX('Robot Game Scores'!D:D,MATCH(TournamentData[[#This Row],[Team Number]], 'Robot Game Scores'!$A:$A,0))))</f>
        <v/>
      </c>
      <c r="F61" s="79">
        <f>IF(TournamentData[[#This Row],[Team Number]]="","",IF(ISNA(INDEX('Robot Game Scores'!E:E,MATCH(TournamentData[[#This Row],[Team Number]], 'Robot Game Scores'!$A:$A,0))),0,INDEX('Robot Game Scores'!E:E,MATCH(TournamentData[[#This Row],[Team Number]], 'Robot Game Scores'!$A:$A,0))))</f>
        <v/>
      </c>
      <c r="G61" s="79">
        <f>IF(TournamentData[[#This Row],[Team Number]]="","",IF(ISNA(INDEX('Robot Game Scores'!#REF!,MATCH(TournamentData[[#This Row],[Team Number]], 'Robot Game Scores'!$A:$A,0))),0,INDEX('Robot Game Scores'!#REF!,MATCH(TournamentData[[#This Row],[Team Number]], 'Robot Game Scores'!$A:$A,0))))</f>
        <v/>
      </c>
      <c r="H61" s="79">
        <f>IF(TournamentData[[#This Row],[Team Number]]="","",IF(ISNA(INDEX('Robot Game Scores'!#REF!,MATCH(TournamentData[[#This Row],[Team Number]], 'Robot Game Scores'!$A:$A,0))),0,INDEX('Robot Game Scores'!#REF!,MATCH(TournamentData[[#This Row],[Team Number]], 'Robot Game Scores'!$A:$A,0))))</f>
        <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1" s="79">
        <f>_xlfn.RANK.EQ(TournamentData[[#This Row],[Max Robot Game Score]],TournamentData[Max Robot Game Score])</f>
        <v/>
      </c>
      <c r="K61" s="79">
        <f>INDEX(CoreValuesResults[Core Values Rank],MATCH(TournamentData[[#This Row],[Team Number]],CoreValuesResults[Team Number],0))</f>
        <v/>
      </c>
      <c r="L61" s="79">
        <f>INDEX(InnovationProjectResults[Innovation Project Rank],MATCH(TournamentData[[#This Row],[Team Number]],InnovationProjectResults[Team Number],0))</f>
        <v/>
      </c>
      <c r="M61" s="79">
        <f>INDEX(RobotDesignResults[Robot Design Rank],MATCH(TournamentData[[#This Row],[Team Number]],RobotDesignResults[Team Number],0))</f>
        <v/>
      </c>
      <c r="N61" s="79">
        <f>SUM(TournamentData[[#This Row],[Robot Game Rank]:[Robot Design Rank]])</f>
        <v/>
      </c>
      <c r="O61" s="79">
        <f>RANK(TournamentData[[#This Row],[Champion''s Score]],TournamentData[Champion''s Score],1)</f>
        <v/>
      </c>
      <c r="P61" s="80" t="n"/>
      <c r="Q61" s="86" t="inlineStr">
        <is>
          <t>No</t>
        </is>
      </c>
      <c r="R61" s="81">
        <f>IF(ISNA(INDEX(CoreValuesResults[Core Values Score],MATCH(TournamentData[[#This Row],[Team Number]],CoreValuesResults[Team Number],0))),0,INDEX(CoreValuesResults[Core Values Score],MATCH(TournamentData[[#This Row],[Team Number]],CoreValuesResults[Team Number],0)))</f>
        <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
      </c>
      <c r="T61" s="81">
        <f>IF(ISNA(INDEX(RobotDesignResults[Robot Design Score],MATCH(TournamentData[[#This Row],[Team Number]],RobotDesignResults[Team Number],0))),0,INDEX(RobotDesignResults[Robot Design Score],MATCH(TournamentData[[#This Row],[Team Number]],RobotDesignResults[Team Number],0)))</f>
        <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1" s="80">
        <f>IF(U61,_xlfn.RANK.EQ(U61,U$3:U$17,0),NumberOfTeams)</f>
        <v/>
      </c>
      <c r="W61" s="80" t="n"/>
    </row>
    <row r="62" ht="20.25" customHeight="1">
      <c r="A62" s="79" t="n">
        <v>60</v>
      </c>
      <c r="B62" s="79">
        <f>INDEX(OfficialTeamList[Pod Number],MATCH(TournamentData[[#This Row],[Team Number]], OfficialTeamList[Team '#],0))</f>
        <v/>
      </c>
      <c r="C62" s="105">
        <f>INDEX(OfficialTeamList[Team Name],MATCH(TournamentData[[#This Row],[Team Number]], OfficialTeamList[Team '#],0))</f>
        <v/>
      </c>
      <c r="D62" s="79">
        <f>IF(TournamentData[[#This Row],[Team Number]]="","",IF(ISNA(INDEX('Robot Game Scores'!C:C,MATCH(TournamentData[[#This Row],[Team Number]], 'Robot Game Scores'!$A:$A,0))),0,INDEX('Robot Game Scores'!C:C,MATCH(TournamentData[[#This Row],[Team Number]], 'Robot Game Scores'!$A:$A,0))))</f>
        <v/>
      </c>
      <c r="E62" s="79">
        <f>IF(TournamentData[[#This Row],[Team Number]]="","",IF(ISNA(INDEX('Robot Game Scores'!D:D,MATCH(TournamentData[[#This Row],[Team Number]], 'Robot Game Scores'!$A:$A,0))),0,INDEX('Robot Game Scores'!D:D,MATCH(TournamentData[[#This Row],[Team Number]], 'Robot Game Scores'!$A:$A,0))))</f>
        <v/>
      </c>
      <c r="F62" s="79">
        <f>IF(TournamentData[[#This Row],[Team Number]]="","",IF(ISNA(INDEX('Robot Game Scores'!E:E,MATCH(TournamentData[[#This Row],[Team Number]], 'Robot Game Scores'!$A:$A,0))),0,INDEX('Robot Game Scores'!E:E,MATCH(TournamentData[[#This Row],[Team Number]], 'Robot Game Scores'!$A:$A,0))))</f>
        <v/>
      </c>
      <c r="G62" s="79">
        <f>IF(TournamentData[[#This Row],[Team Number]]="","",IF(ISNA(INDEX('Robot Game Scores'!#REF!,MATCH(TournamentData[[#This Row],[Team Number]], 'Robot Game Scores'!$A:$A,0))),0,INDEX('Robot Game Scores'!#REF!,MATCH(TournamentData[[#This Row],[Team Number]], 'Robot Game Scores'!$A:$A,0))))</f>
        <v/>
      </c>
      <c r="H62" s="79">
        <f>IF(TournamentData[[#This Row],[Team Number]]="","",IF(ISNA(INDEX('Robot Game Scores'!#REF!,MATCH(TournamentData[[#This Row],[Team Number]], 'Robot Game Scores'!$A:$A,0))),0,INDEX('Robot Game Scores'!#REF!,MATCH(TournamentData[[#This Row],[Team Number]], 'Robot Game Scores'!$A:$A,0))))</f>
        <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2" s="79">
        <f>_xlfn.RANK.EQ(TournamentData[[#This Row],[Max Robot Game Score]],TournamentData[Max Robot Game Score])</f>
        <v/>
      </c>
      <c r="K62" s="79">
        <f>INDEX(CoreValuesResults[Core Values Rank],MATCH(TournamentData[[#This Row],[Team Number]],CoreValuesResults[Team Number],0))</f>
        <v/>
      </c>
      <c r="L62" s="79">
        <f>INDEX(InnovationProjectResults[Innovation Project Rank],MATCH(TournamentData[[#This Row],[Team Number]],InnovationProjectResults[Team Number],0))</f>
        <v/>
      </c>
      <c r="M62" s="79">
        <f>INDEX(RobotDesignResults[Robot Design Rank],MATCH(TournamentData[[#This Row],[Team Number]],RobotDesignResults[Team Number],0))</f>
        <v/>
      </c>
      <c r="N62" s="79">
        <f>SUM(TournamentData[[#This Row],[Robot Game Rank]:[Robot Design Rank]])</f>
        <v/>
      </c>
      <c r="O62" s="79">
        <f>RANK(TournamentData[[#This Row],[Champion''s Score]],TournamentData[Champion''s Score],1)</f>
        <v/>
      </c>
      <c r="P62" s="80" t="n"/>
      <c r="Q62" s="86" t="inlineStr">
        <is>
          <t>No</t>
        </is>
      </c>
      <c r="R62" s="81">
        <f>IF(ISNA(INDEX(CoreValuesResults[Core Values Score],MATCH(TournamentData[[#This Row],[Team Number]],CoreValuesResults[Team Number],0))),0,INDEX(CoreValuesResults[Core Values Score],MATCH(TournamentData[[#This Row],[Team Number]],CoreValuesResults[Team Number],0)))</f>
        <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
      </c>
      <c r="T62" s="81">
        <f>IF(ISNA(INDEX(RobotDesignResults[Robot Design Score],MATCH(TournamentData[[#This Row],[Team Number]],RobotDesignResults[Team Number],0))),0,INDEX(RobotDesignResults[Robot Design Score],MATCH(TournamentData[[#This Row],[Team Number]],RobotDesignResults[Team Number],0)))</f>
        <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2" s="80">
        <f>IF(U62,_xlfn.RANK.EQ(U62,U$3:U$17,0),NumberOfTeams)</f>
        <v/>
      </c>
      <c r="W62" s="80" t="n"/>
    </row>
    <row r="63" ht="20.25" customHeight="1">
      <c r="A63" s="79" t="n">
        <v>61</v>
      </c>
      <c r="B63" s="79">
        <f>INDEX(OfficialTeamList[Pod Number],MATCH(TournamentData[[#This Row],[Team Number]], OfficialTeamList[Team '#],0))</f>
        <v/>
      </c>
      <c r="C63" s="105">
        <f>INDEX(OfficialTeamList[Team Name],MATCH(TournamentData[[#This Row],[Team Number]], OfficialTeamList[Team '#],0))</f>
        <v/>
      </c>
      <c r="D63" s="79">
        <f>IF(TournamentData[[#This Row],[Team Number]]="","",IF(ISNA(INDEX('Robot Game Scores'!C:C,MATCH(TournamentData[[#This Row],[Team Number]], 'Robot Game Scores'!$A:$A,0))),0,INDEX('Robot Game Scores'!C:C,MATCH(TournamentData[[#This Row],[Team Number]], 'Robot Game Scores'!$A:$A,0))))</f>
        <v/>
      </c>
      <c r="E63" s="79">
        <f>IF(TournamentData[[#This Row],[Team Number]]="","",IF(ISNA(INDEX('Robot Game Scores'!D:D,MATCH(TournamentData[[#This Row],[Team Number]], 'Robot Game Scores'!$A:$A,0))),0,INDEX('Robot Game Scores'!D:D,MATCH(TournamentData[[#This Row],[Team Number]], 'Robot Game Scores'!$A:$A,0))))</f>
        <v/>
      </c>
      <c r="F63" s="79">
        <f>IF(TournamentData[[#This Row],[Team Number]]="","",IF(ISNA(INDEX('Robot Game Scores'!E:E,MATCH(TournamentData[[#This Row],[Team Number]], 'Robot Game Scores'!$A:$A,0))),0,INDEX('Robot Game Scores'!E:E,MATCH(TournamentData[[#This Row],[Team Number]], 'Robot Game Scores'!$A:$A,0))))</f>
        <v/>
      </c>
      <c r="G63" s="79">
        <f>IF(TournamentData[[#This Row],[Team Number]]="","",IF(ISNA(INDEX('Robot Game Scores'!#REF!,MATCH(TournamentData[[#This Row],[Team Number]], 'Robot Game Scores'!$A:$A,0))),0,INDEX('Robot Game Scores'!#REF!,MATCH(TournamentData[[#This Row],[Team Number]], 'Robot Game Scores'!$A:$A,0))))</f>
        <v/>
      </c>
      <c r="H63" s="79">
        <f>IF(TournamentData[[#This Row],[Team Number]]="","",IF(ISNA(INDEX('Robot Game Scores'!#REF!,MATCH(TournamentData[[#This Row],[Team Number]], 'Robot Game Scores'!$A:$A,0))),0,INDEX('Robot Game Scores'!#REF!,MATCH(TournamentData[[#This Row],[Team Number]], 'Robot Game Scores'!$A:$A,0))))</f>
        <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3" s="79">
        <f>_xlfn.RANK.EQ(TournamentData[[#This Row],[Max Robot Game Score]],TournamentData[Max Robot Game Score])</f>
        <v/>
      </c>
      <c r="K63" s="79">
        <f>INDEX(CoreValuesResults[Core Values Rank],MATCH(TournamentData[[#This Row],[Team Number]],CoreValuesResults[Team Number],0))</f>
        <v/>
      </c>
      <c r="L63" s="79">
        <f>INDEX(InnovationProjectResults[Innovation Project Rank],MATCH(TournamentData[[#This Row],[Team Number]],InnovationProjectResults[Team Number],0))</f>
        <v/>
      </c>
      <c r="M63" s="79">
        <f>INDEX(RobotDesignResults[Robot Design Rank],MATCH(TournamentData[[#This Row],[Team Number]],RobotDesignResults[Team Number],0))</f>
        <v/>
      </c>
      <c r="N63" s="79">
        <f>SUM(TournamentData[[#This Row],[Robot Game Rank]:[Robot Design Rank]])</f>
        <v/>
      </c>
      <c r="O63" s="79">
        <f>RANK(TournamentData[[#This Row],[Champion''s Score]],TournamentData[Champion''s Score],1)</f>
        <v/>
      </c>
      <c r="P63" s="80" t="n"/>
      <c r="Q63" s="86" t="inlineStr">
        <is>
          <t>No</t>
        </is>
      </c>
      <c r="R63" s="81">
        <f>IF(ISNA(INDEX(CoreValuesResults[Core Values Score],MATCH(TournamentData[[#This Row],[Team Number]],CoreValuesResults[Team Number],0))),0,INDEX(CoreValuesResults[Core Values Score],MATCH(TournamentData[[#This Row],[Team Number]],CoreValuesResults[Team Number],0)))</f>
        <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
      </c>
      <c r="T63" s="81">
        <f>IF(ISNA(INDEX(RobotDesignResults[Robot Design Score],MATCH(TournamentData[[#This Row],[Team Number]],RobotDesignResults[Team Number],0))),0,INDEX(RobotDesignResults[Robot Design Score],MATCH(TournamentData[[#This Row],[Team Number]],RobotDesignResults[Team Number],0)))</f>
        <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3" s="80">
        <f>IF(U63,_xlfn.RANK.EQ(U63,U$3:U$17,0),NumberOfTeams)</f>
        <v/>
      </c>
      <c r="W63" s="80" t="n"/>
    </row>
    <row r="64" ht="20.25" customHeight="1">
      <c r="A64" s="79" t="n">
        <v>62</v>
      </c>
      <c r="B64" s="79">
        <f>INDEX(OfficialTeamList[Pod Number],MATCH(TournamentData[[#This Row],[Team Number]], OfficialTeamList[Team '#],0))</f>
        <v/>
      </c>
      <c r="C64" s="105">
        <f>INDEX(OfficialTeamList[Team Name],MATCH(TournamentData[[#This Row],[Team Number]], OfficialTeamList[Team '#],0))</f>
        <v/>
      </c>
      <c r="D64" s="79">
        <f>IF(TournamentData[[#This Row],[Team Number]]="","",IF(ISNA(INDEX('Robot Game Scores'!C:C,MATCH(TournamentData[[#This Row],[Team Number]], 'Robot Game Scores'!$A:$A,0))),0,INDEX('Robot Game Scores'!C:C,MATCH(TournamentData[[#This Row],[Team Number]], 'Robot Game Scores'!$A:$A,0))))</f>
        <v/>
      </c>
      <c r="E64" s="79">
        <f>IF(TournamentData[[#This Row],[Team Number]]="","",IF(ISNA(INDEX('Robot Game Scores'!D:D,MATCH(TournamentData[[#This Row],[Team Number]], 'Robot Game Scores'!$A:$A,0))),0,INDEX('Robot Game Scores'!D:D,MATCH(TournamentData[[#This Row],[Team Number]], 'Robot Game Scores'!$A:$A,0))))</f>
        <v/>
      </c>
      <c r="F64" s="79">
        <f>IF(TournamentData[[#This Row],[Team Number]]="","",IF(ISNA(INDEX('Robot Game Scores'!E:E,MATCH(TournamentData[[#This Row],[Team Number]], 'Robot Game Scores'!$A:$A,0))),0,INDEX('Robot Game Scores'!E:E,MATCH(TournamentData[[#This Row],[Team Number]], 'Robot Game Scores'!$A:$A,0))))</f>
        <v/>
      </c>
      <c r="G64" s="79">
        <f>IF(TournamentData[[#This Row],[Team Number]]="","",IF(ISNA(INDEX('Robot Game Scores'!#REF!,MATCH(TournamentData[[#This Row],[Team Number]], 'Robot Game Scores'!$A:$A,0))),0,INDEX('Robot Game Scores'!#REF!,MATCH(TournamentData[[#This Row],[Team Number]], 'Robot Game Scores'!$A:$A,0))))</f>
        <v/>
      </c>
      <c r="H64" s="79">
        <f>IF(TournamentData[[#This Row],[Team Number]]="","",IF(ISNA(INDEX('Robot Game Scores'!#REF!,MATCH(TournamentData[[#This Row],[Team Number]], 'Robot Game Scores'!$A:$A,0))),0,INDEX('Robot Game Scores'!#REF!,MATCH(TournamentData[[#This Row],[Team Number]], 'Robot Game Scores'!$A:$A,0))))</f>
        <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4" s="79">
        <f>_xlfn.RANK.EQ(TournamentData[[#This Row],[Max Robot Game Score]],TournamentData[Max Robot Game Score])</f>
        <v/>
      </c>
      <c r="K64" s="79">
        <f>INDEX(CoreValuesResults[Core Values Rank],MATCH(TournamentData[[#This Row],[Team Number]],CoreValuesResults[Team Number],0))</f>
        <v/>
      </c>
      <c r="L64" s="79">
        <f>INDEX(InnovationProjectResults[Innovation Project Rank],MATCH(TournamentData[[#This Row],[Team Number]],InnovationProjectResults[Team Number],0))</f>
        <v/>
      </c>
      <c r="M64" s="79">
        <f>INDEX(RobotDesignResults[Robot Design Rank],MATCH(TournamentData[[#This Row],[Team Number]],RobotDesignResults[Team Number],0))</f>
        <v/>
      </c>
      <c r="N64" s="79">
        <f>SUM(TournamentData[[#This Row],[Robot Game Rank]:[Robot Design Rank]])</f>
        <v/>
      </c>
      <c r="O64" s="79">
        <f>RANK(TournamentData[[#This Row],[Champion''s Score]],TournamentData[Champion''s Score],1)</f>
        <v/>
      </c>
      <c r="P64" s="80" t="n"/>
      <c r="Q64" s="86" t="inlineStr">
        <is>
          <t>No</t>
        </is>
      </c>
      <c r="R64" s="81">
        <f>IF(ISNA(INDEX(CoreValuesResults[Core Values Score],MATCH(TournamentData[[#This Row],[Team Number]],CoreValuesResults[Team Number],0))),0,INDEX(CoreValuesResults[Core Values Score],MATCH(TournamentData[[#This Row],[Team Number]],CoreValuesResults[Team Number],0)))</f>
        <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
      </c>
      <c r="T64" s="81">
        <f>IF(ISNA(INDEX(RobotDesignResults[Robot Design Score],MATCH(TournamentData[[#This Row],[Team Number]],RobotDesignResults[Team Number],0))),0,INDEX(RobotDesignResults[Robot Design Score],MATCH(TournamentData[[#This Row],[Team Number]],RobotDesignResults[Team Number],0)))</f>
        <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4" s="80">
        <f>IF(U64,_xlfn.RANK.EQ(U64,U$3:U$17,0),NumberOfTeams)</f>
        <v/>
      </c>
      <c r="W64" s="80" t="n"/>
    </row>
    <row r="65" ht="20.25" customHeight="1">
      <c r="A65" s="79" t="n">
        <v>63</v>
      </c>
      <c r="B65" s="79">
        <f>INDEX(OfficialTeamList[Pod Number],MATCH(TournamentData[[#This Row],[Team Number]], OfficialTeamList[Team '#],0))</f>
        <v/>
      </c>
      <c r="C65" s="105">
        <f>INDEX(OfficialTeamList[Team Name],MATCH(TournamentData[[#This Row],[Team Number]], OfficialTeamList[Team '#],0))</f>
        <v/>
      </c>
      <c r="D65" s="79">
        <f>IF(TournamentData[[#This Row],[Team Number]]="","",IF(ISNA(INDEX('Robot Game Scores'!C:C,MATCH(TournamentData[[#This Row],[Team Number]], 'Robot Game Scores'!$A:$A,0))),0,INDEX('Robot Game Scores'!C:C,MATCH(TournamentData[[#This Row],[Team Number]], 'Robot Game Scores'!$A:$A,0))))</f>
        <v/>
      </c>
      <c r="E65" s="79">
        <f>IF(TournamentData[[#This Row],[Team Number]]="","",IF(ISNA(INDEX('Robot Game Scores'!D:D,MATCH(TournamentData[[#This Row],[Team Number]], 'Robot Game Scores'!$A:$A,0))),0,INDEX('Robot Game Scores'!D:D,MATCH(TournamentData[[#This Row],[Team Number]], 'Robot Game Scores'!$A:$A,0))))</f>
        <v/>
      </c>
      <c r="F65" s="79">
        <f>IF(TournamentData[[#This Row],[Team Number]]="","",IF(ISNA(INDEX('Robot Game Scores'!E:E,MATCH(TournamentData[[#This Row],[Team Number]], 'Robot Game Scores'!$A:$A,0))),0,INDEX('Robot Game Scores'!E:E,MATCH(TournamentData[[#This Row],[Team Number]], 'Robot Game Scores'!$A:$A,0))))</f>
        <v/>
      </c>
      <c r="G65" s="79">
        <f>IF(TournamentData[[#This Row],[Team Number]]="","",IF(ISNA(INDEX('Robot Game Scores'!#REF!,MATCH(TournamentData[[#This Row],[Team Number]], 'Robot Game Scores'!$A:$A,0))),0,INDEX('Robot Game Scores'!#REF!,MATCH(TournamentData[[#This Row],[Team Number]], 'Robot Game Scores'!$A:$A,0))))</f>
        <v/>
      </c>
      <c r="H65" s="79">
        <f>IF(TournamentData[[#This Row],[Team Number]]="","",IF(ISNA(INDEX('Robot Game Scores'!#REF!,MATCH(TournamentData[[#This Row],[Team Number]], 'Robot Game Scores'!$A:$A,0))),0,INDEX('Robot Game Scores'!#REF!,MATCH(TournamentData[[#This Row],[Team Number]], 'Robot Game Scores'!$A:$A,0))))</f>
        <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5" s="79">
        <f>_xlfn.RANK.EQ(TournamentData[[#This Row],[Max Robot Game Score]],TournamentData[Max Robot Game Score])</f>
        <v/>
      </c>
      <c r="K65" s="79">
        <f>INDEX(CoreValuesResults[Core Values Rank],MATCH(TournamentData[[#This Row],[Team Number]],CoreValuesResults[Team Number],0))</f>
        <v/>
      </c>
      <c r="L65" s="79">
        <f>INDEX(InnovationProjectResults[Innovation Project Rank],MATCH(TournamentData[[#This Row],[Team Number]],InnovationProjectResults[Team Number],0))</f>
        <v/>
      </c>
      <c r="M65" s="79">
        <f>INDEX(RobotDesignResults[Robot Design Rank],MATCH(TournamentData[[#This Row],[Team Number]],RobotDesignResults[Team Number],0))</f>
        <v/>
      </c>
      <c r="N65" s="79">
        <f>SUM(TournamentData[[#This Row],[Robot Game Rank]:[Robot Design Rank]])</f>
        <v/>
      </c>
      <c r="O65" s="79">
        <f>RANK(TournamentData[[#This Row],[Champion''s Score]],TournamentData[Champion''s Score],1)</f>
        <v/>
      </c>
      <c r="P65" s="80" t="n"/>
      <c r="Q65" s="86" t="inlineStr">
        <is>
          <t>No</t>
        </is>
      </c>
      <c r="R65" s="81">
        <f>IF(ISNA(INDEX(CoreValuesResults[Core Values Score],MATCH(TournamentData[[#This Row],[Team Number]],CoreValuesResults[Team Number],0))),0,INDEX(CoreValuesResults[Core Values Score],MATCH(TournamentData[[#This Row],[Team Number]],CoreValuesResults[Team Number],0)))</f>
        <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
      </c>
      <c r="T65" s="81">
        <f>IF(ISNA(INDEX(RobotDesignResults[Robot Design Score],MATCH(TournamentData[[#This Row],[Team Number]],RobotDesignResults[Team Number],0))),0,INDEX(RobotDesignResults[Robot Design Score],MATCH(TournamentData[[#This Row],[Team Number]],RobotDesignResults[Team Number],0)))</f>
        <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5" s="80">
        <f>IF(U65,_xlfn.RANK.EQ(U65,U$3:U$17,0),NumberOfTeams)</f>
        <v/>
      </c>
      <c r="W65" s="80" t="n"/>
    </row>
    <row r="66" ht="20.25" customHeight="1">
      <c r="A66" s="79" t="n">
        <v>64</v>
      </c>
      <c r="B66" s="79">
        <f>INDEX(OfficialTeamList[Pod Number],MATCH(TournamentData[[#This Row],[Team Number]], OfficialTeamList[Team '#],0))</f>
        <v/>
      </c>
      <c r="C66" s="105">
        <f>INDEX(OfficialTeamList[Team Name],MATCH(TournamentData[[#This Row],[Team Number]], OfficialTeamList[Team '#],0))</f>
        <v/>
      </c>
      <c r="D66" s="79">
        <f>IF(TournamentData[[#This Row],[Team Number]]="","",IF(ISNA(INDEX('Robot Game Scores'!C:C,MATCH(TournamentData[[#This Row],[Team Number]], 'Robot Game Scores'!$A:$A,0))),0,INDEX('Robot Game Scores'!C:C,MATCH(TournamentData[[#This Row],[Team Number]], 'Robot Game Scores'!$A:$A,0))))</f>
        <v/>
      </c>
      <c r="E66" s="79">
        <f>IF(TournamentData[[#This Row],[Team Number]]="","",IF(ISNA(INDEX('Robot Game Scores'!D:D,MATCH(TournamentData[[#This Row],[Team Number]], 'Robot Game Scores'!$A:$A,0))),0,INDEX('Robot Game Scores'!D:D,MATCH(TournamentData[[#This Row],[Team Number]], 'Robot Game Scores'!$A:$A,0))))</f>
        <v/>
      </c>
      <c r="F66" s="79">
        <f>IF(TournamentData[[#This Row],[Team Number]]="","",IF(ISNA(INDEX('Robot Game Scores'!E:E,MATCH(TournamentData[[#This Row],[Team Number]], 'Robot Game Scores'!$A:$A,0))),0,INDEX('Robot Game Scores'!E:E,MATCH(TournamentData[[#This Row],[Team Number]], 'Robot Game Scores'!$A:$A,0))))</f>
        <v/>
      </c>
      <c r="G66" s="79">
        <f>IF(TournamentData[[#This Row],[Team Number]]="","",IF(ISNA(INDEX('Robot Game Scores'!#REF!,MATCH(TournamentData[[#This Row],[Team Number]], 'Robot Game Scores'!$A:$A,0))),0,INDEX('Robot Game Scores'!#REF!,MATCH(TournamentData[[#This Row],[Team Number]], 'Robot Game Scores'!$A:$A,0))))</f>
        <v/>
      </c>
      <c r="H66" s="79">
        <f>IF(TournamentData[[#This Row],[Team Number]]="","",IF(ISNA(INDEX('Robot Game Scores'!#REF!,MATCH(TournamentData[[#This Row],[Team Number]], 'Robot Game Scores'!$A:$A,0))),0,INDEX('Robot Game Scores'!#REF!,MATCH(TournamentData[[#This Row],[Team Number]], 'Robot Game Scores'!$A:$A,0))))</f>
        <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6" s="79">
        <f>_xlfn.RANK.EQ(TournamentData[[#This Row],[Max Robot Game Score]],TournamentData[Max Robot Game Score])</f>
        <v/>
      </c>
      <c r="K66" s="79">
        <f>INDEX(CoreValuesResults[Core Values Rank],MATCH(TournamentData[[#This Row],[Team Number]],CoreValuesResults[Team Number],0))</f>
        <v/>
      </c>
      <c r="L66" s="79">
        <f>INDEX(InnovationProjectResults[Innovation Project Rank],MATCH(TournamentData[[#This Row],[Team Number]],InnovationProjectResults[Team Number],0))</f>
        <v/>
      </c>
      <c r="M66" s="79">
        <f>INDEX(RobotDesignResults[Robot Design Rank],MATCH(TournamentData[[#This Row],[Team Number]],RobotDesignResults[Team Number],0))</f>
        <v/>
      </c>
      <c r="N66" s="79">
        <f>SUM(TournamentData[[#This Row],[Robot Game Rank]:[Robot Design Rank]])</f>
        <v/>
      </c>
      <c r="O66" s="79">
        <f>RANK(TournamentData[[#This Row],[Champion''s Score]],TournamentData[Champion''s Score],1)</f>
        <v/>
      </c>
      <c r="P66" s="80" t="n"/>
      <c r="Q66" s="86" t="inlineStr">
        <is>
          <t>No</t>
        </is>
      </c>
      <c r="R66" s="81">
        <f>IF(ISNA(INDEX(CoreValuesResults[Core Values Score],MATCH(TournamentData[[#This Row],[Team Number]],CoreValuesResults[Team Number],0))),0,INDEX(CoreValuesResults[Core Values Score],MATCH(TournamentData[[#This Row],[Team Number]],CoreValuesResults[Team Number],0)))</f>
        <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
      </c>
      <c r="T66" s="81">
        <f>IF(ISNA(INDEX(RobotDesignResults[Robot Design Score],MATCH(TournamentData[[#This Row],[Team Number]],RobotDesignResults[Team Number],0))),0,INDEX(RobotDesignResults[Robot Design Score],MATCH(TournamentData[[#This Row],[Team Number]],RobotDesignResults[Team Number],0)))</f>
        <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6" s="80">
        <f>IF(U66,_xlfn.RANK.EQ(U66,U$3:U$17,0),NumberOfTeams)</f>
        <v/>
      </c>
      <c r="W66" s="80" t="n"/>
    </row>
    <row r="67" ht="20.25" customHeight="1">
      <c r="A67" s="79" t="n">
        <v>65</v>
      </c>
      <c r="B67" s="79">
        <f>INDEX(OfficialTeamList[Pod Number],MATCH(TournamentData[[#This Row],[Team Number]], OfficialTeamList[Team '#],0))</f>
        <v/>
      </c>
      <c r="C67" s="105">
        <f>INDEX(OfficialTeamList[Team Name],MATCH(TournamentData[[#This Row],[Team Number]], OfficialTeamList[Team '#],0))</f>
        <v/>
      </c>
      <c r="D67" s="79">
        <f>IF(TournamentData[[#This Row],[Team Number]]="","",IF(ISNA(INDEX('Robot Game Scores'!C:C,MATCH(TournamentData[[#This Row],[Team Number]], 'Robot Game Scores'!$A:$A,0))),0,INDEX('Robot Game Scores'!C:C,MATCH(TournamentData[[#This Row],[Team Number]], 'Robot Game Scores'!$A:$A,0))))</f>
        <v/>
      </c>
      <c r="E67" s="79">
        <f>IF(TournamentData[[#This Row],[Team Number]]="","",IF(ISNA(INDEX('Robot Game Scores'!D:D,MATCH(TournamentData[[#This Row],[Team Number]], 'Robot Game Scores'!$A:$A,0))),0,INDEX('Robot Game Scores'!D:D,MATCH(TournamentData[[#This Row],[Team Number]], 'Robot Game Scores'!$A:$A,0))))</f>
        <v/>
      </c>
      <c r="F67" s="79">
        <f>IF(TournamentData[[#This Row],[Team Number]]="","",IF(ISNA(INDEX('Robot Game Scores'!E:E,MATCH(TournamentData[[#This Row],[Team Number]], 'Robot Game Scores'!$A:$A,0))),0,INDEX('Robot Game Scores'!E:E,MATCH(TournamentData[[#This Row],[Team Number]], 'Robot Game Scores'!$A:$A,0))))</f>
        <v/>
      </c>
      <c r="G67" s="79">
        <f>IF(TournamentData[[#This Row],[Team Number]]="","",IF(ISNA(INDEX('Robot Game Scores'!#REF!,MATCH(TournamentData[[#This Row],[Team Number]], 'Robot Game Scores'!$A:$A,0))),0,INDEX('Robot Game Scores'!#REF!,MATCH(TournamentData[[#This Row],[Team Number]], 'Robot Game Scores'!$A:$A,0))))</f>
        <v/>
      </c>
      <c r="H67" s="79">
        <f>IF(TournamentData[[#This Row],[Team Number]]="","",IF(ISNA(INDEX('Robot Game Scores'!#REF!,MATCH(TournamentData[[#This Row],[Team Number]], 'Robot Game Scores'!$A:$A,0))),0,INDEX('Robot Game Scores'!#REF!,MATCH(TournamentData[[#This Row],[Team Number]], 'Robot Game Scores'!$A:$A,0))))</f>
        <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7" s="79">
        <f>_xlfn.RANK.EQ(TournamentData[[#This Row],[Max Robot Game Score]],TournamentData[Max Robot Game Score])</f>
        <v/>
      </c>
      <c r="K67" s="79">
        <f>INDEX(CoreValuesResults[Core Values Rank],MATCH(TournamentData[[#This Row],[Team Number]],CoreValuesResults[Team Number],0))</f>
        <v/>
      </c>
      <c r="L67" s="79">
        <f>INDEX(InnovationProjectResults[Innovation Project Rank],MATCH(TournamentData[[#This Row],[Team Number]],InnovationProjectResults[Team Number],0))</f>
        <v/>
      </c>
      <c r="M67" s="79">
        <f>INDEX(RobotDesignResults[Robot Design Rank],MATCH(TournamentData[[#This Row],[Team Number]],RobotDesignResults[Team Number],0))</f>
        <v/>
      </c>
      <c r="N67" s="79">
        <f>SUM(TournamentData[[#This Row],[Robot Game Rank]:[Robot Design Rank]])</f>
        <v/>
      </c>
      <c r="O67" s="79">
        <f>RANK(TournamentData[[#This Row],[Champion''s Score]],TournamentData[Champion''s Score],1)</f>
        <v/>
      </c>
      <c r="P67" s="80" t="n"/>
      <c r="Q67" s="86" t="inlineStr">
        <is>
          <t>No</t>
        </is>
      </c>
      <c r="R67" s="81">
        <f>IF(ISNA(INDEX(CoreValuesResults[Core Values Score],MATCH(TournamentData[[#This Row],[Team Number]],CoreValuesResults[Team Number],0))),0,INDEX(CoreValuesResults[Core Values Score],MATCH(TournamentData[[#This Row],[Team Number]],CoreValuesResults[Team Number],0)))</f>
        <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
      </c>
      <c r="T67" s="81">
        <f>IF(ISNA(INDEX(RobotDesignResults[Robot Design Score],MATCH(TournamentData[[#This Row],[Team Number]],RobotDesignResults[Team Number],0))),0,INDEX(RobotDesignResults[Robot Design Score],MATCH(TournamentData[[#This Row],[Team Number]],RobotDesignResults[Team Number],0)))</f>
        <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7" s="80">
        <f>IF(U67,_xlfn.RANK.EQ(U67,U$3:U$17,0),NumberOfTeams)</f>
        <v/>
      </c>
      <c r="W67" s="80" t="n"/>
    </row>
    <row r="68" ht="20.25" customHeight="1">
      <c r="A68" s="79" t="n">
        <v>66</v>
      </c>
      <c r="B68" s="79">
        <f>INDEX(OfficialTeamList[Pod Number],MATCH(TournamentData[[#This Row],[Team Number]], OfficialTeamList[Team '#],0))</f>
        <v/>
      </c>
      <c r="C68" s="105">
        <f>INDEX(OfficialTeamList[Team Name],MATCH(TournamentData[[#This Row],[Team Number]], OfficialTeamList[Team '#],0))</f>
        <v/>
      </c>
      <c r="D68" s="79">
        <f>IF(TournamentData[[#This Row],[Team Number]]="","",IF(ISNA(INDEX('Robot Game Scores'!C:C,MATCH(TournamentData[[#This Row],[Team Number]], 'Robot Game Scores'!$A:$A,0))),0,INDEX('Robot Game Scores'!C:C,MATCH(TournamentData[[#This Row],[Team Number]], 'Robot Game Scores'!$A:$A,0))))</f>
        <v/>
      </c>
      <c r="E68" s="79">
        <f>IF(TournamentData[[#This Row],[Team Number]]="","",IF(ISNA(INDEX('Robot Game Scores'!D:D,MATCH(TournamentData[[#This Row],[Team Number]], 'Robot Game Scores'!$A:$A,0))),0,INDEX('Robot Game Scores'!D:D,MATCH(TournamentData[[#This Row],[Team Number]], 'Robot Game Scores'!$A:$A,0))))</f>
        <v/>
      </c>
      <c r="F68" s="79">
        <f>IF(TournamentData[[#This Row],[Team Number]]="","",IF(ISNA(INDEX('Robot Game Scores'!E:E,MATCH(TournamentData[[#This Row],[Team Number]], 'Robot Game Scores'!$A:$A,0))),0,INDEX('Robot Game Scores'!E:E,MATCH(TournamentData[[#This Row],[Team Number]], 'Robot Game Scores'!$A:$A,0))))</f>
        <v/>
      </c>
      <c r="G68" s="79">
        <f>IF(TournamentData[[#This Row],[Team Number]]="","",IF(ISNA(INDEX('Robot Game Scores'!#REF!,MATCH(TournamentData[[#This Row],[Team Number]], 'Robot Game Scores'!$A:$A,0))),0,INDEX('Robot Game Scores'!#REF!,MATCH(TournamentData[[#This Row],[Team Number]], 'Robot Game Scores'!$A:$A,0))))</f>
        <v/>
      </c>
      <c r="H68" s="79">
        <f>IF(TournamentData[[#This Row],[Team Number]]="","",IF(ISNA(INDEX('Robot Game Scores'!#REF!,MATCH(TournamentData[[#This Row],[Team Number]], 'Robot Game Scores'!$A:$A,0))),0,INDEX('Robot Game Scores'!#REF!,MATCH(TournamentData[[#This Row],[Team Number]], 'Robot Game Scores'!$A:$A,0))))</f>
        <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8" s="79">
        <f>_xlfn.RANK.EQ(TournamentData[[#This Row],[Max Robot Game Score]],TournamentData[Max Robot Game Score])</f>
        <v/>
      </c>
      <c r="K68" s="79">
        <f>INDEX(CoreValuesResults[Core Values Rank],MATCH(TournamentData[[#This Row],[Team Number]],CoreValuesResults[Team Number],0))</f>
        <v/>
      </c>
      <c r="L68" s="79">
        <f>INDEX(InnovationProjectResults[Innovation Project Rank],MATCH(TournamentData[[#This Row],[Team Number]],InnovationProjectResults[Team Number],0))</f>
        <v/>
      </c>
      <c r="M68" s="79">
        <f>INDEX(RobotDesignResults[Robot Design Rank],MATCH(TournamentData[[#This Row],[Team Number]],RobotDesignResults[Team Number],0))</f>
        <v/>
      </c>
      <c r="N68" s="79">
        <f>SUM(TournamentData[[#This Row],[Robot Game Rank]:[Robot Design Rank]])</f>
        <v/>
      </c>
      <c r="O68" s="79">
        <f>RANK(TournamentData[[#This Row],[Champion''s Score]],TournamentData[Champion''s Score],1)</f>
        <v/>
      </c>
      <c r="P68" s="80" t="n"/>
      <c r="Q68" s="86" t="inlineStr">
        <is>
          <t>No</t>
        </is>
      </c>
      <c r="R68" s="81">
        <f>IF(ISNA(INDEX(CoreValuesResults[Core Values Score],MATCH(TournamentData[[#This Row],[Team Number]],CoreValuesResults[Team Number],0))),0,INDEX(CoreValuesResults[Core Values Score],MATCH(TournamentData[[#This Row],[Team Number]],CoreValuesResults[Team Number],0)))</f>
        <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
      </c>
      <c r="T68" s="81">
        <f>IF(ISNA(INDEX(RobotDesignResults[Robot Design Score],MATCH(TournamentData[[#This Row],[Team Number]],RobotDesignResults[Team Number],0))),0,INDEX(RobotDesignResults[Robot Design Score],MATCH(TournamentData[[#This Row],[Team Number]],RobotDesignResults[Team Number],0)))</f>
        <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8" s="80">
        <f>IF(U68,_xlfn.RANK.EQ(U68,U$3:U$17,0),NumberOfTeams)</f>
        <v/>
      </c>
      <c r="W68" s="80" t="n"/>
    </row>
    <row r="69" ht="20.25" customHeight="1">
      <c r="A69" s="79" t="n">
        <v>67</v>
      </c>
      <c r="B69" s="79">
        <f>INDEX(OfficialTeamList[Pod Number],MATCH(TournamentData[[#This Row],[Team Number]], OfficialTeamList[Team '#],0))</f>
        <v/>
      </c>
      <c r="C69" s="105">
        <f>INDEX(OfficialTeamList[Team Name],MATCH(TournamentData[[#This Row],[Team Number]], OfficialTeamList[Team '#],0))</f>
        <v/>
      </c>
      <c r="D69" s="79">
        <f>IF(TournamentData[[#This Row],[Team Number]]="","",IF(ISNA(INDEX('Robot Game Scores'!C:C,MATCH(TournamentData[[#This Row],[Team Number]], 'Robot Game Scores'!$A:$A,0))),0,INDEX('Robot Game Scores'!C:C,MATCH(TournamentData[[#This Row],[Team Number]], 'Robot Game Scores'!$A:$A,0))))</f>
        <v/>
      </c>
      <c r="E69" s="79">
        <f>IF(TournamentData[[#This Row],[Team Number]]="","",IF(ISNA(INDEX('Robot Game Scores'!D:D,MATCH(TournamentData[[#This Row],[Team Number]], 'Robot Game Scores'!$A:$A,0))),0,INDEX('Robot Game Scores'!D:D,MATCH(TournamentData[[#This Row],[Team Number]], 'Robot Game Scores'!$A:$A,0))))</f>
        <v/>
      </c>
      <c r="F69" s="79">
        <f>IF(TournamentData[[#This Row],[Team Number]]="","",IF(ISNA(INDEX('Robot Game Scores'!E:E,MATCH(TournamentData[[#This Row],[Team Number]], 'Robot Game Scores'!$A:$A,0))),0,INDEX('Robot Game Scores'!E:E,MATCH(TournamentData[[#This Row],[Team Number]], 'Robot Game Scores'!$A:$A,0))))</f>
        <v/>
      </c>
      <c r="G69" s="79">
        <f>IF(TournamentData[[#This Row],[Team Number]]="","",IF(ISNA(INDEX('Robot Game Scores'!#REF!,MATCH(TournamentData[[#This Row],[Team Number]], 'Robot Game Scores'!$A:$A,0))),0,INDEX('Robot Game Scores'!#REF!,MATCH(TournamentData[[#This Row],[Team Number]], 'Robot Game Scores'!$A:$A,0))))</f>
        <v/>
      </c>
      <c r="H69" s="79">
        <f>IF(TournamentData[[#This Row],[Team Number]]="","",IF(ISNA(INDEX('Robot Game Scores'!#REF!,MATCH(TournamentData[[#This Row],[Team Number]], 'Robot Game Scores'!$A:$A,0))),0,INDEX('Robot Game Scores'!#REF!,MATCH(TournamentData[[#This Row],[Team Number]], 'Robot Game Scores'!$A:$A,0))))</f>
        <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9" s="79">
        <f>_xlfn.RANK.EQ(TournamentData[[#This Row],[Max Robot Game Score]],TournamentData[Max Robot Game Score])</f>
        <v/>
      </c>
      <c r="K69" s="79">
        <f>INDEX(CoreValuesResults[Core Values Rank],MATCH(TournamentData[[#This Row],[Team Number]],CoreValuesResults[Team Number],0))</f>
        <v/>
      </c>
      <c r="L69" s="79">
        <f>INDEX(InnovationProjectResults[Innovation Project Rank],MATCH(TournamentData[[#This Row],[Team Number]],InnovationProjectResults[Team Number],0))</f>
        <v/>
      </c>
      <c r="M69" s="79">
        <f>INDEX(RobotDesignResults[Robot Design Rank],MATCH(TournamentData[[#This Row],[Team Number]],RobotDesignResults[Team Number],0))</f>
        <v/>
      </c>
      <c r="N69" s="79">
        <f>SUM(TournamentData[[#This Row],[Robot Game Rank]:[Robot Design Rank]])</f>
        <v/>
      </c>
      <c r="O69" s="79">
        <f>RANK(TournamentData[[#This Row],[Champion''s Score]],TournamentData[Champion''s Score],1)</f>
        <v/>
      </c>
      <c r="P69" s="80" t="n"/>
      <c r="Q69" s="86" t="inlineStr">
        <is>
          <t>No</t>
        </is>
      </c>
      <c r="R69" s="81">
        <f>IF(ISNA(INDEX(CoreValuesResults[Core Values Score],MATCH(TournamentData[[#This Row],[Team Number]],CoreValuesResults[Team Number],0))),0,INDEX(CoreValuesResults[Core Values Score],MATCH(TournamentData[[#This Row],[Team Number]],CoreValuesResults[Team Number],0)))</f>
        <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
      </c>
      <c r="T69" s="81">
        <f>IF(ISNA(INDEX(RobotDesignResults[Robot Design Score],MATCH(TournamentData[[#This Row],[Team Number]],RobotDesignResults[Team Number],0))),0,INDEX(RobotDesignResults[Robot Design Score],MATCH(TournamentData[[#This Row],[Team Number]],RobotDesignResults[Team Number],0)))</f>
        <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9" s="80">
        <f>IF(U69,_xlfn.RANK.EQ(U69,U$3:U$17,0),NumberOfTeams)</f>
        <v/>
      </c>
      <c r="W69" s="80" t="n"/>
    </row>
    <row r="70" ht="20.25" customHeight="1">
      <c r="A70" s="79" t="n">
        <v>68</v>
      </c>
      <c r="B70" s="79">
        <f>INDEX(OfficialTeamList[Pod Number],MATCH(TournamentData[[#This Row],[Team Number]], OfficialTeamList[Team '#],0))</f>
        <v/>
      </c>
      <c r="C70" s="105">
        <f>INDEX(OfficialTeamList[Team Name],MATCH(TournamentData[[#This Row],[Team Number]], OfficialTeamList[Team '#],0))</f>
        <v/>
      </c>
      <c r="D70" s="79">
        <f>IF(TournamentData[[#This Row],[Team Number]]="","",IF(ISNA(INDEX('Robot Game Scores'!C:C,MATCH(TournamentData[[#This Row],[Team Number]], 'Robot Game Scores'!$A:$A,0))),0,INDEX('Robot Game Scores'!C:C,MATCH(TournamentData[[#This Row],[Team Number]], 'Robot Game Scores'!$A:$A,0))))</f>
        <v/>
      </c>
      <c r="E70" s="79">
        <f>IF(TournamentData[[#This Row],[Team Number]]="","",IF(ISNA(INDEX('Robot Game Scores'!D:D,MATCH(TournamentData[[#This Row],[Team Number]], 'Robot Game Scores'!$A:$A,0))),0,INDEX('Robot Game Scores'!D:D,MATCH(TournamentData[[#This Row],[Team Number]], 'Robot Game Scores'!$A:$A,0))))</f>
        <v/>
      </c>
      <c r="F70" s="79">
        <f>IF(TournamentData[[#This Row],[Team Number]]="","",IF(ISNA(INDEX('Robot Game Scores'!E:E,MATCH(TournamentData[[#This Row],[Team Number]], 'Robot Game Scores'!$A:$A,0))),0,INDEX('Robot Game Scores'!E:E,MATCH(TournamentData[[#This Row],[Team Number]], 'Robot Game Scores'!$A:$A,0))))</f>
        <v/>
      </c>
      <c r="G70" s="79">
        <f>IF(TournamentData[[#This Row],[Team Number]]="","",IF(ISNA(INDEX('Robot Game Scores'!#REF!,MATCH(TournamentData[[#This Row],[Team Number]], 'Robot Game Scores'!$A:$A,0))),0,INDEX('Robot Game Scores'!#REF!,MATCH(TournamentData[[#This Row],[Team Number]], 'Robot Game Scores'!$A:$A,0))))</f>
        <v/>
      </c>
      <c r="H70" s="79">
        <f>IF(TournamentData[[#This Row],[Team Number]]="","",IF(ISNA(INDEX('Robot Game Scores'!#REF!,MATCH(TournamentData[[#This Row],[Team Number]], 'Robot Game Scores'!$A:$A,0))),0,INDEX('Robot Game Scores'!#REF!,MATCH(TournamentData[[#This Row],[Team Number]], 'Robot Game Scores'!$A:$A,0))))</f>
        <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0" s="79">
        <f>_xlfn.RANK.EQ(TournamentData[[#This Row],[Max Robot Game Score]],TournamentData[Max Robot Game Score])</f>
        <v/>
      </c>
      <c r="K70" s="79">
        <f>INDEX(CoreValuesResults[Core Values Rank],MATCH(TournamentData[[#This Row],[Team Number]],CoreValuesResults[Team Number],0))</f>
        <v/>
      </c>
      <c r="L70" s="79">
        <f>INDEX(InnovationProjectResults[Innovation Project Rank],MATCH(TournamentData[[#This Row],[Team Number]],InnovationProjectResults[Team Number],0))</f>
        <v/>
      </c>
      <c r="M70" s="79">
        <f>INDEX(RobotDesignResults[Robot Design Rank],MATCH(TournamentData[[#This Row],[Team Number]],RobotDesignResults[Team Number],0))</f>
        <v/>
      </c>
      <c r="N70" s="79">
        <f>SUM(TournamentData[[#This Row],[Robot Game Rank]:[Robot Design Rank]])</f>
        <v/>
      </c>
      <c r="O70" s="79">
        <f>RANK(TournamentData[[#This Row],[Champion''s Score]],TournamentData[Champion''s Score],1)</f>
        <v/>
      </c>
      <c r="P70" s="80" t="n"/>
      <c r="Q70" s="86" t="inlineStr">
        <is>
          <t>No</t>
        </is>
      </c>
      <c r="R70" s="81">
        <f>IF(ISNA(INDEX(CoreValuesResults[Core Values Score],MATCH(TournamentData[[#This Row],[Team Number]],CoreValuesResults[Team Number],0))),0,INDEX(CoreValuesResults[Core Values Score],MATCH(TournamentData[[#This Row],[Team Number]],CoreValuesResults[Team Number],0)))</f>
        <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
      </c>
      <c r="T70" s="81">
        <f>IF(ISNA(INDEX(RobotDesignResults[Robot Design Score],MATCH(TournamentData[[#This Row],[Team Number]],RobotDesignResults[Team Number],0))),0,INDEX(RobotDesignResults[Robot Design Score],MATCH(TournamentData[[#This Row],[Team Number]],RobotDesignResults[Team Number],0)))</f>
        <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0" s="80">
        <f>IF(U70,_xlfn.RANK.EQ(U70,U$3:U$17,0),NumberOfTeams)</f>
        <v/>
      </c>
      <c r="W70" s="80" t="n"/>
    </row>
    <row r="71" ht="20.25" customHeight="1">
      <c r="A71" s="79" t="n">
        <v>69</v>
      </c>
      <c r="B71" s="79">
        <f>INDEX(OfficialTeamList[Pod Number],MATCH(TournamentData[[#This Row],[Team Number]], OfficialTeamList[Team '#],0))</f>
        <v/>
      </c>
      <c r="C71" s="105">
        <f>INDEX(OfficialTeamList[Team Name],MATCH(TournamentData[[#This Row],[Team Number]], OfficialTeamList[Team '#],0))</f>
        <v/>
      </c>
      <c r="D71" s="79">
        <f>IF(TournamentData[[#This Row],[Team Number]]="","",IF(ISNA(INDEX('Robot Game Scores'!C:C,MATCH(TournamentData[[#This Row],[Team Number]], 'Robot Game Scores'!$A:$A,0))),0,INDEX('Robot Game Scores'!C:C,MATCH(TournamentData[[#This Row],[Team Number]], 'Robot Game Scores'!$A:$A,0))))</f>
        <v/>
      </c>
      <c r="E71" s="79">
        <f>IF(TournamentData[[#This Row],[Team Number]]="","",IF(ISNA(INDEX('Robot Game Scores'!D:D,MATCH(TournamentData[[#This Row],[Team Number]], 'Robot Game Scores'!$A:$A,0))),0,INDEX('Robot Game Scores'!D:D,MATCH(TournamentData[[#This Row],[Team Number]], 'Robot Game Scores'!$A:$A,0))))</f>
        <v/>
      </c>
      <c r="F71" s="79">
        <f>IF(TournamentData[[#This Row],[Team Number]]="","",IF(ISNA(INDEX('Robot Game Scores'!E:E,MATCH(TournamentData[[#This Row],[Team Number]], 'Robot Game Scores'!$A:$A,0))),0,INDEX('Robot Game Scores'!E:E,MATCH(TournamentData[[#This Row],[Team Number]], 'Robot Game Scores'!$A:$A,0))))</f>
        <v/>
      </c>
      <c r="G71" s="79">
        <f>IF(TournamentData[[#This Row],[Team Number]]="","",IF(ISNA(INDEX('Robot Game Scores'!#REF!,MATCH(TournamentData[[#This Row],[Team Number]], 'Robot Game Scores'!$A:$A,0))),0,INDEX('Robot Game Scores'!#REF!,MATCH(TournamentData[[#This Row],[Team Number]], 'Robot Game Scores'!$A:$A,0))))</f>
        <v/>
      </c>
      <c r="H71" s="79">
        <f>IF(TournamentData[[#This Row],[Team Number]]="","",IF(ISNA(INDEX('Robot Game Scores'!#REF!,MATCH(TournamentData[[#This Row],[Team Number]], 'Robot Game Scores'!$A:$A,0))),0,INDEX('Robot Game Scores'!#REF!,MATCH(TournamentData[[#This Row],[Team Number]], 'Robot Game Scores'!$A:$A,0))))</f>
        <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1" s="79">
        <f>_xlfn.RANK.EQ(TournamentData[[#This Row],[Max Robot Game Score]],TournamentData[Max Robot Game Score])</f>
        <v/>
      </c>
      <c r="K71" s="79">
        <f>INDEX(CoreValuesResults[Core Values Rank],MATCH(TournamentData[[#This Row],[Team Number]],CoreValuesResults[Team Number],0))</f>
        <v/>
      </c>
      <c r="L71" s="79">
        <f>INDEX(InnovationProjectResults[Innovation Project Rank],MATCH(TournamentData[[#This Row],[Team Number]],InnovationProjectResults[Team Number],0))</f>
        <v/>
      </c>
      <c r="M71" s="79">
        <f>INDEX(RobotDesignResults[Robot Design Rank],MATCH(TournamentData[[#This Row],[Team Number]],RobotDesignResults[Team Number],0))</f>
        <v/>
      </c>
      <c r="N71" s="79">
        <f>SUM(TournamentData[[#This Row],[Robot Game Rank]:[Robot Design Rank]])</f>
        <v/>
      </c>
      <c r="O71" s="79">
        <f>RANK(TournamentData[[#This Row],[Champion''s Score]],TournamentData[Champion''s Score],1)</f>
        <v/>
      </c>
      <c r="P71" s="80" t="n"/>
      <c r="Q71" s="86" t="inlineStr">
        <is>
          <t>No</t>
        </is>
      </c>
      <c r="R71" s="81">
        <f>IF(ISNA(INDEX(CoreValuesResults[Core Values Score],MATCH(TournamentData[[#This Row],[Team Number]],CoreValuesResults[Team Number],0))),0,INDEX(CoreValuesResults[Core Values Score],MATCH(TournamentData[[#This Row],[Team Number]],CoreValuesResults[Team Number],0)))</f>
        <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
      </c>
      <c r="T71" s="81">
        <f>IF(ISNA(INDEX(RobotDesignResults[Robot Design Score],MATCH(TournamentData[[#This Row],[Team Number]],RobotDesignResults[Team Number],0))),0,INDEX(RobotDesignResults[Robot Design Score],MATCH(TournamentData[[#This Row],[Team Number]],RobotDesignResults[Team Number],0)))</f>
        <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1" s="80">
        <f>IF(U71,_xlfn.RANK.EQ(U71,U$3:U$17,0),NumberOfTeams)</f>
        <v/>
      </c>
      <c r="W71" s="80" t="n"/>
    </row>
    <row r="72" ht="20.25" customHeight="1">
      <c r="A72" s="79" t="n">
        <v>70</v>
      </c>
      <c r="B72" s="79">
        <f>INDEX(OfficialTeamList[Pod Number],MATCH(TournamentData[[#This Row],[Team Number]], OfficialTeamList[Team '#],0))</f>
        <v/>
      </c>
      <c r="C72" s="105">
        <f>INDEX(OfficialTeamList[Team Name],MATCH(TournamentData[[#This Row],[Team Number]], OfficialTeamList[Team '#],0))</f>
        <v/>
      </c>
      <c r="D72" s="79">
        <f>IF(TournamentData[[#This Row],[Team Number]]="","",IF(ISNA(INDEX('Robot Game Scores'!C:C,MATCH(TournamentData[[#This Row],[Team Number]], 'Robot Game Scores'!$A:$A,0))),0,INDEX('Robot Game Scores'!C:C,MATCH(TournamentData[[#This Row],[Team Number]], 'Robot Game Scores'!$A:$A,0))))</f>
        <v/>
      </c>
      <c r="E72" s="79">
        <f>IF(TournamentData[[#This Row],[Team Number]]="","",IF(ISNA(INDEX('Robot Game Scores'!D:D,MATCH(TournamentData[[#This Row],[Team Number]], 'Robot Game Scores'!$A:$A,0))),0,INDEX('Robot Game Scores'!D:D,MATCH(TournamentData[[#This Row],[Team Number]], 'Robot Game Scores'!$A:$A,0))))</f>
        <v/>
      </c>
      <c r="F72" s="79">
        <f>IF(TournamentData[[#This Row],[Team Number]]="","",IF(ISNA(INDEX('Robot Game Scores'!E:E,MATCH(TournamentData[[#This Row],[Team Number]], 'Robot Game Scores'!$A:$A,0))),0,INDEX('Robot Game Scores'!E:E,MATCH(TournamentData[[#This Row],[Team Number]], 'Robot Game Scores'!$A:$A,0))))</f>
        <v/>
      </c>
      <c r="G72" s="79">
        <f>IF(TournamentData[[#This Row],[Team Number]]="","",IF(ISNA(INDEX('Robot Game Scores'!#REF!,MATCH(TournamentData[[#This Row],[Team Number]], 'Robot Game Scores'!$A:$A,0))),0,INDEX('Robot Game Scores'!#REF!,MATCH(TournamentData[[#This Row],[Team Number]], 'Robot Game Scores'!$A:$A,0))))</f>
        <v/>
      </c>
      <c r="H72" s="79">
        <f>IF(TournamentData[[#This Row],[Team Number]]="","",IF(ISNA(INDEX('Robot Game Scores'!#REF!,MATCH(TournamentData[[#This Row],[Team Number]], 'Robot Game Scores'!$A:$A,0))),0,INDEX('Robot Game Scores'!#REF!,MATCH(TournamentData[[#This Row],[Team Number]], 'Robot Game Scores'!$A:$A,0))))</f>
        <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2" s="79">
        <f>_xlfn.RANK.EQ(TournamentData[[#This Row],[Max Robot Game Score]],TournamentData[Max Robot Game Score])</f>
        <v/>
      </c>
      <c r="K72" s="79">
        <f>INDEX(CoreValuesResults[Core Values Rank],MATCH(TournamentData[[#This Row],[Team Number]],CoreValuesResults[Team Number],0))</f>
        <v/>
      </c>
      <c r="L72" s="79">
        <f>INDEX(InnovationProjectResults[Innovation Project Rank],MATCH(TournamentData[[#This Row],[Team Number]],InnovationProjectResults[Team Number],0))</f>
        <v/>
      </c>
      <c r="M72" s="79">
        <f>INDEX(RobotDesignResults[Robot Design Rank],MATCH(TournamentData[[#This Row],[Team Number]],RobotDesignResults[Team Number],0))</f>
        <v/>
      </c>
      <c r="N72" s="79">
        <f>SUM(TournamentData[[#This Row],[Robot Game Rank]:[Robot Design Rank]])</f>
        <v/>
      </c>
      <c r="O72" s="79">
        <f>RANK(TournamentData[[#This Row],[Champion''s Score]],TournamentData[Champion''s Score],1)</f>
        <v/>
      </c>
      <c r="P72" s="80" t="n"/>
      <c r="Q72" s="86" t="inlineStr">
        <is>
          <t>No</t>
        </is>
      </c>
      <c r="R72" s="81">
        <f>IF(ISNA(INDEX(CoreValuesResults[Core Values Score],MATCH(TournamentData[[#This Row],[Team Number]],CoreValuesResults[Team Number],0))),0,INDEX(CoreValuesResults[Core Values Score],MATCH(TournamentData[[#This Row],[Team Number]],CoreValuesResults[Team Number],0)))</f>
        <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
      </c>
      <c r="T72" s="81">
        <f>IF(ISNA(INDEX(RobotDesignResults[Robot Design Score],MATCH(TournamentData[[#This Row],[Team Number]],RobotDesignResults[Team Number],0))),0,INDEX(RobotDesignResults[Robot Design Score],MATCH(TournamentData[[#This Row],[Team Number]],RobotDesignResults[Team Number],0)))</f>
        <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2" s="80">
        <f>IF(U72,_xlfn.RANK.EQ(U72,U$3:U$17,0),NumberOfTeams)</f>
        <v/>
      </c>
      <c r="W72" s="80" t="n"/>
    </row>
    <row r="73" ht="20.25" customHeight="1">
      <c r="A73" s="79" t="n">
        <v>71</v>
      </c>
      <c r="B73" s="79">
        <f>INDEX(OfficialTeamList[Pod Number],MATCH(TournamentData[[#This Row],[Team Number]], OfficialTeamList[Team '#],0))</f>
        <v/>
      </c>
      <c r="C73" s="105">
        <f>INDEX(OfficialTeamList[Team Name],MATCH(TournamentData[[#This Row],[Team Number]], OfficialTeamList[Team '#],0))</f>
        <v/>
      </c>
      <c r="D73" s="79">
        <f>IF(TournamentData[[#This Row],[Team Number]]="","",IF(ISNA(INDEX('Robot Game Scores'!C:C,MATCH(TournamentData[[#This Row],[Team Number]], 'Robot Game Scores'!$A:$A,0))),0,INDEX('Robot Game Scores'!C:C,MATCH(TournamentData[[#This Row],[Team Number]], 'Robot Game Scores'!$A:$A,0))))</f>
        <v/>
      </c>
      <c r="E73" s="79">
        <f>IF(TournamentData[[#This Row],[Team Number]]="","",IF(ISNA(INDEX('Robot Game Scores'!D:D,MATCH(TournamentData[[#This Row],[Team Number]], 'Robot Game Scores'!$A:$A,0))),0,INDEX('Robot Game Scores'!D:D,MATCH(TournamentData[[#This Row],[Team Number]], 'Robot Game Scores'!$A:$A,0))))</f>
        <v/>
      </c>
      <c r="F73" s="79">
        <f>IF(TournamentData[[#This Row],[Team Number]]="","",IF(ISNA(INDEX('Robot Game Scores'!E:E,MATCH(TournamentData[[#This Row],[Team Number]], 'Robot Game Scores'!$A:$A,0))),0,INDEX('Robot Game Scores'!E:E,MATCH(TournamentData[[#This Row],[Team Number]], 'Robot Game Scores'!$A:$A,0))))</f>
        <v/>
      </c>
      <c r="G73" s="79">
        <f>IF(TournamentData[[#This Row],[Team Number]]="","",IF(ISNA(INDEX('Robot Game Scores'!#REF!,MATCH(TournamentData[[#This Row],[Team Number]], 'Robot Game Scores'!$A:$A,0))),0,INDEX('Robot Game Scores'!#REF!,MATCH(TournamentData[[#This Row],[Team Number]], 'Robot Game Scores'!$A:$A,0))))</f>
        <v/>
      </c>
      <c r="H73" s="79">
        <f>IF(TournamentData[[#This Row],[Team Number]]="","",IF(ISNA(INDEX('Robot Game Scores'!#REF!,MATCH(TournamentData[[#This Row],[Team Number]], 'Robot Game Scores'!$A:$A,0))),0,INDEX('Robot Game Scores'!#REF!,MATCH(TournamentData[[#This Row],[Team Number]], 'Robot Game Scores'!$A:$A,0))))</f>
        <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3" s="79">
        <f>_xlfn.RANK.EQ(TournamentData[[#This Row],[Max Robot Game Score]],TournamentData[Max Robot Game Score])</f>
        <v/>
      </c>
      <c r="K73" s="79">
        <f>INDEX(CoreValuesResults[Core Values Rank],MATCH(TournamentData[[#This Row],[Team Number]],CoreValuesResults[Team Number],0))</f>
        <v/>
      </c>
      <c r="L73" s="79">
        <f>INDEX(InnovationProjectResults[Innovation Project Rank],MATCH(TournamentData[[#This Row],[Team Number]],InnovationProjectResults[Team Number],0))</f>
        <v/>
      </c>
      <c r="M73" s="79">
        <f>INDEX(RobotDesignResults[Robot Design Rank],MATCH(TournamentData[[#This Row],[Team Number]],RobotDesignResults[Team Number],0))</f>
        <v/>
      </c>
      <c r="N73" s="79">
        <f>SUM(TournamentData[[#This Row],[Robot Game Rank]:[Robot Design Rank]])</f>
        <v/>
      </c>
      <c r="O73" s="79">
        <f>RANK(TournamentData[[#This Row],[Champion''s Score]],TournamentData[Champion''s Score],1)</f>
        <v/>
      </c>
      <c r="P73" s="80" t="n"/>
      <c r="Q73" s="86" t="inlineStr">
        <is>
          <t>No</t>
        </is>
      </c>
      <c r="R73" s="81">
        <f>IF(ISNA(INDEX(CoreValuesResults[Core Values Score],MATCH(TournamentData[[#This Row],[Team Number]],CoreValuesResults[Team Number],0))),0,INDEX(CoreValuesResults[Core Values Score],MATCH(TournamentData[[#This Row],[Team Number]],CoreValuesResults[Team Number],0)))</f>
        <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
      </c>
      <c r="T73" s="81">
        <f>IF(ISNA(INDEX(RobotDesignResults[Robot Design Score],MATCH(TournamentData[[#This Row],[Team Number]],RobotDesignResults[Team Number],0))),0,INDEX(RobotDesignResults[Robot Design Score],MATCH(TournamentData[[#This Row],[Team Number]],RobotDesignResults[Team Number],0)))</f>
        <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3" s="80">
        <f>IF(U73,_xlfn.RANK.EQ(U73,U$3:U$17,0),NumberOfTeams)</f>
        <v/>
      </c>
      <c r="W73" s="80" t="n"/>
    </row>
    <row r="74" ht="20.25" customHeight="1">
      <c r="A74" s="79" t="n">
        <v>72</v>
      </c>
      <c r="B74" s="79">
        <f>INDEX(OfficialTeamList[Pod Number],MATCH(TournamentData[[#This Row],[Team Number]], OfficialTeamList[Team '#],0))</f>
        <v/>
      </c>
      <c r="C74" s="105">
        <f>INDEX(OfficialTeamList[Team Name],MATCH(TournamentData[[#This Row],[Team Number]], OfficialTeamList[Team '#],0))</f>
        <v/>
      </c>
      <c r="D74" s="79">
        <f>IF(TournamentData[[#This Row],[Team Number]]="","",IF(ISNA(INDEX('Robot Game Scores'!C:C,MATCH(TournamentData[[#This Row],[Team Number]], 'Robot Game Scores'!$A:$A,0))),0,INDEX('Robot Game Scores'!C:C,MATCH(TournamentData[[#This Row],[Team Number]], 'Robot Game Scores'!$A:$A,0))))</f>
        <v/>
      </c>
      <c r="E74" s="79">
        <f>IF(TournamentData[[#This Row],[Team Number]]="","",IF(ISNA(INDEX('Robot Game Scores'!D:D,MATCH(TournamentData[[#This Row],[Team Number]], 'Robot Game Scores'!$A:$A,0))),0,INDEX('Robot Game Scores'!D:D,MATCH(TournamentData[[#This Row],[Team Number]], 'Robot Game Scores'!$A:$A,0))))</f>
        <v/>
      </c>
      <c r="F74" s="79">
        <f>IF(TournamentData[[#This Row],[Team Number]]="","",IF(ISNA(INDEX('Robot Game Scores'!E:E,MATCH(TournamentData[[#This Row],[Team Number]], 'Robot Game Scores'!$A:$A,0))),0,INDEX('Robot Game Scores'!E:E,MATCH(TournamentData[[#This Row],[Team Number]], 'Robot Game Scores'!$A:$A,0))))</f>
        <v/>
      </c>
      <c r="G74" s="79">
        <f>IF(TournamentData[[#This Row],[Team Number]]="","",IF(ISNA(INDEX('Robot Game Scores'!#REF!,MATCH(TournamentData[[#This Row],[Team Number]], 'Robot Game Scores'!$A:$A,0))),0,INDEX('Robot Game Scores'!#REF!,MATCH(TournamentData[[#This Row],[Team Number]], 'Robot Game Scores'!$A:$A,0))))</f>
        <v/>
      </c>
      <c r="H74" s="79">
        <f>IF(TournamentData[[#This Row],[Team Number]]="","",IF(ISNA(INDEX('Robot Game Scores'!#REF!,MATCH(TournamentData[[#This Row],[Team Number]], 'Robot Game Scores'!$A:$A,0))),0,INDEX('Robot Game Scores'!#REF!,MATCH(TournamentData[[#This Row],[Team Number]], 'Robot Game Scores'!$A:$A,0))))</f>
        <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4" s="79">
        <f>_xlfn.RANK.EQ(TournamentData[[#This Row],[Max Robot Game Score]],TournamentData[Max Robot Game Score])</f>
        <v/>
      </c>
      <c r="K74" s="79">
        <f>INDEX(CoreValuesResults[Core Values Rank],MATCH(TournamentData[[#This Row],[Team Number]],CoreValuesResults[Team Number],0))</f>
        <v/>
      </c>
      <c r="L74" s="79">
        <f>INDEX(InnovationProjectResults[Innovation Project Rank],MATCH(TournamentData[[#This Row],[Team Number]],InnovationProjectResults[Team Number],0))</f>
        <v/>
      </c>
      <c r="M74" s="79">
        <f>INDEX(RobotDesignResults[Robot Design Rank],MATCH(TournamentData[[#This Row],[Team Number]],RobotDesignResults[Team Number],0))</f>
        <v/>
      </c>
      <c r="N74" s="79">
        <f>SUM(TournamentData[[#This Row],[Robot Game Rank]:[Robot Design Rank]])</f>
        <v/>
      </c>
      <c r="O74" s="79">
        <f>RANK(TournamentData[[#This Row],[Champion''s Score]],TournamentData[Champion''s Score],1)</f>
        <v/>
      </c>
      <c r="P74" s="80" t="n"/>
      <c r="Q74" s="86" t="inlineStr">
        <is>
          <t>No</t>
        </is>
      </c>
      <c r="R74" s="81">
        <f>IF(ISNA(INDEX(CoreValuesResults[Core Values Score],MATCH(TournamentData[[#This Row],[Team Number]],CoreValuesResults[Team Number],0))),0,INDEX(CoreValuesResults[Core Values Score],MATCH(TournamentData[[#This Row],[Team Number]],CoreValuesResults[Team Number],0)))</f>
        <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
      </c>
      <c r="T74" s="81">
        <f>IF(ISNA(INDEX(RobotDesignResults[Robot Design Score],MATCH(TournamentData[[#This Row],[Team Number]],RobotDesignResults[Team Number],0))),0,INDEX(RobotDesignResults[Robot Design Score],MATCH(TournamentData[[#This Row],[Team Number]],RobotDesignResults[Team Number],0)))</f>
        <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4" s="80">
        <f>IF(U74,_xlfn.RANK.EQ(U74,U$3:U$17,0),NumberOfTeams)</f>
        <v/>
      </c>
      <c r="W74" s="80" t="n"/>
    </row>
    <row r="75" ht="20.25" customHeight="1">
      <c r="A75" s="79" t="n">
        <v>73</v>
      </c>
      <c r="B75" s="79">
        <f>INDEX(OfficialTeamList[Pod Number],MATCH(TournamentData[[#This Row],[Team Number]], OfficialTeamList[Team '#],0))</f>
        <v/>
      </c>
      <c r="C75" s="105">
        <f>INDEX(OfficialTeamList[Team Name],MATCH(TournamentData[[#This Row],[Team Number]], OfficialTeamList[Team '#],0))</f>
        <v/>
      </c>
      <c r="D75" s="79">
        <f>IF(TournamentData[[#This Row],[Team Number]]="","",IF(ISNA(INDEX('Robot Game Scores'!C:C,MATCH(TournamentData[[#This Row],[Team Number]], 'Robot Game Scores'!$A:$A,0))),0,INDEX('Robot Game Scores'!C:C,MATCH(TournamentData[[#This Row],[Team Number]], 'Robot Game Scores'!$A:$A,0))))</f>
        <v/>
      </c>
      <c r="E75" s="79">
        <f>IF(TournamentData[[#This Row],[Team Number]]="","",IF(ISNA(INDEX('Robot Game Scores'!D:D,MATCH(TournamentData[[#This Row],[Team Number]], 'Robot Game Scores'!$A:$A,0))),0,INDEX('Robot Game Scores'!D:D,MATCH(TournamentData[[#This Row],[Team Number]], 'Robot Game Scores'!$A:$A,0))))</f>
        <v/>
      </c>
      <c r="F75" s="79">
        <f>IF(TournamentData[[#This Row],[Team Number]]="","",IF(ISNA(INDEX('Robot Game Scores'!E:E,MATCH(TournamentData[[#This Row],[Team Number]], 'Robot Game Scores'!$A:$A,0))),0,INDEX('Robot Game Scores'!E:E,MATCH(TournamentData[[#This Row],[Team Number]], 'Robot Game Scores'!$A:$A,0))))</f>
        <v/>
      </c>
      <c r="G75" s="79">
        <f>IF(TournamentData[[#This Row],[Team Number]]="","",IF(ISNA(INDEX('Robot Game Scores'!#REF!,MATCH(TournamentData[[#This Row],[Team Number]], 'Robot Game Scores'!$A:$A,0))),0,INDEX('Robot Game Scores'!#REF!,MATCH(TournamentData[[#This Row],[Team Number]], 'Robot Game Scores'!$A:$A,0))))</f>
        <v/>
      </c>
      <c r="H75" s="79">
        <f>IF(TournamentData[[#This Row],[Team Number]]="","",IF(ISNA(INDEX('Robot Game Scores'!#REF!,MATCH(TournamentData[[#This Row],[Team Number]], 'Robot Game Scores'!$A:$A,0))),0,INDEX('Robot Game Scores'!#REF!,MATCH(TournamentData[[#This Row],[Team Number]], 'Robot Game Scores'!$A:$A,0))))</f>
        <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5" s="79">
        <f>_xlfn.RANK.EQ(TournamentData[[#This Row],[Max Robot Game Score]],TournamentData[Max Robot Game Score])</f>
        <v/>
      </c>
      <c r="K75" s="79">
        <f>INDEX(CoreValuesResults[Core Values Rank],MATCH(TournamentData[[#This Row],[Team Number]],CoreValuesResults[Team Number],0))</f>
        <v/>
      </c>
      <c r="L75" s="79">
        <f>INDEX(InnovationProjectResults[Innovation Project Rank],MATCH(TournamentData[[#This Row],[Team Number]],InnovationProjectResults[Team Number],0))</f>
        <v/>
      </c>
      <c r="M75" s="79">
        <f>INDEX(RobotDesignResults[Robot Design Rank],MATCH(TournamentData[[#This Row],[Team Number]],RobotDesignResults[Team Number],0))</f>
        <v/>
      </c>
      <c r="N75" s="79">
        <f>SUM(TournamentData[[#This Row],[Robot Game Rank]:[Robot Design Rank]])</f>
        <v/>
      </c>
      <c r="O75" s="79">
        <f>RANK(TournamentData[[#This Row],[Champion''s Score]],TournamentData[Champion''s Score],1)</f>
        <v/>
      </c>
      <c r="P75" s="80" t="n"/>
      <c r="Q75" s="86" t="inlineStr">
        <is>
          <t>No</t>
        </is>
      </c>
      <c r="R75" s="81">
        <f>IF(ISNA(INDEX(CoreValuesResults[Core Values Score],MATCH(TournamentData[[#This Row],[Team Number]],CoreValuesResults[Team Number],0))),0,INDEX(CoreValuesResults[Core Values Score],MATCH(TournamentData[[#This Row],[Team Number]],CoreValuesResults[Team Number],0)))</f>
        <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
      </c>
      <c r="T75" s="81">
        <f>IF(ISNA(INDEX(RobotDesignResults[Robot Design Score],MATCH(TournamentData[[#This Row],[Team Number]],RobotDesignResults[Team Number],0))),0,INDEX(RobotDesignResults[Robot Design Score],MATCH(TournamentData[[#This Row],[Team Number]],RobotDesignResults[Team Number],0)))</f>
        <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5" s="80">
        <f>IF(U75,_xlfn.RANK.EQ(U75,U$3:U$17,0),NumberOfTeams)</f>
        <v/>
      </c>
      <c r="W75" s="80" t="n"/>
    </row>
    <row r="76" ht="20.25" customHeight="1">
      <c r="A76" s="79" t="n">
        <v>74</v>
      </c>
      <c r="B76" s="79">
        <f>INDEX(OfficialTeamList[Pod Number],MATCH(TournamentData[[#This Row],[Team Number]], OfficialTeamList[Team '#],0))</f>
        <v/>
      </c>
      <c r="C76" s="105">
        <f>INDEX(OfficialTeamList[Team Name],MATCH(TournamentData[[#This Row],[Team Number]], OfficialTeamList[Team '#],0))</f>
        <v/>
      </c>
      <c r="D76" s="79">
        <f>IF(TournamentData[[#This Row],[Team Number]]="","",IF(ISNA(INDEX('Robot Game Scores'!C:C,MATCH(TournamentData[[#This Row],[Team Number]], 'Robot Game Scores'!$A:$A,0))),0,INDEX('Robot Game Scores'!C:C,MATCH(TournamentData[[#This Row],[Team Number]], 'Robot Game Scores'!$A:$A,0))))</f>
        <v/>
      </c>
      <c r="E76" s="79">
        <f>IF(TournamentData[[#This Row],[Team Number]]="","",IF(ISNA(INDEX('Robot Game Scores'!D:D,MATCH(TournamentData[[#This Row],[Team Number]], 'Robot Game Scores'!$A:$A,0))),0,INDEX('Robot Game Scores'!D:D,MATCH(TournamentData[[#This Row],[Team Number]], 'Robot Game Scores'!$A:$A,0))))</f>
        <v/>
      </c>
      <c r="F76" s="79">
        <f>IF(TournamentData[[#This Row],[Team Number]]="","",IF(ISNA(INDEX('Robot Game Scores'!E:E,MATCH(TournamentData[[#This Row],[Team Number]], 'Robot Game Scores'!$A:$A,0))),0,INDEX('Robot Game Scores'!E:E,MATCH(TournamentData[[#This Row],[Team Number]], 'Robot Game Scores'!$A:$A,0))))</f>
        <v/>
      </c>
      <c r="G76" s="79">
        <f>IF(TournamentData[[#This Row],[Team Number]]="","",IF(ISNA(INDEX('Robot Game Scores'!#REF!,MATCH(TournamentData[[#This Row],[Team Number]], 'Robot Game Scores'!$A:$A,0))),0,INDEX('Robot Game Scores'!#REF!,MATCH(TournamentData[[#This Row],[Team Number]], 'Robot Game Scores'!$A:$A,0))))</f>
        <v/>
      </c>
      <c r="H76" s="79">
        <f>IF(TournamentData[[#This Row],[Team Number]]="","",IF(ISNA(INDEX('Robot Game Scores'!#REF!,MATCH(TournamentData[[#This Row],[Team Number]], 'Robot Game Scores'!$A:$A,0))),0,INDEX('Robot Game Scores'!#REF!,MATCH(TournamentData[[#This Row],[Team Number]], 'Robot Game Scores'!$A:$A,0))))</f>
        <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6" s="79">
        <f>_xlfn.RANK.EQ(TournamentData[[#This Row],[Max Robot Game Score]],TournamentData[Max Robot Game Score])</f>
        <v/>
      </c>
      <c r="K76" s="79">
        <f>INDEX(CoreValuesResults[Core Values Rank],MATCH(TournamentData[[#This Row],[Team Number]],CoreValuesResults[Team Number],0))</f>
        <v/>
      </c>
      <c r="L76" s="79">
        <f>INDEX(InnovationProjectResults[Innovation Project Rank],MATCH(TournamentData[[#This Row],[Team Number]],InnovationProjectResults[Team Number],0))</f>
        <v/>
      </c>
      <c r="M76" s="79">
        <f>INDEX(RobotDesignResults[Robot Design Rank],MATCH(TournamentData[[#This Row],[Team Number]],RobotDesignResults[Team Number],0))</f>
        <v/>
      </c>
      <c r="N76" s="79">
        <f>SUM(TournamentData[[#This Row],[Robot Game Rank]:[Robot Design Rank]])</f>
        <v/>
      </c>
      <c r="O76" s="79">
        <f>RANK(TournamentData[[#This Row],[Champion''s Score]],TournamentData[Champion''s Score],1)</f>
        <v/>
      </c>
      <c r="P76" s="80" t="n"/>
      <c r="Q76" s="86" t="inlineStr">
        <is>
          <t>No</t>
        </is>
      </c>
      <c r="R76" s="81">
        <f>IF(ISNA(INDEX(CoreValuesResults[Core Values Score],MATCH(TournamentData[[#This Row],[Team Number]],CoreValuesResults[Team Number],0))),0,INDEX(CoreValuesResults[Core Values Score],MATCH(TournamentData[[#This Row],[Team Number]],CoreValuesResults[Team Number],0)))</f>
        <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
      </c>
      <c r="T76" s="81">
        <f>IF(ISNA(INDEX(RobotDesignResults[Robot Design Score],MATCH(TournamentData[[#This Row],[Team Number]],RobotDesignResults[Team Number],0))),0,INDEX(RobotDesignResults[Robot Design Score],MATCH(TournamentData[[#This Row],[Team Number]],RobotDesignResults[Team Number],0)))</f>
        <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6" s="80">
        <f>IF(U76,_xlfn.RANK.EQ(U76,U$3:U$17,0),NumberOfTeams)</f>
        <v/>
      </c>
      <c r="W76" s="80" t="n"/>
    </row>
    <row r="77" ht="20.25" customHeight="1">
      <c r="A77" s="79" t="n">
        <v>75</v>
      </c>
      <c r="B77" s="79">
        <f>INDEX(OfficialTeamList[Pod Number],MATCH(TournamentData[[#This Row],[Team Number]], OfficialTeamList[Team '#],0))</f>
        <v/>
      </c>
      <c r="C77" s="105">
        <f>INDEX(OfficialTeamList[Team Name],MATCH(TournamentData[[#This Row],[Team Number]], OfficialTeamList[Team '#],0))</f>
        <v/>
      </c>
      <c r="D77" s="79">
        <f>IF(TournamentData[[#This Row],[Team Number]]="","",IF(ISNA(INDEX('Robot Game Scores'!C:C,MATCH(TournamentData[[#This Row],[Team Number]], 'Robot Game Scores'!$A:$A,0))),0,INDEX('Robot Game Scores'!C:C,MATCH(TournamentData[[#This Row],[Team Number]], 'Robot Game Scores'!$A:$A,0))))</f>
        <v/>
      </c>
      <c r="E77" s="79">
        <f>IF(TournamentData[[#This Row],[Team Number]]="","",IF(ISNA(INDEX('Robot Game Scores'!D:D,MATCH(TournamentData[[#This Row],[Team Number]], 'Robot Game Scores'!$A:$A,0))),0,INDEX('Robot Game Scores'!D:D,MATCH(TournamentData[[#This Row],[Team Number]], 'Robot Game Scores'!$A:$A,0))))</f>
        <v/>
      </c>
      <c r="F77" s="79">
        <f>IF(TournamentData[[#This Row],[Team Number]]="","",IF(ISNA(INDEX('Robot Game Scores'!E:E,MATCH(TournamentData[[#This Row],[Team Number]], 'Robot Game Scores'!$A:$A,0))),0,INDEX('Robot Game Scores'!E:E,MATCH(TournamentData[[#This Row],[Team Number]], 'Robot Game Scores'!$A:$A,0))))</f>
        <v/>
      </c>
      <c r="G77" s="79">
        <f>IF(TournamentData[[#This Row],[Team Number]]="","",IF(ISNA(INDEX('Robot Game Scores'!#REF!,MATCH(TournamentData[[#This Row],[Team Number]], 'Robot Game Scores'!$A:$A,0))),0,INDEX('Robot Game Scores'!#REF!,MATCH(TournamentData[[#This Row],[Team Number]], 'Robot Game Scores'!$A:$A,0))))</f>
        <v/>
      </c>
      <c r="H77" s="79">
        <f>IF(TournamentData[[#This Row],[Team Number]]="","",IF(ISNA(INDEX('Robot Game Scores'!#REF!,MATCH(TournamentData[[#This Row],[Team Number]], 'Robot Game Scores'!$A:$A,0))),0,INDEX('Robot Game Scores'!#REF!,MATCH(TournamentData[[#This Row],[Team Number]], 'Robot Game Scores'!$A:$A,0))))</f>
        <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7" s="79">
        <f>_xlfn.RANK.EQ(TournamentData[[#This Row],[Max Robot Game Score]],TournamentData[Max Robot Game Score])</f>
        <v/>
      </c>
      <c r="K77" s="79">
        <f>INDEX(CoreValuesResults[Core Values Rank],MATCH(TournamentData[[#This Row],[Team Number]],CoreValuesResults[Team Number],0))</f>
        <v/>
      </c>
      <c r="L77" s="79">
        <f>INDEX(InnovationProjectResults[Innovation Project Rank],MATCH(TournamentData[[#This Row],[Team Number]],InnovationProjectResults[Team Number],0))</f>
        <v/>
      </c>
      <c r="M77" s="79">
        <f>INDEX(RobotDesignResults[Robot Design Rank],MATCH(TournamentData[[#This Row],[Team Number]],RobotDesignResults[Team Number],0))</f>
        <v/>
      </c>
      <c r="N77" s="79">
        <f>SUM(TournamentData[[#This Row],[Robot Game Rank]:[Robot Design Rank]])</f>
        <v/>
      </c>
      <c r="O77" s="79">
        <f>RANK(TournamentData[[#This Row],[Champion''s Score]],TournamentData[Champion''s Score],1)</f>
        <v/>
      </c>
      <c r="P77" s="80" t="n"/>
      <c r="Q77" s="86" t="inlineStr">
        <is>
          <t>No</t>
        </is>
      </c>
      <c r="R77" s="81">
        <f>IF(ISNA(INDEX(CoreValuesResults[Core Values Score],MATCH(TournamentData[[#This Row],[Team Number]],CoreValuesResults[Team Number],0))),0,INDEX(CoreValuesResults[Core Values Score],MATCH(TournamentData[[#This Row],[Team Number]],CoreValuesResults[Team Number],0)))</f>
        <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
      </c>
      <c r="T77" s="81">
        <f>IF(ISNA(INDEX(RobotDesignResults[Robot Design Score],MATCH(TournamentData[[#This Row],[Team Number]],RobotDesignResults[Team Number],0))),0,INDEX(RobotDesignResults[Robot Design Score],MATCH(TournamentData[[#This Row],[Team Number]],RobotDesignResults[Team Number],0)))</f>
        <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7" s="80">
        <f>IF(U77,_xlfn.RANK.EQ(U77,U$3:U$17,0),NumberOfTeams)</f>
        <v/>
      </c>
      <c r="W77" s="80" t="n"/>
    </row>
    <row r="78" ht="20.25" customHeight="1">
      <c r="A78" s="79" t="n">
        <v>76</v>
      </c>
      <c r="B78" s="79">
        <f>INDEX(OfficialTeamList[Pod Number],MATCH(TournamentData[[#This Row],[Team Number]], OfficialTeamList[Team '#],0))</f>
        <v/>
      </c>
      <c r="C78" s="105">
        <f>INDEX(OfficialTeamList[Team Name],MATCH(TournamentData[[#This Row],[Team Number]], OfficialTeamList[Team '#],0))</f>
        <v/>
      </c>
      <c r="D78" s="79">
        <f>IF(TournamentData[[#This Row],[Team Number]]="","",IF(ISNA(INDEX('Robot Game Scores'!C:C,MATCH(TournamentData[[#This Row],[Team Number]], 'Robot Game Scores'!$A:$A,0))),0,INDEX('Robot Game Scores'!C:C,MATCH(TournamentData[[#This Row],[Team Number]], 'Robot Game Scores'!$A:$A,0))))</f>
        <v/>
      </c>
      <c r="E78" s="79">
        <f>IF(TournamentData[[#This Row],[Team Number]]="","",IF(ISNA(INDEX('Robot Game Scores'!D:D,MATCH(TournamentData[[#This Row],[Team Number]], 'Robot Game Scores'!$A:$A,0))),0,INDEX('Robot Game Scores'!D:D,MATCH(TournamentData[[#This Row],[Team Number]], 'Robot Game Scores'!$A:$A,0))))</f>
        <v/>
      </c>
      <c r="F78" s="79">
        <f>IF(TournamentData[[#This Row],[Team Number]]="","",IF(ISNA(INDEX('Robot Game Scores'!E:E,MATCH(TournamentData[[#This Row],[Team Number]], 'Robot Game Scores'!$A:$A,0))),0,INDEX('Robot Game Scores'!E:E,MATCH(TournamentData[[#This Row],[Team Number]], 'Robot Game Scores'!$A:$A,0))))</f>
        <v/>
      </c>
      <c r="G78" s="79">
        <f>IF(TournamentData[[#This Row],[Team Number]]="","",IF(ISNA(INDEX('Robot Game Scores'!#REF!,MATCH(TournamentData[[#This Row],[Team Number]], 'Robot Game Scores'!$A:$A,0))),0,INDEX('Robot Game Scores'!#REF!,MATCH(TournamentData[[#This Row],[Team Number]], 'Robot Game Scores'!$A:$A,0))))</f>
        <v/>
      </c>
      <c r="H78" s="79">
        <f>IF(TournamentData[[#This Row],[Team Number]]="","",IF(ISNA(INDEX('Robot Game Scores'!#REF!,MATCH(TournamentData[[#This Row],[Team Number]], 'Robot Game Scores'!$A:$A,0))),0,INDEX('Robot Game Scores'!#REF!,MATCH(TournamentData[[#This Row],[Team Number]], 'Robot Game Scores'!$A:$A,0))))</f>
        <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8" s="79">
        <f>_xlfn.RANK.EQ(TournamentData[[#This Row],[Max Robot Game Score]],TournamentData[Max Robot Game Score])</f>
        <v/>
      </c>
      <c r="K78" s="79">
        <f>INDEX(CoreValuesResults[Core Values Rank],MATCH(TournamentData[[#This Row],[Team Number]],CoreValuesResults[Team Number],0))</f>
        <v/>
      </c>
      <c r="L78" s="79">
        <f>INDEX(InnovationProjectResults[Innovation Project Rank],MATCH(TournamentData[[#This Row],[Team Number]],InnovationProjectResults[Team Number],0))</f>
        <v/>
      </c>
      <c r="M78" s="79">
        <f>INDEX(RobotDesignResults[Robot Design Rank],MATCH(TournamentData[[#This Row],[Team Number]],RobotDesignResults[Team Number],0))</f>
        <v/>
      </c>
      <c r="N78" s="79">
        <f>SUM(TournamentData[[#This Row],[Robot Game Rank]:[Robot Design Rank]])</f>
        <v/>
      </c>
      <c r="O78" s="79">
        <f>RANK(TournamentData[[#This Row],[Champion''s Score]],TournamentData[Champion''s Score],1)</f>
        <v/>
      </c>
      <c r="P78" s="80" t="n"/>
      <c r="Q78" s="86" t="inlineStr">
        <is>
          <t>No</t>
        </is>
      </c>
      <c r="R78" s="81">
        <f>IF(ISNA(INDEX(CoreValuesResults[Core Values Score],MATCH(TournamentData[[#This Row],[Team Number]],CoreValuesResults[Team Number],0))),0,INDEX(CoreValuesResults[Core Values Score],MATCH(TournamentData[[#This Row],[Team Number]],CoreValuesResults[Team Number],0)))</f>
        <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
      </c>
      <c r="T78" s="81">
        <f>IF(ISNA(INDEX(RobotDesignResults[Robot Design Score],MATCH(TournamentData[[#This Row],[Team Number]],RobotDesignResults[Team Number],0))),0,INDEX(RobotDesignResults[Robot Design Score],MATCH(TournamentData[[#This Row],[Team Number]],RobotDesignResults[Team Number],0)))</f>
        <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8" s="80">
        <f>IF(U78,_xlfn.RANK.EQ(U78,U$3:U$17,0),NumberOfTeams)</f>
        <v/>
      </c>
      <c r="W78" s="80" t="n"/>
    </row>
    <row r="79" ht="20.25" customHeight="1">
      <c r="A79" s="79" t="n">
        <v>77</v>
      </c>
      <c r="B79" s="79">
        <f>INDEX(OfficialTeamList[Pod Number],MATCH(TournamentData[[#This Row],[Team Number]], OfficialTeamList[Team '#],0))</f>
        <v/>
      </c>
      <c r="C79" s="105">
        <f>INDEX(OfficialTeamList[Team Name],MATCH(TournamentData[[#This Row],[Team Number]], OfficialTeamList[Team '#],0))</f>
        <v/>
      </c>
      <c r="D79" s="79">
        <f>IF(TournamentData[[#This Row],[Team Number]]="","",IF(ISNA(INDEX('Robot Game Scores'!C:C,MATCH(TournamentData[[#This Row],[Team Number]], 'Robot Game Scores'!$A:$A,0))),0,INDEX('Robot Game Scores'!C:C,MATCH(TournamentData[[#This Row],[Team Number]], 'Robot Game Scores'!$A:$A,0))))</f>
        <v/>
      </c>
      <c r="E79" s="79">
        <f>IF(TournamentData[[#This Row],[Team Number]]="","",IF(ISNA(INDEX('Robot Game Scores'!D:D,MATCH(TournamentData[[#This Row],[Team Number]], 'Robot Game Scores'!$A:$A,0))),0,INDEX('Robot Game Scores'!D:D,MATCH(TournamentData[[#This Row],[Team Number]], 'Robot Game Scores'!$A:$A,0))))</f>
        <v/>
      </c>
      <c r="F79" s="79">
        <f>IF(TournamentData[[#This Row],[Team Number]]="","",IF(ISNA(INDEX('Robot Game Scores'!E:E,MATCH(TournamentData[[#This Row],[Team Number]], 'Robot Game Scores'!$A:$A,0))),0,INDEX('Robot Game Scores'!E:E,MATCH(TournamentData[[#This Row],[Team Number]], 'Robot Game Scores'!$A:$A,0))))</f>
        <v/>
      </c>
      <c r="G79" s="79">
        <f>IF(TournamentData[[#This Row],[Team Number]]="","",IF(ISNA(INDEX('Robot Game Scores'!#REF!,MATCH(TournamentData[[#This Row],[Team Number]], 'Robot Game Scores'!$A:$A,0))),0,INDEX('Robot Game Scores'!#REF!,MATCH(TournamentData[[#This Row],[Team Number]], 'Robot Game Scores'!$A:$A,0))))</f>
        <v/>
      </c>
      <c r="H79" s="79">
        <f>IF(TournamentData[[#This Row],[Team Number]]="","",IF(ISNA(INDEX('Robot Game Scores'!#REF!,MATCH(TournamentData[[#This Row],[Team Number]], 'Robot Game Scores'!$A:$A,0))),0,INDEX('Robot Game Scores'!#REF!,MATCH(TournamentData[[#This Row],[Team Number]], 'Robot Game Scores'!$A:$A,0))))</f>
        <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9" s="79">
        <f>_xlfn.RANK.EQ(TournamentData[[#This Row],[Max Robot Game Score]],TournamentData[Max Robot Game Score])</f>
        <v/>
      </c>
      <c r="K79" s="79">
        <f>INDEX(CoreValuesResults[Core Values Rank],MATCH(TournamentData[[#This Row],[Team Number]],CoreValuesResults[Team Number],0))</f>
        <v/>
      </c>
      <c r="L79" s="79">
        <f>INDEX(InnovationProjectResults[Innovation Project Rank],MATCH(TournamentData[[#This Row],[Team Number]],InnovationProjectResults[Team Number],0))</f>
        <v/>
      </c>
      <c r="M79" s="79">
        <f>INDEX(RobotDesignResults[Robot Design Rank],MATCH(TournamentData[[#This Row],[Team Number]],RobotDesignResults[Team Number],0))</f>
        <v/>
      </c>
      <c r="N79" s="79">
        <f>SUM(TournamentData[[#This Row],[Robot Game Rank]:[Robot Design Rank]])</f>
        <v/>
      </c>
      <c r="O79" s="79">
        <f>RANK(TournamentData[[#This Row],[Champion''s Score]],TournamentData[Champion''s Score],1)</f>
        <v/>
      </c>
      <c r="P79" s="80" t="n"/>
      <c r="Q79" s="86" t="inlineStr">
        <is>
          <t>No</t>
        </is>
      </c>
      <c r="R79" s="81">
        <f>IF(ISNA(INDEX(CoreValuesResults[Core Values Score],MATCH(TournamentData[[#This Row],[Team Number]],CoreValuesResults[Team Number],0))),0,INDEX(CoreValuesResults[Core Values Score],MATCH(TournamentData[[#This Row],[Team Number]],CoreValuesResults[Team Number],0)))</f>
        <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
      </c>
      <c r="T79" s="81">
        <f>IF(ISNA(INDEX(RobotDesignResults[Robot Design Score],MATCH(TournamentData[[#This Row],[Team Number]],RobotDesignResults[Team Number],0))),0,INDEX(RobotDesignResults[Robot Design Score],MATCH(TournamentData[[#This Row],[Team Number]],RobotDesignResults[Team Number],0)))</f>
        <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9" s="80">
        <f>IF(U79,_xlfn.RANK.EQ(U79,U$3:U$17,0),NumberOfTeams)</f>
        <v/>
      </c>
      <c r="W79" s="80" t="n"/>
    </row>
    <row r="80" ht="20.25" customHeight="1">
      <c r="A80" s="79" t="n">
        <v>78</v>
      </c>
      <c r="B80" s="79">
        <f>INDEX(OfficialTeamList[Pod Number],MATCH(TournamentData[[#This Row],[Team Number]], OfficialTeamList[Team '#],0))</f>
        <v/>
      </c>
      <c r="C80" s="105">
        <f>INDEX(OfficialTeamList[Team Name],MATCH(TournamentData[[#This Row],[Team Number]], OfficialTeamList[Team '#],0))</f>
        <v/>
      </c>
      <c r="D80" s="79">
        <f>IF(TournamentData[[#This Row],[Team Number]]="","",IF(ISNA(INDEX('Robot Game Scores'!C:C,MATCH(TournamentData[[#This Row],[Team Number]], 'Robot Game Scores'!$A:$A,0))),0,INDEX('Robot Game Scores'!C:C,MATCH(TournamentData[[#This Row],[Team Number]], 'Robot Game Scores'!$A:$A,0))))</f>
        <v/>
      </c>
      <c r="E80" s="79">
        <f>IF(TournamentData[[#This Row],[Team Number]]="","",IF(ISNA(INDEX('Robot Game Scores'!D:D,MATCH(TournamentData[[#This Row],[Team Number]], 'Robot Game Scores'!$A:$A,0))),0,INDEX('Robot Game Scores'!D:D,MATCH(TournamentData[[#This Row],[Team Number]], 'Robot Game Scores'!$A:$A,0))))</f>
        <v/>
      </c>
      <c r="F80" s="79">
        <f>IF(TournamentData[[#This Row],[Team Number]]="","",IF(ISNA(INDEX('Robot Game Scores'!E:E,MATCH(TournamentData[[#This Row],[Team Number]], 'Robot Game Scores'!$A:$A,0))),0,INDEX('Robot Game Scores'!E:E,MATCH(TournamentData[[#This Row],[Team Number]], 'Robot Game Scores'!$A:$A,0))))</f>
        <v/>
      </c>
      <c r="G80" s="79">
        <f>IF(TournamentData[[#This Row],[Team Number]]="","",IF(ISNA(INDEX('Robot Game Scores'!#REF!,MATCH(TournamentData[[#This Row],[Team Number]], 'Robot Game Scores'!$A:$A,0))),0,INDEX('Robot Game Scores'!#REF!,MATCH(TournamentData[[#This Row],[Team Number]], 'Robot Game Scores'!$A:$A,0))))</f>
        <v/>
      </c>
      <c r="H80" s="79">
        <f>IF(TournamentData[[#This Row],[Team Number]]="","",IF(ISNA(INDEX('Robot Game Scores'!#REF!,MATCH(TournamentData[[#This Row],[Team Number]], 'Robot Game Scores'!$A:$A,0))),0,INDEX('Robot Game Scores'!#REF!,MATCH(TournamentData[[#This Row],[Team Number]], 'Robot Game Scores'!$A:$A,0))))</f>
        <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0" s="79">
        <f>_xlfn.RANK.EQ(TournamentData[[#This Row],[Max Robot Game Score]],TournamentData[Max Robot Game Score])</f>
        <v/>
      </c>
      <c r="K80" s="79">
        <f>INDEX(CoreValuesResults[Core Values Rank],MATCH(TournamentData[[#This Row],[Team Number]],CoreValuesResults[Team Number],0))</f>
        <v/>
      </c>
      <c r="L80" s="79">
        <f>INDEX(InnovationProjectResults[Innovation Project Rank],MATCH(TournamentData[[#This Row],[Team Number]],InnovationProjectResults[Team Number],0))</f>
        <v/>
      </c>
      <c r="M80" s="79">
        <f>INDEX(RobotDesignResults[Robot Design Rank],MATCH(TournamentData[[#This Row],[Team Number]],RobotDesignResults[Team Number],0))</f>
        <v/>
      </c>
      <c r="N80" s="79">
        <f>SUM(TournamentData[[#This Row],[Robot Game Rank]:[Robot Design Rank]])</f>
        <v/>
      </c>
      <c r="O80" s="79">
        <f>RANK(TournamentData[[#This Row],[Champion''s Score]],TournamentData[Champion''s Score],1)</f>
        <v/>
      </c>
      <c r="P80" s="80" t="n"/>
      <c r="Q80" s="86" t="inlineStr">
        <is>
          <t>No</t>
        </is>
      </c>
      <c r="R80" s="81">
        <f>IF(ISNA(INDEX(CoreValuesResults[Core Values Score],MATCH(TournamentData[[#This Row],[Team Number]],CoreValuesResults[Team Number],0))),0,INDEX(CoreValuesResults[Core Values Score],MATCH(TournamentData[[#This Row],[Team Number]],CoreValuesResults[Team Number],0)))</f>
        <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
      </c>
      <c r="T80" s="81">
        <f>IF(ISNA(INDEX(RobotDesignResults[Robot Design Score],MATCH(TournamentData[[#This Row],[Team Number]],RobotDesignResults[Team Number],0))),0,INDEX(RobotDesignResults[Robot Design Score],MATCH(TournamentData[[#This Row],[Team Number]],RobotDesignResults[Team Number],0)))</f>
        <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0" s="80">
        <f>IF(U80,_xlfn.RANK.EQ(U80,U$3:U$17,0),NumberOfTeams)</f>
        <v/>
      </c>
      <c r="W80" s="80" t="n"/>
    </row>
    <row r="81" ht="20.25" customHeight="1">
      <c r="A81" s="79" t="n">
        <v>79</v>
      </c>
      <c r="B81" s="79">
        <f>INDEX(OfficialTeamList[Pod Number],MATCH(TournamentData[[#This Row],[Team Number]], OfficialTeamList[Team '#],0))</f>
        <v/>
      </c>
      <c r="C81" s="105">
        <f>INDEX(OfficialTeamList[Team Name],MATCH(TournamentData[[#This Row],[Team Number]], OfficialTeamList[Team '#],0))</f>
        <v/>
      </c>
      <c r="D81" s="79">
        <f>IF(TournamentData[[#This Row],[Team Number]]="","",IF(ISNA(INDEX('Robot Game Scores'!C:C,MATCH(TournamentData[[#This Row],[Team Number]], 'Robot Game Scores'!$A:$A,0))),0,INDEX('Robot Game Scores'!C:C,MATCH(TournamentData[[#This Row],[Team Number]], 'Robot Game Scores'!$A:$A,0))))</f>
        <v/>
      </c>
      <c r="E81" s="79">
        <f>IF(TournamentData[[#This Row],[Team Number]]="","",IF(ISNA(INDEX('Robot Game Scores'!D:D,MATCH(TournamentData[[#This Row],[Team Number]], 'Robot Game Scores'!$A:$A,0))),0,INDEX('Robot Game Scores'!D:D,MATCH(TournamentData[[#This Row],[Team Number]], 'Robot Game Scores'!$A:$A,0))))</f>
        <v/>
      </c>
      <c r="F81" s="79">
        <f>IF(TournamentData[[#This Row],[Team Number]]="","",IF(ISNA(INDEX('Robot Game Scores'!E:E,MATCH(TournamentData[[#This Row],[Team Number]], 'Robot Game Scores'!$A:$A,0))),0,INDEX('Robot Game Scores'!E:E,MATCH(TournamentData[[#This Row],[Team Number]], 'Robot Game Scores'!$A:$A,0))))</f>
        <v/>
      </c>
      <c r="G81" s="79">
        <f>IF(TournamentData[[#This Row],[Team Number]]="","",IF(ISNA(INDEX('Robot Game Scores'!#REF!,MATCH(TournamentData[[#This Row],[Team Number]], 'Robot Game Scores'!$A:$A,0))),0,INDEX('Robot Game Scores'!#REF!,MATCH(TournamentData[[#This Row],[Team Number]], 'Robot Game Scores'!$A:$A,0))))</f>
        <v/>
      </c>
      <c r="H81" s="79">
        <f>IF(TournamentData[[#This Row],[Team Number]]="","",IF(ISNA(INDEX('Robot Game Scores'!#REF!,MATCH(TournamentData[[#This Row],[Team Number]], 'Robot Game Scores'!$A:$A,0))),0,INDEX('Robot Game Scores'!#REF!,MATCH(TournamentData[[#This Row],[Team Number]], 'Robot Game Scores'!$A:$A,0))))</f>
        <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1" s="79">
        <f>_xlfn.RANK.EQ(TournamentData[[#This Row],[Max Robot Game Score]],TournamentData[Max Robot Game Score])</f>
        <v/>
      </c>
      <c r="K81" s="79">
        <f>INDEX(CoreValuesResults[Core Values Rank],MATCH(TournamentData[[#This Row],[Team Number]],CoreValuesResults[Team Number],0))</f>
        <v/>
      </c>
      <c r="L81" s="79">
        <f>INDEX(InnovationProjectResults[Innovation Project Rank],MATCH(TournamentData[[#This Row],[Team Number]],InnovationProjectResults[Team Number],0))</f>
        <v/>
      </c>
      <c r="M81" s="79">
        <f>INDEX(RobotDesignResults[Robot Design Rank],MATCH(TournamentData[[#This Row],[Team Number]],RobotDesignResults[Team Number],0))</f>
        <v/>
      </c>
      <c r="N81" s="79">
        <f>SUM(TournamentData[[#This Row],[Robot Game Rank]:[Robot Design Rank]])</f>
        <v/>
      </c>
      <c r="O81" s="79">
        <f>RANK(TournamentData[[#This Row],[Champion''s Score]],TournamentData[Champion''s Score],1)</f>
        <v/>
      </c>
      <c r="P81" s="80" t="n"/>
      <c r="Q81" s="86" t="inlineStr">
        <is>
          <t>No</t>
        </is>
      </c>
      <c r="R81" s="81">
        <f>IF(ISNA(INDEX(CoreValuesResults[Core Values Score],MATCH(TournamentData[[#This Row],[Team Number]],CoreValuesResults[Team Number],0))),0,INDEX(CoreValuesResults[Core Values Score],MATCH(TournamentData[[#This Row],[Team Number]],CoreValuesResults[Team Number],0)))</f>
        <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
      </c>
      <c r="T81" s="81">
        <f>IF(ISNA(INDEX(RobotDesignResults[Robot Design Score],MATCH(TournamentData[[#This Row],[Team Number]],RobotDesignResults[Team Number],0))),0,INDEX(RobotDesignResults[Robot Design Score],MATCH(TournamentData[[#This Row],[Team Number]],RobotDesignResults[Team Number],0)))</f>
        <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1" s="80">
        <f>IF(U81,_xlfn.RANK.EQ(U81,U$3:U$17,0),NumberOfTeams)</f>
        <v/>
      </c>
      <c r="W81" s="80" t="n"/>
    </row>
    <row r="82" ht="20.25" customHeight="1">
      <c r="A82" s="79" t="n">
        <v>80</v>
      </c>
      <c r="B82" s="79">
        <f>INDEX(OfficialTeamList[Pod Number],MATCH(TournamentData[[#This Row],[Team Number]], OfficialTeamList[Team '#],0))</f>
        <v/>
      </c>
      <c r="C82" s="105">
        <f>INDEX(OfficialTeamList[Team Name],MATCH(TournamentData[[#This Row],[Team Number]], OfficialTeamList[Team '#],0))</f>
        <v/>
      </c>
      <c r="D82" s="79">
        <f>IF(TournamentData[[#This Row],[Team Number]]="","",IF(ISNA(INDEX('Robot Game Scores'!C:C,MATCH(TournamentData[[#This Row],[Team Number]], 'Robot Game Scores'!$A:$A,0))),0,INDEX('Robot Game Scores'!C:C,MATCH(TournamentData[[#This Row],[Team Number]], 'Robot Game Scores'!$A:$A,0))))</f>
        <v/>
      </c>
      <c r="E82" s="79">
        <f>IF(TournamentData[[#This Row],[Team Number]]="","",IF(ISNA(INDEX('Robot Game Scores'!D:D,MATCH(TournamentData[[#This Row],[Team Number]], 'Robot Game Scores'!$A:$A,0))),0,INDEX('Robot Game Scores'!D:D,MATCH(TournamentData[[#This Row],[Team Number]], 'Robot Game Scores'!$A:$A,0))))</f>
        <v/>
      </c>
      <c r="F82" s="79">
        <f>IF(TournamentData[[#This Row],[Team Number]]="","",IF(ISNA(INDEX('Robot Game Scores'!E:E,MATCH(TournamentData[[#This Row],[Team Number]], 'Robot Game Scores'!$A:$A,0))),0,INDEX('Robot Game Scores'!E:E,MATCH(TournamentData[[#This Row],[Team Number]], 'Robot Game Scores'!$A:$A,0))))</f>
        <v/>
      </c>
      <c r="G82" s="79">
        <f>IF(TournamentData[[#This Row],[Team Number]]="","",IF(ISNA(INDEX('Robot Game Scores'!#REF!,MATCH(TournamentData[[#This Row],[Team Number]], 'Robot Game Scores'!$A:$A,0))),0,INDEX('Robot Game Scores'!#REF!,MATCH(TournamentData[[#This Row],[Team Number]], 'Robot Game Scores'!$A:$A,0))))</f>
        <v/>
      </c>
      <c r="H82" s="79">
        <f>IF(TournamentData[[#This Row],[Team Number]]="","",IF(ISNA(INDEX('Robot Game Scores'!#REF!,MATCH(TournamentData[[#This Row],[Team Number]], 'Robot Game Scores'!$A:$A,0))),0,INDEX('Robot Game Scores'!#REF!,MATCH(TournamentData[[#This Row],[Team Number]], 'Robot Game Scores'!$A:$A,0))))</f>
        <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2" s="79">
        <f>_xlfn.RANK.EQ(TournamentData[[#This Row],[Max Robot Game Score]],TournamentData[Max Robot Game Score])</f>
        <v/>
      </c>
      <c r="K82" s="79">
        <f>INDEX(CoreValuesResults[Core Values Rank],MATCH(TournamentData[[#This Row],[Team Number]],CoreValuesResults[Team Number],0))</f>
        <v/>
      </c>
      <c r="L82" s="79">
        <f>INDEX(InnovationProjectResults[Innovation Project Rank],MATCH(TournamentData[[#This Row],[Team Number]],InnovationProjectResults[Team Number],0))</f>
        <v/>
      </c>
      <c r="M82" s="79">
        <f>INDEX(RobotDesignResults[Robot Design Rank],MATCH(TournamentData[[#This Row],[Team Number]],RobotDesignResults[Team Number],0))</f>
        <v/>
      </c>
      <c r="N82" s="79">
        <f>SUM(TournamentData[[#This Row],[Robot Game Rank]:[Robot Design Rank]])</f>
        <v/>
      </c>
      <c r="O82" s="79">
        <f>RANK(TournamentData[[#This Row],[Champion''s Score]],TournamentData[Champion''s Score],1)</f>
        <v/>
      </c>
      <c r="P82" s="80" t="n"/>
      <c r="Q82" s="86" t="inlineStr">
        <is>
          <t>No</t>
        </is>
      </c>
      <c r="R82" s="81">
        <f>IF(ISNA(INDEX(CoreValuesResults[Core Values Score],MATCH(TournamentData[[#This Row],[Team Number]],CoreValuesResults[Team Number],0))),0,INDEX(CoreValuesResults[Core Values Score],MATCH(TournamentData[[#This Row],[Team Number]],CoreValuesResults[Team Number],0)))</f>
        <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
      </c>
      <c r="T82" s="81">
        <f>IF(ISNA(INDEX(RobotDesignResults[Robot Design Score],MATCH(TournamentData[[#This Row],[Team Number]],RobotDesignResults[Team Number],0))),0,INDEX(RobotDesignResults[Robot Design Score],MATCH(TournamentData[[#This Row],[Team Number]],RobotDesignResults[Team Number],0)))</f>
        <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2" s="80">
        <f>IF(U82,_xlfn.RANK.EQ(U82,U$3:U$17,0),NumberOfTeams)</f>
        <v/>
      </c>
      <c r="W82" s="80" t="n"/>
    </row>
    <row r="83" ht="20.25" customHeight="1">
      <c r="A83" s="79" t="n">
        <v>81</v>
      </c>
      <c r="B83" s="79">
        <f>INDEX(OfficialTeamList[Pod Number],MATCH(TournamentData[[#This Row],[Team Number]], OfficialTeamList[Team '#],0))</f>
        <v/>
      </c>
      <c r="C83" s="105">
        <f>INDEX(OfficialTeamList[Team Name],MATCH(TournamentData[[#This Row],[Team Number]], OfficialTeamList[Team '#],0))</f>
        <v/>
      </c>
      <c r="D83" s="79">
        <f>IF(TournamentData[[#This Row],[Team Number]]="","",IF(ISNA(INDEX('Robot Game Scores'!C:C,MATCH(TournamentData[[#This Row],[Team Number]], 'Robot Game Scores'!$A:$A,0))),0,INDEX('Robot Game Scores'!C:C,MATCH(TournamentData[[#This Row],[Team Number]], 'Robot Game Scores'!$A:$A,0))))</f>
        <v/>
      </c>
      <c r="E83" s="79">
        <f>IF(TournamentData[[#This Row],[Team Number]]="","",IF(ISNA(INDEX('Robot Game Scores'!D:D,MATCH(TournamentData[[#This Row],[Team Number]], 'Robot Game Scores'!$A:$A,0))),0,INDEX('Robot Game Scores'!D:D,MATCH(TournamentData[[#This Row],[Team Number]], 'Robot Game Scores'!$A:$A,0))))</f>
        <v/>
      </c>
      <c r="F83" s="79">
        <f>IF(TournamentData[[#This Row],[Team Number]]="","",IF(ISNA(INDEX('Robot Game Scores'!E:E,MATCH(TournamentData[[#This Row],[Team Number]], 'Robot Game Scores'!$A:$A,0))),0,INDEX('Robot Game Scores'!E:E,MATCH(TournamentData[[#This Row],[Team Number]], 'Robot Game Scores'!$A:$A,0))))</f>
        <v/>
      </c>
      <c r="G83" s="79">
        <f>IF(TournamentData[[#This Row],[Team Number]]="","",IF(ISNA(INDEX('Robot Game Scores'!#REF!,MATCH(TournamentData[[#This Row],[Team Number]], 'Robot Game Scores'!$A:$A,0))),0,INDEX('Robot Game Scores'!#REF!,MATCH(TournamentData[[#This Row],[Team Number]], 'Robot Game Scores'!$A:$A,0))))</f>
        <v/>
      </c>
      <c r="H83" s="79">
        <f>IF(TournamentData[[#This Row],[Team Number]]="","",IF(ISNA(INDEX('Robot Game Scores'!#REF!,MATCH(TournamentData[[#This Row],[Team Number]], 'Robot Game Scores'!$A:$A,0))),0,INDEX('Robot Game Scores'!#REF!,MATCH(TournamentData[[#This Row],[Team Number]], 'Robot Game Scores'!$A:$A,0))))</f>
        <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3" s="79">
        <f>_xlfn.RANK.EQ(TournamentData[[#This Row],[Max Robot Game Score]],TournamentData[Max Robot Game Score])</f>
        <v/>
      </c>
      <c r="K83" s="79">
        <f>INDEX(CoreValuesResults[Core Values Rank],MATCH(TournamentData[[#This Row],[Team Number]],CoreValuesResults[Team Number],0))</f>
        <v/>
      </c>
      <c r="L83" s="79">
        <f>INDEX(InnovationProjectResults[Innovation Project Rank],MATCH(TournamentData[[#This Row],[Team Number]],InnovationProjectResults[Team Number],0))</f>
        <v/>
      </c>
      <c r="M83" s="79">
        <f>INDEX(RobotDesignResults[Robot Design Rank],MATCH(TournamentData[[#This Row],[Team Number]],RobotDesignResults[Team Number],0))</f>
        <v/>
      </c>
      <c r="N83" s="79">
        <f>SUM(TournamentData[[#This Row],[Robot Game Rank]:[Robot Design Rank]])</f>
        <v/>
      </c>
      <c r="O83" s="79">
        <f>RANK(TournamentData[[#This Row],[Champion''s Score]],TournamentData[Champion''s Score],1)</f>
        <v/>
      </c>
      <c r="P83" s="80" t="n"/>
      <c r="Q83" s="86" t="inlineStr">
        <is>
          <t>No</t>
        </is>
      </c>
      <c r="R83" s="81">
        <f>IF(ISNA(INDEX(CoreValuesResults[Core Values Score],MATCH(TournamentData[[#This Row],[Team Number]],CoreValuesResults[Team Number],0))),0,INDEX(CoreValuesResults[Core Values Score],MATCH(TournamentData[[#This Row],[Team Number]],CoreValuesResults[Team Number],0)))</f>
        <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
      </c>
      <c r="T83" s="81">
        <f>IF(ISNA(INDEX(RobotDesignResults[Robot Design Score],MATCH(TournamentData[[#This Row],[Team Number]],RobotDesignResults[Team Number],0))),0,INDEX(RobotDesignResults[Robot Design Score],MATCH(TournamentData[[#This Row],[Team Number]],RobotDesignResults[Team Number],0)))</f>
        <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3" s="80">
        <f>IF(U83,_xlfn.RANK.EQ(U83,U$3:U$17,0),NumberOfTeams)</f>
        <v/>
      </c>
      <c r="W83" s="80" t="n"/>
    </row>
    <row r="84" ht="20.25" customHeight="1">
      <c r="A84" s="79" t="n">
        <v>82</v>
      </c>
      <c r="B84" s="79">
        <f>INDEX(OfficialTeamList[Pod Number],MATCH(TournamentData[[#This Row],[Team Number]], OfficialTeamList[Team '#],0))</f>
        <v/>
      </c>
      <c r="C84" s="105">
        <f>INDEX(OfficialTeamList[Team Name],MATCH(TournamentData[[#This Row],[Team Number]], OfficialTeamList[Team '#],0))</f>
        <v/>
      </c>
      <c r="D84" s="79">
        <f>IF(TournamentData[[#This Row],[Team Number]]="","",IF(ISNA(INDEX('Robot Game Scores'!C:C,MATCH(TournamentData[[#This Row],[Team Number]], 'Robot Game Scores'!$A:$A,0))),0,INDEX('Robot Game Scores'!C:C,MATCH(TournamentData[[#This Row],[Team Number]], 'Robot Game Scores'!$A:$A,0))))</f>
        <v/>
      </c>
      <c r="E84" s="79">
        <f>IF(TournamentData[[#This Row],[Team Number]]="","",IF(ISNA(INDEX('Robot Game Scores'!D:D,MATCH(TournamentData[[#This Row],[Team Number]], 'Robot Game Scores'!$A:$A,0))),0,INDEX('Robot Game Scores'!D:D,MATCH(TournamentData[[#This Row],[Team Number]], 'Robot Game Scores'!$A:$A,0))))</f>
        <v/>
      </c>
      <c r="F84" s="79">
        <f>IF(TournamentData[[#This Row],[Team Number]]="","",IF(ISNA(INDEX('Robot Game Scores'!E:E,MATCH(TournamentData[[#This Row],[Team Number]], 'Robot Game Scores'!$A:$A,0))),0,INDEX('Robot Game Scores'!E:E,MATCH(TournamentData[[#This Row],[Team Number]], 'Robot Game Scores'!$A:$A,0))))</f>
        <v/>
      </c>
      <c r="G84" s="79">
        <f>IF(TournamentData[[#This Row],[Team Number]]="","",IF(ISNA(INDEX('Robot Game Scores'!#REF!,MATCH(TournamentData[[#This Row],[Team Number]], 'Robot Game Scores'!$A:$A,0))),0,INDEX('Robot Game Scores'!#REF!,MATCH(TournamentData[[#This Row],[Team Number]], 'Robot Game Scores'!$A:$A,0))))</f>
        <v/>
      </c>
      <c r="H84" s="79">
        <f>IF(TournamentData[[#This Row],[Team Number]]="","",IF(ISNA(INDEX('Robot Game Scores'!#REF!,MATCH(TournamentData[[#This Row],[Team Number]], 'Robot Game Scores'!$A:$A,0))),0,INDEX('Robot Game Scores'!#REF!,MATCH(TournamentData[[#This Row],[Team Number]], 'Robot Game Scores'!$A:$A,0))))</f>
        <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4" s="79">
        <f>_xlfn.RANK.EQ(TournamentData[[#This Row],[Max Robot Game Score]],TournamentData[Max Robot Game Score])</f>
        <v/>
      </c>
      <c r="K84" s="79">
        <f>INDEX(CoreValuesResults[Core Values Rank],MATCH(TournamentData[[#This Row],[Team Number]],CoreValuesResults[Team Number],0))</f>
        <v/>
      </c>
      <c r="L84" s="79">
        <f>INDEX(InnovationProjectResults[Innovation Project Rank],MATCH(TournamentData[[#This Row],[Team Number]],InnovationProjectResults[Team Number],0))</f>
        <v/>
      </c>
      <c r="M84" s="79">
        <f>INDEX(RobotDesignResults[Robot Design Rank],MATCH(TournamentData[[#This Row],[Team Number]],RobotDesignResults[Team Number],0))</f>
        <v/>
      </c>
      <c r="N84" s="79">
        <f>SUM(TournamentData[[#This Row],[Robot Game Rank]:[Robot Design Rank]])</f>
        <v/>
      </c>
      <c r="O84" s="79">
        <f>RANK(TournamentData[[#This Row],[Champion''s Score]],TournamentData[Champion''s Score],1)</f>
        <v/>
      </c>
      <c r="P84" s="80" t="n"/>
      <c r="Q84" s="86" t="inlineStr">
        <is>
          <t>No</t>
        </is>
      </c>
      <c r="R84" s="81">
        <f>IF(ISNA(INDEX(CoreValuesResults[Core Values Score],MATCH(TournamentData[[#This Row],[Team Number]],CoreValuesResults[Team Number],0))),0,INDEX(CoreValuesResults[Core Values Score],MATCH(TournamentData[[#This Row],[Team Number]],CoreValuesResults[Team Number],0)))</f>
        <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
      </c>
      <c r="T84" s="81">
        <f>IF(ISNA(INDEX(RobotDesignResults[Robot Design Score],MATCH(TournamentData[[#This Row],[Team Number]],RobotDesignResults[Team Number],0))),0,INDEX(RobotDesignResults[Robot Design Score],MATCH(TournamentData[[#This Row],[Team Number]],RobotDesignResults[Team Number],0)))</f>
        <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4" s="80">
        <f>IF(U84,_xlfn.RANK.EQ(U84,U$3:U$17,0),NumberOfTeams)</f>
        <v/>
      </c>
      <c r="W84" s="80" t="n"/>
    </row>
    <row r="85" ht="20.25" customHeight="1">
      <c r="A85" s="79" t="n">
        <v>83</v>
      </c>
      <c r="B85" s="79">
        <f>INDEX(OfficialTeamList[Pod Number],MATCH(TournamentData[[#This Row],[Team Number]], OfficialTeamList[Team '#],0))</f>
        <v/>
      </c>
      <c r="C85" s="105">
        <f>INDEX(OfficialTeamList[Team Name],MATCH(TournamentData[[#This Row],[Team Number]], OfficialTeamList[Team '#],0))</f>
        <v/>
      </c>
      <c r="D85" s="79">
        <f>IF(TournamentData[[#This Row],[Team Number]]="","",IF(ISNA(INDEX('Robot Game Scores'!C:C,MATCH(TournamentData[[#This Row],[Team Number]], 'Robot Game Scores'!$A:$A,0))),0,INDEX('Robot Game Scores'!C:C,MATCH(TournamentData[[#This Row],[Team Number]], 'Robot Game Scores'!$A:$A,0))))</f>
        <v/>
      </c>
      <c r="E85" s="79">
        <f>IF(TournamentData[[#This Row],[Team Number]]="","",IF(ISNA(INDEX('Robot Game Scores'!D:D,MATCH(TournamentData[[#This Row],[Team Number]], 'Robot Game Scores'!$A:$A,0))),0,INDEX('Robot Game Scores'!D:D,MATCH(TournamentData[[#This Row],[Team Number]], 'Robot Game Scores'!$A:$A,0))))</f>
        <v/>
      </c>
      <c r="F85" s="79">
        <f>IF(TournamentData[[#This Row],[Team Number]]="","",IF(ISNA(INDEX('Robot Game Scores'!E:E,MATCH(TournamentData[[#This Row],[Team Number]], 'Robot Game Scores'!$A:$A,0))),0,INDEX('Robot Game Scores'!E:E,MATCH(TournamentData[[#This Row],[Team Number]], 'Robot Game Scores'!$A:$A,0))))</f>
        <v/>
      </c>
      <c r="G85" s="79">
        <f>IF(TournamentData[[#This Row],[Team Number]]="","",IF(ISNA(INDEX('Robot Game Scores'!#REF!,MATCH(TournamentData[[#This Row],[Team Number]], 'Robot Game Scores'!$A:$A,0))),0,INDEX('Robot Game Scores'!#REF!,MATCH(TournamentData[[#This Row],[Team Number]], 'Robot Game Scores'!$A:$A,0))))</f>
        <v/>
      </c>
      <c r="H85" s="79">
        <f>IF(TournamentData[[#This Row],[Team Number]]="","",IF(ISNA(INDEX('Robot Game Scores'!#REF!,MATCH(TournamentData[[#This Row],[Team Number]], 'Robot Game Scores'!$A:$A,0))),0,INDEX('Robot Game Scores'!#REF!,MATCH(TournamentData[[#This Row],[Team Number]], 'Robot Game Scores'!$A:$A,0))))</f>
        <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5" s="79">
        <f>_xlfn.RANK.EQ(TournamentData[[#This Row],[Max Robot Game Score]],TournamentData[Max Robot Game Score])</f>
        <v/>
      </c>
      <c r="K85" s="79">
        <f>INDEX(CoreValuesResults[Core Values Rank],MATCH(TournamentData[[#This Row],[Team Number]],CoreValuesResults[Team Number],0))</f>
        <v/>
      </c>
      <c r="L85" s="79">
        <f>INDEX(InnovationProjectResults[Innovation Project Rank],MATCH(TournamentData[[#This Row],[Team Number]],InnovationProjectResults[Team Number],0))</f>
        <v/>
      </c>
      <c r="M85" s="79">
        <f>INDEX(RobotDesignResults[Robot Design Rank],MATCH(TournamentData[[#This Row],[Team Number]],RobotDesignResults[Team Number],0))</f>
        <v/>
      </c>
      <c r="N85" s="79">
        <f>SUM(TournamentData[[#This Row],[Robot Game Rank]:[Robot Design Rank]])</f>
        <v/>
      </c>
      <c r="O85" s="79">
        <f>RANK(TournamentData[[#This Row],[Champion''s Score]],TournamentData[Champion''s Score],1)</f>
        <v/>
      </c>
      <c r="P85" s="80" t="n"/>
      <c r="Q85" s="86" t="inlineStr">
        <is>
          <t>No</t>
        </is>
      </c>
      <c r="R85" s="81">
        <f>IF(ISNA(INDEX(CoreValuesResults[Core Values Score],MATCH(TournamentData[[#This Row],[Team Number]],CoreValuesResults[Team Number],0))),0,INDEX(CoreValuesResults[Core Values Score],MATCH(TournamentData[[#This Row],[Team Number]],CoreValuesResults[Team Number],0)))</f>
        <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
      </c>
      <c r="T85" s="81">
        <f>IF(ISNA(INDEX(RobotDesignResults[Robot Design Score],MATCH(TournamentData[[#This Row],[Team Number]],RobotDesignResults[Team Number],0))),0,INDEX(RobotDesignResults[Robot Design Score],MATCH(TournamentData[[#This Row],[Team Number]],RobotDesignResults[Team Number],0)))</f>
        <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5" s="80">
        <f>IF(U85,_xlfn.RANK.EQ(U85,U$3:U$17,0),NumberOfTeams)</f>
        <v/>
      </c>
      <c r="W85" s="80" t="n"/>
    </row>
    <row r="86" ht="20.25" customHeight="1">
      <c r="A86" s="79" t="n">
        <v>84</v>
      </c>
      <c r="B86" s="79">
        <f>INDEX(OfficialTeamList[Pod Number],MATCH(TournamentData[[#This Row],[Team Number]], OfficialTeamList[Team '#],0))</f>
        <v/>
      </c>
      <c r="C86" s="105">
        <f>INDEX(OfficialTeamList[Team Name],MATCH(TournamentData[[#This Row],[Team Number]], OfficialTeamList[Team '#],0))</f>
        <v/>
      </c>
      <c r="D86" s="79">
        <f>IF(TournamentData[[#This Row],[Team Number]]="","",IF(ISNA(INDEX('Robot Game Scores'!C:C,MATCH(TournamentData[[#This Row],[Team Number]], 'Robot Game Scores'!$A:$A,0))),0,INDEX('Robot Game Scores'!C:C,MATCH(TournamentData[[#This Row],[Team Number]], 'Robot Game Scores'!$A:$A,0))))</f>
        <v/>
      </c>
      <c r="E86" s="79">
        <f>IF(TournamentData[[#This Row],[Team Number]]="","",IF(ISNA(INDEX('Robot Game Scores'!D:D,MATCH(TournamentData[[#This Row],[Team Number]], 'Robot Game Scores'!$A:$A,0))),0,INDEX('Robot Game Scores'!D:D,MATCH(TournamentData[[#This Row],[Team Number]], 'Robot Game Scores'!$A:$A,0))))</f>
        <v/>
      </c>
      <c r="F86" s="79">
        <f>IF(TournamentData[[#This Row],[Team Number]]="","",IF(ISNA(INDEX('Robot Game Scores'!E:E,MATCH(TournamentData[[#This Row],[Team Number]], 'Robot Game Scores'!$A:$A,0))),0,INDEX('Robot Game Scores'!E:E,MATCH(TournamentData[[#This Row],[Team Number]], 'Robot Game Scores'!$A:$A,0))))</f>
        <v/>
      </c>
      <c r="G86" s="79">
        <f>IF(TournamentData[[#This Row],[Team Number]]="","",IF(ISNA(INDEX('Robot Game Scores'!#REF!,MATCH(TournamentData[[#This Row],[Team Number]], 'Robot Game Scores'!$A:$A,0))),0,INDEX('Robot Game Scores'!#REF!,MATCH(TournamentData[[#This Row],[Team Number]], 'Robot Game Scores'!$A:$A,0))))</f>
        <v/>
      </c>
      <c r="H86" s="79">
        <f>IF(TournamentData[[#This Row],[Team Number]]="","",IF(ISNA(INDEX('Robot Game Scores'!#REF!,MATCH(TournamentData[[#This Row],[Team Number]], 'Robot Game Scores'!$A:$A,0))),0,INDEX('Robot Game Scores'!#REF!,MATCH(TournamentData[[#This Row],[Team Number]], 'Robot Game Scores'!$A:$A,0))))</f>
        <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6" s="79">
        <f>_xlfn.RANK.EQ(TournamentData[[#This Row],[Max Robot Game Score]],TournamentData[Max Robot Game Score])</f>
        <v/>
      </c>
      <c r="K86" s="79">
        <f>INDEX(CoreValuesResults[Core Values Rank],MATCH(TournamentData[[#This Row],[Team Number]],CoreValuesResults[Team Number],0))</f>
        <v/>
      </c>
      <c r="L86" s="79">
        <f>INDEX(InnovationProjectResults[Innovation Project Rank],MATCH(TournamentData[[#This Row],[Team Number]],InnovationProjectResults[Team Number],0))</f>
        <v/>
      </c>
      <c r="M86" s="79">
        <f>INDEX(RobotDesignResults[Robot Design Rank],MATCH(TournamentData[[#This Row],[Team Number]],RobotDesignResults[Team Number],0))</f>
        <v/>
      </c>
      <c r="N86" s="79">
        <f>SUM(TournamentData[[#This Row],[Robot Game Rank]:[Robot Design Rank]])</f>
        <v/>
      </c>
      <c r="O86" s="79">
        <f>RANK(TournamentData[[#This Row],[Champion''s Score]],TournamentData[Champion''s Score],1)</f>
        <v/>
      </c>
      <c r="P86" s="80" t="n"/>
      <c r="Q86" s="86" t="inlineStr">
        <is>
          <t>No</t>
        </is>
      </c>
      <c r="R86" s="81">
        <f>IF(ISNA(INDEX(CoreValuesResults[Core Values Score],MATCH(TournamentData[[#This Row],[Team Number]],CoreValuesResults[Team Number],0))),0,INDEX(CoreValuesResults[Core Values Score],MATCH(TournamentData[[#This Row],[Team Number]],CoreValuesResults[Team Number],0)))</f>
        <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
      </c>
      <c r="T86" s="81">
        <f>IF(ISNA(INDEX(RobotDesignResults[Robot Design Score],MATCH(TournamentData[[#This Row],[Team Number]],RobotDesignResults[Team Number],0))),0,INDEX(RobotDesignResults[Robot Design Score],MATCH(TournamentData[[#This Row],[Team Number]],RobotDesignResults[Team Number],0)))</f>
        <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6" s="80">
        <f>IF(U86,_xlfn.RANK.EQ(U86,U$3:U$17,0),NumberOfTeams)</f>
        <v/>
      </c>
      <c r="W86" s="80" t="n"/>
    </row>
    <row r="87" ht="20.25" customHeight="1">
      <c r="A87" s="79" t="n">
        <v>85</v>
      </c>
      <c r="B87" s="79">
        <f>INDEX(OfficialTeamList[Pod Number],MATCH(TournamentData[[#This Row],[Team Number]], OfficialTeamList[Team '#],0))</f>
        <v/>
      </c>
      <c r="C87" s="105">
        <f>INDEX(OfficialTeamList[Team Name],MATCH(TournamentData[[#This Row],[Team Number]], OfficialTeamList[Team '#],0))</f>
        <v/>
      </c>
      <c r="D87" s="79">
        <f>IF(TournamentData[[#This Row],[Team Number]]="","",IF(ISNA(INDEX('Robot Game Scores'!C:C,MATCH(TournamentData[[#This Row],[Team Number]], 'Robot Game Scores'!$A:$A,0))),0,INDEX('Robot Game Scores'!C:C,MATCH(TournamentData[[#This Row],[Team Number]], 'Robot Game Scores'!$A:$A,0))))</f>
        <v/>
      </c>
      <c r="E87" s="79">
        <f>IF(TournamentData[[#This Row],[Team Number]]="","",IF(ISNA(INDEX('Robot Game Scores'!D:D,MATCH(TournamentData[[#This Row],[Team Number]], 'Robot Game Scores'!$A:$A,0))),0,INDEX('Robot Game Scores'!D:D,MATCH(TournamentData[[#This Row],[Team Number]], 'Robot Game Scores'!$A:$A,0))))</f>
        <v/>
      </c>
      <c r="F87" s="79">
        <f>IF(TournamentData[[#This Row],[Team Number]]="","",IF(ISNA(INDEX('Robot Game Scores'!E:E,MATCH(TournamentData[[#This Row],[Team Number]], 'Robot Game Scores'!$A:$A,0))),0,INDEX('Robot Game Scores'!E:E,MATCH(TournamentData[[#This Row],[Team Number]], 'Robot Game Scores'!$A:$A,0))))</f>
        <v/>
      </c>
      <c r="G87" s="79">
        <f>IF(TournamentData[[#This Row],[Team Number]]="","",IF(ISNA(INDEX('Robot Game Scores'!#REF!,MATCH(TournamentData[[#This Row],[Team Number]], 'Robot Game Scores'!$A:$A,0))),0,INDEX('Robot Game Scores'!#REF!,MATCH(TournamentData[[#This Row],[Team Number]], 'Robot Game Scores'!$A:$A,0))))</f>
        <v/>
      </c>
      <c r="H87" s="79">
        <f>IF(TournamentData[[#This Row],[Team Number]]="","",IF(ISNA(INDEX('Robot Game Scores'!#REF!,MATCH(TournamentData[[#This Row],[Team Number]], 'Robot Game Scores'!$A:$A,0))),0,INDEX('Robot Game Scores'!#REF!,MATCH(TournamentData[[#This Row],[Team Number]], 'Robot Game Scores'!$A:$A,0))))</f>
        <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7" s="79">
        <f>_xlfn.RANK.EQ(TournamentData[[#This Row],[Max Robot Game Score]],TournamentData[Max Robot Game Score])</f>
        <v/>
      </c>
      <c r="K87" s="79">
        <f>INDEX(CoreValuesResults[Core Values Rank],MATCH(TournamentData[[#This Row],[Team Number]],CoreValuesResults[Team Number],0))</f>
        <v/>
      </c>
      <c r="L87" s="79">
        <f>INDEX(InnovationProjectResults[Innovation Project Rank],MATCH(TournamentData[[#This Row],[Team Number]],InnovationProjectResults[Team Number],0))</f>
        <v/>
      </c>
      <c r="M87" s="79">
        <f>INDEX(RobotDesignResults[Robot Design Rank],MATCH(TournamentData[[#This Row],[Team Number]],RobotDesignResults[Team Number],0))</f>
        <v/>
      </c>
      <c r="N87" s="79">
        <f>SUM(TournamentData[[#This Row],[Robot Game Rank]:[Robot Design Rank]])</f>
        <v/>
      </c>
      <c r="O87" s="79">
        <f>RANK(TournamentData[[#This Row],[Champion''s Score]],TournamentData[Champion''s Score],1)</f>
        <v/>
      </c>
      <c r="P87" s="80" t="n"/>
      <c r="Q87" s="86" t="inlineStr">
        <is>
          <t>No</t>
        </is>
      </c>
      <c r="R87" s="81">
        <f>IF(ISNA(INDEX(CoreValuesResults[Core Values Score],MATCH(TournamentData[[#This Row],[Team Number]],CoreValuesResults[Team Number],0))),0,INDEX(CoreValuesResults[Core Values Score],MATCH(TournamentData[[#This Row],[Team Number]],CoreValuesResults[Team Number],0)))</f>
        <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
      </c>
      <c r="T87" s="81">
        <f>IF(ISNA(INDEX(RobotDesignResults[Robot Design Score],MATCH(TournamentData[[#This Row],[Team Number]],RobotDesignResults[Team Number],0))),0,INDEX(RobotDesignResults[Robot Design Score],MATCH(TournamentData[[#This Row],[Team Number]],RobotDesignResults[Team Number],0)))</f>
        <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7" s="80">
        <f>IF(U87,_xlfn.RANK.EQ(U87,U$3:U$17,0),NumberOfTeams)</f>
        <v/>
      </c>
      <c r="W87" s="80" t="n"/>
    </row>
    <row r="88" ht="20.25" customHeight="1">
      <c r="A88" s="79" t="n">
        <v>86</v>
      </c>
      <c r="B88" s="79">
        <f>INDEX(OfficialTeamList[Pod Number],MATCH(TournamentData[[#This Row],[Team Number]], OfficialTeamList[Team '#],0))</f>
        <v/>
      </c>
      <c r="C88" s="105">
        <f>INDEX(OfficialTeamList[Team Name],MATCH(TournamentData[[#This Row],[Team Number]], OfficialTeamList[Team '#],0))</f>
        <v/>
      </c>
      <c r="D88" s="79">
        <f>IF(TournamentData[[#This Row],[Team Number]]="","",IF(ISNA(INDEX('Robot Game Scores'!C:C,MATCH(TournamentData[[#This Row],[Team Number]], 'Robot Game Scores'!$A:$A,0))),0,INDEX('Robot Game Scores'!C:C,MATCH(TournamentData[[#This Row],[Team Number]], 'Robot Game Scores'!$A:$A,0))))</f>
        <v/>
      </c>
      <c r="E88" s="79">
        <f>IF(TournamentData[[#This Row],[Team Number]]="","",IF(ISNA(INDEX('Robot Game Scores'!D:D,MATCH(TournamentData[[#This Row],[Team Number]], 'Robot Game Scores'!$A:$A,0))),0,INDEX('Robot Game Scores'!D:D,MATCH(TournamentData[[#This Row],[Team Number]], 'Robot Game Scores'!$A:$A,0))))</f>
        <v/>
      </c>
      <c r="F88" s="79">
        <f>IF(TournamentData[[#This Row],[Team Number]]="","",IF(ISNA(INDEX('Robot Game Scores'!E:E,MATCH(TournamentData[[#This Row],[Team Number]], 'Robot Game Scores'!$A:$A,0))),0,INDEX('Robot Game Scores'!E:E,MATCH(TournamentData[[#This Row],[Team Number]], 'Robot Game Scores'!$A:$A,0))))</f>
        <v/>
      </c>
      <c r="G88" s="79">
        <f>IF(TournamentData[[#This Row],[Team Number]]="","",IF(ISNA(INDEX('Robot Game Scores'!#REF!,MATCH(TournamentData[[#This Row],[Team Number]], 'Robot Game Scores'!$A:$A,0))),0,INDEX('Robot Game Scores'!#REF!,MATCH(TournamentData[[#This Row],[Team Number]], 'Robot Game Scores'!$A:$A,0))))</f>
        <v/>
      </c>
      <c r="H88" s="79">
        <f>IF(TournamentData[[#This Row],[Team Number]]="","",IF(ISNA(INDEX('Robot Game Scores'!#REF!,MATCH(TournamentData[[#This Row],[Team Number]], 'Robot Game Scores'!$A:$A,0))),0,INDEX('Robot Game Scores'!#REF!,MATCH(TournamentData[[#This Row],[Team Number]], 'Robot Game Scores'!$A:$A,0))))</f>
        <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8" s="79">
        <f>_xlfn.RANK.EQ(TournamentData[[#This Row],[Max Robot Game Score]],TournamentData[Max Robot Game Score])</f>
        <v/>
      </c>
      <c r="K88" s="79">
        <f>INDEX(CoreValuesResults[Core Values Rank],MATCH(TournamentData[[#This Row],[Team Number]],CoreValuesResults[Team Number],0))</f>
        <v/>
      </c>
      <c r="L88" s="79">
        <f>INDEX(InnovationProjectResults[Innovation Project Rank],MATCH(TournamentData[[#This Row],[Team Number]],InnovationProjectResults[Team Number],0))</f>
        <v/>
      </c>
      <c r="M88" s="79">
        <f>INDEX(RobotDesignResults[Robot Design Rank],MATCH(TournamentData[[#This Row],[Team Number]],RobotDesignResults[Team Number],0))</f>
        <v/>
      </c>
      <c r="N88" s="79">
        <f>SUM(TournamentData[[#This Row],[Robot Game Rank]:[Robot Design Rank]])</f>
        <v/>
      </c>
      <c r="O88" s="79">
        <f>RANK(TournamentData[[#This Row],[Champion''s Score]],TournamentData[Champion''s Score],1)</f>
        <v/>
      </c>
      <c r="P88" s="80" t="n"/>
      <c r="Q88" s="86" t="inlineStr">
        <is>
          <t>No</t>
        </is>
      </c>
      <c r="R88" s="81">
        <f>IF(ISNA(INDEX(CoreValuesResults[Core Values Score],MATCH(TournamentData[[#This Row],[Team Number]],CoreValuesResults[Team Number],0))),0,INDEX(CoreValuesResults[Core Values Score],MATCH(TournamentData[[#This Row],[Team Number]],CoreValuesResults[Team Number],0)))</f>
        <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
      </c>
      <c r="T88" s="81">
        <f>IF(ISNA(INDEX(RobotDesignResults[Robot Design Score],MATCH(TournamentData[[#This Row],[Team Number]],RobotDesignResults[Team Number],0))),0,INDEX(RobotDesignResults[Robot Design Score],MATCH(TournamentData[[#This Row],[Team Number]],RobotDesignResults[Team Number],0)))</f>
        <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8" s="80">
        <f>IF(U88,_xlfn.RANK.EQ(U88,U$3:U$17,0),NumberOfTeams)</f>
        <v/>
      </c>
      <c r="W88" s="80" t="n"/>
    </row>
    <row r="89" ht="20.25" customHeight="1">
      <c r="A89" s="79" t="n">
        <v>87</v>
      </c>
      <c r="B89" s="79">
        <f>INDEX(OfficialTeamList[Pod Number],MATCH(TournamentData[[#This Row],[Team Number]], OfficialTeamList[Team '#],0))</f>
        <v/>
      </c>
      <c r="C89" s="105">
        <f>INDEX(OfficialTeamList[Team Name],MATCH(TournamentData[[#This Row],[Team Number]], OfficialTeamList[Team '#],0))</f>
        <v/>
      </c>
      <c r="D89" s="79">
        <f>IF(TournamentData[[#This Row],[Team Number]]="","",IF(ISNA(INDEX('Robot Game Scores'!C:C,MATCH(TournamentData[[#This Row],[Team Number]], 'Robot Game Scores'!$A:$A,0))),0,INDEX('Robot Game Scores'!C:C,MATCH(TournamentData[[#This Row],[Team Number]], 'Robot Game Scores'!$A:$A,0))))</f>
        <v/>
      </c>
      <c r="E89" s="79">
        <f>IF(TournamentData[[#This Row],[Team Number]]="","",IF(ISNA(INDEX('Robot Game Scores'!D:D,MATCH(TournamentData[[#This Row],[Team Number]], 'Robot Game Scores'!$A:$A,0))),0,INDEX('Robot Game Scores'!D:D,MATCH(TournamentData[[#This Row],[Team Number]], 'Robot Game Scores'!$A:$A,0))))</f>
        <v/>
      </c>
      <c r="F89" s="79">
        <f>IF(TournamentData[[#This Row],[Team Number]]="","",IF(ISNA(INDEX('Robot Game Scores'!E:E,MATCH(TournamentData[[#This Row],[Team Number]], 'Robot Game Scores'!$A:$A,0))),0,INDEX('Robot Game Scores'!E:E,MATCH(TournamentData[[#This Row],[Team Number]], 'Robot Game Scores'!$A:$A,0))))</f>
        <v/>
      </c>
      <c r="G89" s="79">
        <f>IF(TournamentData[[#This Row],[Team Number]]="","",IF(ISNA(INDEX('Robot Game Scores'!#REF!,MATCH(TournamentData[[#This Row],[Team Number]], 'Robot Game Scores'!$A:$A,0))),0,INDEX('Robot Game Scores'!#REF!,MATCH(TournamentData[[#This Row],[Team Number]], 'Robot Game Scores'!$A:$A,0))))</f>
        <v/>
      </c>
      <c r="H89" s="79">
        <f>IF(TournamentData[[#This Row],[Team Number]]="","",IF(ISNA(INDEX('Robot Game Scores'!#REF!,MATCH(TournamentData[[#This Row],[Team Number]], 'Robot Game Scores'!$A:$A,0))),0,INDEX('Robot Game Scores'!#REF!,MATCH(TournamentData[[#This Row],[Team Number]], 'Robot Game Scores'!$A:$A,0))))</f>
        <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9" s="79">
        <f>_xlfn.RANK.EQ(TournamentData[[#This Row],[Max Robot Game Score]],TournamentData[Max Robot Game Score])</f>
        <v/>
      </c>
      <c r="K89" s="79">
        <f>INDEX(CoreValuesResults[Core Values Rank],MATCH(TournamentData[[#This Row],[Team Number]],CoreValuesResults[Team Number],0))</f>
        <v/>
      </c>
      <c r="L89" s="79">
        <f>INDEX(InnovationProjectResults[Innovation Project Rank],MATCH(TournamentData[[#This Row],[Team Number]],InnovationProjectResults[Team Number],0))</f>
        <v/>
      </c>
      <c r="M89" s="79">
        <f>INDEX(RobotDesignResults[Robot Design Rank],MATCH(TournamentData[[#This Row],[Team Number]],RobotDesignResults[Team Number],0))</f>
        <v/>
      </c>
      <c r="N89" s="79">
        <f>SUM(TournamentData[[#This Row],[Robot Game Rank]:[Robot Design Rank]])</f>
        <v/>
      </c>
      <c r="O89" s="79">
        <f>RANK(TournamentData[[#This Row],[Champion''s Score]],TournamentData[Champion''s Score],1)</f>
        <v/>
      </c>
      <c r="P89" s="80" t="n"/>
      <c r="Q89" s="86" t="inlineStr">
        <is>
          <t>No</t>
        </is>
      </c>
      <c r="R89" s="81">
        <f>IF(ISNA(INDEX(CoreValuesResults[Core Values Score],MATCH(TournamentData[[#This Row],[Team Number]],CoreValuesResults[Team Number],0))),0,INDEX(CoreValuesResults[Core Values Score],MATCH(TournamentData[[#This Row],[Team Number]],CoreValuesResults[Team Number],0)))</f>
        <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
      </c>
      <c r="T89" s="81">
        <f>IF(ISNA(INDEX(RobotDesignResults[Robot Design Score],MATCH(TournamentData[[#This Row],[Team Number]],RobotDesignResults[Team Number],0))),0,INDEX(RobotDesignResults[Robot Design Score],MATCH(TournamentData[[#This Row],[Team Number]],RobotDesignResults[Team Number],0)))</f>
        <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9" s="80">
        <f>IF(U89,_xlfn.RANK.EQ(U89,U$3:U$17,0),NumberOfTeams)</f>
        <v/>
      </c>
      <c r="W89" s="80" t="n"/>
    </row>
    <row r="90" ht="20.25" customHeight="1">
      <c r="A90" s="79" t="n">
        <v>88</v>
      </c>
      <c r="B90" s="79">
        <f>INDEX(OfficialTeamList[Pod Number],MATCH(TournamentData[[#This Row],[Team Number]], OfficialTeamList[Team '#],0))</f>
        <v/>
      </c>
      <c r="C90" s="105">
        <f>INDEX(OfficialTeamList[Team Name],MATCH(TournamentData[[#This Row],[Team Number]], OfficialTeamList[Team '#],0))</f>
        <v/>
      </c>
      <c r="D90" s="79">
        <f>IF(TournamentData[[#This Row],[Team Number]]="","",IF(ISNA(INDEX('Robot Game Scores'!C:C,MATCH(TournamentData[[#This Row],[Team Number]], 'Robot Game Scores'!$A:$A,0))),0,INDEX('Robot Game Scores'!C:C,MATCH(TournamentData[[#This Row],[Team Number]], 'Robot Game Scores'!$A:$A,0))))</f>
        <v/>
      </c>
      <c r="E90" s="79">
        <f>IF(TournamentData[[#This Row],[Team Number]]="","",IF(ISNA(INDEX('Robot Game Scores'!D:D,MATCH(TournamentData[[#This Row],[Team Number]], 'Robot Game Scores'!$A:$A,0))),0,INDEX('Robot Game Scores'!D:D,MATCH(TournamentData[[#This Row],[Team Number]], 'Robot Game Scores'!$A:$A,0))))</f>
        <v/>
      </c>
      <c r="F90" s="79">
        <f>IF(TournamentData[[#This Row],[Team Number]]="","",IF(ISNA(INDEX('Robot Game Scores'!E:E,MATCH(TournamentData[[#This Row],[Team Number]], 'Robot Game Scores'!$A:$A,0))),0,INDEX('Robot Game Scores'!E:E,MATCH(TournamentData[[#This Row],[Team Number]], 'Robot Game Scores'!$A:$A,0))))</f>
        <v/>
      </c>
      <c r="G90" s="79">
        <f>IF(TournamentData[[#This Row],[Team Number]]="","",IF(ISNA(INDEX('Robot Game Scores'!#REF!,MATCH(TournamentData[[#This Row],[Team Number]], 'Robot Game Scores'!$A:$A,0))),0,INDEX('Robot Game Scores'!#REF!,MATCH(TournamentData[[#This Row],[Team Number]], 'Robot Game Scores'!$A:$A,0))))</f>
        <v/>
      </c>
      <c r="H90" s="79">
        <f>IF(TournamentData[[#This Row],[Team Number]]="","",IF(ISNA(INDEX('Robot Game Scores'!#REF!,MATCH(TournamentData[[#This Row],[Team Number]], 'Robot Game Scores'!$A:$A,0))),0,INDEX('Robot Game Scores'!#REF!,MATCH(TournamentData[[#This Row],[Team Number]], 'Robot Game Scores'!$A:$A,0))))</f>
        <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0" s="79">
        <f>_xlfn.RANK.EQ(TournamentData[[#This Row],[Max Robot Game Score]],TournamentData[Max Robot Game Score])</f>
        <v/>
      </c>
      <c r="K90" s="79">
        <f>INDEX(CoreValuesResults[Core Values Rank],MATCH(TournamentData[[#This Row],[Team Number]],CoreValuesResults[Team Number],0))</f>
        <v/>
      </c>
      <c r="L90" s="79">
        <f>INDEX(InnovationProjectResults[Innovation Project Rank],MATCH(TournamentData[[#This Row],[Team Number]],InnovationProjectResults[Team Number],0))</f>
        <v/>
      </c>
      <c r="M90" s="79">
        <f>INDEX(RobotDesignResults[Robot Design Rank],MATCH(TournamentData[[#This Row],[Team Number]],RobotDesignResults[Team Number],0))</f>
        <v/>
      </c>
      <c r="N90" s="79">
        <f>SUM(TournamentData[[#This Row],[Robot Game Rank]:[Robot Design Rank]])</f>
        <v/>
      </c>
      <c r="O90" s="79">
        <f>RANK(TournamentData[[#This Row],[Champion''s Score]],TournamentData[Champion''s Score],1)</f>
        <v/>
      </c>
      <c r="P90" s="80" t="n"/>
      <c r="Q90" s="86" t="inlineStr">
        <is>
          <t>No</t>
        </is>
      </c>
      <c r="R90" s="81">
        <f>IF(ISNA(INDEX(CoreValuesResults[Core Values Score],MATCH(TournamentData[[#This Row],[Team Number]],CoreValuesResults[Team Number],0))),0,INDEX(CoreValuesResults[Core Values Score],MATCH(TournamentData[[#This Row],[Team Number]],CoreValuesResults[Team Number],0)))</f>
        <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
      </c>
      <c r="T90" s="81">
        <f>IF(ISNA(INDEX(RobotDesignResults[Robot Design Score],MATCH(TournamentData[[#This Row],[Team Number]],RobotDesignResults[Team Number],0))),0,INDEX(RobotDesignResults[Robot Design Score],MATCH(TournamentData[[#This Row],[Team Number]],RobotDesignResults[Team Number],0)))</f>
        <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0" s="80">
        <f>IF(U90,_xlfn.RANK.EQ(U90,U$3:U$17,0),NumberOfTeams)</f>
        <v/>
      </c>
      <c r="W90" s="80" t="n"/>
    </row>
    <row r="91" ht="20.25" customHeight="1">
      <c r="A91" s="79" t="n">
        <v>89</v>
      </c>
      <c r="B91" s="79">
        <f>INDEX(OfficialTeamList[Pod Number],MATCH(TournamentData[[#This Row],[Team Number]], OfficialTeamList[Team '#],0))</f>
        <v/>
      </c>
      <c r="C91" s="105">
        <f>INDEX(OfficialTeamList[Team Name],MATCH(TournamentData[[#This Row],[Team Number]], OfficialTeamList[Team '#],0))</f>
        <v/>
      </c>
      <c r="D91" s="79">
        <f>IF(TournamentData[[#This Row],[Team Number]]="","",IF(ISNA(INDEX('Robot Game Scores'!C:C,MATCH(TournamentData[[#This Row],[Team Number]], 'Robot Game Scores'!$A:$A,0))),0,INDEX('Robot Game Scores'!C:C,MATCH(TournamentData[[#This Row],[Team Number]], 'Robot Game Scores'!$A:$A,0))))</f>
        <v/>
      </c>
      <c r="E91" s="79">
        <f>IF(TournamentData[[#This Row],[Team Number]]="","",IF(ISNA(INDEX('Robot Game Scores'!D:D,MATCH(TournamentData[[#This Row],[Team Number]], 'Robot Game Scores'!$A:$A,0))),0,INDEX('Robot Game Scores'!D:D,MATCH(TournamentData[[#This Row],[Team Number]], 'Robot Game Scores'!$A:$A,0))))</f>
        <v/>
      </c>
      <c r="F91" s="79">
        <f>IF(TournamentData[[#This Row],[Team Number]]="","",IF(ISNA(INDEX('Robot Game Scores'!E:E,MATCH(TournamentData[[#This Row],[Team Number]], 'Robot Game Scores'!$A:$A,0))),0,INDEX('Robot Game Scores'!E:E,MATCH(TournamentData[[#This Row],[Team Number]], 'Robot Game Scores'!$A:$A,0))))</f>
        <v/>
      </c>
      <c r="G91" s="79">
        <f>IF(TournamentData[[#This Row],[Team Number]]="","",IF(ISNA(INDEX('Robot Game Scores'!#REF!,MATCH(TournamentData[[#This Row],[Team Number]], 'Robot Game Scores'!$A:$A,0))),0,INDEX('Robot Game Scores'!#REF!,MATCH(TournamentData[[#This Row],[Team Number]], 'Robot Game Scores'!$A:$A,0))))</f>
        <v/>
      </c>
      <c r="H91" s="79">
        <f>IF(TournamentData[[#This Row],[Team Number]]="","",IF(ISNA(INDEX('Robot Game Scores'!#REF!,MATCH(TournamentData[[#This Row],[Team Number]], 'Robot Game Scores'!$A:$A,0))),0,INDEX('Robot Game Scores'!#REF!,MATCH(TournamentData[[#This Row],[Team Number]], 'Robot Game Scores'!$A:$A,0))))</f>
        <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1" s="79">
        <f>_xlfn.RANK.EQ(TournamentData[[#This Row],[Max Robot Game Score]],TournamentData[Max Robot Game Score])</f>
        <v/>
      </c>
      <c r="K91" s="79">
        <f>INDEX(CoreValuesResults[Core Values Rank],MATCH(TournamentData[[#This Row],[Team Number]],CoreValuesResults[Team Number],0))</f>
        <v/>
      </c>
      <c r="L91" s="79">
        <f>INDEX(InnovationProjectResults[Innovation Project Rank],MATCH(TournamentData[[#This Row],[Team Number]],InnovationProjectResults[Team Number],0))</f>
        <v/>
      </c>
      <c r="M91" s="79">
        <f>INDEX(RobotDesignResults[Robot Design Rank],MATCH(TournamentData[[#This Row],[Team Number]],RobotDesignResults[Team Number],0))</f>
        <v/>
      </c>
      <c r="N91" s="79">
        <f>SUM(TournamentData[[#This Row],[Robot Game Rank]:[Robot Design Rank]])</f>
        <v/>
      </c>
      <c r="O91" s="79">
        <f>RANK(TournamentData[[#This Row],[Champion''s Score]],TournamentData[Champion''s Score],1)</f>
        <v/>
      </c>
      <c r="P91" s="80" t="n"/>
      <c r="Q91" s="86" t="inlineStr">
        <is>
          <t>No</t>
        </is>
      </c>
      <c r="R91" s="81">
        <f>IF(ISNA(INDEX(CoreValuesResults[Core Values Score],MATCH(TournamentData[[#This Row],[Team Number]],CoreValuesResults[Team Number],0))),0,INDEX(CoreValuesResults[Core Values Score],MATCH(TournamentData[[#This Row],[Team Number]],CoreValuesResults[Team Number],0)))</f>
        <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
      </c>
      <c r="T91" s="81">
        <f>IF(ISNA(INDEX(RobotDesignResults[Robot Design Score],MATCH(TournamentData[[#This Row],[Team Number]],RobotDesignResults[Team Number],0))),0,INDEX(RobotDesignResults[Robot Design Score],MATCH(TournamentData[[#This Row],[Team Number]],RobotDesignResults[Team Number],0)))</f>
        <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1" s="80">
        <f>IF(U91,_xlfn.RANK.EQ(U91,U$3:U$17,0),NumberOfTeams)</f>
        <v/>
      </c>
      <c r="W91" s="80" t="n"/>
    </row>
    <row r="92" ht="20.25" customHeight="1">
      <c r="A92" s="79" t="n">
        <v>90</v>
      </c>
      <c r="B92" s="79">
        <f>INDEX(OfficialTeamList[Pod Number],MATCH(TournamentData[[#This Row],[Team Number]], OfficialTeamList[Team '#],0))</f>
        <v/>
      </c>
      <c r="C92" s="105">
        <f>INDEX(OfficialTeamList[Team Name],MATCH(TournamentData[[#This Row],[Team Number]], OfficialTeamList[Team '#],0))</f>
        <v/>
      </c>
      <c r="D92" s="79">
        <f>IF(TournamentData[[#This Row],[Team Number]]="","",IF(ISNA(INDEX('Robot Game Scores'!C:C,MATCH(TournamentData[[#This Row],[Team Number]], 'Robot Game Scores'!$A:$A,0))),0,INDEX('Robot Game Scores'!C:C,MATCH(TournamentData[[#This Row],[Team Number]], 'Robot Game Scores'!$A:$A,0))))</f>
        <v/>
      </c>
      <c r="E92" s="79">
        <f>IF(TournamentData[[#This Row],[Team Number]]="","",IF(ISNA(INDEX('Robot Game Scores'!D:D,MATCH(TournamentData[[#This Row],[Team Number]], 'Robot Game Scores'!$A:$A,0))),0,INDEX('Robot Game Scores'!D:D,MATCH(TournamentData[[#This Row],[Team Number]], 'Robot Game Scores'!$A:$A,0))))</f>
        <v/>
      </c>
      <c r="F92" s="79">
        <f>IF(TournamentData[[#This Row],[Team Number]]="","",IF(ISNA(INDEX('Robot Game Scores'!E:E,MATCH(TournamentData[[#This Row],[Team Number]], 'Robot Game Scores'!$A:$A,0))),0,INDEX('Robot Game Scores'!E:E,MATCH(TournamentData[[#This Row],[Team Number]], 'Robot Game Scores'!$A:$A,0))))</f>
        <v/>
      </c>
      <c r="G92" s="79">
        <f>IF(TournamentData[[#This Row],[Team Number]]="","",IF(ISNA(INDEX('Robot Game Scores'!#REF!,MATCH(TournamentData[[#This Row],[Team Number]], 'Robot Game Scores'!$A:$A,0))),0,INDEX('Robot Game Scores'!#REF!,MATCH(TournamentData[[#This Row],[Team Number]], 'Robot Game Scores'!$A:$A,0))))</f>
        <v/>
      </c>
      <c r="H92" s="79">
        <f>IF(TournamentData[[#This Row],[Team Number]]="","",IF(ISNA(INDEX('Robot Game Scores'!#REF!,MATCH(TournamentData[[#This Row],[Team Number]], 'Robot Game Scores'!$A:$A,0))),0,INDEX('Robot Game Scores'!#REF!,MATCH(TournamentData[[#This Row],[Team Number]], 'Robot Game Scores'!$A:$A,0))))</f>
        <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2" s="79">
        <f>_xlfn.RANK.EQ(TournamentData[[#This Row],[Max Robot Game Score]],TournamentData[Max Robot Game Score])</f>
        <v/>
      </c>
      <c r="K92" s="79">
        <f>INDEX(CoreValuesResults[Core Values Rank],MATCH(TournamentData[[#This Row],[Team Number]],CoreValuesResults[Team Number],0))</f>
        <v/>
      </c>
      <c r="L92" s="79">
        <f>INDEX(InnovationProjectResults[Innovation Project Rank],MATCH(TournamentData[[#This Row],[Team Number]],InnovationProjectResults[Team Number],0))</f>
        <v/>
      </c>
      <c r="M92" s="79">
        <f>INDEX(RobotDesignResults[Robot Design Rank],MATCH(TournamentData[[#This Row],[Team Number]],RobotDesignResults[Team Number],0))</f>
        <v/>
      </c>
      <c r="N92" s="79">
        <f>SUM(TournamentData[[#This Row],[Robot Game Rank]:[Robot Design Rank]])</f>
        <v/>
      </c>
      <c r="O92" s="79">
        <f>RANK(TournamentData[[#This Row],[Champion''s Score]],TournamentData[Champion''s Score],1)</f>
        <v/>
      </c>
      <c r="P92" s="80" t="n"/>
      <c r="Q92" s="86" t="inlineStr">
        <is>
          <t>No</t>
        </is>
      </c>
      <c r="R92" s="81">
        <f>IF(ISNA(INDEX(CoreValuesResults[Core Values Score],MATCH(TournamentData[[#This Row],[Team Number]],CoreValuesResults[Team Number],0))),0,INDEX(CoreValuesResults[Core Values Score],MATCH(TournamentData[[#This Row],[Team Number]],CoreValuesResults[Team Number],0)))</f>
        <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
      </c>
      <c r="T92" s="81">
        <f>IF(ISNA(INDEX(RobotDesignResults[Robot Design Score],MATCH(TournamentData[[#This Row],[Team Number]],RobotDesignResults[Team Number],0))),0,INDEX(RobotDesignResults[Robot Design Score],MATCH(TournamentData[[#This Row],[Team Number]],RobotDesignResults[Team Number],0)))</f>
        <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2" s="80">
        <f>IF(U92,_xlfn.RANK.EQ(U92,U$3:U$17,0),NumberOfTeams)</f>
        <v/>
      </c>
      <c r="W92" s="80" t="n"/>
    </row>
    <row r="93" ht="20.25" customHeight="1">
      <c r="A93" s="79" t="n">
        <v>91</v>
      </c>
      <c r="B93" s="79">
        <f>INDEX(OfficialTeamList[Pod Number],MATCH(TournamentData[[#This Row],[Team Number]], OfficialTeamList[Team '#],0))</f>
        <v/>
      </c>
      <c r="C93" s="105">
        <f>INDEX(OfficialTeamList[Team Name],MATCH(TournamentData[[#This Row],[Team Number]], OfficialTeamList[Team '#],0))</f>
        <v/>
      </c>
      <c r="D93" s="79">
        <f>IF(TournamentData[[#This Row],[Team Number]]="","",IF(ISNA(INDEX('Robot Game Scores'!C:C,MATCH(TournamentData[[#This Row],[Team Number]], 'Robot Game Scores'!$A:$A,0))),0,INDEX('Robot Game Scores'!C:C,MATCH(TournamentData[[#This Row],[Team Number]], 'Robot Game Scores'!$A:$A,0))))</f>
        <v/>
      </c>
      <c r="E93" s="79">
        <f>IF(TournamentData[[#This Row],[Team Number]]="","",IF(ISNA(INDEX('Robot Game Scores'!D:D,MATCH(TournamentData[[#This Row],[Team Number]], 'Robot Game Scores'!$A:$A,0))),0,INDEX('Robot Game Scores'!D:D,MATCH(TournamentData[[#This Row],[Team Number]], 'Robot Game Scores'!$A:$A,0))))</f>
        <v/>
      </c>
      <c r="F93" s="79">
        <f>IF(TournamentData[[#This Row],[Team Number]]="","",IF(ISNA(INDEX('Robot Game Scores'!E:E,MATCH(TournamentData[[#This Row],[Team Number]], 'Robot Game Scores'!$A:$A,0))),0,INDEX('Robot Game Scores'!E:E,MATCH(TournamentData[[#This Row],[Team Number]], 'Robot Game Scores'!$A:$A,0))))</f>
        <v/>
      </c>
      <c r="G93" s="79">
        <f>IF(TournamentData[[#This Row],[Team Number]]="","",IF(ISNA(INDEX('Robot Game Scores'!#REF!,MATCH(TournamentData[[#This Row],[Team Number]], 'Robot Game Scores'!$A:$A,0))),0,INDEX('Robot Game Scores'!#REF!,MATCH(TournamentData[[#This Row],[Team Number]], 'Robot Game Scores'!$A:$A,0))))</f>
        <v/>
      </c>
      <c r="H93" s="79">
        <f>IF(TournamentData[[#This Row],[Team Number]]="","",IF(ISNA(INDEX('Robot Game Scores'!#REF!,MATCH(TournamentData[[#This Row],[Team Number]], 'Robot Game Scores'!$A:$A,0))),0,INDEX('Robot Game Scores'!#REF!,MATCH(TournamentData[[#This Row],[Team Number]], 'Robot Game Scores'!$A:$A,0))))</f>
        <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3" s="79">
        <f>_xlfn.RANK.EQ(TournamentData[[#This Row],[Max Robot Game Score]],TournamentData[Max Robot Game Score])</f>
        <v/>
      </c>
      <c r="K93" s="79">
        <f>INDEX(CoreValuesResults[Core Values Rank],MATCH(TournamentData[[#This Row],[Team Number]],CoreValuesResults[Team Number],0))</f>
        <v/>
      </c>
      <c r="L93" s="79">
        <f>INDEX(InnovationProjectResults[Innovation Project Rank],MATCH(TournamentData[[#This Row],[Team Number]],InnovationProjectResults[Team Number],0))</f>
        <v/>
      </c>
      <c r="M93" s="79">
        <f>INDEX(RobotDesignResults[Robot Design Rank],MATCH(TournamentData[[#This Row],[Team Number]],RobotDesignResults[Team Number],0))</f>
        <v/>
      </c>
      <c r="N93" s="79">
        <f>SUM(TournamentData[[#This Row],[Robot Game Rank]:[Robot Design Rank]])</f>
        <v/>
      </c>
      <c r="O93" s="79">
        <f>RANK(TournamentData[[#This Row],[Champion''s Score]],TournamentData[Champion''s Score],1)</f>
        <v/>
      </c>
      <c r="P93" s="80" t="n"/>
      <c r="Q93" s="86" t="inlineStr">
        <is>
          <t>No</t>
        </is>
      </c>
      <c r="R93" s="81">
        <f>IF(ISNA(INDEX(CoreValuesResults[Core Values Score],MATCH(TournamentData[[#This Row],[Team Number]],CoreValuesResults[Team Number],0))),0,INDEX(CoreValuesResults[Core Values Score],MATCH(TournamentData[[#This Row],[Team Number]],CoreValuesResults[Team Number],0)))</f>
        <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
      </c>
      <c r="T93" s="81">
        <f>IF(ISNA(INDEX(RobotDesignResults[Robot Design Score],MATCH(TournamentData[[#This Row],[Team Number]],RobotDesignResults[Team Number],0))),0,INDEX(RobotDesignResults[Robot Design Score],MATCH(TournamentData[[#This Row],[Team Number]],RobotDesignResults[Team Number],0)))</f>
        <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3" s="80">
        <f>IF(U93,_xlfn.RANK.EQ(U93,U$3:U$17,0),NumberOfTeams)</f>
        <v/>
      </c>
      <c r="W93" s="80" t="n"/>
    </row>
    <row r="94" ht="20.25" customHeight="1">
      <c r="A94" s="79" t="n">
        <v>92</v>
      </c>
      <c r="B94" s="79">
        <f>INDEX(OfficialTeamList[Pod Number],MATCH(TournamentData[[#This Row],[Team Number]], OfficialTeamList[Team '#],0))</f>
        <v/>
      </c>
      <c r="C94" s="105">
        <f>INDEX(OfficialTeamList[Team Name],MATCH(TournamentData[[#This Row],[Team Number]], OfficialTeamList[Team '#],0))</f>
        <v/>
      </c>
      <c r="D94" s="79">
        <f>IF(TournamentData[[#This Row],[Team Number]]="","",IF(ISNA(INDEX('Robot Game Scores'!C:C,MATCH(TournamentData[[#This Row],[Team Number]], 'Robot Game Scores'!$A:$A,0))),0,INDEX('Robot Game Scores'!C:C,MATCH(TournamentData[[#This Row],[Team Number]], 'Robot Game Scores'!$A:$A,0))))</f>
        <v/>
      </c>
      <c r="E94" s="79">
        <f>IF(TournamentData[[#This Row],[Team Number]]="","",IF(ISNA(INDEX('Robot Game Scores'!D:D,MATCH(TournamentData[[#This Row],[Team Number]], 'Robot Game Scores'!$A:$A,0))),0,INDEX('Robot Game Scores'!D:D,MATCH(TournamentData[[#This Row],[Team Number]], 'Robot Game Scores'!$A:$A,0))))</f>
        <v/>
      </c>
      <c r="F94" s="79">
        <f>IF(TournamentData[[#This Row],[Team Number]]="","",IF(ISNA(INDEX('Robot Game Scores'!E:E,MATCH(TournamentData[[#This Row],[Team Number]], 'Robot Game Scores'!$A:$A,0))),0,INDEX('Robot Game Scores'!E:E,MATCH(TournamentData[[#This Row],[Team Number]], 'Robot Game Scores'!$A:$A,0))))</f>
        <v/>
      </c>
      <c r="G94" s="79">
        <f>IF(TournamentData[[#This Row],[Team Number]]="","",IF(ISNA(INDEX('Robot Game Scores'!#REF!,MATCH(TournamentData[[#This Row],[Team Number]], 'Robot Game Scores'!$A:$A,0))),0,INDEX('Robot Game Scores'!#REF!,MATCH(TournamentData[[#This Row],[Team Number]], 'Robot Game Scores'!$A:$A,0))))</f>
        <v/>
      </c>
      <c r="H94" s="79">
        <f>IF(TournamentData[[#This Row],[Team Number]]="","",IF(ISNA(INDEX('Robot Game Scores'!#REF!,MATCH(TournamentData[[#This Row],[Team Number]], 'Robot Game Scores'!$A:$A,0))),0,INDEX('Robot Game Scores'!#REF!,MATCH(TournamentData[[#This Row],[Team Number]], 'Robot Game Scores'!$A:$A,0))))</f>
        <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4" s="79">
        <f>_xlfn.RANK.EQ(TournamentData[[#This Row],[Max Robot Game Score]],TournamentData[Max Robot Game Score])</f>
        <v/>
      </c>
      <c r="K94" s="79">
        <f>INDEX(CoreValuesResults[Core Values Rank],MATCH(TournamentData[[#This Row],[Team Number]],CoreValuesResults[Team Number],0))</f>
        <v/>
      </c>
      <c r="L94" s="79">
        <f>INDEX(InnovationProjectResults[Innovation Project Rank],MATCH(TournamentData[[#This Row],[Team Number]],InnovationProjectResults[Team Number],0))</f>
        <v/>
      </c>
      <c r="M94" s="79">
        <f>INDEX(RobotDesignResults[Robot Design Rank],MATCH(TournamentData[[#This Row],[Team Number]],RobotDesignResults[Team Number],0))</f>
        <v/>
      </c>
      <c r="N94" s="79">
        <f>SUM(TournamentData[[#This Row],[Robot Game Rank]:[Robot Design Rank]])</f>
        <v/>
      </c>
      <c r="O94" s="79">
        <f>RANK(TournamentData[[#This Row],[Champion''s Score]],TournamentData[Champion''s Score],1)</f>
        <v/>
      </c>
      <c r="P94" s="80" t="n"/>
      <c r="Q94" s="86" t="inlineStr">
        <is>
          <t>No</t>
        </is>
      </c>
      <c r="R94" s="81">
        <f>IF(ISNA(INDEX(CoreValuesResults[Core Values Score],MATCH(TournamentData[[#This Row],[Team Number]],CoreValuesResults[Team Number],0))),0,INDEX(CoreValuesResults[Core Values Score],MATCH(TournamentData[[#This Row],[Team Number]],CoreValuesResults[Team Number],0)))</f>
        <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
      </c>
      <c r="T94" s="81">
        <f>IF(ISNA(INDEX(RobotDesignResults[Robot Design Score],MATCH(TournamentData[[#This Row],[Team Number]],RobotDesignResults[Team Number],0))),0,INDEX(RobotDesignResults[Robot Design Score],MATCH(TournamentData[[#This Row],[Team Number]],RobotDesignResults[Team Number],0)))</f>
        <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4" s="80">
        <f>IF(U94,_xlfn.RANK.EQ(U94,U$3:U$17,0),NumberOfTeams)</f>
        <v/>
      </c>
      <c r="W94" s="80" t="n"/>
    </row>
    <row r="95" ht="20.25" customHeight="1">
      <c r="A95" s="79" t="n">
        <v>93</v>
      </c>
      <c r="B95" s="79">
        <f>INDEX(OfficialTeamList[Pod Number],MATCH(TournamentData[[#This Row],[Team Number]], OfficialTeamList[Team '#],0))</f>
        <v/>
      </c>
      <c r="C95" s="105">
        <f>INDEX(OfficialTeamList[Team Name],MATCH(TournamentData[[#This Row],[Team Number]], OfficialTeamList[Team '#],0))</f>
        <v/>
      </c>
      <c r="D95" s="79">
        <f>IF(TournamentData[[#This Row],[Team Number]]="","",IF(ISNA(INDEX('Robot Game Scores'!C:C,MATCH(TournamentData[[#This Row],[Team Number]], 'Robot Game Scores'!$A:$A,0))),0,INDEX('Robot Game Scores'!C:C,MATCH(TournamentData[[#This Row],[Team Number]], 'Robot Game Scores'!$A:$A,0))))</f>
        <v/>
      </c>
      <c r="E95" s="79">
        <f>IF(TournamentData[[#This Row],[Team Number]]="","",IF(ISNA(INDEX('Robot Game Scores'!D:D,MATCH(TournamentData[[#This Row],[Team Number]], 'Robot Game Scores'!$A:$A,0))),0,INDEX('Robot Game Scores'!D:D,MATCH(TournamentData[[#This Row],[Team Number]], 'Robot Game Scores'!$A:$A,0))))</f>
        <v/>
      </c>
      <c r="F95" s="79">
        <f>IF(TournamentData[[#This Row],[Team Number]]="","",IF(ISNA(INDEX('Robot Game Scores'!E:E,MATCH(TournamentData[[#This Row],[Team Number]], 'Robot Game Scores'!$A:$A,0))),0,INDEX('Robot Game Scores'!E:E,MATCH(TournamentData[[#This Row],[Team Number]], 'Robot Game Scores'!$A:$A,0))))</f>
        <v/>
      </c>
      <c r="G95" s="79">
        <f>IF(TournamentData[[#This Row],[Team Number]]="","",IF(ISNA(INDEX('Robot Game Scores'!#REF!,MATCH(TournamentData[[#This Row],[Team Number]], 'Robot Game Scores'!$A:$A,0))),0,INDEX('Robot Game Scores'!#REF!,MATCH(TournamentData[[#This Row],[Team Number]], 'Robot Game Scores'!$A:$A,0))))</f>
        <v/>
      </c>
      <c r="H95" s="79">
        <f>IF(TournamentData[[#This Row],[Team Number]]="","",IF(ISNA(INDEX('Robot Game Scores'!#REF!,MATCH(TournamentData[[#This Row],[Team Number]], 'Robot Game Scores'!$A:$A,0))),0,INDEX('Robot Game Scores'!#REF!,MATCH(TournamentData[[#This Row],[Team Number]], 'Robot Game Scores'!$A:$A,0))))</f>
        <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5" s="79">
        <f>_xlfn.RANK.EQ(TournamentData[[#This Row],[Max Robot Game Score]],TournamentData[Max Robot Game Score])</f>
        <v/>
      </c>
      <c r="K95" s="79">
        <f>INDEX(CoreValuesResults[Core Values Rank],MATCH(TournamentData[[#This Row],[Team Number]],CoreValuesResults[Team Number],0))</f>
        <v/>
      </c>
      <c r="L95" s="79">
        <f>INDEX(InnovationProjectResults[Innovation Project Rank],MATCH(TournamentData[[#This Row],[Team Number]],InnovationProjectResults[Team Number],0))</f>
        <v/>
      </c>
      <c r="M95" s="79">
        <f>INDEX(RobotDesignResults[Robot Design Rank],MATCH(TournamentData[[#This Row],[Team Number]],RobotDesignResults[Team Number],0))</f>
        <v/>
      </c>
      <c r="N95" s="79">
        <f>SUM(TournamentData[[#This Row],[Robot Game Rank]:[Robot Design Rank]])</f>
        <v/>
      </c>
      <c r="O95" s="79">
        <f>RANK(TournamentData[[#This Row],[Champion''s Score]],TournamentData[Champion''s Score],1)</f>
        <v/>
      </c>
      <c r="P95" s="80" t="n"/>
      <c r="Q95" s="86" t="inlineStr">
        <is>
          <t>No</t>
        </is>
      </c>
      <c r="R95" s="81">
        <f>IF(ISNA(INDEX(CoreValuesResults[Core Values Score],MATCH(TournamentData[[#This Row],[Team Number]],CoreValuesResults[Team Number],0))),0,INDEX(CoreValuesResults[Core Values Score],MATCH(TournamentData[[#This Row],[Team Number]],CoreValuesResults[Team Number],0)))</f>
        <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
      </c>
      <c r="T95" s="81">
        <f>IF(ISNA(INDEX(RobotDesignResults[Robot Design Score],MATCH(TournamentData[[#This Row],[Team Number]],RobotDesignResults[Team Number],0))),0,INDEX(RobotDesignResults[Robot Design Score],MATCH(TournamentData[[#This Row],[Team Number]],RobotDesignResults[Team Number],0)))</f>
        <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5" s="80">
        <f>IF(U95,_xlfn.RANK.EQ(U95,U$3:U$17,0),NumberOfTeams)</f>
        <v/>
      </c>
      <c r="W95" s="80" t="n"/>
    </row>
    <row r="96" ht="20.25" customHeight="1">
      <c r="A96" s="79" t="n">
        <v>94</v>
      </c>
      <c r="B96" s="79">
        <f>INDEX(OfficialTeamList[Pod Number],MATCH(TournamentData[[#This Row],[Team Number]], OfficialTeamList[Team '#],0))</f>
        <v/>
      </c>
      <c r="C96" s="105">
        <f>INDEX(OfficialTeamList[Team Name],MATCH(TournamentData[[#This Row],[Team Number]], OfficialTeamList[Team '#],0))</f>
        <v/>
      </c>
      <c r="D96" s="79">
        <f>IF(TournamentData[[#This Row],[Team Number]]="","",IF(ISNA(INDEX('Robot Game Scores'!C:C,MATCH(TournamentData[[#This Row],[Team Number]], 'Robot Game Scores'!$A:$A,0))),0,INDEX('Robot Game Scores'!C:C,MATCH(TournamentData[[#This Row],[Team Number]], 'Robot Game Scores'!$A:$A,0))))</f>
        <v/>
      </c>
      <c r="E96" s="79">
        <f>IF(TournamentData[[#This Row],[Team Number]]="","",IF(ISNA(INDEX('Robot Game Scores'!D:D,MATCH(TournamentData[[#This Row],[Team Number]], 'Robot Game Scores'!$A:$A,0))),0,INDEX('Robot Game Scores'!D:D,MATCH(TournamentData[[#This Row],[Team Number]], 'Robot Game Scores'!$A:$A,0))))</f>
        <v/>
      </c>
      <c r="F96" s="79">
        <f>IF(TournamentData[[#This Row],[Team Number]]="","",IF(ISNA(INDEX('Robot Game Scores'!E:E,MATCH(TournamentData[[#This Row],[Team Number]], 'Robot Game Scores'!$A:$A,0))),0,INDEX('Robot Game Scores'!E:E,MATCH(TournamentData[[#This Row],[Team Number]], 'Robot Game Scores'!$A:$A,0))))</f>
        <v/>
      </c>
      <c r="G96" s="79">
        <f>IF(TournamentData[[#This Row],[Team Number]]="","",IF(ISNA(INDEX('Robot Game Scores'!#REF!,MATCH(TournamentData[[#This Row],[Team Number]], 'Robot Game Scores'!$A:$A,0))),0,INDEX('Robot Game Scores'!#REF!,MATCH(TournamentData[[#This Row],[Team Number]], 'Robot Game Scores'!$A:$A,0))))</f>
        <v/>
      </c>
      <c r="H96" s="79">
        <f>IF(TournamentData[[#This Row],[Team Number]]="","",IF(ISNA(INDEX('Robot Game Scores'!#REF!,MATCH(TournamentData[[#This Row],[Team Number]], 'Robot Game Scores'!$A:$A,0))),0,INDEX('Robot Game Scores'!#REF!,MATCH(TournamentData[[#This Row],[Team Number]], 'Robot Game Scores'!$A:$A,0))))</f>
        <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6" s="79">
        <f>_xlfn.RANK.EQ(TournamentData[[#This Row],[Max Robot Game Score]],TournamentData[Max Robot Game Score])</f>
        <v/>
      </c>
      <c r="K96" s="79">
        <f>INDEX(CoreValuesResults[Core Values Rank],MATCH(TournamentData[[#This Row],[Team Number]],CoreValuesResults[Team Number],0))</f>
        <v/>
      </c>
      <c r="L96" s="79">
        <f>INDEX(InnovationProjectResults[Innovation Project Rank],MATCH(TournamentData[[#This Row],[Team Number]],InnovationProjectResults[Team Number],0))</f>
        <v/>
      </c>
      <c r="M96" s="79">
        <f>INDEX(RobotDesignResults[Robot Design Rank],MATCH(TournamentData[[#This Row],[Team Number]],RobotDesignResults[Team Number],0))</f>
        <v/>
      </c>
      <c r="N96" s="79">
        <f>SUM(TournamentData[[#This Row],[Robot Game Rank]:[Robot Design Rank]])</f>
        <v/>
      </c>
      <c r="O96" s="79">
        <f>RANK(TournamentData[[#This Row],[Champion''s Score]],TournamentData[Champion''s Score],1)</f>
        <v/>
      </c>
      <c r="P96" s="80" t="n"/>
      <c r="Q96" s="86" t="inlineStr">
        <is>
          <t>No</t>
        </is>
      </c>
      <c r="R96" s="81">
        <f>IF(ISNA(INDEX(CoreValuesResults[Core Values Score],MATCH(TournamentData[[#This Row],[Team Number]],CoreValuesResults[Team Number],0))),0,INDEX(CoreValuesResults[Core Values Score],MATCH(TournamentData[[#This Row],[Team Number]],CoreValuesResults[Team Number],0)))</f>
        <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
      </c>
      <c r="T96" s="81">
        <f>IF(ISNA(INDEX(RobotDesignResults[Robot Design Score],MATCH(TournamentData[[#This Row],[Team Number]],RobotDesignResults[Team Number],0))),0,INDEX(RobotDesignResults[Robot Design Score],MATCH(TournamentData[[#This Row],[Team Number]],RobotDesignResults[Team Number],0)))</f>
        <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6" s="80">
        <f>IF(U96,_xlfn.RANK.EQ(U96,U$3:U$17,0),NumberOfTeams)</f>
        <v/>
      </c>
      <c r="W96" s="80" t="n"/>
    </row>
    <row r="97" ht="20.25" customHeight="1">
      <c r="A97" s="79" t="n">
        <v>95</v>
      </c>
      <c r="B97" s="79">
        <f>INDEX(OfficialTeamList[Pod Number],MATCH(TournamentData[[#This Row],[Team Number]], OfficialTeamList[Team '#],0))</f>
        <v/>
      </c>
      <c r="C97" s="105">
        <f>INDEX(OfficialTeamList[Team Name],MATCH(TournamentData[[#This Row],[Team Number]], OfficialTeamList[Team '#],0))</f>
        <v/>
      </c>
      <c r="D97" s="79">
        <f>IF(TournamentData[[#This Row],[Team Number]]="","",IF(ISNA(INDEX('Robot Game Scores'!C:C,MATCH(TournamentData[[#This Row],[Team Number]], 'Robot Game Scores'!$A:$A,0))),0,INDEX('Robot Game Scores'!C:C,MATCH(TournamentData[[#This Row],[Team Number]], 'Robot Game Scores'!$A:$A,0))))</f>
        <v/>
      </c>
      <c r="E97" s="79">
        <f>IF(TournamentData[[#This Row],[Team Number]]="","",IF(ISNA(INDEX('Robot Game Scores'!D:D,MATCH(TournamentData[[#This Row],[Team Number]], 'Robot Game Scores'!$A:$A,0))),0,INDEX('Robot Game Scores'!D:D,MATCH(TournamentData[[#This Row],[Team Number]], 'Robot Game Scores'!$A:$A,0))))</f>
        <v/>
      </c>
      <c r="F97" s="79">
        <f>IF(TournamentData[[#This Row],[Team Number]]="","",IF(ISNA(INDEX('Robot Game Scores'!E:E,MATCH(TournamentData[[#This Row],[Team Number]], 'Robot Game Scores'!$A:$A,0))),0,INDEX('Robot Game Scores'!E:E,MATCH(TournamentData[[#This Row],[Team Number]], 'Robot Game Scores'!$A:$A,0))))</f>
        <v/>
      </c>
      <c r="G97" s="79">
        <f>IF(TournamentData[[#This Row],[Team Number]]="","",IF(ISNA(INDEX('Robot Game Scores'!#REF!,MATCH(TournamentData[[#This Row],[Team Number]], 'Robot Game Scores'!$A:$A,0))),0,INDEX('Robot Game Scores'!#REF!,MATCH(TournamentData[[#This Row],[Team Number]], 'Robot Game Scores'!$A:$A,0))))</f>
        <v/>
      </c>
      <c r="H97" s="79">
        <f>IF(TournamentData[[#This Row],[Team Number]]="","",IF(ISNA(INDEX('Robot Game Scores'!#REF!,MATCH(TournamentData[[#This Row],[Team Number]], 'Robot Game Scores'!$A:$A,0))),0,INDEX('Robot Game Scores'!#REF!,MATCH(TournamentData[[#This Row],[Team Number]], 'Robot Game Scores'!$A:$A,0))))</f>
        <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7" s="79">
        <f>_xlfn.RANK.EQ(TournamentData[[#This Row],[Max Robot Game Score]],TournamentData[Max Robot Game Score])</f>
        <v/>
      </c>
      <c r="K97" s="79">
        <f>INDEX(CoreValuesResults[Core Values Rank],MATCH(TournamentData[[#This Row],[Team Number]],CoreValuesResults[Team Number],0))</f>
        <v/>
      </c>
      <c r="L97" s="79">
        <f>INDEX(InnovationProjectResults[Innovation Project Rank],MATCH(TournamentData[[#This Row],[Team Number]],InnovationProjectResults[Team Number],0))</f>
        <v/>
      </c>
      <c r="M97" s="79">
        <f>INDEX(RobotDesignResults[Robot Design Rank],MATCH(TournamentData[[#This Row],[Team Number]],RobotDesignResults[Team Number],0))</f>
        <v/>
      </c>
      <c r="N97" s="79">
        <f>SUM(TournamentData[[#This Row],[Robot Game Rank]:[Robot Design Rank]])</f>
        <v/>
      </c>
      <c r="O97" s="79">
        <f>RANK(TournamentData[[#This Row],[Champion''s Score]],TournamentData[Champion''s Score],1)</f>
        <v/>
      </c>
      <c r="P97" s="80" t="n"/>
      <c r="Q97" s="86" t="inlineStr">
        <is>
          <t>No</t>
        </is>
      </c>
      <c r="R97" s="81">
        <f>IF(ISNA(INDEX(CoreValuesResults[Core Values Score],MATCH(TournamentData[[#This Row],[Team Number]],CoreValuesResults[Team Number],0))),0,INDEX(CoreValuesResults[Core Values Score],MATCH(TournamentData[[#This Row],[Team Number]],CoreValuesResults[Team Number],0)))</f>
        <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
      </c>
      <c r="T97" s="81">
        <f>IF(ISNA(INDEX(RobotDesignResults[Robot Design Score],MATCH(TournamentData[[#This Row],[Team Number]],RobotDesignResults[Team Number],0))),0,INDEX(RobotDesignResults[Robot Design Score],MATCH(TournamentData[[#This Row],[Team Number]],RobotDesignResults[Team Number],0)))</f>
        <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7" s="80">
        <f>IF(U97,_xlfn.RANK.EQ(U97,U$3:U$17,0),NumberOfTeams)</f>
        <v/>
      </c>
      <c r="W97" s="80" t="n"/>
    </row>
    <row r="98" ht="20.25" customHeight="1">
      <c r="A98" s="79" t="n">
        <v>96</v>
      </c>
      <c r="B98" s="79">
        <f>INDEX(OfficialTeamList[Pod Number],MATCH(TournamentData[[#This Row],[Team Number]], OfficialTeamList[Team '#],0))</f>
        <v/>
      </c>
      <c r="C98" s="105">
        <f>INDEX(OfficialTeamList[Team Name],MATCH(TournamentData[[#This Row],[Team Number]], OfficialTeamList[Team '#],0))</f>
        <v/>
      </c>
      <c r="D98" s="79">
        <f>IF(TournamentData[[#This Row],[Team Number]]="","",IF(ISNA(INDEX('Robot Game Scores'!C:C,MATCH(TournamentData[[#This Row],[Team Number]], 'Robot Game Scores'!$A:$A,0))),0,INDEX('Robot Game Scores'!C:C,MATCH(TournamentData[[#This Row],[Team Number]], 'Robot Game Scores'!$A:$A,0))))</f>
        <v/>
      </c>
      <c r="E98" s="79">
        <f>IF(TournamentData[[#This Row],[Team Number]]="","",IF(ISNA(INDEX('Robot Game Scores'!D:D,MATCH(TournamentData[[#This Row],[Team Number]], 'Robot Game Scores'!$A:$A,0))),0,INDEX('Robot Game Scores'!D:D,MATCH(TournamentData[[#This Row],[Team Number]], 'Robot Game Scores'!$A:$A,0))))</f>
        <v/>
      </c>
      <c r="F98" s="79">
        <f>IF(TournamentData[[#This Row],[Team Number]]="","",IF(ISNA(INDEX('Robot Game Scores'!E:E,MATCH(TournamentData[[#This Row],[Team Number]], 'Robot Game Scores'!$A:$A,0))),0,INDEX('Robot Game Scores'!E:E,MATCH(TournamentData[[#This Row],[Team Number]], 'Robot Game Scores'!$A:$A,0))))</f>
        <v/>
      </c>
      <c r="G98" s="79">
        <f>IF(TournamentData[[#This Row],[Team Number]]="","",IF(ISNA(INDEX('Robot Game Scores'!#REF!,MATCH(TournamentData[[#This Row],[Team Number]], 'Robot Game Scores'!$A:$A,0))),0,INDEX('Robot Game Scores'!#REF!,MATCH(TournamentData[[#This Row],[Team Number]], 'Robot Game Scores'!$A:$A,0))))</f>
        <v/>
      </c>
      <c r="H98" s="79">
        <f>IF(TournamentData[[#This Row],[Team Number]]="","",IF(ISNA(INDEX('Robot Game Scores'!#REF!,MATCH(TournamentData[[#This Row],[Team Number]], 'Robot Game Scores'!$A:$A,0))),0,INDEX('Robot Game Scores'!#REF!,MATCH(TournamentData[[#This Row],[Team Number]], 'Robot Game Scores'!$A:$A,0))))</f>
        <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8" s="79">
        <f>_xlfn.RANK.EQ(TournamentData[[#This Row],[Max Robot Game Score]],TournamentData[Max Robot Game Score])</f>
        <v/>
      </c>
      <c r="K98" s="79">
        <f>INDEX(CoreValuesResults[Core Values Rank],MATCH(TournamentData[[#This Row],[Team Number]],CoreValuesResults[Team Number],0))</f>
        <v/>
      </c>
      <c r="L98" s="79">
        <f>INDEX(InnovationProjectResults[Innovation Project Rank],MATCH(TournamentData[[#This Row],[Team Number]],InnovationProjectResults[Team Number],0))</f>
        <v/>
      </c>
      <c r="M98" s="79">
        <f>INDEX(RobotDesignResults[Robot Design Rank],MATCH(TournamentData[[#This Row],[Team Number]],RobotDesignResults[Team Number],0))</f>
        <v/>
      </c>
      <c r="N98" s="79">
        <f>SUM(TournamentData[[#This Row],[Robot Game Rank]:[Robot Design Rank]])</f>
        <v/>
      </c>
      <c r="O98" s="79">
        <f>RANK(TournamentData[[#This Row],[Champion''s Score]],TournamentData[Champion''s Score],1)</f>
        <v/>
      </c>
      <c r="P98" s="80" t="n"/>
      <c r="Q98" s="86" t="inlineStr">
        <is>
          <t>No</t>
        </is>
      </c>
      <c r="R98" s="81">
        <f>IF(ISNA(INDEX(CoreValuesResults[Core Values Score],MATCH(TournamentData[[#This Row],[Team Number]],CoreValuesResults[Team Number],0))),0,INDEX(CoreValuesResults[Core Values Score],MATCH(TournamentData[[#This Row],[Team Number]],CoreValuesResults[Team Number],0)))</f>
        <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
      </c>
      <c r="T98" s="81">
        <f>IF(ISNA(INDEX(RobotDesignResults[Robot Design Score],MATCH(TournamentData[[#This Row],[Team Number]],RobotDesignResults[Team Number],0))),0,INDEX(RobotDesignResults[Robot Design Score],MATCH(TournamentData[[#This Row],[Team Number]],RobotDesignResults[Team Number],0)))</f>
        <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8" s="80">
        <f>IF(U98,_xlfn.RANK.EQ(U98,U$3:U$17,0),NumberOfTeams)</f>
        <v/>
      </c>
      <c r="W98" s="80" t="n"/>
    </row>
    <row r="99" ht="20.25" customHeight="1">
      <c r="A99" s="79" t="n">
        <v>97</v>
      </c>
      <c r="B99" s="79">
        <f>INDEX(OfficialTeamList[Pod Number],MATCH(TournamentData[[#This Row],[Team Number]], OfficialTeamList[Team '#],0))</f>
        <v/>
      </c>
      <c r="C99" s="105">
        <f>INDEX(OfficialTeamList[Team Name],MATCH(TournamentData[[#This Row],[Team Number]], OfficialTeamList[Team '#],0))</f>
        <v/>
      </c>
      <c r="D99" s="79">
        <f>IF(TournamentData[[#This Row],[Team Number]]="","",IF(ISNA(INDEX('Robot Game Scores'!C:C,MATCH(TournamentData[[#This Row],[Team Number]], 'Robot Game Scores'!$A:$A,0))),0,INDEX('Robot Game Scores'!C:C,MATCH(TournamentData[[#This Row],[Team Number]], 'Robot Game Scores'!$A:$A,0))))</f>
        <v/>
      </c>
      <c r="E99" s="79">
        <f>IF(TournamentData[[#This Row],[Team Number]]="","",IF(ISNA(INDEX('Robot Game Scores'!D:D,MATCH(TournamentData[[#This Row],[Team Number]], 'Robot Game Scores'!$A:$A,0))),0,INDEX('Robot Game Scores'!D:D,MATCH(TournamentData[[#This Row],[Team Number]], 'Robot Game Scores'!$A:$A,0))))</f>
        <v/>
      </c>
      <c r="F99" s="79">
        <f>IF(TournamentData[[#This Row],[Team Number]]="","",IF(ISNA(INDEX('Robot Game Scores'!E:E,MATCH(TournamentData[[#This Row],[Team Number]], 'Robot Game Scores'!$A:$A,0))),0,INDEX('Robot Game Scores'!E:E,MATCH(TournamentData[[#This Row],[Team Number]], 'Robot Game Scores'!$A:$A,0))))</f>
        <v/>
      </c>
      <c r="G99" s="79">
        <f>IF(TournamentData[[#This Row],[Team Number]]="","",IF(ISNA(INDEX('Robot Game Scores'!#REF!,MATCH(TournamentData[[#This Row],[Team Number]], 'Robot Game Scores'!$A:$A,0))),0,INDEX('Robot Game Scores'!#REF!,MATCH(TournamentData[[#This Row],[Team Number]], 'Robot Game Scores'!$A:$A,0))))</f>
        <v/>
      </c>
      <c r="H99" s="79">
        <f>IF(TournamentData[[#This Row],[Team Number]]="","",IF(ISNA(INDEX('Robot Game Scores'!#REF!,MATCH(TournamentData[[#This Row],[Team Number]], 'Robot Game Scores'!$A:$A,0))),0,INDEX('Robot Game Scores'!#REF!,MATCH(TournamentData[[#This Row],[Team Number]], 'Robot Game Scores'!$A:$A,0))))</f>
        <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9" s="79">
        <f>_xlfn.RANK.EQ(TournamentData[[#This Row],[Max Robot Game Score]],TournamentData[Max Robot Game Score])</f>
        <v/>
      </c>
      <c r="K99" s="79">
        <f>INDEX(CoreValuesResults[Core Values Rank],MATCH(TournamentData[[#This Row],[Team Number]],CoreValuesResults[Team Number],0))</f>
        <v/>
      </c>
      <c r="L99" s="79">
        <f>INDEX(InnovationProjectResults[Innovation Project Rank],MATCH(TournamentData[[#This Row],[Team Number]],InnovationProjectResults[Team Number],0))</f>
        <v/>
      </c>
      <c r="M99" s="79">
        <f>INDEX(RobotDesignResults[Robot Design Rank],MATCH(TournamentData[[#This Row],[Team Number]],RobotDesignResults[Team Number],0))</f>
        <v/>
      </c>
      <c r="N99" s="79">
        <f>SUM(TournamentData[[#This Row],[Robot Game Rank]:[Robot Design Rank]])</f>
        <v/>
      </c>
      <c r="O99" s="79">
        <f>RANK(TournamentData[[#This Row],[Champion''s Score]],TournamentData[Champion''s Score],1)</f>
        <v/>
      </c>
      <c r="P99" s="80" t="n"/>
      <c r="Q99" s="86" t="inlineStr">
        <is>
          <t>No</t>
        </is>
      </c>
      <c r="R99" s="81">
        <f>IF(ISNA(INDEX(CoreValuesResults[Core Values Score],MATCH(TournamentData[[#This Row],[Team Number]],CoreValuesResults[Team Number],0))),0,INDEX(CoreValuesResults[Core Values Score],MATCH(TournamentData[[#This Row],[Team Number]],CoreValuesResults[Team Number],0)))</f>
        <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
      </c>
      <c r="T99" s="81">
        <f>IF(ISNA(INDEX(RobotDesignResults[Robot Design Score],MATCH(TournamentData[[#This Row],[Team Number]],RobotDesignResults[Team Number],0))),0,INDEX(RobotDesignResults[Robot Design Score],MATCH(TournamentData[[#This Row],[Team Number]],RobotDesignResults[Team Number],0)))</f>
        <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9" s="80">
        <f>IF(U99,_xlfn.RANK.EQ(U99,U$3:U$17,0),NumberOfTeams)</f>
        <v/>
      </c>
      <c r="W99" s="80" t="n"/>
    </row>
    <row r="100" ht="20.25" customHeight="1">
      <c r="A100" s="79" t="n">
        <v>98</v>
      </c>
      <c r="B100" s="79">
        <f>INDEX(OfficialTeamList[Pod Number],MATCH(TournamentData[[#This Row],[Team Number]], OfficialTeamList[Team '#],0))</f>
        <v/>
      </c>
      <c r="C100" s="105">
        <f>INDEX(OfficialTeamList[Team Name],MATCH(TournamentData[[#This Row],[Team Number]], OfficialTeamList[Team '#],0))</f>
        <v/>
      </c>
      <c r="D100" s="79">
        <f>IF(TournamentData[[#This Row],[Team Number]]="","",IF(ISNA(INDEX('Robot Game Scores'!C:C,MATCH(TournamentData[[#This Row],[Team Number]], 'Robot Game Scores'!$A:$A,0))),0,INDEX('Robot Game Scores'!C:C,MATCH(TournamentData[[#This Row],[Team Number]], 'Robot Game Scores'!$A:$A,0))))</f>
        <v/>
      </c>
      <c r="E100" s="79">
        <f>IF(TournamentData[[#This Row],[Team Number]]="","",IF(ISNA(INDEX('Robot Game Scores'!D:D,MATCH(TournamentData[[#This Row],[Team Number]], 'Robot Game Scores'!$A:$A,0))),0,INDEX('Robot Game Scores'!D:D,MATCH(TournamentData[[#This Row],[Team Number]], 'Robot Game Scores'!$A:$A,0))))</f>
        <v/>
      </c>
      <c r="F100" s="79">
        <f>IF(TournamentData[[#This Row],[Team Number]]="","",IF(ISNA(INDEX('Robot Game Scores'!E:E,MATCH(TournamentData[[#This Row],[Team Number]], 'Robot Game Scores'!$A:$A,0))),0,INDEX('Robot Game Scores'!E:E,MATCH(TournamentData[[#This Row],[Team Number]], 'Robot Game Scores'!$A:$A,0))))</f>
        <v/>
      </c>
      <c r="G100" s="79">
        <f>IF(TournamentData[[#This Row],[Team Number]]="","",IF(ISNA(INDEX('Robot Game Scores'!#REF!,MATCH(TournamentData[[#This Row],[Team Number]], 'Robot Game Scores'!$A:$A,0))),0,INDEX('Robot Game Scores'!#REF!,MATCH(TournamentData[[#This Row],[Team Number]], 'Robot Game Scores'!$A:$A,0))))</f>
        <v/>
      </c>
      <c r="H100" s="79">
        <f>IF(TournamentData[[#This Row],[Team Number]]="","",IF(ISNA(INDEX('Robot Game Scores'!#REF!,MATCH(TournamentData[[#This Row],[Team Number]], 'Robot Game Scores'!$A:$A,0))),0,INDEX('Robot Game Scores'!#REF!,MATCH(TournamentData[[#This Row],[Team Number]], 'Robot Game Scores'!$A:$A,0))))</f>
        <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0" s="79">
        <f>_xlfn.RANK.EQ(TournamentData[[#This Row],[Max Robot Game Score]],TournamentData[Max Robot Game Score])</f>
        <v/>
      </c>
      <c r="K100" s="79">
        <f>INDEX(CoreValuesResults[Core Values Rank],MATCH(TournamentData[[#This Row],[Team Number]],CoreValuesResults[Team Number],0))</f>
        <v/>
      </c>
      <c r="L100" s="79">
        <f>INDEX(InnovationProjectResults[Innovation Project Rank],MATCH(TournamentData[[#This Row],[Team Number]],InnovationProjectResults[Team Number],0))</f>
        <v/>
      </c>
      <c r="M100" s="79">
        <f>INDEX(RobotDesignResults[Robot Design Rank],MATCH(TournamentData[[#This Row],[Team Number]],RobotDesignResults[Team Number],0))</f>
        <v/>
      </c>
      <c r="N100" s="79">
        <f>SUM(TournamentData[[#This Row],[Robot Game Rank]:[Robot Design Rank]])</f>
        <v/>
      </c>
      <c r="O100" s="79">
        <f>RANK(TournamentData[[#This Row],[Champion''s Score]],TournamentData[Champion''s Score],1)</f>
        <v/>
      </c>
      <c r="P100" s="80" t="n"/>
      <c r="Q100" s="86" t="inlineStr">
        <is>
          <t>No</t>
        </is>
      </c>
      <c r="R100" s="81">
        <f>IF(ISNA(INDEX(CoreValuesResults[Core Values Score],MATCH(TournamentData[[#This Row],[Team Number]],CoreValuesResults[Team Number],0))),0,INDEX(CoreValuesResults[Core Values Score],MATCH(TournamentData[[#This Row],[Team Number]],CoreValuesResults[Team Number],0)))</f>
        <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
      </c>
      <c r="T100" s="81">
        <f>IF(ISNA(INDEX(RobotDesignResults[Robot Design Score],MATCH(TournamentData[[#This Row],[Team Number]],RobotDesignResults[Team Number],0))),0,INDEX(RobotDesignResults[Robot Design Score],MATCH(TournamentData[[#This Row],[Team Number]],RobotDesignResults[Team Number],0)))</f>
        <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0" s="80">
        <f>IF(U100,_xlfn.RANK.EQ(U100,U$3:U$17,0),NumberOfTeams)</f>
        <v/>
      </c>
      <c r="W100" s="80" t="n"/>
    </row>
    <row r="101" ht="20.25" customHeight="1">
      <c r="A101" s="79" t="n">
        <v>99</v>
      </c>
      <c r="B101" s="79">
        <f>INDEX(OfficialTeamList[Pod Number],MATCH(TournamentData[[#This Row],[Team Number]], OfficialTeamList[Team '#],0))</f>
        <v/>
      </c>
      <c r="C101" s="105">
        <f>INDEX(OfficialTeamList[Team Name],MATCH(TournamentData[[#This Row],[Team Number]], OfficialTeamList[Team '#],0))</f>
        <v/>
      </c>
      <c r="D101" s="79">
        <f>IF(TournamentData[[#This Row],[Team Number]]="","",IF(ISNA(INDEX('Robot Game Scores'!C:C,MATCH(TournamentData[[#This Row],[Team Number]], 'Robot Game Scores'!$A:$A,0))),0,INDEX('Robot Game Scores'!C:C,MATCH(TournamentData[[#This Row],[Team Number]], 'Robot Game Scores'!$A:$A,0))))</f>
        <v/>
      </c>
      <c r="E101" s="79">
        <f>IF(TournamentData[[#This Row],[Team Number]]="","",IF(ISNA(INDEX('Robot Game Scores'!D:D,MATCH(TournamentData[[#This Row],[Team Number]], 'Robot Game Scores'!$A:$A,0))),0,INDEX('Robot Game Scores'!D:D,MATCH(TournamentData[[#This Row],[Team Number]], 'Robot Game Scores'!$A:$A,0))))</f>
        <v/>
      </c>
      <c r="F101" s="79">
        <f>IF(TournamentData[[#This Row],[Team Number]]="","",IF(ISNA(INDEX('Robot Game Scores'!E:E,MATCH(TournamentData[[#This Row],[Team Number]], 'Robot Game Scores'!$A:$A,0))),0,INDEX('Robot Game Scores'!E:E,MATCH(TournamentData[[#This Row],[Team Number]], 'Robot Game Scores'!$A:$A,0))))</f>
        <v/>
      </c>
      <c r="G101" s="79">
        <f>IF(TournamentData[[#This Row],[Team Number]]="","",IF(ISNA(INDEX('Robot Game Scores'!#REF!,MATCH(TournamentData[[#This Row],[Team Number]], 'Robot Game Scores'!$A:$A,0))),0,INDEX('Robot Game Scores'!#REF!,MATCH(TournamentData[[#This Row],[Team Number]], 'Robot Game Scores'!$A:$A,0))))</f>
        <v/>
      </c>
      <c r="H101" s="79">
        <f>IF(TournamentData[[#This Row],[Team Number]]="","",IF(ISNA(INDEX('Robot Game Scores'!#REF!,MATCH(TournamentData[[#This Row],[Team Number]], 'Robot Game Scores'!$A:$A,0))),0,INDEX('Robot Game Scores'!#REF!,MATCH(TournamentData[[#This Row],[Team Number]], 'Robot Game Scores'!$A:$A,0))))</f>
        <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1" s="79">
        <f>_xlfn.RANK.EQ(TournamentData[[#This Row],[Max Robot Game Score]],TournamentData[Max Robot Game Score])</f>
        <v/>
      </c>
      <c r="K101" s="79">
        <f>INDEX(CoreValuesResults[Core Values Rank],MATCH(TournamentData[[#This Row],[Team Number]],CoreValuesResults[Team Number],0))</f>
        <v/>
      </c>
      <c r="L101" s="79">
        <f>INDEX(InnovationProjectResults[Innovation Project Rank],MATCH(TournamentData[[#This Row],[Team Number]],InnovationProjectResults[Team Number],0))</f>
        <v/>
      </c>
      <c r="M101" s="79">
        <f>INDEX(RobotDesignResults[Robot Design Rank],MATCH(TournamentData[[#This Row],[Team Number]],RobotDesignResults[Team Number],0))</f>
        <v/>
      </c>
      <c r="N101" s="79">
        <f>SUM(TournamentData[[#This Row],[Robot Game Rank]:[Robot Design Rank]])</f>
        <v/>
      </c>
      <c r="O101" s="79">
        <f>RANK(TournamentData[[#This Row],[Champion''s Score]],TournamentData[Champion''s Score],1)</f>
        <v/>
      </c>
      <c r="P101" s="80" t="n"/>
      <c r="Q101" s="86" t="inlineStr">
        <is>
          <t>No</t>
        </is>
      </c>
      <c r="R101" s="81">
        <f>IF(ISNA(INDEX(CoreValuesResults[Core Values Score],MATCH(TournamentData[[#This Row],[Team Number]],CoreValuesResults[Team Number],0))),0,INDEX(CoreValuesResults[Core Values Score],MATCH(TournamentData[[#This Row],[Team Number]],CoreValuesResults[Team Number],0)))</f>
        <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
      </c>
      <c r="T101" s="81">
        <f>IF(ISNA(INDEX(RobotDesignResults[Robot Design Score],MATCH(TournamentData[[#This Row],[Team Number]],RobotDesignResults[Team Number],0))),0,INDEX(RobotDesignResults[Robot Design Score],MATCH(TournamentData[[#This Row],[Team Number]],RobotDesignResults[Team Number],0)))</f>
        <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1" s="80">
        <f>IF(U101,_xlfn.RANK.EQ(U101,U$3:U$17,0),NumberOfTeams)</f>
        <v/>
      </c>
      <c r="W101" s="80" t="n"/>
    </row>
    <row r="102" ht="20.25" customHeight="1">
      <c r="A102" s="79" t="n">
        <v>100</v>
      </c>
      <c r="B102" s="79">
        <f>INDEX(OfficialTeamList[Pod Number],MATCH(TournamentData[[#This Row],[Team Number]], OfficialTeamList[Team '#],0))</f>
        <v/>
      </c>
      <c r="C102" s="105">
        <f>INDEX(OfficialTeamList[Team Name],MATCH(TournamentData[[#This Row],[Team Number]], OfficialTeamList[Team '#],0))</f>
        <v/>
      </c>
      <c r="D102" s="79">
        <f>IF(TournamentData[[#This Row],[Team Number]]="","",IF(ISNA(INDEX('Robot Game Scores'!C:C,MATCH(TournamentData[[#This Row],[Team Number]], 'Robot Game Scores'!$A:$A,0))),0,INDEX('Robot Game Scores'!C:C,MATCH(TournamentData[[#This Row],[Team Number]], 'Robot Game Scores'!$A:$A,0))))</f>
        <v/>
      </c>
      <c r="E102" s="79">
        <f>IF(TournamentData[[#This Row],[Team Number]]="","",IF(ISNA(INDEX('Robot Game Scores'!D:D,MATCH(TournamentData[[#This Row],[Team Number]], 'Robot Game Scores'!$A:$A,0))),0,INDEX('Robot Game Scores'!D:D,MATCH(TournamentData[[#This Row],[Team Number]], 'Robot Game Scores'!$A:$A,0))))</f>
        <v/>
      </c>
      <c r="F102" s="79">
        <f>IF(TournamentData[[#This Row],[Team Number]]="","",IF(ISNA(INDEX('Robot Game Scores'!E:E,MATCH(TournamentData[[#This Row],[Team Number]], 'Robot Game Scores'!$A:$A,0))),0,INDEX('Robot Game Scores'!E:E,MATCH(TournamentData[[#This Row],[Team Number]], 'Robot Game Scores'!$A:$A,0))))</f>
        <v/>
      </c>
      <c r="G102" s="79">
        <f>IF(TournamentData[[#This Row],[Team Number]]="","",IF(ISNA(INDEX('Robot Game Scores'!#REF!,MATCH(TournamentData[[#This Row],[Team Number]], 'Robot Game Scores'!$A:$A,0))),0,INDEX('Robot Game Scores'!#REF!,MATCH(TournamentData[[#This Row],[Team Number]], 'Robot Game Scores'!$A:$A,0))))</f>
        <v/>
      </c>
      <c r="H102" s="79">
        <f>IF(TournamentData[[#This Row],[Team Number]]="","",IF(ISNA(INDEX('Robot Game Scores'!#REF!,MATCH(TournamentData[[#This Row],[Team Number]], 'Robot Game Scores'!$A:$A,0))),0,INDEX('Robot Game Scores'!#REF!,MATCH(TournamentData[[#This Row],[Team Number]], 'Robot Game Scores'!$A:$A,0))))</f>
        <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2" s="79">
        <f>_xlfn.RANK.EQ(TournamentData[[#This Row],[Max Robot Game Score]],TournamentData[Max Robot Game Score])</f>
        <v/>
      </c>
      <c r="K102" s="79">
        <f>INDEX(CoreValuesResults[Core Values Rank],MATCH(TournamentData[[#This Row],[Team Number]],CoreValuesResults[Team Number],0))</f>
        <v/>
      </c>
      <c r="L102" s="79">
        <f>INDEX(InnovationProjectResults[Innovation Project Rank],MATCH(TournamentData[[#This Row],[Team Number]],InnovationProjectResults[Team Number],0))</f>
        <v/>
      </c>
      <c r="M102" s="79">
        <f>INDEX(RobotDesignResults[Robot Design Rank],MATCH(TournamentData[[#This Row],[Team Number]],RobotDesignResults[Team Number],0))</f>
        <v/>
      </c>
      <c r="N102" s="79">
        <f>SUM(TournamentData[[#This Row],[Robot Game Rank]:[Robot Design Rank]])</f>
        <v/>
      </c>
      <c r="O102" s="79">
        <f>RANK(TournamentData[[#This Row],[Champion''s Score]],TournamentData[Champion''s Score],1)</f>
        <v/>
      </c>
      <c r="P102" s="80" t="n"/>
      <c r="Q102" s="86" t="inlineStr">
        <is>
          <t>No</t>
        </is>
      </c>
      <c r="R102" s="81">
        <f>IF(ISNA(INDEX(CoreValuesResults[Core Values Score],MATCH(TournamentData[[#This Row],[Team Number]],CoreValuesResults[Team Number],0))),0,INDEX(CoreValuesResults[Core Values Score],MATCH(TournamentData[[#This Row],[Team Number]],CoreValuesResults[Team Number],0)))</f>
        <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
      </c>
      <c r="T102" s="81">
        <f>IF(ISNA(INDEX(RobotDesignResults[Robot Design Score],MATCH(TournamentData[[#This Row],[Team Number]],RobotDesignResults[Team Number],0))),0,INDEX(RobotDesignResults[Robot Design Score],MATCH(TournamentData[[#This Row],[Team Number]],RobotDesignResults[Team Number],0)))</f>
        <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2" s="80">
        <f>IF(U102,_xlfn.RANK.EQ(U102,U$3:U$17,0),NumberOfTeams)</f>
        <v/>
      </c>
      <c r="W102" s="80" t="n"/>
    </row>
    <row r="103" ht="20.25" customHeight="1">
      <c r="A103" s="79" t="n">
        <v>101</v>
      </c>
      <c r="B103" s="79">
        <f>INDEX(OfficialTeamList[Pod Number],MATCH(TournamentData[[#This Row],[Team Number]], OfficialTeamList[Team '#],0))</f>
        <v/>
      </c>
      <c r="C103" s="105">
        <f>INDEX(OfficialTeamList[Team Name],MATCH(TournamentData[[#This Row],[Team Number]], OfficialTeamList[Team '#],0))</f>
        <v/>
      </c>
      <c r="D103" s="79">
        <f>IF(TournamentData[[#This Row],[Team Number]]="","",IF(ISNA(INDEX('Robot Game Scores'!C:C,MATCH(TournamentData[[#This Row],[Team Number]], 'Robot Game Scores'!$A:$A,0))),0,INDEX('Robot Game Scores'!C:C,MATCH(TournamentData[[#This Row],[Team Number]], 'Robot Game Scores'!$A:$A,0))))</f>
        <v/>
      </c>
      <c r="E103" s="79">
        <f>IF(TournamentData[[#This Row],[Team Number]]="","",IF(ISNA(INDEX('Robot Game Scores'!D:D,MATCH(TournamentData[[#This Row],[Team Number]], 'Robot Game Scores'!$A:$A,0))),0,INDEX('Robot Game Scores'!D:D,MATCH(TournamentData[[#This Row],[Team Number]], 'Robot Game Scores'!$A:$A,0))))</f>
        <v/>
      </c>
      <c r="F103" s="79">
        <f>IF(TournamentData[[#This Row],[Team Number]]="","",IF(ISNA(INDEX('Robot Game Scores'!E:E,MATCH(TournamentData[[#This Row],[Team Number]], 'Robot Game Scores'!$A:$A,0))),0,INDEX('Robot Game Scores'!E:E,MATCH(TournamentData[[#This Row],[Team Number]], 'Robot Game Scores'!$A:$A,0))))</f>
        <v/>
      </c>
      <c r="G103" s="79">
        <f>IF(TournamentData[[#This Row],[Team Number]]="","",IF(ISNA(INDEX('Robot Game Scores'!#REF!,MATCH(TournamentData[[#This Row],[Team Number]], 'Robot Game Scores'!$A:$A,0))),0,INDEX('Robot Game Scores'!#REF!,MATCH(TournamentData[[#This Row],[Team Number]], 'Robot Game Scores'!$A:$A,0))))</f>
        <v/>
      </c>
      <c r="H103" s="79">
        <f>IF(TournamentData[[#This Row],[Team Number]]="","",IF(ISNA(INDEX('Robot Game Scores'!#REF!,MATCH(TournamentData[[#This Row],[Team Number]], 'Robot Game Scores'!$A:$A,0))),0,INDEX('Robot Game Scores'!#REF!,MATCH(TournamentData[[#This Row],[Team Number]], 'Robot Game Scores'!$A:$A,0))))</f>
        <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3" s="79">
        <f>_xlfn.RANK.EQ(TournamentData[[#This Row],[Max Robot Game Score]],TournamentData[Max Robot Game Score])</f>
        <v/>
      </c>
      <c r="K103" s="79">
        <f>INDEX(CoreValuesResults[Core Values Rank],MATCH(TournamentData[[#This Row],[Team Number]],CoreValuesResults[Team Number],0))</f>
        <v/>
      </c>
      <c r="L103" s="79">
        <f>INDEX(InnovationProjectResults[Innovation Project Rank],MATCH(TournamentData[[#This Row],[Team Number]],InnovationProjectResults[Team Number],0))</f>
        <v/>
      </c>
      <c r="M103" s="79">
        <f>INDEX(RobotDesignResults[Robot Design Rank],MATCH(TournamentData[[#This Row],[Team Number]],RobotDesignResults[Team Number],0))</f>
        <v/>
      </c>
      <c r="N103" s="79">
        <f>SUM(TournamentData[[#This Row],[Robot Game Rank]:[Robot Design Rank]])</f>
        <v/>
      </c>
      <c r="O103" s="79">
        <f>RANK(TournamentData[[#This Row],[Champion''s Score]],TournamentData[Champion''s Score],1)</f>
        <v/>
      </c>
      <c r="P103" s="80" t="n"/>
      <c r="Q103" s="86" t="inlineStr">
        <is>
          <t>No</t>
        </is>
      </c>
      <c r="R103" s="81">
        <f>IF(ISNA(INDEX(CoreValuesResults[Core Values Score],MATCH(TournamentData[[#This Row],[Team Number]],CoreValuesResults[Team Number],0))),0,INDEX(CoreValuesResults[Core Values Score],MATCH(TournamentData[[#This Row],[Team Number]],CoreValuesResults[Team Number],0)))</f>
        <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
      </c>
      <c r="T103" s="81">
        <f>IF(ISNA(INDEX(RobotDesignResults[Robot Design Score],MATCH(TournamentData[[#This Row],[Team Number]],RobotDesignResults[Team Number],0))),0,INDEX(RobotDesignResults[Robot Design Score],MATCH(TournamentData[[#This Row],[Team Number]],RobotDesignResults[Team Number],0)))</f>
        <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3" s="80">
        <f>IF(U103,_xlfn.RANK.EQ(U103,U$3:U$17,0),NumberOfTeams)</f>
        <v/>
      </c>
      <c r="W103" s="80" t="n"/>
    </row>
    <row r="104" ht="20.25" customHeight="1">
      <c r="A104" s="79" t="n">
        <v>102</v>
      </c>
      <c r="B104" s="79">
        <f>INDEX(OfficialTeamList[Pod Number],MATCH(TournamentData[[#This Row],[Team Number]], OfficialTeamList[Team '#],0))</f>
        <v/>
      </c>
      <c r="C104" s="105">
        <f>INDEX(OfficialTeamList[Team Name],MATCH(TournamentData[[#This Row],[Team Number]], OfficialTeamList[Team '#],0))</f>
        <v/>
      </c>
      <c r="D104" s="79">
        <f>IF(TournamentData[[#This Row],[Team Number]]="","",IF(ISNA(INDEX('Robot Game Scores'!C:C,MATCH(TournamentData[[#This Row],[Team Number]], 'Robot Game Scores'!$A:$A,0))),0,INDEX('Robot Game Scores'!C:C,MATCH(TournamentData[[#This Row],[Team Number]], 'Robot Game Scores'!$A:$A,0))))</f>
        <v/>
      </c>
      <c r="E104" s="79">
        <f>IF(TournamentData[[#This Row],[Team Number]]="","",IF(ISNA(INDEX('Robot Game Scores'!D:D,MATCH(TournamentData[[#This Row],[Team Number]], 'Robot Game Scores'!$A:$A,0))),0,INDEX('Robot Game Scores'!D:D,MATCH(TournamentData[[#This Row],[Team Number]], 'Robot Game Scores'!$A:$A,0))))</f>
        <v/>
      </c>
      <c r="F104" s="79">
        <f>IF(TournamentData[[#This Row],[Team Number]]="","",IF(ISNA(INDEX('Robot Game Scores'!E:E,MATCH(TournamentData[[#This Row],[Team Number]], 'Robot Game Scores'!$A:$A,0))),0,INDEX('Robot Game Scores'!E:E,MATCH(TournamentData[[#This Row],[Team Number]], 'Robot Game Scores'!$A:$A,0))))</f>
        <v/>
      </c>
      <c r="G104" s="79">
        <f>IF(TournamentData[[#This Row],[Team Number]]="","",IF(ISNA(INDEX('Robot Game Scores'!#REF!,MATCH(TournamentData[[#This Row],[Team Number]], 'Robot Game Scores'!$A:$A,0))),0,INDEX('Robot Game Scores'!#REF!,MATCH(TournamentData[[#This Row],[Team Number]], 'Robot Game Scores'!$A:$A,0))))</f>
        <v/>
      </c>
      <c r="H104" s="79">
        <f>IF(TournamentData[[#This Row],[Team Number]]="","",IF(ISNA(INDEX('Robot Game Scores'!#REF!,MATCH(TournamentData[[#This Row],[Team Number]], 'Robot Game Scores'!$A:$A,0))),0,INDEX('Robot Game Scores'!#REF!,MATCH(TournamentData[[#This Row],[Team Number]], 'Robot Game Scores'!$A:$A,0))))</f>
        <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4" s="79">
        <f>_xlfn.RANK.EQ(TournamentData[[#This Row],[Max Robot Game Score]],TournamentData[Max Robot Game Score])</f>
        <v/>
      </c>
      <c r="K104" s="79">
        <f>INDEX(CoreValuesResults[Core Values Rank],MATCH(TournamentData[[#This Row],[Team Number]],CoreValuesResults[Team Number],0))</f>
        <v/>
      </c>
      <c r="L104" s="79">
        <f>INDEX(InnovationProjectResults[Innovation Project Rank],MATCH(TournamentData[[#This Row],[Team Number]],InnovationProjectResults[Team Number],0))</f>
        <v/>
      </c>
      <c r="M104" s="79">
        <f>INDEX(RobotDesignResults[Robot Design Rank],MATCH(TournamentData[[#This Row],[Team Number]],RobotDesignResults[Team Number],0))</f>
        <v/>
      </c>
      <c r="N104" s="79">
        <f>SUM(TournamentData[[#This Row],[Robot Game Rank]:[Robot Design Rank]])</f>
        <v/>
      </c>
      <c r="O104" s="79">
        <f>RANK(TournamentData[[#This Row],[Champion''s Score]],TournamentData[Champion''s Score],1)</f>
        <v/>
      </c>
      <c r="P104" s="80" t="n"/>
      <c r="Q104" s="86" t="inlineStr">
        <is>
          <t>No</t>
        </is>
      </c>
      <c r="R104" s="81">
        <f>IF(ISNA(INDEX(CoreValuesResults[Core Values Score],MATCH(TournamentData[[#This Row],[Team Number]],CoreValuesResults[Team Number],0))),0,INDEX(CoreValuesResults[Core Values Score],MATCH(TournamentData[[#This Row],[Team Number]],CoreValuesResults[Team Number],0)))</f>
        <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
      </c>
      <c r="T104" s="81">
        <f>IF(ISNA(INDEX(RobotDesignResults[Robot Design Score],MATCH(TournamentData[[#This Row],[Team Number]],RobotDesignResults[Team Number],0))),0,INDEX(RobotDesignResults[Robot Design Score],MATCH(TournamentData[[#This Row],[Team Number]],RobotDesignResults[Team Number],0)))</f>
        <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4" s="80">
        <f>IF(U104,_xlfn.RANK.EQ(U104,U$3:U$17,0),NumberOfTeams)</f>
        <v/>
      </c>
      <c r="W104" s="80" t="n"/>
    </row>
    <row r="105" ht="20.25" customHeight="1">
      <c r="A105" s="79" t="n">
        <v>103</v>
      </c>
      <c r="B105" s="79">
        <f>INDEX(OfficialTeamList[Pod Number],MATCH(TournamentData[[#This Row],[Team Number]], OfficialTeamList[Team '#],0))</f>
        <v/>
      </c>
      <c r="C105" s="105">
        <f>INDEX(OfficialTeamList[Team Name],MATCH(TournamentData[[#This Row],[Team Number]], OfficialTeamList[Team '#],0))</f>
        <v/>
      </c>
      <c r="D105" s="79">
        <f>IF(TournamentData[[#This Row],[Team Number]]="","",IF(ISNA(INDEX('Robot Game Scores'!C:C,MATCH(TournamentData[[#This Row],[Team Number]], 'Robot Game Scores'!$A:$A,0))),0,INDEX('Robot Game Scores'!C:C,MATCH(TournamentData[[#This Row],[Team Number]], 'Robot Game Scores'!$A:$A,0))))</f>
        <v/>
      </c>
      <c r="E105" s="79">
        <f>IF(TournamentData[[#This Row],[Team Number]]="","",IF(ISNA(INDEX('Robot Game Scores'!D:D,MATCH(TournamentData[[#This Row],[Team Number]], 'Robot Game Scores'!$A:$A,0))),0,INDEX('Robot Game Scores'!D:D,MATCH(TournamentData[[#This Row],[Team Number]], 'Robot Game Scores'!$A:$A,0))))</f>
        <v/>
      </c>
      <c r="F105" s="79">
        <f>IF(TournamentData[[#This Row],[Team Number]]="","",IF(ISNA(INDEX('Robot Game Scores'!E:E,MATCH(TournamentData[[#This Row],[Team Number]], 'Robot Game Scores'!$A:$A,0))),0,INDEX('Robot Game Scores'!E:E,MATCH(TournamentData[[#This Row],[Team Number]], 'Robot Game Scores'!$A:$A,0))))</f>
        <v/>
      </c>
      <c r="G105" s="79">
        <f>IF(TournamentData[[#This Row],[Team Number]]="","",IF(ISNA(INDEX('Robot Game Scores'!#REF!,MATCH(TournamentData[[#This Row],[Team Number]], 'Robot Game Scores'!$A:$A,0))),0,INDEX('Robot Game Scores'!#REF!,MATCH(TournamentData[[#This Row],[Team Number]], 'Robot Game Scores'!$A:$A,0))))</f>
        <v/>
      </c>
      <c r="H105" s="79">
        <f>IF(TournamentData[[#This Row],[Team Number]]="","",IF(ISNA(INDEX('Robot Game Scores'!#REF!,MATCH(TournamentData[[#This Row],[Team Number]], 'Robot Game Scores'!$A:$A,0))),0,INDEX('Robot Game Scores'!#REF!,MATCH(TournamentData[[#This Row],[Team Number]], 'Robot Game Scores'!$A:$A,0))))</f>
        <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5" s="79">
        <f>_xlfn.RANK.EQ(TournamentData[[#This Row],[Max Robot Game Score]],TournamentData[Max Robot Game Score])</f>
        <v/>
      </c>
      <c r="K105" s="79">
        <f>INDEX(CoreValuesResults[Core Values Rank],MATCH(TournamentData[[#This Row],[Team Number]],CoreValuesResults[Team Number],0))</f>
        <v/>
      </c>
      <c r="L105" s="79">
        <f>INDEX(InnovationProjectResults[Innovation Project Rank],MATCH(TournamentData[[#This Row],[Team Number]],InnovationProjectResults[Team Number],0))</f>
        <v/>
      </c>
      <c r="M105" s="79">
        <f>INDEX(RobotDesignResults[Robot Design Rank],MATCH(TournamentData[[#This Row],[Team Number]],RobotDesignResults[Team Number],0))</f>
        <v/>
      </c>
      <c r="N105" s="79">
        <f>SUM(TournamentData[[#This Row],[Robot Game Rank]:[Robot Design Rank]])</f>
        <v/>
      </c>
      <c r="O105" s="79">
        <f>RANK(TournamentData[[#This Row],[Champion''s Score]],TournamentData[Champion''s Score],1)</f>
        <v/>
      </c>
      <c r="P105" s="80" t="n"/>
      <c r="Q105" s="86" t="inlineStr">
        <is>
          <t>No</t>
        </is>
      </c>
      <c r="R105" s="81">
        <f>IF(ISNA(INDEX(CoreValuesResults[Core Values Score],MATCH(TournamentData[[#This Row],[Team Number]],CoreValuesResults[Team Number],0))),0,INDEX(CoreValuesResults[Core Values Score],MATCH(TournamentData[[#This Row],[Team Number]],CoreValuesResults[Team Number],0)))</f>
        <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
      </c>
      <c r="T105" s="81">
        <f>IF(ISNA(INDEX(RobotDesignResults[Robot Design Score],MATCH(TournamentData[[#This Row],[Team Number]],RobotDesignResults[Team Number],0))),0,INDEX(RobotDesignResults[Robot Design Score],MATCH(TournamentData[[#This Row],[Team Number]],RobotDesignResults[Team Number],0)))</f>
        <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5" s="80">
        <f>IF(U105,_xlfn.RANK.EQ(U105,U$3:U$17,0),NumberOfTeams)</f>
        <v/>
      </c>
      <c r="W105" s="80" t="n"/>
    </row>
    <row r="106" ht="20.25" customHeight="1">
      <c r="A106" s="79" t="n">
        <v>104</v>
      </c>
      <c r="B106" s="79">
        <f>INDEX(OfficialTeamList[Pod Number],MATCH(TournamentData[[#This Row],[Team Number]], OfficialTeamList[Team '#],0))</f>
        <v/>
      </c>
      <c r="C106" s="105">
        <f>INDEX(OfficialTeamList[Team Name],MATCH(TournamentData[[#This Row],[Team Number]], OfficialTeamList[Team '#],0))</f>
        <v/>
      </c>
      <c r="D106" s="79">
        <f>IF(TournamentData[[#This Row],[Team Number]]="","",IF(ISNA(INDEX('Robot Game Scores'!C:C,MATCH(TournamentData[[#This Row],[Team Number]], 'Robot Game Scores'!$A:$A,0))),0,INDEX('Robot Game Scores'!C:C,MATCH(TournamentData[[#This Row],[Team Number]], 'Robot Game Scores'!$A:$A,0))))</f>
        <v/>
      </c>
      <c r="E106" s="79">
        <f>IF(TournamentData[[#This Row],[Team Number]]="","",IF(ISNA(INDEX('Robot Game Scores'!D:D,MATCH(TournamentData[[#This Row],[Team Number]], 'Robot Game Scores'!$A:$A,0))),0,INDEX('Robot Game Scores'!D:D,MATCH(TournamentData[[#This Row],[Team Number]], 'Robot Game Scores'!$A:$A,0))))</f>
        <v/>
      </c>
      <c r="F106" s="79">
        <f>IF(TournamentData[[#This Row],[Team Number]]="","",IF(ISNA(INDEX('Robot Game Scores'!E:E,MATCH(TournamentData[[#This Row],[Team Number]], 'Robot Game Scores'!$A:$A,0))),0,INDEX('Robot Game Scores'!E:E,MATCH(TournamentData[[#This Row],[Team Number]], 'Robot Game Scores'!$A:$A,0))))</f>
        <v/>
      </c>
      <c r="G106" s="79">
        <f>IF(TournamentData[[#This Row],[Team Number]]="","",IF(ISNA(INDEX('Robot Game Scores'!#REF!,MATCH(TournamentData[[#This Row],[Team Number]], 'Robot Game Scores'!$A:$A,0))),0,INDEX('Robot Game Scores'!#REF!,MATCH(TournamentData[[#This Row],[Team Number]], 'Robot Game Scores'!$A:$A,0))))</f>
        <v/>
      </c>
      <c r="H106" s="79">
        <f>IF(TournamentData[[#This Row],[Team Number]]="","",IF(ISNA(INDEX('Robot Game Scores'!#REF!,MATCH(TournamentData[[#This Row],[Team Number]], 'Robot Game Scores'!$A:$A,0))),0,INDEX('Robot Game Scores'!#REF!,MATCH(TournamentData[[#This Row],[Team Number]], 'Robot Game Scores'!$A:$A,0))))</f>
        <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6" s="79">
        <f>_xlfn.RANK.EQ(TournamentData[[#This Row],[Max Robot Game Score]],TournamentData[Max Robot Game Score])</f>
        <v/>
      </c>
      <c r="K106" s="79">
        <f>INDEX(CoreValuesResults[Core Values Rank],MATCH(TournamentData[[#This Row],[Team Number]],CoreValuesResults[Team Number],0))</f>
        <v/>
      </c>
      <c r="L106" s="79">
        <f>INDEX(InnovationProjectResults[Innovation Project Rank],MATCH(TournamentData[[#This Row],[Team Number]],InnovationProjectResults[Team Number],0))</f>
        <v/>
      </c>
      <c r="M106" s="79">
        <f>INDEX(RobotDesignResults[Robot Design Rank],MATCH(TournamentData[[#This Row],[Team Number]],RobotDesignResults[Team Number],0))</f>
        <v/>
      </c>
      <c r="N106" s="79">
        <f>SUM(TournamentData[[#This Row],[Robot Game Rank]:[Robot Design Rank]])</f>
        <v/>
      </c>
      <c r="O106" s="79">
        <f>RANK(TournamentData[[#This Row],[Champion''s Score]],TournamentData[Champion''s Score],1)</f>
        <v/>
      </c>
      <c r="P106" s="80" t="n"/>
      <c r="Q106" s="86" t="inlineStr">
        <is>
          <t>No</t>
        </is>
      </c>
      <c r="R106" s="81">
        <f>IF(ISNA(INDEX(CoreValuesResults[Core Values Score],MATCH(TournamentData[[#This Row],[Team Number]],CoreValuesResults[Team Number],0))),0,INDEX(CoreValuesResults[Core Values Score],MATCH(TournamentData[[#This Row],[Team Number]],CoreValuesResults[Team Number],0)))</f>
        <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
      </c>
      <c r="T106" s="81">
        <f>IF(ISNA(INDEX(RobotDesignResults[Robot Design Score],MATCH(TournamentData[[#This Row],[Team Number]],RobotDesignResults[Team Number],0))),0,INDEX(RobotDesignResults[Robot Design Score],MATCH(TournamentData[[#This Row],[Team Number]],RobotDesignResults[Team Number],0)))</f>
        <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6" s="80">
        <f>IF(U106,_xlfn.RANK.EQ(U106,U$3:U$17,0),NumberOfTeams)</f>
        <v/>
      </c>
      <c r="W106" s="80" t="n"/>
    </row>
    <row r="107" ht="20.25" customHeight="1">
      <c r="A107" s="79" t="n">
        <v>105</v>
      </c>
      <c r="B107" s="79">
        <f>INDEX(OfficialTeamList[Pod Number],MATCH(TournamentData[[#This Row],[Team Number]], OfficialTeamList[Team '#],0))</f>
        <v/>
      </c>
      <c r="C107" s="105">
        <f>INDEX(OfficialTeamList[Team Name],MATCH(TournamentData[[#This Row],[Team Number]], OfficialTeamList[Team '#],0))</f>
        <v/>
      </c>
      <c r="D107" s="79">
        <f>IF(TournamentData[[#This Row],[Team Number]]="","",IF(ISNA(INDEX('Robot Game Scores'!C:C,MATCH(TournamentData[[#This Row],[Team Number]], 'Robot Game Scores'!$A:$A,0))),0,INDEX('Robot Game Scores'!C:C,MATCH(TournamentData[[#This Row],[Team Number]], 'Robot Game Scores'!$A:$A,0))))</f>
        <v/>
      </c>
      <c r="E107" s="79">
        <f>IF(TournamentData[[#This Row],[Team Number]]="","",IF(ISNA(INDEX('Robot Game Scores'!D:D,MATCH(TournamentData[[#This Row],[Team Number]], 'Robot Game Scores'!$A:$A,0))),0,INDEX('Robot Game Scores'!D:D,MATCH(TournamentData[[#This Row],[Team Number]], 'Robot Game Scores'!$A:$A,0))))</f>
        <v/>
      </c>
      <c r="F107" s="79">
        <f>IF(TournamentData[[#This Row],[Team Number]]="","",IF(ISNA(INDEX('Robot Game Scores'!E:E,MATCH(TournamentData[[#This Row],[Team Number]], 'Robot Game Scores'!$A:$A,0))),0,INDEX('Robot Game Scores'!E:E,MATCH(TournamentData[[#This Row],[Team Number]], 'Robot Game Scores'!$A:$A,0))))</f>
        <v/>
      </c>
      <c r="G107" s="79">
        <f>IF(TournamentData[[#This Row],[Team Number]]="","",IF(ISNA(INDEX('Robot Game Scores'!#REF!,MATCH(TournamentData[[#This Row],[Team Number]], 'Robot Game Scores'!$A:$A,0))),0,INDEX('Robot Game Scores'!#REF!,MATCH(TournamentData[[#This Row],[Team Number]], 'Robot Game Scores'!$A:$A,0))))</f>
        <v/>
      </c>
      <c r="H107" s="79">
        <f>IF(TournamentData[[#This Row],[Team Number]]="","",IF(ISNA(INDEX('Robot Game Scores'!#REF!,MATCH(TournamentData[[#This Row],[Team Number]], 'Robot Game Scores'!$A:$A,0))),0,INDEX('Robot Game Scores'!#REF!,MATCH(TournamentData[[#This Row],[Team Number]], 'Robot Game Scores'!$A:$A,0))))</f>
        <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7" s="79">
        <f>_xlfn.RANK.EQ(TournamentData[[#This Row],[Max Robot Game Score]],TournamentData[Max Robot Game Score])</f>
        <v/>
      </c>
      <c r="K107" s="79">
        <f>INDEX(CoreValuesResults[Core Values Rank],MATCH(TournamentData[[#This Row],[Team Number]],CoreValuesResults[Team Number],0))</f>
        <v/>
      </c>
      <c r="L107" s="79">
        <f>INDEX(InnovationProjectResults[Innovation Project Rank],MATCH(TournamentData[[#This Row],[Team Number]],InnovationProjectResults[Team Number],0))</f>
        <v/>
      </c>
      <c r="M107" s="79">
        <f>INDEX(RobotDesignResults[Robot Design Rank],MATCH(TournamentData[[#This Row],[Team Number]],RobotDesignResults[Team Number],0))</f>
        <v/>
      </c>
      <c r="N107" s="79">
        <f>SUM(TournamentData[[#This Row],[Robot Game Rank]:[Robot Design Rank]])</f>
        <v/>
      </c>
      <c r="O107" s="79">
        <f>RANK(TournamentData[[#This Row],[Champion''s Score]],TournamentData[Champion''s Score],1)</f>
        <v/>
      </c>
      <c r="P107" s="80" t="n"/>
      <c r="Q107" s="86" t="inlineStr">
        <is>
          <t>No</t>
        </is>
      </c>
      <c r="R107" s="81">
        <f>IF(ISNA(INDEX(CoreValuesResults[Core Values Score],MATCH(TournamentData[[#This Row],[Team Number]],CoreValuesResults[Team Number],0))),0,INDEX(CoreValuesResults[Core Values Score],MATCH(TournamentData[[#This Row],[Team Number]],CoreValuesResults[Team Number],0)))</f>
        <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
      </c>
      <c r="T107" s="81">
        <f>IF(ISNA(INDEX(RobotDesignResults[Robot Design Score],MATCH(TournamentData[[#This Row],[Team Number]],RobotDesignResults[Team Number],0))),0,INDEX(RobotDesignResults[Robot Design Score],MATCH(TournamentData[[#This Row],[Team Number]],RobotDesignResults[Team Number],0)))</f>
        <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7" s="80">
        <f>IF(U107,_xlfn.RANK.EQ(U107,U$3:U$17,0),NumberOfTeams)</f>
        <v/>
      </c>
      <c r="W107" s="80" t="n"/>
    </row>
    <row r="108" ht="20.25" customHeight="1">
      <c r="A108" s="79" t="n">
        <v>106</v>
      </c>
      <c r="B108" s="79">
        <f>INDEX(OfficialTeamList[Pod Number],MATCH(TournamentData[[#This Row],[Team Number]], OfficialTeamList[Team '#],0))</f>
        <v/>
      </c>
      <c r="C108" s="105">
        <f>INDEX(OfficialTeamList[Team Name],MATCH(TournamentData[[#This Row],[Team Number]], OfficialTeamList[Team '#],0))</f>
        <v/>
      </c>
      <c r="D108" s="79">
        <f>IF(TournamentData[[#This Row],[Team Number]]="","",IF(ISNA(INDEX('Robot Game Scores'!C:C,MATCH(TournamentData[[#This Row],[Team Number]], 'Robot Game Scores'!$A:$A,0))),0,INDEX('Robot Game Scores'!C:C,MATCH(TournamentData[[#This Row],[Team Number]], 'Robot Game Scores'!$A:$A,0))))</f>
        <v/>
      </c>
      <c r="E108" s="79">
        <f>IF(TournamentData[[#This Row],[Team Number]]="","",IF(ISNA(INDEX('Robot Game Scores'!D:D,MATCH(TournamentData[[#This Row],[Team Number]], 'Robot Game Scores'!$A:$A,0))),0,INDEX('Robot Game Scores'!D:D,MATCH(TournamentData[[#This Row],[Team Number]], 'Robot Game Scores'!$A:$A,0))))</f>
        <v/>
      </c>
      <c r="F108" s="79">
        <f>IF(TournamentData[[#This Row],[Team Number]]="","",IF(ISNA(INDEX('Robot Game Scores'!E:E,MATCH(TournamentData[[#This Row],[Team Number]], 'Robot Game Scores'!$A:$A,0))),0,INDEX('Robot Game Scores'!E:E,MATCH(TournamentData[[#This Row],[Team Number]], 'Robot Game Scores'!$A:$A,0))))</f>
        <v/>
      </c>
      <c r="G108" s="79">
        <f>IF(TournamentData[[#This Row],[Team Number]]="","",IF(ISNA(INDEX('Robot Game Scores'!#REF!,MATCH(TournamentData[[#This Row],[Team Number]], 'Robot Game Scores'!$A:$A,0))),0,INDEX('Robot Game Scores'!#REF!,MATCH(TournamentData[[#This Row],[Team Number]], 'Robot Game Scores'!$A:$A,0))))</f>
        <v/>
      </c>
      <c r="H108" s="79">
        <f>IF(TournamentData[[#This Row],[Team Number]]="","",IF(ISNA(INDEX('Robot Game Scores'!#REF!,MATCH(TournamentData[[#This Row],[Team Number]], 'Robot Game Scores'!$A:$A,0))),0,INDEX('Robot Game Scores'!#REF!,MATCH(TournamentData[[#This Row],[Team Number]], 'Robot Game Scores'!$A:$A,0))))</f>
        <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8" s="79">
        <f>_xlfn.RANK.EQ(TournamentData[[#This Row],[Max Robot Game Score]],TournamentData[Max Robot Game Score])</f>
        <v/>
      </c>
      <c r="K108" s="79">
        <f>INDEX(CoreValuesResults[Core Values Rank],MATCH(TournamentData[[#This Row],[Team Number]],CoreValuesResults[Team Number],0))</f>
        <v/>
      </c>
      <c r="L108" s="79">
        <f>INDEX(InnovationProjectResults[Innovation Project Rank],MATCH(TournamentData[[#This Row],[Team Number]],InnovationProjectResults[Team Number],0))</f>
        <v/>
      </c>
      <c r="M108" s="79">
        <f>INDEX(RobotDesignResults[Robot Design Rank],MATCH(TournamentData[[#This Row],[Team Number]],RobotDesignResults[Team Number],0))</f>
        <v/>
      </c>
      <c r="N108" s="79">
        <f>SUM(TournamentData[[#This Row],[Robot Game Rank]:[Robot Design Rank]])</f>
        <v/>
      </c>
      <c r="O108" s="79">
        <f>RANK(TournamentData[[#This Row],[Champion''s Score]],TournamentData[Champion''s Score],1)</f>
        <v/>
      </c>
      <c r="P108" s="80" t="n"/>
      <c r="Q108" s="86" t="inlineStr">
        <is>
          <t>No</t>
        </is>
      </c>
      <c r="R108" s="81">
        <f>IF(ISNA(INDEX(CoreValuesResults[Core Values Score],MATCH(TournamentData[[#This Row],[Team Number]],CoreValuesResults[Team Number],0))),0,INDEX(CoreValuesResults[Core Values Score],MATCH(TournamentData[[#This Row],[Team Number]],CoreValuesResults[Team Number],0)))</f>
        <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
      </c>
      <c r="T108" s="81">
        <f>IF(ISNA(INDEX(RobotDesignResults[Robot Design Score],MATCH(TournamentData[[#This Row],[Team Number]],RobotDesignResults[Team Number],0))),0,INDEX(RobotDesignResults[Robot Design Score],MATCH(TournamentData[[#This Row],[Team Number]],RobotDesignResults[Team Number],0)))</f>
        <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8" s="80">
        <f>IF(U108,_xlfn.RANK.EQ(U108,U$3:U$17,0),NumberOfTeams)</f>
        <v/>
      </c>
      <c r="W108" s="80" t="n"/>
    </row>
    <row r="109" ht="20.25" customHeight="1">
      <c r="A109" s="79" t="n">
        <v>107</v>
      </c>
      <c r="B109" s="79">
        <f>INDEX(OfficialTeamList[Pod Number],MATCH(TournamentData[[#This Row],[Team Number]], OfficialTeamList[Team '#],0))</f>
        <v/>
      </c>
      <c r="C109" s="105">
        <f>INDEX(OfficialTeamList[Team Name],MATCH(TournamentData[[#This Row],[Team Number]], OfficialTeamList[Team '#],0))</f>
        <v/>
      </c>
      <c r="D109" s="79">
        <f>IF(TournamentData[[#This Row],[Team Number]]="","",IF(ISNA(INDEX('Robot Game Scores'!C:C,MATCH(TournamentData[[#This Row],[Team Number]], 'Robot Game Scores'!$A:$A,0))),0,INDEX('Robot Game Scores'!C:C,MATCH(TournamentData[[#This Row],[Team Number]], 'Robot Game Scores'!$A:$A,0))))</f>
        <v/>
      </c>
      <c r="E109" s="79">
        <f>IF(TournamentData[[#This Row],[Team Number]]="","",IF(ISNA(INDEX('Robot Game Scores'!D:D,MATCH(TournamentData[[#This Row],[Team Number]], 'Robot Game Scores'!$A:$A,0))),0,INDEX('Robot Game Scores'!D:D,MATCH(TournamentData[[#This Row],[Team Number]], 'Robot Game Scores'!$A:$A,0))))</f>
        <v/>
      </c>
      <c r="F109" s="79">
        <f>IF(TournamentData[[#This Row],[Team Number]]="","",IF(ISNA(INDEX('Robot Game Scores'!E:E,MATCH(TournamentData[[#This Row],[Team Number]], 'Robot Game Scores'!$A:$A,0))),0,INDEX('Robot Game Scores'!E:E,MATCH(TournamentData[[#This Row],[Team Number]], 'Robot Game Scores'!$A:$A,0))))</f>
        <v/>
      </c>
      <c r="G109" s="79">
        <f>IF(TournamentData[[#This Row],[Team Number]]="","",IF(ISNA(INDEX('Robot Game Scores'!#REF!,MATCH(TournamentData[[#This Row],[Team Number]], 'Robot Game Scores'!$A:$A,0))),0,INDEX('Robot Game Scores'!#REF!,MATCH(TournamentData[[#This Row],[Team Number]], 'Robot Game Scores'!$A:$A,0))))</f>
        <v/>
      </c>
      <c r="H109" s="79">
        <f>IF(TournamentData[[#This Row],[Team Number]]="","",IF(ISNA(INDEX('Robot Game Scores'!#REF!,MATCH(TournamentData[[#This Row],[Team Number]], 'Robot Game Scores'!$A:$A,0))),0,INDEX('Robot Game Scores'!#REF!,MATCH(TournamentData[[#This Row],[Team Number]], 'Robot Game Scores'!$A:$A,0))))</f>
        <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9" s="79">
        <f>_xlfn.RANK.EQ(TournamentData[[#This Row],[Max Robot Game Score]],TournamentData[Max Robot Game Score])</f>
        <v/>
      </c>
      <c r="K109" s="79">
        <f>INDEX(CoreValuesResults[Core Values Rank],MATCH(TournamentData[[#This Row],[Team Number]],CoreValuesResults[Team Number],0))</f>
        <v/>
      </c>
      <c r="L109" s="79">
        <f>INDEX(InnovationProjectResults[Innovation Project Rank],MATCH(TournamentData[[#This Row],[Team Number]],InnovationProjectResults[Team Number],0))</f>
        <v/>
      </c>
      <c r="M109" s="79">
        <f>INDEX(RobotDesignResults[Robot Design Rank],MATCH(TournamentData[[#This Row],[Team Number]],RobotDesignResults[Team Number],0))</f>
        <v/>
      </c>
      <c r="N109" s="79">
        <f>SUM(TournamentData[[#This Row],[Robot Game Rank]:[Robot Design Rank]])</f>
        <v/>
      </c>
      <c r="O109" s="79">
        <f>RANK(TournamentData[[#This Row],[Champion''s Score]],TournamentData[Champion''s Score],1)</f>
        <v/>
      </c>
      <c r="P109" s="80" t="n"/>
      <c r="Q109" s="86" t="inlineStr">
        <is>
          <t>No</t>
        </is>
      </c>
      <c r="R109" s="81">
        <f>IF(ISNA(INDEX(CoreValuesResults[Core Values Score],MATCH(TournamentData[[#This Row],[Team Number]],CoreValuesResults[Team Number],0))),0,INDEX(CoreValuesResults[Core Values Score],MATCH(TournamentData[[#This Row],[Team Number]],CoreValuesResults[Team Number],0)))</f>
        <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
      </c>
      <c r="T109" s="81">
        <f>IF(ISNA(INDEX(RobotDesignResults[Robot Design Score],MATCH(TournamentData[[#This Row],[Team Number]],RobotDesignResults[Team Number],0))),0,INDEX(RobotDesignResults[Robot Design Score],MATCH(TournamentData[[#This Row],[Team Number]],RobotDesignResults[Team Number],0)))</f>
        <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9" s="80">
        <f>IF(U109,_xlfn.RANK.EQ(U109,U$3:U$17,0),NumberOfTeams)</f>
        <v/>
      </c>
      <c r="W109" s="80" t="n"/>
    </row>
    <row r="110" ht="20.25" customHeight="1">
      <c r="A110" s="79" t="n">
        <v>108</v>
      </c>
      <c r="B110" s="79">
        <f>INDEX(OfficialTeamList[Pod Number],MATCH(TournamentData[[#This Row],[Team Number]], OfficialTeamList[Team '#],0))</f>
        <v/>
      </c>
      <c r="C110" s="105">
        <f>INDEX(OfficialTeamList[Team Name],MATCH(TournamentData[[#This Row],[Team Number]], OfficialTeamList[Team '#],0))</f>
        <v/>
      </c>
      <c r="D110" s="79">
        <f>IF(TournamentData[[#This Row],[Team Number]]="","",IF(ISNA(INDEX('Robot Game Scores'!C:C,MATCH(TournamentData[[#This Row],[Team Number]], 'Robot Game Scores'!$A:$A,0))),0,INDEX('Robot Game Scores'!C:C,MATCH(TournamentData[[#This Row],[Team Number]], 'Robot Game Scores'!$A:$A,0))))</f>
        <v/>
      </c>
      <c r="E110" s="79">
        <f>IF(TournamentData[[#This Row],[Team Number]]="","",IF(ISNA(INDEX('Robot Game Scores'!D:D,MATCH(TournamentData[[#This Row],[Team Number]], 'Robot Game Scores'!$A:$A,0))),0,INDEX('Robot Game Scores'!D:D,MATCH(TournamentData[[#This Row],[Team Number]], 'Robot Game Scores'!$A:$A,0))))</f>
        <v/>
      </c>
      <c r="F110" s="79">
        <f>IF(TournamentData[[#This Row],[Team Number]]="","",IF(ISNA(INDEX('Robot Game Scores'!E:E,MATCH(TournamentData[[#This Row],[Team Number]], 'Robot Game Scores'!$A:$A,0))),0,INDEX('Robot Game Scores'!E:E,MATCH(TournamentData[[#This Row],[Team Number]], 'Robot Game Scores'!$A:$A,0))))</f>
        <v/>
      </c>
      <c r="G110" s="79">
        <f>IF(TournamentData[[#This Row],[Team Number]]="","",IF(ISNA(INDEX('Robot Game Scores'!#REF!,MATCH(TournamentData[[#This Row],[Team Number]], 'Robot Game Scores'!$A:$A,0))),0,INDEX('Robot Game Scores'!#REF!,MATCH(TournamentData[[#This Row],[Team Number]], 'Robot Game Scores'!$A:$A,0))))</f>
        <v/>
      </c>
      <c r="H110" s="79">
        <f>IF(TournamentData[[#This Row],[Team Number]]="","",IF(ISNA(INDEX('Robot Game Scores'!#REF!,MATCH(TournamentData[[#This Row],[Team Number]], 'Robot Game Scores'!$A:$A,0))),0,INDEX('Robot Game Scores'!#REF!,MATCH(TournamentData[[#This Row],[Team Number]], 'Robot Game Scores'!$A:$A,0))))</f>
        <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0" s="79">
        <f>_xlfn.RANK.EQ(TournamentData[[#This Row],[Max Robot Game Score]],TournamentData[Max Robot Game Score])</f>
        <v/>
      </c>
      <c r="K110" s="79">
        <f>INDEX(CoreValuesResults[Core Values Rank],MATCH(TournamentData[[#This Row],[Team Number]],CoreValuesResults[Team Number],0))</f>
        <v/>
      </c>
      <c r="L110" s="79">
        <f>INDEX(InnovationProjectResults[Innovation Project Rank],MATCH(TournamentData[[#This Row],[Team Number]],InnovationProjectResults[Team Number],0))</f>
        <v/>
      </c>
      <c r="M110" s="79">
        <f>INDEX(RobotDesignResults[Robot Design Rank],MATCH(TournamentData[[#This Row],[Team Number]],RobotDesignResults[Team Number],0))</f>
        <v/>
      </c>
      <c r="N110" s="79">
        <f>SUM(TournamentData[[#This Row],[Robot Game Rank]:[Robot Design Rank]])</f>
        <v/>
      </c>
      <c r="O110" s="79">
        <f>RANK(TournamentData[[#This Row],[Champion''s Score]],TournamentData[Champion''s Score],1)</f>
        <v/>
      </c>
      <c r="P110" s="80" t="n"/>
      <c r="Q110" s="86" t="inlineStr">
        <is>
          <t>No</t>
        </is>
      </c>
      <c r="R110" s="81">
        <f>IF(ISNA(INDEX(CoreValuesResults[Core Values Score],MATCH(TournamentData[[#This Row],[Team Number]],CoreValuesResults[Team Number],0))),0,INDEX(CoreValuesResults[Core Values Score],MATCH(TournamentData[[#This Row],[Team Number]],CoreValuesResults[Team Number],0)))</f>
        <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
      </c>
      <c r="T110" s="81">
        <f>IF(ISNA(INDEX(RobotDesignResults[Robot Design Score],MATCH(TournamentData[[#This Row],[Team Number]],RobotDesignResults[Team Number],0))),0,INDEX(RobotDesignResults[Robot Design Score],MATCH(TournamentData[[#This Row],[Team Number]],RobotDesignResults[Team Number],0)))</f>
        <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0" s="80">
        <f>IF(U110,_xlfn.RANK.EQ(U110,U$3:U$17,0),NumberOfTeams)</f>
        <v/>
      </c>
      <c r="W110" s="80" t="n"/>
    </row>
    <row r="111" ht="20.25" customHeight="1">
      <c r="A111" s="79" t="n">
        <v>109</v>
      </c>
      <c r="B111" s="79">
        <f>INDEX(OfficialTeamList[Pod Number],MATCH(TournamentData[[#This Row],[Team Number]], OfficialTeamList[Team '#],0))</f>
        <v/>
      </c>
      <c r="C111" s="105">
        <f>INDEX(OfficialTeamList[Team Name],MATCH(TournamentData[[#This Row],[Team Number]], OfficialTeamList[Team '#],0))</f>
        <v/>
      </c>
      <c r="D111" s="79">
        <f>IF(TournamentData[[#This Row],[Team Number]]="","",IF(ISNA(INDEX('Robot Game Scores'!C:C,MATCH(TournamentData[[#This Row],[Team Number]], 'Robot Game Scores'!$A:$A,0))),0,INDEX('Robot Game Scores'!C:C,MATCH(TournamentData[[#This Row],[Team Number]], 'Robot Game Scores'!$A:$A,0))))</f>
        <v/>
      </c>
      <c r="E111" s="79">
        <f>IF(TournamentData[[#This Row],[Team Number]]="","",IF(ISNA(INDEX('Robot Game Scores'!D:D,MATCH(TournamentData[[#This Row],[Team Number]], 'Robot Game Scores'!$A:$A,0))),0,INDEX('Robot Game Scores'!D:D,MATCH(TournamentData[[#This Row],[Team Number]], 'Robot Game Scores'!$A:$A,0))))</f>
        <v/>
      </c>
      <c r="F111" s="79">
        <f>IF(TournamentData[[#This Row],[Team Number]]="","",IF(ISNA(INDEX('Robot Game Scores'!E:E,MATCH(TournamentData[[#This Row],[Team Number]], 'Robot Game Scores'!$A:$A,0))),0,INDEX('Robot Game Scores'!E:E,MATCH(TournamentData[[#This Row],[Team Number]], 'Robot Game Scores'!$A:$A,0))))</f>
        <v/>
      </c>
      <c r="G111" s="79">
        <f>IF(TournamentData[[#This Row],[Team Number]]="","",IF(ISNA(INDEX('Robot Game Scores'!#REF!,MATCH(TournamentData[[#This Row],[Team Number]], 'Robot Game Scores'!$A:$A,0))),0,INDEX('Robot Game Scores'!#REF!,MATCH(TournamentData[[#This Row],[Team Number]], 'Robot Game Scores'!$A:$A,0))))</f>
        <v/>
      </c>
      <c r="H111" s="79">
        <f>IF(TournamentData[[#This Row],[Team Number]]="","",IF(ISNA(INDEX('Robot Game Scores'!#REF!,MATCH(TournamentData[[#This Row],[Team Number]], 'Robot Game Scores'!$A:$A,0))),0,INDEX('Robot Game Scores'!#REF!,MATCH(TournamentData[[#This Row],[Team Number]], 'Robot Game Scores'!$A:$A,0))))</f>
        <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1" s="79">
        <f>_xlfn.RANK.EQ(TournamentData[[#This Row],[Max Robot Game Score]],TournamentData[Max Robot Game Score])</f>
        <v/>
      </c>
      <c r="K111" s="79">
        <f>INDEX(CoreValuesResults[Core Values Rank],MATCH(TournamentData[[#This Row],[Team Number]],CoreValuesResults[Team Number],0))</f>
        <v/>
      </c>
      <c r="L111" s="79">
        <f>INDEX(InnovationProjectResults[Innovation Project Rank],MATCH(TournamentData[[#This Row],[Team Number]],InnovationProjectResults[Team Number],0))</f>
        <v/>
      </c>
      <c r="M111" s="79">
        <f>INDEX(RobotDesignResults[Robot Design Rank],MATCH(TournamentData[[#This Row],[Team Number]],RobotDesignResults[Team Number],0))</f>
        <v/>
      </c>
      <c r="N111" s="79">
        <f>SUM(TournamentData[[#This Row],[Robot Game Rank]:[Robot Design Rank]])</f>
        <v/>
      </c>
      <c r="O111" s="79">
        <f>RANK(TournamentData[[#This Row],[Champion''s Score]],TournamentData[Champion''s Score],1)</f>
        <v/>
      </c>
      <c r="P111" s="80" t="n"/>
      <c r="Q111" s="86" t="inlineStr">
        <is>
          <t>No</t>
        </is>
      </c>
      <c r="R111" s="81">
        <f>IF(ISNA(INDEX(CoreValuesResults[Core Values Score],MATCH(TournamentData[[#This Row],[Team Number]],CoreValuesResults[Team Number],0))),0,INDEX(CoreValuesResults[Core Values Score],MATCH(TournamentData[[#This Row],[Team Number]],CoreValuesResults[Team Number],0)))</f>
        <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
      </c>
      <c r="T111" s="81">
        <f>IF(ISNA(INDEX(RobotDesignResults[Robot Design Score],MATCH(TournamentData[[#This Row],[Team Number]],RobotDesignResults[Team Number],0))),0,INDEX(RobotDesignResults[Robot Design Score],MATCH(TournamentData[[#This Row],[Team Number]],RobotDesignResults[Team Number],0)))</f>
        <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1" s="80">
        <f>IF(U111,_xlfn.RANK.EQ(U111,U$3:U$17,0),NumberOfTeams)</f>
        <v/>
      </c>
      <c r="W111" s="80" t="n"/>
    </row>
    <row r="112" ht="20.25" customHeight="1">
      <c r="A112" s="79" t="n">
        <v>110</v>
      </c>
      <c r="B112" s="79">
        <f>INDEX(OfficialTeamList[Pod Number],MATCH(TournamentData[[#This Row],[Team Number]], OfficialTeamList[Team '#],0))</f>
        <v/>
      </c>
      <c r="C112" s="105">
        <f>INDEX(OfficialTeamList[Team Name],MATCH(TournamentData[[#This Row],[Team Number]], OfficialTeamList[Team '#],0))</f>
        <v/>
      </c>
      <c r="D112" s="79">
        <f>IF(TournamentData[[#This Row],[Team Number]]="","",IF(ISNA(INDEX('Robot Game Scores'!C:C,MATCH(TournamentData[[#This Row],[Team Number]], 'Robot Game Scores'!$A:$A,0))),0,INDEX('Robot Game Scores'!C:C,MATCH(TournamentData[[#This Row],[Team Number]], 'Robot Game Scores'!$A:$A,0))))</f>
        <v/>
      </c>
      <c r="E112" s="79">
        <f>IF(TournamentData[[#This Row],[Team Number]]="","",IF(ISNA(INDEX('Robot Game Scores'!D:D,MATCH(TournamentData[[#This Row],[Team Number]], 'Robot Game Scores'!$A:$A,0))),0,INDEX('Robot Game Scores'!D:D,MATCH(TournamentData[[#This Row],[Team Number]], 'Robot Game Scores'!$A:$A,0))))</f>
        <v/>
      </c>
      <c r="F112" s="79">
        <f>IF(TournamentData[[#This Row],[Team Number]]="","",IF(ISNA(INDEX('Robot Game Scores'!E:E,MATCH(TournamentData[[#This Row],[Team Number]], 'Robot Game Scores'!$A:$A,0))),0,INDEX('Robot Game Scores'!E:E,MATCH(TournamentData[[#This Row],[Team Number]], 'Robot Game Scores'!$A:$A,0))))</f>
        <v/>
      </c>
      <c r="G112" s="79">
        <f>IF(TournamentData[[#This Row],[Team Number]]="","",IF(ISNA(INDEX('Robot Game Scores'!#REF!,MATCH(TournamentData[[#This Row],[Team Number]], 'Robot Game Scores'!$A:$A,0))),0,INDEX('Robot Game Scores'!#REF!,MATCH(TournamentData[[#This Row],[Team Number]], 'Robot Game Scores'!$A:$A,0))))</f>
        <v/>
      </c>
      <c r="H112" s="79">
        <f>IF(TournamentData[[#This Row],[Team Number]]="","",IF(ISNA(INDEX('Robot Game Scores'!#REF!,MATCH(TournamentData[[#This Row],[Team Number]], 'Robot Game Scores'!$A:$A,0))),0,INDEX('Robot Game Scores'!#REF!,MATCH(TournamentData[[#This Row],[Team Number]], 'Robot Game Scores'!$A:$A,0))))</f>
        <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2" s="79">
        <f>_xlfn.RANK.EQ(TournamentData[[#This Row],[Max Robot Game Score]],TournamentData[Max Robot Game Score])</f>
        <v/>
      </c>
      <c r="K112" s="79">
        <f>INDEX(CoreValuesResults[Core Values Rank],MATCH(TournamentData[[#This Row],[Team Number]],CoreValuesResults[Team Number],0))</f>
        <v/>
      </c>
      <c r="L112" s="79">
        <f>INDEX(InnovationProjectResults[Innovation Project Rank],MATCH(TournamentData[[#This Row],[Team Number]],InnovationProjectResults[Team Number],0))</f>
        <v/>
      </c>
      <c r="M112" s="79">
        <f>INDEX(RobotDesignResults[Robot Design Rank],MATCH(TournamentData[[#This Row],[Team Number]],RobotDesignResults[Team Number],0))</f>
        <v/>
      </c>
      <c r="N112" s="79">
        <f>SUM(TournamentData[[#This Row],[Robot Game Rank]:[Robot Design Rank]])</f>
        <v/>
      </c>
      <c r="O112" s="79">
        <f>RANK(TournamentData[[#This Row],[Champion''s Score]],TournamentData[Champion''s Score],1)</f>
        <v/>
      </c>
      <c r="P112" s="80" t="n"/>
      <c r="Q112" s="86" t="inlineStr">
        <is>
          <t>No</t>
        </is>
      </c>
      <c r="R112" s="81">
        <f>IF(ISNA(INDEX(CoreValuesResults[Core Values Score],MATCH(TournamentData[[#This Row],[Team Number]],CoreValuesResults[Team Number],0))),0,INDEX(CoreValuesResults[Core Values Score],MATCH(TournamentData[[#This Row],[Team Number]],CoreValuesResults[Team Number],0)))</f>
        <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
      </c>
      <c r="T112" s="81">
        <f>IF(ISNA(INDEX(RobotDesignResults[Robot Design Score],MATCH(TournamentData[[#This Row],[Team Number]],RobotDesignResults[Team Number],0))),0,INDEX(RobotDesignResults[Robot Design Score],MATCH(TournamentData[[#This Row],[Team Number]],RobotDesignResults[Team Number],0)))</f>
        <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2" s="80">
        <f>IF(U112,_xlfn.RANK.EQ(U112,U$3:U$17,0),NumberOfTeams)</f>
        <v/>
      </c>
      <c r="W112" s="80" t="n"/>
    </row>
    <row r="113" ht="20.25" customHeight="1">
      <c r="A113" s="79" t="n">
        <v>111</v>
      </c>
      <c r="B113" s="79">
        <f>INDEX(OfficialTeamList[Pod Number],MATCH(TournamentData[[#This Row],[Team Number]], OfficialTeamList[Team '#],0))</f>
        <v/>
      </c>
      <c r="C113" s="105">
        <f>INDEX(OfficialTeamList[Team Name],MATCH(TournamentData[[#This Row],[Team Number]], OfficialTeamList[Team '#],0))</f>
        <v/>
      </c>
      <c r="D113" s="79">
        <f>IF(TournamentData[[#This Row],[Team Number]]="","",IF(ISNA(INDEX('Robot Game Scores'!C:C,MATCH(TournamentData[[#This Row],[Team Number]], 'Robot Game Scores'!$A:$A,0))),0,INDEX('Robot Game Scores'!C:C,MATCH(TournamentData[[#This Row],[Team Number]], 'Robot Game Scores'!$A:$A,0))))</f>
        <v/>
      </c>
      <c r="E113" s="79">
        <f>IF(TournamentData[[#This Row],[Team Number]]="","",IF(ISNA(INDEX('Robot Game Scores'!D:D,MATCH(TournamentData[[#This Row],[Team Number]], 'Robot Game Scores'!$A:$A,0))),0,INDEX('Robot Game Scores'!D:D,MATCH(TournamentData[[#This Row],[Team Number]], 'Robot Game Scores'!$A:$A,0))))</f>
        <v/>
      </c>
      <c r="F113" s="79">
        <f>IF(TournamentData[[#This Row],[Team Number]]="","",IF(ISNA(INDEX('Robot Game Scores'!E:E,MATCH(TournamentData[[#This Row],[Team Number]], 'Robot Game Scores'!$A:$A,0))),0,INDEX('Robot Game Scores'!E:E,MATCH(TournamentData[[#This Row],[Team Number]], 'Robot Game Scores'!$A:$A,0))))</f>
        <v/>
      </c>
      <c r="G113" s="79">
        <f>IF(TournamentData[[#This Row],[Team Number]]="","",IF(ISNA(INDEX('Robot Game Scores'!#REF!,MATCH(TournamentData[[#This Row],[Team Number]], 'Robot Game Scores'!$A:$A,0))),0,INDEX('Robot Game Scores'!#REF!,MATCH(TournamentData[[#This Row],[Team Number]], 'Robot Game Scores'!$A:$A,0))))</f>
        <v/>
      </c>
      <c r="H113" s="79">
        <f>IF(TournamentData[[#This Row],[Team Number]]="","",IF(ISNA(INDEX('Robot Game Scores'!#REF!,MATCH(TournamentData[[#This Row],[Team Number]], 'Robot Game Scores'!$A:$A,0))),0,INDEX('Robot Game Scores'!#REF!,MATCH(TournamentData[[#This Row],[Team Number]], 'Robot Game Scores'!$A:$A,0))))</f>
        <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3" s="79">
        <f>_xlfn.RANK.EQ(TournamentData[[#This Row],[Max Robot Game Score]],TournamentData[Max Robot Game Score])</f>
        <v/>
      </c>
      <c r="K113" s="79">
        <f>INDEX(CoreValuesResults[Core Values Rank],MATCH(TournamentData[[#This Row],[Team Number]],CoreValuesResults[Team Number],0))</f>
        <v/>
      </c>
      <c r="L113" s="79">
        <f>INDEX(InnovationProjectResults[Innovation Project Rank],MATCH(TournamentData[[#This Row],[Team Number]],InnovationProjectResults[Team Number],0))</f>
        <v/>
      </c>
      <c r="M113" s="79">
        <f>INDEX(RobotDesignResults[Robot Design Rank],MATCH(TournamentData[[#This Row],[Team Number]],RobotDesignResults[Team Number],0))</f>
        <v/>
      </c>
      <c r="N113" s="79">
        <f>SUM(TournamentData[[#This Row],[Robot Game Rank]:[Robot Design Rank]])</f>
        <v/>
      </c>
      <c r="O113" s="79">
        <f>RANK(TournamentData[[#This Row],[Champion''s Score]],TournamentData[Champion''s Score],1)</f>
        <v/>
      </c>
      <c r="P113" s="80" t="n"/>
      <c r="Q113" s="86" t="inlineStr">
        <is>
          <t>No</t>
        </is>
      </c>
      <c r="R113" s="81">
        <f>IF(ISNA(INDEX(CoreValuesResults[Core Values Score],MATCH(TournamentData[[#This Row],[Team Number]],CoreValuesResults[Team Number],0))),0,INDEX(CoreValuesResults[Core Values Score],MATCH(TournamentData[[#This Row],[Team Number]],CoreValuesResults[Team Number],0)))</f>
        <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
      </c>
      <c r="T113" s="81">
        <f>IF(ISNA(INDEX(RobotDesignResults[Robot Design Score],MATCH(TournamentData[[#This Row],[Team Number]],RobotDesignResults[Team Number],0))),0,INDEX(RobotDesignResults[Robot Design Score],MATCH(TournamentData[[#This Row],[Team Number]],RobotDesignResults[Team Number],0)))</f>
        <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3" s="80">
        <f>IF(U113,_xlfn.RANK.EQ(U113,U$3:U$17,0),NumberOfTeams)</f>
        <v/>
      </c>
      <c r="W113" s="80" t="n"/>
    </row>
    <row r="114" ht="20.25" customHeight="1">
      <c r="A114" s="79" t="n">
        <v>112</v>
      </c>
      <c r="B114" s="79">
        <f>INDEX(OfficialTeamList[Pod Number],MATCH(TournamentData[[#This Row],[Team Number]], OfficialTeamList[Team '#],0))</f>
        <v/>
      </c>
      <c r="C114" s="105">
        <f>INDEX(OfficialTeamList[Team Name],MATCH(TournamentData[[#This Row],[Team Number]], OfficialTeamList[Team '#],0))</f>
        <v/>
      </c>
      <c r="D114" s="79">
        <f>IF(TournamentData[[#This Row],[Team Number]]="","",IF(ISNA(INDEX('Robot Game Scores'!C:C,MATCH(TournamentData[[#This Row],[Team Number]], 'Robot Game Scores'!$A:$A,0))),0,INDEX('Robot Game Scores'!C:C,MATCH(TournamentData[[#This Row],[Team Number]], 'Robot Game Scores'!$A:$A,0))))</f>
        <v/>
      </c>
      <c r="E114" s="79">
        <f>IF(TournamentData[[#This Row],[Team Number]]="","",IF(ISNA(INDEX('Robot Game Scores'!D:D,MATCH(TournamentData[[#This Row],[Team Number]], 'Robot Game Scores'!$A:$A,0))),0,INDEX('Robot Game Scores'!D:D,MATCH(TournamentData[[#This Row],[Team Number]], 'Robot Game Scores'!$A:$A,0))))</f>
        <v/>
      </c>
      <c r="F114" s="79">
        <f>IF(TournamentData[[#This Row],[Team Number]]="","",IF(ISNA(INDEX('Robot Game Scores'!E:E,MATCH(TournamentData[[#This Row],[Team Number]], 'Robot Game Scores'!$A:$A,0))),0,INDEX('Robot Game Scores'!E:E,MATCH(TournamentData[[#This Row],[Team Number]], 'Robot Game Scores'!$A:$A,0))))</f>
        <v/>
      </c>
      <c r="G114" s="79">
        <f>IF(TournamentData[[#This Row],[Team Number]]="","",IF(ISNA(INDEX('Robot Game Scores'!#REF!,MATCH(TournamentData[[#This Row],[Team Number]], 'Robot Game Scores'!$A:$A,0))),0,INDEX('Robot Game Scores'!#REF!,MATCH(TournamentData[[#This Row],[Team Number]], 'Robot Game Scores'!$A:$A,0))))</f>
        <v/>
      </c>
      <c r="H114" s="79">
        <f>IF(TournamentData[[#This Row],[Team Number]]="","",IF(ISNA(INDEX('Robot Game Scores'!#REF!,MATCH(TournamentData[[#This Row],[Team Number]], 'Robot Game Scores'!$A:$A,0))),0,INDEX('Robot Game Scores'!#REF!,MATCH(TournamentData[[#This Row],[Team Number]], 'Robot Game Scores'!$A:$A,0))))</f>
        <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4" s="79">
        <f>_xlfn.RANK.EQ(TournamentData[[#This Row],[Max Robot Game Score]],TournamentData[Max Robot Game Score])</f>
        <v/>
      </c>
      <c r="K114" s="79">
        <f>INDEX(CoreValuesResults[Core Values Rank],MATCH(TournamentData[[#This Row],[Team Number]],CoreValuesResults[Team Number],0))</f>
        <v/>
      </c>
      <c r="L114" s="79">
        <f>INDEX(InnovationProjectResults[Innovation Project Rank],MATCH(TournamentData[[#This Row],[Team Number]],InnovationProjectResults[Team Number],0))</f>
        <v/>
      </c>
      <c r="M114" s="79">
        <f>INDEX(RobotDesignResults[Robot Design Rank],MATCH(TournamentData[[#This Row],[Team Number]],RobotDesignResults[Team Number],0))</f>
        <v/>
      </c>
      <c r="N114" s="79">
        <f>SUM(TournamentData[[#This Row],[Robot Game Rank]:[Robot Design Rank]])</f>
        <v/>
      </c>
      <c r="O114" s="79">
        <f>RANK(TournamentData[[#This Row],[Champion''s Score]],TournamentData[Champion''s Score],1)</f>
        <v/>
      </c>
      <c r="P114" s="80" t="n"/>
      <c r="Q114" s="86" t="inlineStr">
        <is>
          <t>No</t>
        </is>
      </c>
      <c r="R114" s="81">
        <f>IF(ISNA(INDEX(CoreValuesResults[Core Values Score],MATCH(TournamentData[[#This Row],[Team Number]],CoreValuesResults[Team Number],0))),0,INDEX(CoreValuesResults[Core Values Score],MATCH(TournamentData[[#This Row],[Team Number]],CoreValuesResults[Team Number],0)))</f>
        <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
      </c>
      <c r="T114" s="81">
        <f>IF(ISNA(INDEX(RobotDesignResults[Robot Design Score],MATCH(TournamentData[[#This Row],[Team Number]],RobotDesignResults[Team Number],0))),0,INDEX(RobotDesignResults[Robot Design Score],MATCH(TournamentData[[#This Row],[Team Number]],RobotDesignResults[Team Number],0)))</f>
        <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4" s="80">
        <f>IF(U114,_xlfn.RANK.EQ(U114,U$3:U$17,0),NumberOfTeams)</f>
        <v/>
      </c>
      <c r="W114" s="80" t="n"/>
    </row>
    <row r="115" ht="20.25" customHeight="1">
      <c r="A115" s="79" t="n">
        <v>113</v>
      </c>
      <c r="B115" s="79">
        <f>INDEX(OfficialTeamList[Pod Number],MATCH(TournamentData[[#This Row],[Team Number]], OfficialTeamList[Team '#],0))</f>
        <v/>
      </c>
      <c r="C115" s="105">
        <f>INDEX(OfficialTeamList[Team Name],MATCH(TournamentData[[#This Row],[Team Number]], OfficialTeamList[Team '#],0))</f>
        <v/>
      </c>
      <c r="D115" s="79">
        <f>IF(TournamentData[[#This Row],[Team Number]]="","",IF(ISNA(INDEX('Robot Game Scores'!C:C,MATCH(TournamentData[[#This Row],[Team Number]], 'Robot Game Scores'!$A:$A,0))),0,INDEX('Robot Game Scores'!C:C,MATCH(TournamentData[[#This Row],[Team Number]], 'Robot Game Scores'!$A:$A,0))))</f>
        <v/>
      </c>
      <c r="E115" s="79">
        <f>IF(TournamentData[[#This Row],[Team Number]]="","",IF(ISNA(INDEX('Robot Game Scores'!D:D,MATCH(TournamentData[[#This Row],[Team Number]], 'Robot Game Scores'!$A:$A,0))),0,INDEX('Robot Game Scores'!D:D,MATCH(TournamentData[[#This Row],[Team Number]], 'Robot Game Scores'!$A:$A,0))))</f>
        <v/>
      </c>
      <c r="F115" s="79">
        <f>IF(TournamentData[[#This Row],[Team Number]]="","",IF(ISNA(INDEX('Robot Game Scores'!E:E,MATCH(TournamentData[[#This Row],[Team Number]], 'Robot Game Scores'!$A:$A,0))),0,INDEX('Robot Game Scores'!E:E,MATCH(TournamentData[[#This Row],[Team Number]], 'Robot Game Scores'!$A:$A,0))))</f>
        <v/>
      </c>
      <c r="G115" s="79">
        <f>IF(TournamentData[[#This Row],[Team Number]]="","",IF(ISNA(INDEX('Robot Game Scores'!#REF!,MATCH(TournamentData[[#This Row],[Team Number]], 'Robot Game Scores'!$A:$A,0))),0,INDEX('Robot Game Scores'!#REF!,MATCH(TournamentData[[#This Row],[Team Number]], 'Robot Game Scores'!$A:$A,0))))</f>
        <v/>
      </c>
      <c r="H115" s="79">
        <f>IF(TournamentData[[#This Row],[Team Number]]="","",IF(ISNA(INDEX('Robot Game Scores'!#REF!,MATCH(TournamentData[[#This Row],[Team Number]], 'Robot Game Scores'!$A:$A,0))),0,INDEX('Robot Game Scores'!#REF!,MATCH(TournamentData[[#This Row],[Team Number]], 'Robot Game Scores'!$A:$A,0))))</f>
        <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5" s="79">
        <f>_xlfn.RANK.EQ(TournamentData[[#This Row],[Max Robot Game Score]],TournamentData[Max Robot Game Score])</f>
        <v/>
      </c>
      <c r="K115" s="79">
        <f>INDEX(CoreValuesResults[Core Values Rank],MATCH(TournamentData[[#This Row],[Team Number]],CoreValuesResults[Team Number],0))</f>
        <v/>
      </c>
      <c r="L115" s="79">
        <f>INDEX(InnovationProjectResults[Innovation Project Rank],MATCH(TournamentData[[#This Row],[Team Number]],InnovationProjectResults[Team Number],0))</f>
        <v/>
      </c>
      <c r="M115" s="79">
        <f>INDEX(RobotDesignResults[Robot Design Rank],MATCH(TournamentData[[#This Row],[Team Number]],RobotDesignResults[Team Number],0))</f>
        <v/>
      </c>
      <c r="N115" s="79">
        <f>SUM(TournamentData[[#This Row],[Robot Game Rank]:[Robot Design Rank]])</f>
        <v/>
      </c>
      <c r="O115" s="79">
        <f>RANK(TournamentData[[#This Row],[Champion''s Score]],TournamentData[Champion''s Score],1)</f>
        <v/>
      </c>
      <c r="P115" s="80" t="n"/>
      <c r="Q115" s="86" t="inlineStr">
        <is>
          <t>No</t>
        </is>
      </c>
      <c r="R115" s="81">
        <f>IF(ISNA(INDEX(CoreValuesResults[Core Values Score],MATCH(TournamentData[[#This Row],[Team Number]],CoreValuesResults[Team Number],0))),0,INDEX(CoreValuesResults[Core Values Score],MATCH(TournamentData[[#This Row],[Team Number]],CoreValuesResults[Team Number],0)))</f>
        <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
      </c>
      <c r="T115" s="81">
        <f>IF(ISNA(INDEX(RobotDesignResults[Robot Design Score],MATCH(TournamentData[[#This Row],[Team Number]],RobotDesignResults[Team Number],0))),0,INDEX(RobotDesignResults[Robot Design Score],MATCH(TournamentData[[#This Row],[Team Number]],RobotDesignResults[Team Number],0)))</f>
        <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5" s="80">
        <f>IF(U115,_xlfn.RANK.EQ(U115,U$3:U$17,0),NumberOfTeams)</f>
        <v/>
      </c>
      <c r="W115" s="80" t="n"/>
    </row>
    <row r="116" ht="20.25" customHeight="1">
      <c r="A116" s="79" t="n">
        <v>114</v>
      </c>
      <c r="B116" s="79">
        <f>INDEX(OfficialTeamList[Pod Number],MATCH(TournamentData[[#This Row],[Team Number]], OfficialTeamList[Team '#],0))</f>
        <v/>
      </c>
      <c r="C116" s="105">
        <f>INDEX(OfficialTeamList[Team Name],MATCH(TournamentData[[#This Row],[Team Number]], OfficialTeamList[Team '#],0))</f>
        <v/>
      </c>
      <c r="D116" s="79">
        <f>IF(TournamentData[[#This Row],[Team Number]]="","",IF(ISNA(INDEX('Robot Game Scores'!C:C,MATCH(TournamentData[[#This Row],[Team Number]], 'Robot Game Scores'!$A:$A,0))),0,INDEX('Robot Game Scores'!C:C,MATCH(TournamentData[[#This Row],[Team Number]], 'Robot Game Scores'!$A:$A,0))))</f>
        <v/>
      </c>
      <c r="E116" s="79">
        <f>IF(TournamentData[[#This Row],[Team Number]]="","",IF(ISNA(INDEX('Robot Game Scores'!D:D,MATCH(TournamentData[[#This Row],[Team Number]], 'Robot Game Scores'!$A:$A,0))),0,INDEX('Robot Game Scores'!D:D,MATCH(TournamentData[[#This Row],[Team Number]], 'Robot Game Scores'!$A:$A,0))))</f>
        <v/>
      </c>
      <c r="F116" s="79">
        <f>IF(TournamentData[[#This Row],[Team Number]]="","",IF(ISNA(INDEX('Robot Game Scores'!E:E,MATCH(TournamentData[[#This Row],[Team Number]], 'Robot Game Scores'!$A:$A,0))),0,INDEX('Robot Game Scores'!E:E,MATCH(TournamentData[[#This Row],[Team Number]], 'Robot Game Scores'!$A:$A,0))))</f>
        <v/>
      </c>
      <c r="G116" s="79">
        <f>IF(TournamentData[[#This Row],[Team Number]]="","",IF(ISNA(INDEX('Robot Game Scores'!#REF!,MATCH(TournamentData[[#This Row],[Team Number]], 'Robot Game Scores'!$A:$A,0))),0,INDEX('Robot Game Scores'!#REF!,MATCH(TournamentData[[#This Row],[Team Number]], 'Robot Game Scores'!$A:$A,0))))</f>
        <v/>
      </c>
      <c r="H116" s="79">
        <f>IF(TournamentData[[#This Row],[Team Number]]="","",IF(ISNA(INDEX('Robot Game Scores'!#REF!,MATCH(TournamentData[[#This Row],[Team Number]], 'Robot Game Scores'!$A:$A,0))),0,INDEX('Robot Game Scores'!#REF!,MATCH(TournamentData[[#This Row],[Team Number]], 'Robot Game Scores'!$A:$A,0))))</f>
        <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6" s="79">
        <f>_xlfn.RANK.EQ(TournamentData[[#This Row],[Max Robot Game Score]],TournamentData[Max Robot Game Score])</f>
        <v/>
      </c>
      <c r="K116" s="79">
        <f>INDEX(CoreValuesResults[Core Values Rank],MATCH(TournamentData[[#This Row],[Team Number]],CoreValuesResults[Team Number],0))</f>
        <v/>
      </c>
      <c r="L116" s="79">
        <f>INDEX(InnovationProjectResults[Innovation Project Rank],MATCH(TournamentData[[#This Row],[Team Number]],InnovationProjectResults[Team Number],0))</f>
        <v/>
      </c>
      <c r="M116" s="79">
        <f>INDEX(RobotDesignResults[Robot Design Rank],MATCH(TournamentData[[#This Row],[Team Number]],RobotDesignResults[Team Number],0))</f>
        <v/>
      </c>
      <c r="N116" s="79">
        <f>SUM(TournamentData[[#This Row],[Robot Game Rank]:[Robot Design Rank]])</f>
        <v/>
      </c>
      <c r="O116" s="79">
        <f>RANK(TournamentData[[#This Row],[Champion''s Score]],TournamentData[Champion''s Score],1)</f>
        <v/>
      </c>
      <c r="P116" s="80" t="n"/>
      <c r="Q116" s="86" t="inlineStr">
        <is>
          <t>No</t>
        </is>
      </c>
      <c r="R116" s="81">
        <f>IF(ISNA(INDEX(CoreValuesResults[Core Values Score],MATCH(TournamentData[[#This Row],[Team Number]],CoreValuesResults[Team Number],0))),0,INDEX(CoreValuesResults[Core Values Score],MATCH(TournamentData[[#This Row],[Team Number]],CoreValuesResults[Team Number],0)))</f>
        <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
      </c>
      <c r="T116" s="81">
        <f>IF(ISNA(INDEX(RobotDesignResults[Robot Design Score],MATCH(TournamentData[[#This Row],[Team Number]],RobotDesignResults[Team Number],0))),0,INDEX(RobotDesignResults[Robot Design Score],MATCH(TournamentData[[#This Row],[Team Number]],RobotDesignResults[Team Number],0)))</f>
        <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6" s="80">
        <f>IF(U116,_xlfn.RANK.EQ(U116,U$3:U$17,0),NumberOfTeams)</f>
        <v/>
      </c>
      <c r="W116" s="80" t="n"/>
    </row>
    <row r="117" ht="20.25" customHeight="1">
      <c r="A117" s="79" t="n">
        <v>115</v>
      </c>
      <c r="B117" s="79">
        <f>INDEX(OfficialTeamList[Pod Number],MATCH(TournamentData[[#This Row],[Team Number]], OfficialTeamList[Team '#],0))</f>
        <v/>
      </c>
      <c r="C117" s="105">
        <f>INDEX(OfficialTeamList[Team Name],MATCH(TournamentData[[#This Row],[Team Number]], OfficialTeamList[Team '#],0))</f>
        <v/>
      </c>
      <c r="D117" s="79">
        <f>IF(TournamentData[[#This Row],[Team Number]]="","",IF(ISNA(INDEX('Robot Game Scores'!C:C,MATCH(TournamentData[[#This Row],[Team Number]], 'Robot Game Scores'!$A:$A,0))),0,INDEX('Robot Game Scores'!C:C,MATCH(TournamentData[[#This Row],[Team Number]], 'Robot Game Scores'!$A:$A,0))))</f>
        <v/>
      </c>
      <c r="E117" s="79">
        <f>IF(TournamentData[[#This Row],[Team Number]]="","",IF(ISNA(INDEX('Robot Game Scores'!D:D,MATCH(TournamentData[[#This Row],[Team Number]], 'Robot Game Scores'!$A:$A,0))),0,INDEX('Robot Game Scores'!D:D,MATCH(TournamentData[[#This Row],[Team Number]], 'Robot Game Scores'!$A:$A,0))))</f>
        <v/>
      </c>
      <c r="F117" s="79">
        <f>IF(TournamentData[[#This Row],[Team Number]]="","",IF(ISNA(INDEX('Robot Game Scores'!E:E,MATCH(TournamentData[[#This Row],[Team Number]], 'Robot Game Scores'!$A:$A,0))),0,INDEX('Robot Game Scores'!E:E,MATCH(TournamentData[[#This Row],[Team Number]], 'Robot Game Scores'!$A:$A,0))))</f>
        <v/>
      </c>
      <c r="G117" s="79">
        <f>IF(TournamentData[[#This Row],[Team Number]]="","",IF(ISNA(INDEX('Robot Game Scores'!#REF!,MATCH(TournamentData[[#This Row],[Team Number]], 'Robot Game Scores'!$A:$A,0))),0,INDEX('Robot Game Scores'!#REF!,MATCH(TournamentData[[#This Row],[Team Number]], 'Robot Game Scores'!$A:$A,0))))</f>
        <v/>
      </c>
      <c r="H117" s="79">
        <f>IF(TournamentData[[#This Row],[Team Number]]="","",IF(ISNA(INDEX('Robot Game Scores'!#REF!,MATCH(TournamentData[[#This Row],[Team Number]], 'Robot Game Scores'!$A:$A,0))),0,INDEX('Robot Game Scores'!#REF!,MATCH(TournamentData[[#This Row],[Team Number]], 'Robot Game Scores'!$A:$A,0))))</f>
        <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7" s="79">
        <f>_xlfn.RANK.EQ(TournamentData[[#This Row],[Max Robot Game Score]],TournamentData[Max Robot Game Score])</f>
        <v/>
      </c>
      <c r="K117" s="79">
        <f>INDEX(CoreValuesResults[Core Values Rank],MATCH(TournamentData[[#This Row],[Team Number]],CoreValuesResults[Team Number],0))</f>
        <v/>
      </c>
      <c r="L117" s="79">
        <f>INDEX(InnovationProjectResults[Innovation Project Rank],MATCH(TournamentData[[#This Row],[Team Number]],InnovationProjectResults[Team Number],0))</f>
        <v/>
      </c>
      <c r="M117" s="79">
        <f>INDEX(RobotDesignResults[Robot Design Rank],MATCH(TournamentData[[#This Row],[Team Number]],RobotDesignResults[Team Number],0))</f>
        <v/>
      </c>
      <c r="N117" s="79">
        <f>SUM(TournamentData[[#This Row],[Robot Game Rank]:[Robot Design Rank]])</f>
        <v/>
      </c>
      <c r="O117" s="79">
        <f>RANK(TournamentData[[#This Row],[Champion''s Score]],TournamentData[Champion''s Score],1)</f>
        <v/>
      </c>
      <c r="P117" s="80" t="n"/>
      <c r="Q117" s="86" t="inlineStr">
        <is>
          <t>No</t>
        </is>
      </c>
      <c r="R117" s="81">
        <f>IF(ISNA(INDEX(CoreValuesResults[Core Values Score],MATCH(TournamentData[[#This Row],[Team Number]],CoreValuesResults[Team Number],0))),0,INDEX(CoreValuesResults[Core Values Score],MATCH(TournamentData[[#This Row],[Team Number]],CoreValuesResults[Team Number],0)))</f>
        <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
      </c>
      <c r="T117" s="81">
        <f>IF(ISNA(INDEX(RobotDesignResults[Robot Design Score],MATCH(TournamentData[[#This Row],[Team Number]],RobotDesignResults[Team Number],0))),0,INDEX(RobotDesignResults[Robot Design Score],MATCH(TournamentData[[#This Row],[Team Number]],RobotDesignResults[Team Number],0)))</f>
        <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7" s="80">
        <f>IF(U117,_xlfn.RANK.EQ(U117,U$3:U$17,0),NumberOfTeams)</f>
        <v/>
      </c>
      <c r="W117" s="80" t="n"/>
    </row>
    <row r="118" ht="20.25" customHeight="1">
      <c r="A118" s="79" t="n">
        <v>116</v>
      </c>
      <c r="B118" s="79">
        <f>INDEX(OfficialTeamList[Pod Number],MATCH(TournamentData[[#This Row],[Team Number]], OfficialTeamList[Team '#],0))</f>
        <v/>
      </c>
      <c r="C118" s="105">
        <f>INDEX(OfficialTeamList[Team Name],MATCH(TournamentData[[#This Row],[Team Number]], OfficialTeamList[Team '#],0))</f>
        <v/>
      </c>
      <c r="D118" s="79">
        <f>IF(TournamentData[[#This Row],[Team Number]]="","",IF(ISNA(INDEX('Robot Game Scores'!C:C,MATCH(TournamentData[[#This Row],[Team Number]], 'Robot Game Scores'!$A:$A,0))),0,INDEX('Robot Game Scores'!C:C,MATCH(TournamentData[[#This Row],[Team Number]], 'Robot Game Scores'!$A:$A,0))))</f>
        <v/>
      </c>
      <c r="E118" s="79">
        <f>IF(TournamentData[[#This Row],[Team Number]]="","",IF(ISNA(INDEX('Robot Game Scores'!D:D,MATCH(TournamentData[[#This Row],[Team Number]], 'Robot Game Scores'!$A:$A,0))),0,INDEX('Robot Game Scores'!D:D,MATCH(TournamentData[[#This Row],[Team Number]], 'Robot Game Scores'!$A:$A,0))))</f>
        <v/>
      </c>
      <c r="F118" s="79">
        <f>IF(TournamentData[[#This Row],[Team Number]]="","",IF(ISNA(INDEX('Robot Game Scores'!E:E,MATCH(TournamentData[[#This Row],[Team Number]], 'Robot Game Scores'!$A:$A,0))),0,INDEX('Robot Game Scores'!E:E,MATCH(TournamentData[[#This Row],[Team Number]], 'Robot Game Scores'!$A:$A,0))))</f>
        <v/>
      </c>
      <c r="G118" s="79">
        <f>IF(TournamentData[[#This Row],[Team Number]]="","",IF(ISNA(INDEX('Robot Game Scores'!#REF!,MATCH(TournamentData[[#This Row],[Team Number]], 'Robot Game Scores'!$A:$A,0))),0,INDEX('Robot Game Scores'!#REF!,MATCH(TournamentData[[#This Row],[Team Number]], 'Robot Game Scores'!$A:$A,0))))</f>
        <v/>
      </c>
      <c r="H118" s="79">
        <f>IF(TournamentData[[#This Row],[Team Number]]="","",IF(ISNA(INDEX('Robot Game Scores'!#REF!,MATCH(TournamentData[[#This Row],[Team Number]], 'Robot Game Scores'!$A:$A,0))),0,INDEX('Robot Game Scores'!#REF!,MATCH(TournamentData[[#This Row],[Team Number]], 'Robot Game Scores'!$A:$A,0))))</f>
        <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8" s="79">
        <f>_xlfn.RANK.EQ(TournamentData[[#This Row],[Max Robot Game Score]],TournamentData[Max Robot Game Score])</f>
        <v/>
      </c>
      <c r="K118" s="79">
        <f>INDEX(CoreValuesResults[Core Values Rank],MATCH(TournamentData[[#This Row],[Team Number]],CoreValuesResults[Team Number],0))</f>
        <v/>
      </c>
      <c r="L118" s="79">
        <f>INDEX(InnovationProjectResults[Innovation Project Rank],MATCH(TournamentData[[#This Row],[Team Number]],InnovationProjectResults[Team Number],0))</f>
        <v/>
      </c>
      <c r="M118" s="79">
        <f>INDEX(RobotDesignResults[Robot Design Rank],MATCH(TournamentData[[#This Row],[Team Number]],RobotDesignResults[Team Number],0))</f>
        <v/>
      </c>
      <c r="N118" s="79">
        <f>SUM(TournamentData[[#This Row],[Robot Game Rank]:[Robot Design Rank]])</f>
        <v/>
      </c>
      <c r="O118" s="79">
        <f>RANK(TournamentData[[#This Row],[Champion''s Score]],TournamentData[Champion''s Score],1)</f>
        <v/>
      </c>
      <c r="P118" s="80" t="n"/>
      <c r="Q118" s="86" t="inlineStr">
        <is>
          <t>No</t>
        </is>
      </c>
      <c r="R118" s="81">
        <f>IF(ISNA(INDEX(CoreValuesResults[Core Values Score],MATCH(TournamentData[[#This Row],[Team Number]],CoreValuesResults[Team Number],0))),0,INDEX(CoreValuesResults[Core Values Score],MATCH(TournamentData[[#This Row],[Team Number]],CoreValuesResults[Team Number],0)))</f>
        <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
      </c>
      <c r="T118" s="81">
        <f>IF(ISNA(INDEX(RobotDesignResults[Robot Design Score],MATCH(TournamentData[[#This Row],[Team Number]],RobotDesignResults[Team Number],0))),0,INDEX(RobotDesignResults[Robot Design Score],MATCH(TournamentData[[#This Row],[Team Number]],RobotDesignResults[Team Number],0)))</f>
        <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8" s="80">
        <f>IF(U118,_xlfn.RANK.EQ(U118,U$3:U$17,0),NumberOfTeams)</f>
        <v/>
      </c>
      <c r="W118" s="80" t="n"/>
    </row>
    <row r="119" ht="20.25" customHeight="1">
      <c r="A119" s="79" t="n">
        <v>117</v>
      </c>
      <c r="B119" s="79">
        <f>INDEX(OfficialTeamList[Pod Number],MATCH(TournamentData[[#This Row],[Team Number]], OfficialTeamList[Team '#],0))</f>
        <v/>
      </c>
      <c r="C119" s="105">
        <f>INDEX(OfficialTeamList[Team Name],MATCH(TournamentData[[#This Row],[Team Number]], OfficialTeamList[Team '#],0))</f>
        <v/>
      </c>
      <c r="D119" s="79">
        <f>IF(TournamentData[[#This Row],[Team Number]]="","",IF(ISNA(INDEX('Robot Game Scores'!C:C,MATCH(TournamentData[[#This Row],[Team Number]], 'Robot Game Scores'!$A:$A,0))),0,INDEX('Robot Game Scores'!C:C,MATCH(TournamentData[[#This Row],[Team Number]], 'Robot Game Scores'!$A:$A,0))))</f>
        <v/>
      </c>
      <c r="E119" s="79">
        <f>IF(TournamentData[[#This Row],[Team Number]]="","",IF(ISNA(INDEX('Robot Game Scores'!D:D,MATCH(TournamentData[[#This Row],[Team Number]], 'Robot Game Scores'!$A:$A,0))),0,INDEX('Robot Game Scores'!D:D,MATCH(TournamentData[[#This Row],[Team Number]], 'Robot Game Scores'!$A:$A,0))))</f>
        <v/>
      </c>
      <c r="F119" s="79">
        <f>IF(TournamentData[[#This Row],[Team Number]]="","",IF(ISNA(INDEX('Robot Game Scores'!E:E,MATCH(TournamentData[[#This Row],[Team Number]], 'Robot Game Scores'!$A:$A,0))),0,INDEX('Robot Game Scores'!E:E,MATCH(TournamentData[[#This Row],[Team Number]], 'Robot Game Scores'!$A:$A,0))))</f>
        <v/>
      </c>
      <c r="G119" s="79">
        <f>IF(TournamentData[[#This Row],[Team Number]]="","",IF(ISNA(INDEX('Robot Game Scores'!#REF!,MATCH(TournamentData[[#This Row],[Team Number]], 'Robot Game Scores'!$A:$A,0))),0,INDEX('Robot Game Scores'!#REF!,MATCH(TournamentData[[#This Row],[Team Number]], 'Robot Game Scores'!$A:$A,0))))</f>
        <v/>
      </c>
      <c r="H119" s="79">
        <f>IF(TournamentData[[#This Row],[Team Number]]="","",IF(ISNA(INDEX('Robot Game Scores'!#REF!,MATCH(TournamentData[[#This Row],[Team Number]], 'Robot Game Scores'!$A:$A,0))),0,INDEX('Robot Game Scores'!#REF!,MATCH(TournamentData[[#This Row],[Team Number]], 'Robot Game Scores'!$A:$A,0))))</f>
        <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9" s="79">
        <f>_xlfn.RANK.EQ(TournamentData[[#This Row],[Max Robot Game Score]],TournamentData[Max Robot Game Score])</f>
        <v/>
      </c>
      <c r="K119" s="79">
        <f>INDEX(CoreValuesResults[Core Values Rank],MATCH(TournamentData[[#This Row],[Team Number]],CoreValuesResults[Team Number],0))</f>
        <v/>
      </c>
      <c r="L119" s="79">
        <f>INDEX(InnovationProjectResults[Innovation Project Rank],MATCH(TournamentData[[#This Row],[Team Number]],InnovationProjectResults[Team Number],0))</f>
        <v/>
      </c>
      <c r="M119" s="79">
        <f>INDEX(RobotDesignResults[Robot Design Rank],MATCH(TournamentData[[#This Row],[Team Number]],RobotDesignResults[Team Number],0))</f>
        <v/>
      </c>
      <c r="N119" s="79">
        <f>SUM(TournamentData[[#This Row],[Robot Game Rank]:[Robot Design Rank]])</f>
        <v/>
      </c>
      <c r="O119" s="79">
        <f>RANK(TournamentData[[#This Row],[Champion''s Score]],TournamentData[Champion''s Score],1)</f>
        <v/>
      </c>
      <c r="P119" s="80" t="n"/>
      <c r="Q119" s="86" t="inlineStr">
        <is>
          <t>No</t>
        </is>
      </c>
      <c r="R119" s="81">
        <f>IF(ISNA(INDEX(CoreValuesResults[Core Values Score],MATCH(TournamentData[[#This Row],[Team Number]],CoreValuesResults[Team Number],0))),0,INDEX(CoreValuesResults[Core Values Score],MATCH(TournamentData[[#This Row],[Team Number]],CoreValuesResults[Team Number],0)))</f>
        <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
      </c>
      <c r="T119" s="81">
        <f>IF(ISNA(INDEX(RobotDesignResults[Robot Design Score],MATCH(TournamentData[[#This Row],[Team Number]],RobotDesignResults[Team Number],0))),0,INDEX(RobotDesignResults[Robot Design Score],MATCH(TournamentData[[#This Row],[Team Number]],RobotDesignResults[Team Number],0)))</f>
        <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9" s="80">
        <f>IF(U119,_xlfn.RANK.EQ(U119,U$3:U$17,0),NumberOfTeams)</f>
        <v/>
      </c>
      <c r="W119" s="80" t="n"/>
    </row>
    <row r="120" ht="20.25" customHeight="1">
      <c r="A120" s="79" t="n">
        <v>118</v>
      </c>
      <c r="B120" s="79">
        <f>INDEX(OfficialTeamList[Pod Number],MATCH(TournamentData[[#This Row],[Team Number]], OfficialTeamList[Team '#],0))</f>
        <v/>
      </c>
      <c r="C120" s="105">
        <f>INDEX(OfficialTeamList[Team Name],MATCH(TournamentData[[#This Row],[Team Number]], OfficialTeamList[Team '#],0))</f>
        <v/>
      </c>
      <c r="D120" s="79">
        <f>IF(TournamentData[[#This Row],[Team Number]]="","",IF(ISNA(INDEX('Robot Game Scores'!C:C,MATCH(TournamentData[[#This Row],[Team Number]], 'Robot Game Scores'!$A:$A,0))),0,INDEX('Robot Game Scores'!C:C,MATCH(TournamentData[[#This Row],[Team Number]], 'Robot Game Scores'!$A:$A,0))))</f>
        <v/>
      </c>
      <c r="E120" s="79">
        <f>IF(TournamentData[[#This Row],[Team Number]]="","",IF(ISNA(INDEX('Robot Game Scores'!D:D,MATCH(TournamentData[[#This Row],[Team Number]], 'Robot Game Scores'!$A:$A,0))),0,INDEX('Robot Game Scores'!D:D,MATCH(TournamentData[[#This Row],[Team Number]], 'Robot Game Scores'!$A:$A,0))))</f>
        <v/>
      </c>
      <c r="F120" s="79">
        <f>IF(TournamentData[[#This Row],[Team Number]]="","",IF(ISNA(INDEX('Robot Game Scores'!E:E,MATCH(TournamentData[[#This Row],[Team Number]], 'Robot Game Scores'!$A:$A,0))),0,INDEX('Robot Game Scores'!E:E,MATCH(TournamentData[[#This Row],[Team Number]], 'Robot Game Scores'!$A:$A,0))))</f>
        <v/>
      </c>
      <c r="G120" s="79">
        <f>IF(TournamentData[[#This Row],[Team Number]]="","",IF(ISNA(INDEX('Robot Game Scores'!#REF!,MATCH(TournamentData[[#This Row],[Team Number]], 'Robot Game Scores'!$A:$A,0))),0,INDEX('Robot Game Scores'!#REF!,MATCH(TournamentData[[#This Row],[Team Number]], 'Robot Game Scores'!$A:$A,0))))</f>
        <v/>
      </c>
      <c r="H120" s="79">
        <f>IF(TournamentData[[#This Row],[Team Number]]="","",IF(ISNA(INDEX('Robot Game Scores'!#REF!,MATCH(TournamentData[[#This Row],[Team Number]], 'Robot Game Scores'!$A:$A,0))),0,INDEX('Robot Game Scores'!#REF!,MATCH(TournamentData[[#This Row],[Team Number]], 'Robot Game Scores'!$A:$A,0))))</f>
        <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0" s="79">
        <f>_xlfn.RANK.EQ(TournamentData[[#This Row],[Max Robot Game Score]],TournamentData[Max Robot Game Score])</f>
        <v/>
      </c>
      <c r="K120" s="79">
        <f>INDEX(CoreValuesResults[Core Values Rank],MATCH(TournamentData[[#This Row],[Team Number]],CoreValuesResults[Team Number],0))</f>
        <v/>
      </c>
      <c r="L120" s="79">
        <f>INDEX(InnovationProjectResults[Innovation Project Rank],MATCH(TournamentData[[#This Row],[Team Number]],InnovationProjectResults[Team Number],0))</f>
        <v/>
      </c>
      <c r="M120" s="79">
        <f>INDEX(RobotDesignResults[Robot Design Rank],MATCH(TournamentData[[#This Row],[Team Number]],RobotDesignResults[Team Number],0))</f>
        <v/>
      </c>
      <c r="N120" s="79">
        <f>SUM(TournamentData[[#This Row],[Robot Game Rank]:[Robot Design Rank]])</f>
        <v/>
      </c>
      <c r="O120" s="79">
        <f>RANK(TournamentData[[#This Row],[Champion''s Score]],TournamentData[Champion''s Score],1)</f>
        <v/>
      </c>
      <c r="P120" s="80" t="n"/>
      <c r="Q120" s="86" t="inlineStr">
        <is>
          <t>No</t>
        </is>
      </c>
      <c r="R120" s="81">
        <f>IF(ISNA(INDEX(CoreValuesResults[Core Values Score],MATCH(TournamentData[[#This Row],[Team Number]],CoreValuesResults[Team Number],0))),0,INDEX(CoreValuesResults[Core Values Score],MATCH(TournamentData[[#This Row],[Team Number]],CoreValuesResults[Team Number],0)))</f>
        <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
      </c>
      <c r="T120" s="81">
        <f>IF(ISNA(INDEX(RobotDesignResults[Robot Design Score],MATCH(TournamentData[[#This Row],[Team Number]],RobotDesignResults[Team Number],0))),0,INDEX(RobotDesignResults[Robot Design Score],MATCH(TournamentData[[#This Row],[Team Number]],RobotDesignResults[Team Number],0)))</f>
        <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0" s="80">
        <f>IF(U120,_xlfn.RANK.EQ(U120,U$3:U$17,0),NumberOfTeams)</f>
        <v/>
      </c>
      <c r="W120" s="80" t="n"/>
    </row>
    <row r="121" ht="20.25" customHeight="1">
      <c r="A121" s="79" t="n">
        <v>119</v>
      </c>
      <c r="B121" s="79">
        <f>INDEX(OfficialTeamList[Pod Number],MATCH(TournamentData[[#This Row],[Team Number]], OfficialTeamList[Team '#],0))</f>
        <v/>
      </c>
      <c r="C121" s="105">
        <f>INDEX(OfficialTeamList[Team Name],MATCH(TournamentData[[#This Row],[Team Number]], OfficialTeamList[Team '#],0))</f>
        <v/>
      </c>
      <c r="D121" s="79">
        <f>IF(TournamentData[[#This Row],[Team Number]]="","",IF(ISNA(INDEX('Robot Game Scores'!C:C,MATCH(TournamentData[[#This Row],[Team Number]], 'Robot Game Scores'!$A:$A,0))),0,INDEX('Robot Game Scores'!C:C,MATCH(TournamentData[[#This Row],[Team Number]], 'Robot Game Scores'!$A:$A,0))))</f>
        <v/>
      </c>
      <c r="E121" s="79">
        <f>IF(TournamentData[[#This Row],[Team Number]]="","",IF(ISNA(INDEX('Robot Game Scores'!D:D,MATCH(TournamentData[[#This Row],[Team Number]], 'Robot Game Scores'!$A:$A,0))),0,INDEX('Robot Game Scores'!D:D,MATCH(TournamentData[[#This Row],[Team Number]], 'Robot Game Scores'!$A:$A,0))))</f>
        <v/>
      </c>
      <c r="F121" s="79">
        <f>IF(TournamentData[[#This Row],[Team Number]]="","",IF(ISNA(INDEX('Robot Game Scores'!E:E,MATCH(TournamentData[[#This Row],[Team Number]], 'Robot Game Scores'!$A:$A,0))),0,INDEX('Robot Game Scores'!E:E,MATCH(TournamentData[[#This Row],[Team Number]], 'Robot Game Scores'!$A:$A,0))))</f>
        <v/>
      </c>
      <c r="G121" s="79">
        <f>IF(TournamentData[[#This Row],[Team Number]]="","",IF(ISNA(INDEX('Robot Game Scores'!#REF!,MATCH(TournamentData[[#This Row],[Team Number]], 'Robot Game Scores'!$A:$A,0))),0,INDEX('Robot Game Scores'!#REF!,MATCH(TournamentData[[#This Row],[Team Number]], 'Robot Game Scores'!$A:$A,0))))</f>
        <v/>
      </c>
      <c r="H121" s="79">
        <f>IF(TournamentData[[#This Row],[Team Number]]="","",IF(ISNA(INDEX('Robot Game Scores'!#REF!,MATCH(TournamentData[[#This Row],[Team Number]], 'Robot Game Scores'!$A:$A,0))),0,INDEX('Robot Game Scores'!#REF!,MATCH(TournamentData[[#This Row],[Team Number]], 'Robot Game Scores'!$A:$A,0))))</f>
        <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1" s="79">
        <f>_xlfn.RANK.EQ(TournamentData[[#This Row],[Max Robot Game Score]],TournamentData[Max Robot Game Score])</f>
        <v/>
      </c>
      <c r="K121" s="79">
        <f>INDEX(CoreValuesResults[Core Values Rank],MATCH(TournamentData[[#This Row],[Team Number]],CoreValuesResults[Team Number],0))</f>
        <v/>
      </c>
      <c r="L121" s="79">
        <f>INDEX(InnovationProjectResults[Innovation Project Rank],MATCH(TournamentData[[#This Row],[Team Number]],InnovationProjectResults[Team Number],0))</f>
        <v/>
      </c>
      <c r="M121" s="79">
        <f>INDEX(RobotDesignResults[Robot Design Rank],MATCH(TournamentData[[#This Row],[Team Number]],RobotDesignResults[Team Number],0))</f>
        <v/>
      </c>
      <c r="N121" s="79">
        <f>SUM(TournamentData[[#This Row],[Robot Game Rank]:[Robot Design Rank]])</f>
        <v/>
      </c>
      <c r="O121" s="79">
        <f>RANK(TournamentData[[#This Row],[Champion''s Score]],TournamentData[Champion''s Score],1)</f>
        <v/>
      </c>
      <c r="P121" s="80" t="n"/>
      <c r="Q121" s="86" t="inlineStr">
        <is>
          <t>No</t>
        </is>
      </c>
      <c r="R121" s="81">
        <f>IF(ISNA(INDEX(CoreValuesResults[Core Values Score],MATCH(TournamentData[[#This Row],[Team Number]],CoreValuesResults[Team Number],0))),0,INDEX(CoreValuesResults[Core Values Score],MATCH(TournamentData[[#This Row],[Team Number]],CoreValuesResults[Team Number],0)))</f>
        <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
      </c>
      <c r="T121" s="81">
        <f>IF(ISNA(INDEX(RobotDesignResults[Robot Design Score],MATCH(TournamentData[[#This Row],[Team Number]],RobotDesignResults[Team Number],0))),0,INDEX(RobotDesignResults[Robot Design Score],MATCH(TournamentData[[#This Row],[Team Number]],RobotDesignResults[Team Number],0)))</f>
        <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1" s="80">
        <f>IF(U121,_xlfn.RANK.EQ(U121,U$3:U$17,0),NumberOfTeams)</f>
        <v/>
      </c>
      <c r="W121" s="80" t="n"/>
    </row>
    <row r="122" ht="20.25" customHeight="1">
      <c r="A122" s="79" t="n">
        <v>120</v>
      </c>
      <c r="B122" s="79">
        <f>INDEX(OfficialTeamList[Pod Number],MATCH(TournamentData[[#This Row],[Team Number]], OfficialTeamList[Team '#],0))</f>
        <v/>
      </c>
      <c r="C122" s="105">
        <f>INDEX(OfficialTeamList[Team Name],MATCH(TournamentData[[#This Row],[Team Number]], OfficialTeamList[Team '#],0))</f>
        <v/>
      </c>
      <c r="D122" s="79">
        <f>IF(TournamentData[[#This Row],[Team Number]]="","",IF(ISNA(INDEX('Robot Game Scores'!C:C,MATCH(TournamentData[[#This Row],[Team Number]], 'Robot Game Scores'!$A:$A,0))),0,INDEX('Robot Game Scores'!C:C,MATCH(TournamentData[[#This Row],[Team Number]], 'Robot Game Scores'!$A:$A,0))))</f>
        <v/>
      </c>
      <c r="E122" s="79">
        <f>IF(TournamentData[[#This Row],[Team Number]]="","",IF(ISNA(INDEX('Robot Game Scores'!D:D,MATCH(TournamentData[[#This Row],[Team Number]], 'Robot Game Scores'!$A:$A,0))),0,INDEX('Robot Game Scores'!D:D,MATCH(TournamentData[[#This Row],[Team Number]], 'Robot Game Scores'!$A:$A,0))))</f>
        <v/>
      </c>
      <c r="F122" s="79">
        <f>IF(TournamentData[[#This Row],[Team Number]]="","",IF(ISNA(INDEX('Robot Game Scores'!E:E,MATCH(TournamentData[[#This Row],[Team Number]], 'Robot Game Scores'!$A:$A,0))),0,INDEX('Robot Game Scores'!E:E,MATCH(TournamentData[[#This Row],[Team Number]], 'Robot Game Scores'!$A:$A,0))))</f>
        <v/>
      </c>
      <c r="G122" s="79">
        <f>IF(TournamentData[[#This Row],[Team Number]]="","",IF(ISNA(INDEX('Robot Game Scores'!#REF!,MATCH(TournamentData[[#This Row],[Team Number]], 'Robot Game Scores'!$A:$A,0))),0,INDEX('Robot Game Scores'!#REF!,MATCH(TournamentData[[#This Row],[Team Number]], 'Robot Game Scores'!$A:$A,0))))</f>
        <v/>
      </c>
      <c r="H122" s="79">
        <f>IF(TournamentData[[#This Row],[Team Number]]="","",IF(ISNA(INDEX('Robot Game Scores'!#REF!,MATCH(TournamentData[[#This Row],[Team Number]], 'Robot Game Scores'!$A:$A,0))),0,INDEX('Robot Game Scores'!#REF!,MATCH(TournamentData[[#This Row],[Team Number]], 'Robot Game Scores'!$A:$A,0))))</f>
        <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2" s="79">
        <f>_xlfn.RANK.EQ(TournamentData[[#This Row],[Max Robot Game Score]],TournamentData[Max Robot Game Score])</f>
        <v/>
      </c>
      <c r="K122" s="79">
        <f>INDEX(CoreValuesResults[Core Values Rank],MATCH(TournamentData[[#This Row],[Team Number]],CoreValuesResults[Team Number],0))</f>
        <v/>
      </c>
      <c r="L122" s="79">
        <f>INDEX(InnovationProjectResults[Innovation Project Rank],MATCH(TournamentData[[#This Row],[Team Number]],InnovationProjectResults[Team Number],0))</f>
        <v/>
      </c>
      <c r="M122" s="79">
        <f>INDEX(RobotDesignResults[Robot Design Rank],MATCH(TournamentData[[#This Row],[Team Number]],RobotDesignResults[Team Number],0))</f>
        <v/>
      </c>
      <c r="N122" s="79">
        <f>SUM(TournamentData[[#This Row],[Robot Game Rank]:[Robot Design Rank]])</f>
        <v/>
      </c>
      <c r="O122" s="79">
        <f>RANK(TournamentData[[#This Row],[Champion''s Score]],TournamentData[Champion''s Score],1)</f>
        <v/>
      </c>
      <c r="P122" s="80" t="n"/>
      <c r="Q122" s="86" t="inlineStr">
        <is>
          <t>No</t>
        </is>
      </c>
      <c r="R122" s="81">
        <f>IF(ISNA(INDEX(CoreValuesResults[Core Values Score],MATCH(TournamentData[[#This Row],[Team Number]],CoreValuesResults[Team Number],0))),0,INDEX(CoreValuesResults[Core Values Score],MATCH(TournamentData[[#This Row],[Team Number]],CoreValuesResults[Team Number],0)))</f>
        <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
      </c>
      <c r="T122" s="81">
        <f>IF(ISNA(INDEX(RobotDesignResults[Robot Design Score],MATCH(TournamentData[[#This Row],[Team Number]],RobotDesignResults[Team Number],0))),0,INDEX(RobotDesignResults[Robot Design Score],MATCH(TournamentData[[#This Row],[Team Number]],RobotDesignResults[Team Number],0)))</f>
        <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2" s="80">
        <f>IF(U122,_xlfn.RANK.EQ(U122,U$3:U$17,0),NumberOfTeams)</f>
        <v/>
      </c>
      <c r="W122" s="80" t="n"/>
    </row>
    <row r="123" ht="20.25" customHeight="1">
      <c r="A123" s="79" t="n">
        <v>121</v>
      </c>
      <c r="B123" s="79">
        <f>INDEX(OfficialTeamList[Pod Number],MATCH(TournamentData[[#This Row],[Team Number]], OfficialTeamList[Team '#],0))</f>
        <v/>
      </c>
      <c r="C123" s="105">
        <f>INDEX(OfficialTeamList[Team Name],MATCH(TournamentData[[#This Row],[Team Number]], OfficialTeamList[Team '#],0))</f>
        <v/>
      </c>
      <c r="D123" s="79">
        <f>IF(TournamentData[[#This Row],[Team Number]]="","",IF(ISNA(INDEX('Robot Game Scores'!C:C,MATCH(TournamentData[[#This Row],[Team Number]], 'Robot Game Scores'!$A:$A,0))),0,INDEX('Robot Game Scores'!C:C,MATCH(TournamentData[[#This Row],[Team Number]], 'Robot Game Scores'!$A:$A,0))))</f>
        <v/>
      </c>
      <c r="E123" s="79">
        <f>IF(TournamentData[[#This Row],[Team Number]]="","",IF(ISNA(INDEX('Robot Game Scores'!D:D,MATCH(TournamentData[[#This Row],[Team Number]], 'Robot Game Scores'!$A:$A,0))),0,INDEX('Robot Game Scores'!D:D,MATCH(TournamentData[[#This Row],[Team Number]], 'Robot Game Scores'!$A:$A,0))))</f>
        <v/>
      </c>
      <c r="F123" s="79">
        <f>IF(TournamentData[[#This Row],[Team Number]]="","",IF(ISNA(INDEX('Robot Game Scores'!E:E,MATCH(TournamentData[[#This Row],[Team Number]], 'Robot Game Scores'!$A:$A,0))),0,INDEX('Robot Game Scores'!E:E,MATCH(TournamentData[[#This Row],[Team Number]], 'Robot Game Scores'!$A:$A,0))))</f>
        <v/>
      </c>
      <c r="G123" s="79">
        <f>IF(TournamentData[[#This Row],[Team Number]]="","",IF(ISNA(INDEX('Robot Game Scores'!#REF!,MATCH(TournamentData[[#This Row],[Team Number]], 'Robot Game Scores'!$A:$A,0))),0,INDEX('Robot Game Scores'!#REF!,MATCH(TournamentData[[#This Row],[Team Number]], 'Robot Game Scores'!$A:$A,0))))</f>
        <v/>
      </c>
      <c r="H123" s="79">
        <f>IF(TournamentData[[#This Row],[Team Number]]="","",IF(ISNA(INDEX('Robot Game Scores'!#REF!,MATCH(TournamentData[[#This Row],[Team Number]], 'Robot Game Scores'!$A:$A,0))),0,INDEX('Robot Game Scores'!#REF!,MATCH(TournamentData[[#This Row],[Team Number]], 'Robot Game Scores'!$A:$A,0))))</f>
        <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3" s="79">
        <f>_xlfn.RANK.EQ(TournamentData[[#This Row],[Max Robot Game Score]],TournamentData[Max Robot Game Score])</f>
        <v/>
      </c>
      <c r="K123" s="79">
        <f>INDEX(CoreValuesResults[Core Values Rank],MATCH(TournamentData[[#This Row],[Team Number]],CoreValuesResults[Team Number],0))</f>
        <v/>
      </c>
      <c r="L123" s="79">
        <f>INDEX(InnovationProjectResults[Innovation Project Rank],MATCH(TournamentData[[#This Row],[Team Number]],InnovationProjectResults[Team Number],0))</f>
        <v/>
      </c>
      <c r="M123" s="79">
        <f>INDEX(RobotDesignResults[Robot Design Rank],MATCH(TournamentData[[#This Row],[Team Number]],RobotDesignResults[Team Number],0))</f>
        <v/>
      </c>
      <c r="N123" s="79">
        <f>SUM(TournamentData[[#This Row],[Robot Game Rank]:[Robot Design Rank]])</f>
        <v/>
      </c>
      <c r="O123" s="79">
        <f>RANK(TournamentData[[#This Row],[Champion''s Score]],TournamentData[Champion''s Score],1)</f>
        <v/>
      </c>
      <c r="P123" s="80" t="n"/>
      <c r="Q123" s="86" t="inlineStr">
        <is>
          <t>No</t>
        </is>
      </c>
      <c r="R123" s="81">
        <f>IF(ISNA(INDEX(CoreValuesResults[Core Values Score],MATCH(TournamentData[[#This Row],[Team Number]],CoreValuesResults[Team Number],0))),0,INDEX(CoreValuesResults[Core Values Score],MATCH(TournamentData[[#This Row],[Team Number]],CoreValuesResults[Team Number],0)))</f>
        <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
      </c>
      <c r="T123" s="81">
        <f>IF(ISNA(INDEX(RobotDesignResults[Robot Design Score],MATCH(TournamentData[[#This Row],[Team Number]],RobotDesignResults[Team Number],0))),0,INDEX(RobotDesignResults[Robot Design Score],MATCH(TournamentData[[#This Row],[Team Number]],RobotDesignResults[Team Number],0)))</f>
        <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3" s="80">
        <f>IF(U123,_xlfn.RANK.EQ(U123,U$3:U$17,0),NumberOfTeams)</f>
        <v/>
      </c>
      <c r="W123" s="80" t="n"/>
    </row>
    <row r="124" ht="20.25" customHeight="1">
      <c r="A124" s="79" t="n">
        <v>122</v>
      </c>
      <c r="B124" s="79">
        <f>INDEX(OfficialTeamList[Pod Number],MATCH(TournamentData[[#This Row],[Team Number]], OfficialTeamList[Team '#],0))</f>
        <v/>
      </c>
      <c r="C124" s="105">
        <f>INDEX(OfficialTeamList[Team Name],MATCH(TournamentData[[#This Row],[Team Number]], OfficialTeamList[Team '#],0))</f>
        <v/>
      </c>
      <c r="D124" s="79">
        <f>IF(TournamentData[[#This Row],[Team Number]]="","",IF(ISNA(INDEX('Robot Game Scores'!C:C,MATCH(TournamentData[[#This Row],[Team Number]], 'Robot Game Scores'!$A:$A,0))),0,INDEX('Robot Game Scores'!C:C,MATCH(TournamentData[[#This Row],[Team Number]], 'Robot Game Scores'!$A:$A,0))))</f>
        <v/>
      </c>
      <c r="E124" s="79">
        <f>IF(TournamentData[[#This Row],[Team Number]]="","",IF(ISNA(INDEX('Robot Game Scores'!D:D,MATCH(TournamentData[[#This Row],[Team Number]], 'Robot Game Scores'!$A:$A,0))),0,INDEX('Robot Game Scores'!D:D,MATCH(TournamentData[[#This Row],[Team Number]], 'Robot Game Scores'!$A:$A,0))))</f>
        <v/>
      </c>
      <c r="F124" s="79">
        <f>IF(TournamentData[[#This Row],[Team Number]]="","",IF(ISNA(INDEX('Robot Game Scores'!E:E,MATCH(TournamentData[[#This Row],[Team Number]], 'Robot Game Scores'!$A:$A,0))),0,INDEX('Robot Game Scores'!E:E,MATCH(TournamentData[[#This Row],[Team Number]], 'Robot Game Scores'!$A:$A,0))))</f>
        <v/>
      </c>
      <c r="G124" s="79">
        <f>IF(TournamentData[[#This Row],[Team Number]]="","",IF(ISNA(INDEX('Robot Game Scores'!#REF!,MATCH(TournamentData[[#This Row],[Team Number]], 'Robot Game Scores'!$A:$A,0))),0,INDEX('Robot Game Scores'!#REF!,MATCH(TournamentData[[#This Row],[Team Number]], 'Robot Game Scores'!$A:$A,0))))</f>
        <v/>
      </c>
      <c r="H124" s="79">
        <f>IF(TournamentData[[#This Row],[Team Number]]="","",IF(ISNA(INDEX('Robot Game Scores'!#REF!,MATCH(TournamentData[[#This Row],[Team Number]], 'Robot Game Scores'!$A:$A,0))),0,INDEX('Robot Game Scores'!#REF!,MATCH(TournamentData[[#This Row],[Team Number]], 'Robot Game Scores'!$A:$A,0))))</f>
        <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4" s="79">
        <f>_xlfn.RANK.EQ(TournamentData[[#This Row],[Max Robot Game Score]],TournamentData[Max Robot Game Score])</f>
        <v/>
      </c>
      <c r="K124" s="79">
        <f>INDEX(CoreValuesResults[Core Values Rank],MATCH(TournamentData[[#This Row],[Team Number]],CoreValuesResults[Team Number],0))</f>
        <v/>
      </c>
      <c r="L124" s="79">
        <f>INDEX(InnovationProjectResults[Innovation Project Rank],MATCH(TournamentData[[#This Row],[Team Number]],InnovationProjectResults[Team Number],0))</f>
        <v/>
      </c>
      <c r="M124" s="79">
        <f>INDEX(RobotDesignResults[Robot Design Rank],MATCH(TournamentData[[#This Row],[Team Number]],RobotDesignResults[Team Number],0))</f>
        <v/>
      </c>
      <c r="N124" s="79">
        <f>SUM(TournamentData[[#This Row],[Robot Game Rank]:[Robot Design Rank]])</f>
        <v/>
      </c>
      <c r="O124" s="79">
        <f>RANK(TournamentData[[#This Row],[Champion''s Score]],TournamentData[Champion''s Score],1)</f>
        <v/>
      </c>
      <c r="P124" s="80" t="n"/>
      <c r="Q124" s="86" t="inlineStr">
        <is>
          <t>No</t>
        </is>
      </c>
      <c r="R124" s="81">
        <f>IF(ISNA(INDEX(CoreValuesResults[Core Values Score],MATCH(TournamentData[[#This Row],[Team Number]],CoreValuesResults[Team Number],0))),0,INDEX(CoreValuesResults[Core Values Score],MATCH(TournamentData[[#This Row],[Team Number]],CoreValuesResults[Team Number],0)))</f>
        <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
      </c>
      <c r="T124" s="81">
        <f>IF(ISNA(INDEX(RobotDesignResults[Robot Design Score],MATCH(TournamentData[[#This Row],[Team Number]],RobotDesignResults[Team Number],0))),0,INDEX(RobotDesignResults[Robot Design Score],MATCH(TournamentData[[#This Row],[Team Number]],RobotDesignResults[Team Number],0)))</f>
        <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4" s="80">
        <f>IF(U124,_xlfn.RANK.EQ(U124,U$3:U$17,0),NumberOfTeams)</f>
        <v/>
      </c>
      <c r="W124" s="80" t="n"/>
    </row>
    <row r="125" ht="20.25" customHeight="1">
      <c r="A125" s="79" t="n">
        <v>123</v>
      </c>
      <c r="B125" s="79">
        <f>INDEX(OfficialTeamList[Pod Number],MATCH(TournamentData[[#This Row],[Team Number]], OfficialTeamList[Team '#],0))</f>
        <v/>
      </c>
      <c r="C125" s="105">
        <f>INDEX(OfficialTeamList[Team Name],MATCH(TournamentData[[#This Row],[Team Number]], OfficialTeamList[Team '#],0))</f>
        <v/>
      </c>
      <c r="D125" s="79">
        <f>IF(TournamentData[[#This Row],[Team Number]]="","",IF(ISNA(INDEX('Robot Game Scores'!C:C,MATCH(TournamentData[[#This Row],[Team Number]], 'Robot Game Scores'!$A:$A,0))),0,INDEX('Robot Game Scores'!C:C,MATCH(TournamentData[[#This Row],[Team Number]], 'Robot Game Scores'!$A:$A,0))))</f>
        <v/>
      </c>
      <c r="E125" s="79">
        <f>IF(TournamentData[[#This Row],[Team Number]]="","",IF(ISNA(INDEX('Robot Game Scores'!D:D,MATCH(TournamentData[[#This Row],[Team Number]], 'Robot Game Scores'!$A:$A,0))),0,INDEX('Robot Game Scores'!D:D,MATCH(TournamentData[[#This Row],[Team Number]], 'Robot Game Scores'!$A:$A,0))))</f>
        <v/>
      </c>
      <c r="F125" s="79">
        <f>IF(TournamentData[[#This Row],[Team Number]]="","",IF(ISNA(INDEX('Robot Game Scores'!E:E,MATCH(TournamentData[[#This Row],[Team Number]], 'Robot Game Scores'!$A:$A,0))),0,INDEX('Robot Game Scores'!E:E,MATCH(TournamentData[[#This Row],[Team Number]], 'Robot Game Scores'!$A:$A,0))))</f>
        <v/>
      </c>
      <c r="G125" s="79">
        <f>IF(TournamentData[[#This Row],[Team Number]]="","",IF(ISNA(INDEX('Robot Game Scores'!#REF!,MATCH(TournamentData[[#This Row],[Team Number]], 'Robot Game Scores'!$A:$A,0))),0,INDEX('Robot Game Scores'!#REF!,MATCH(TournamentData[[#This Row],[Team Number]], 'Robot Game Scores'!$A:$A,0))))</f>
        <v/>
      </c>
      <c r="H125" s="79">
        <f>IF(TournamentData[[#This Row],[Team Number]]="","",IF(ISNA(INDEX('Robot Game Scores'!#REF!,MATCH(TournamentData[[#This Row],[Team Number]], 'Robot Game Scores'!$A:$A,0))),0,INDEX('Robot Game Scores'!#REF!,MATCH(TournamentData[[#This Row],[Team Number]], 'Robot Game Scores'!$A:$A,0))))</f>
        <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5" s="79">
        <f>_xlfn.RANK.EQ(TournamentData[[#This Row],[Max Robot Game Score]],TournamentData[Max Robot Game Score])</f>
        <v/>
      </c>
      <c r="K125" s="79">
        <f>INDEX(CoreValuesResults[Core Values Rank],MATCH(TournamentData[[#This Row],[Team Number]],CoreValuesResults[Team Number],0))</f>
        <v/>
      </c>
      <c r="L125" s="79">
        <f>INDEX(InnovationProjectResults[Innovation Project Rank],MATCH(TournamentData[[#This Row],[Team Number]],InnovationProjectResults[Team Number],0))</f>
        <v/>
      </c>
      <c r="M125" s="79">
        <f>INDEX(RobotDesignResults[Robot Design Rank],MATCH(TournamentData[[#This Row],[Team Number]],RobotDesignResults[Team Number],0))</f>
        <v/>
      </c>
      <c r="N125" s="79">
        <f>SUM(TournamentData[[#This Row],[Robot Game Rank]:[Robot Design Rank]])</f>
        <v/>
      </c>
      <c r="O125" s="79">
        <f>RANK(TournamentData[[#This Row],[Champion''s Score]],TournamentData[Champion''s Score],1)</f>
        <v/>
      </c>
      <c r="P125" s="80" t="n"/>
      <c r="Q125" s="86" t="inlineStr">
        <is>
          <t>No</t>
        </is>
      </c>
      <c r="R125" s="81">
        <f>IF(ISNA(INDEX(CoreValuesResults[Core Values Score],MATCH(TournamentData[[#This Row],[Team Number]],CoreValuesResults[Team Number],0))),0,INDEX(CoreValuesResults[Core Values Score],MATCH(TournamentData[[#This Row],[Team Number]],CoreValuesResults[Team Number],0)))</f>
        <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
      </c>
      <c r="T125" s="81">
        <f>IF(ISNA(INDEX(RobotDesignResults[Robot Design Score],MATCH(TournamentData[[#This Row],[Team Number]],RobotDesignResults[Team Number],0))),0,INDEX(RobotDesignResults[Robot Design Score],MATCH(TournamentData[[#This Row],[Team Number]],RobotDesignResults[Team Number],0)))</f>
        <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5" s="80">
        <f>IF(U125,_xlfn.RANK.EQ(U125,U$3:U$17,0),NumberOfTeams)</f>
        <v/>
      </c>
      <c r="W125" s="80" t="n"/>
    </row>
    <row r="126" ht="20.25" customHeight="1">
      <c r="A126" s="79" t="n">
        <v>124</v>
      </c>
      <c r="B126" s="79">
        <f>INDEX(OfficialTeamList[Pod Number],MATCH(TournamentData[[#This Row],[Team Number]], OfficialTeamList[Team '#],0))</f>
        <v/>
      </c>
      <c r="C126" s="105">
        <f>INDEX(OfficialTeamList[Team Name],MATCH(TournamentData[[#This Row],[Team Number]], OfficialTeamList[Team '#],0))</f>
        <v/>
      </c>
      <c r="D126" s="79">
        <f>IF(TournamentData[[#This Row],[Team Number]]="","",IF(ISNA(INDEX('Robot Game Scores'!C:C,MATCH(TournamentData[[#This Row],[Team Number]], 'Robot Game Scores'!$A:$A,0))),0,INDEX('Robot Game Scores'!C:C,MATCH(TournamentData[[#This Row],[Team Number]], 'Robot Game Scores'!$A:$A,0))))</f>
        <v/>
      </c>
      <c r="E126" s="79">
        <f>IF(TournamentData[[#This Row],[Team Number]]="","",IF(ISNA(INDEX('Robot Game Scores'!D:D,MATCH(TournamentData[[#This Row],[Team Number]], 'Robot Game Scores'!$A:$A,0))),0,INDEX('Robot Game Scores'!D:D,MATCH(TournamentData[[#This Row],[Team Number]], 'Robot Game Scores'!$A:$A,0))))</f>
        <v/>
      </c>
      <c r="F126" s="79">
        <f>IF(TournamentData[[#This Row],[Team Number]]="","",IF(ISNA(INDEX('Robot Game Scores'!E:E,MATCH(TournamentData[[#This Row],[Team Number]], 'Robot Game Scores'!$A:$A,0))),0,INDEX('Robot Game Scores'!E:E,MATCH(TournamentData[[#This Row],[Team Number]], 'Robot Game Scores'!$A:$A,0))))</f>
        <v/>
      </c>
      <c r="G126" s="79">
        <f>IF(TournamentData[[#This Row],[Team Number]]="","",IF(ISNA(INDEX('Robot Game Scores'!#REF!,MATCH(TournamentData[[#This Row],[Team Number]], 'Robot Game Scores'!$A:$A,0))),0,INDEX('Robot Game Scores'!#REF!,MATCH(TournamentData[[#This Row],[Team Number]], 'Robot Game Scores'!$A:$A,0))))</f>
        <v/>
      </c>
      <c r="H126" s="79">
        <f>IF(TournamentData[[#This Row],[Team Number]]="","",IF(ISNA(INDEX('Robot Game Scores'!#REF!,MATCH(TournamentData[[#This Row],[Team Number]], 'Robot Game Scores'!$A:$A,0))),0,INDEX('Robot Game Scores'!#REF!,MATCH(TournamentData[[#This Row],[Team Number]], 'Robot Game Scores'!$A:$A,0))))</f>
        <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6" s="79">
        <f>_xlfn.RANK.EQ(TournamentData[[#This Row],[Max Robot Game Score]],TournamentData[Max Robot Game Score])</f>
        <v/>
      </c>
      <c r="K126" s="79">
        <f>INDEX(CoreValuesResults[Core Values Rank],MATCH(TournamentData[[#This Row],[Team Number]],CoreValuesResults[Team Number],0))</f>
        <v/>
      </c>
      <c r="L126" s="79">
        <f>INDEX(InnovationProjectResults[Innovation Project Rank],MATCH(TournamentData[[#This Row],[Team Number]],InnovationProjectResults[Team Number],0))</f>
        <v/>
      </c>
      <c r="M126" s="79">
        <f>INDEX(RobotDesignResults[Robot Design Rank],MATCH(TournamentData[[#This Row],[Team Number]],RobotDesignResults[Team Number],0))</f>
        <v/>
      </c>
      <c r="N126" s="79">
        <f>SUM(TournamentData[[#This Row],[Robot Game Rank]:[Robot Design Rank]])</f>
        <v/>
      </c>
      <c r="O126" s="79">
        <f>RANK(TournamentData[[#This Row],[Champion''s Score]],TournamentData[Champion''s Score],1)</f>
        <v/>
      </c>
      <c r="P126" s="80" t="n"/>
      <c r="Q126" s="86" t="inlineStr">
        <is>
          <t>No</t>
        </is>
      </c>
      <c r="R126" s="81">
        <f>IF(ISNA(INDEX(CoreValuesResults[Core Values Score],MATCH(TournamentData[[#This Row],[Team Number]],CoreValuesResults[Team Number],0))),0,INDEX(CoreValuesResults[Core Values Score],MATCH(TournamentData[[#This Row],[Team Number]],CoreValuesResults[Team Number],0)))</f>
        <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
      </c>
      <c r="T126" s="81">
        <f>IF(ISNA(INDEX(RobotDesignResults[Robot Design Score],MATCH(TournamentData[[#This Row],[Team Number]],RobotDesignResults[Team Number],0))),0,INDEX(RobotDesignResults[Robot Design Score],MATCH(TournamentData[[#This Row],[Team Number]],RobotDesignResults[Team Number],0)))</f>
        <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6" s="80">
        <f>IF(U126,_xlfn.RANK.EQ(U126,U$3:U$17,0),NumberOfTeams)</f>
        <v/>
      </c>
      <c r="W126" s="80" t="n"/>
    </row>
    <row r="127" ht="20.25" customHeight="1">
      <c r="A127" s="79" t="n">
        <v>125</v>
      </c>
      <c r="B127" s="79">
        <f>INDEX(OfficialTeamList[Pod Number],MATCH(TournamentData[[#This Row],[Team Number]], OfficialTeamList[Team '#],0))</f>
        <v/>
      </c>
      <c r="C127" s="105">
        <f>INDEX(OfficialTeamList[Team Name],MATCH(TournamentData[[#This Row],[Team Number]], OfficialTeamList[Team '#],0))</f>
        <v/>
      </c>
      <c r="D127" s="79">
        <f>IF(TournamentData[[#This Row],[Team Number]]="","",IF(ISNA(INDEX('Robot Game Scores'!C:C,MATCH(TournamentData[[#This Row],[Team Number]], 'Robot Game Scores'!$A:$A,0))),0,INDEX('Robot Game Scores'!C:C,MATCH(TournamentData[[#This Row],[Team Number]], 'Robot Game Scores'!$A:$A,0))))</f>
        <v/>
      </c>
      <c r="E127" s="79">
        <f>IF(TournamentData[[#This Row],[Team Number]]="","",IF(ISNA(INDEX('Robot Game Scores'!D:D,MATCH(TournamentData[[#This Row],[Team Number]], 'Robot Game Scores'!$A:$A,0))),0,INDEX('Robot Game Scores'!D:D,MATCH(TournamentData[[#This Row],[Team Number]], 'Robot Game Scores'!$A:$A,0))))</f>
        <v/>
      </c>
      <c r="F127" s="79">
        <f>IF(TournamentData[[#This Row],[Team Number]]="","",IF(ISNA(INDEX('Robot Game Scores'!E:E,MATCH(TournamentData[[#This Row],[Team Number]], 'Robot Game Scores'!$A:$A,0))),0,INDEX('Robot Game Scores'!E:E,MATCH(TournamentData[[#This Row],[Team Number]], 'Robot Game Scores'!$A:$A,0))))</f>
        <v/>
      </c>
      <c r="G127" s="79">
        <f>IF(TournamentData[[#This Row],[Team Number]]="","",IF(ISNA(INDEX('Robot Game Scores'!#REF!,MATCH(TournamentData[[#This Row],[Team Number]], 'Robot Game Scores'!$A:$A,0))),0,INDEX('Robot Game Scores'!#REF!,MATCH(TournamentData[[#This Row],[Team Number]], 'Robot Game Scores'!$A:$A,0))))</f>
        <v/>
      </c>
      <c r="H127" s="79">
        <f>IF(TournamentData[[#This Row],[Team Number]]="","",IF(ISNA(INDEX('Robot Game Scores'!#REF!,MATCH(TournamentData[[#This Row],[Team Number]], 'Robot Game Scores'!$A:$A,0))),0,INDEX('Robot Game Scores'!#REF!,MATCH(TournamentData[[#This Row],[Team Number]], 'Robot Game Scores'!$A:$A,0))))</f>
        <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7" s="79">
        <f>_xlfn.RANK.EQ(TournamentData[[#This Row],[Max Robot Game Score]],TournamentData[Max Robot Game Score])</f>
        <v/>
      </c>
      <c r="K127" s="79">
        <f>INDEX(CoreValuesResults[Core Values Rank],MATCH(TournamentData[[#This Row],[Team Number]],CoreValuesResults[Team Number],0))</f>
        <v/>
      </c>
      <c r="L127" s="79">
        <f>INDEX(InnovationProjectResults[Innovation Project Rank],MATCH(TournamentData[[#This Row],[Team Number]],InnovationProjectResults[Team Number],0))</f>
        <v/>
      </c>
      <c r="M127" s="79">
        <f>INDEX(RobotDesignResults[Robot Design Rank],MATCH(TournamentData[[#This Row],[Team Number]],RobotDesignResults[Team Number],0))</f>
        <v/>
      </c>
      <c r="N127" s="79">
        <f>SUM(TournamentData[[#This Row],[Robot Game Rank]:[Robot Design Rank]])</f>
        <v/>
      </c>
      <c r="O127" s="79">
        <f>RANK(TournamentData[[#This Row],[Champion''s Score]],TournamentData[Champion''s Score],1)</f>
        <v/>
      </c>
      <c r="P127" s="80" t="n"/>
      <c r="Q127" s="86" t="inlineStr">
        <is>
          <t>No</t>
        </is>
      </c>
      <c r="R127" s="81">
        <f>IF(ISNA(INDEX(CoreValuesResults[Core Values Score],MATCH(TournamentData[[#This Row],[Team Number]],CoreValuesResults[Team Number],0))),0,INDEX(CoreValuesResults[Core Values Score],MATCH(TournamentData[[#This Row],[Team Number]],CoreValuesResults[Team Number],0)))</f>
        <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
      </c>
      <c r="T127" s="81">
        <f>IF(ISNA(INDEX(RobotDesignResults[Robot Design Score],MATCH(TournamentData[[#This Row],[Team Number]],RobotDesignResults[Team Number],0))),0,INDEX(RobotDesignResults[Robot Design Score],MATCH(TournamentData[[#This Row],[Team Number]],RobotDesignResults[Team Number],0)))</f>
        <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7" s="80">
        <f>IF(U127,_xlfn.RANK.EQ(U127,U$3:U$17,0),NumberOfTeams)</f>
        <v/>
      </c>
      <c r="W127" s="80" t="n"/>
    </row>
    <row r="128" ht="20.25" customHeight="1">
      <c r="A128" s="79" t="n">
        <v>126</v>
      </c>
      <c r="B128" s="79">
        <f>INDEX(OfficialTeamList[Pod Number],MATCH(TournamentData[[#This Row],[Team Number]], OfficialTeamList[Team '#],0))</f>
        <v/>
      </c>
      <c r="C128" s="105">
        <f>INDEX(OfficialTeamList[Team Name],MATCH(TournamentData[[#This Row],[Team Number]], OfficialTeamList[Team '#],0))</f>
        <v/>
      </c>
      <c r="D128" s="79">
        <f>IF(TournamentData[[#This Row],[Team Number]]="","",IF(ISNA(INDEX('Robot Game Scores'!C:C,MATCH(TournamentData[[#This Row],[Team Number]], 'Robot Game Scores'!$A:$A,0))),0,INDEX('Robot Game Scores'!C:C,MATCH(TournamentData[[#This Row],[Team Number]], 'Robot Game Scores'!$A:$A,0))))</f>
        <v/>
      </c>
      <c r="E128" s="79">
        <f>IF(TournamentData[[#This Row],[Team Number]]="","",IF(ISNA(INDEX('Robot Game Scores'!D:D,MATCH(TournamentData[[#This Row],[Team Number]], 'Robot Game Scores'!$A:$A,0))),0,INDEX('Robot Game Scores'!D:D,MATCH(TournamentData[[#This Row],[Team Number]], 'Robot Game Scores'!$A:$A,0))))</f>
        <v/>
      </c>
      <c r="F128" s="79">
        <f>IF(TournamentData[[#This Row],[Team Number]]="","",IF(ISNA(INDEX('Robot Game Scores'!E:E,MATCH(TournamentData[[#This Row],[Team Number]], 'Robot Game Scores'!$A:$A,0))),0,INDEX('Robot Game Scores'!E:E,MATCH(TournamentData[[#This Row],[Team Number]], 'Robot Game Scores'!$A:$A,0))))</f>
        <v/>
      </c>
      <c r="G128" s="79">
        <f>IF(TournamentData[[#This Row],[Team Number]]="","",IF(ISNA(INDEX('Robot Game Scores'!#REF!,MATCH(TournamentData[[#This Row],[Team Number]], 'Robot Game Scores'!$A:$A,0))),0,INDEX('Robot Game Scores'!#REF!,MATCH(TournamentData[[#This Row],[Team Number]], 'Robot Game Scores'!$A:$A,0))))</f>
        <v/>
      </c>
      <c r="H128" s="79">
        <f>IF(TournamentData[[#This Row],[Team Number]]="","",IF(ISNA(INDEX('Robot Game Scores'!#REF!,MATCH(TournamentData[[#This Row],[Team Number]], 'Robot Game Scores'!$A:$A,0))),0,INDEX('Robot Game Scores'!#REF!,MATCH(TournamentData[[#This Row],[Team Number]], 'Robot Game Scores'!$A:$A,0))))</f>
        <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8" s="79">
        <f>_xlfn.RANK.EQ(TournamentData[[#This Row],[Max Robot Game Score]],TournamentData[Max Robot Game Score])</f>
        <v/>
      </c>
      <c r="K128" s="79">
        <f>INDEX(CoreValuesResults[Core Values Rank],MATCH(TournamentData[[#This Row],[Team Number]],CoreValuesResults[Team Number],0))</f>
        <v/>
      </c>
      <c r="L128" s="79">
        <f>INDEX(InnovationProjectResults[Innovation Project Rank],MATCH(TournamentData[[#This Row],[Team Number]],InnovationProjectResults[Team Number],0))</f>
        <v/>
      </c>
      <c r="M128" s="79">
        <f>INDEX(RobotDesignResults[Robot Design Rank],MATCH(TournamentData[[#This Row],[Team Number]],RobotDesignResults[Team Number],0))</f>
        <v/>
      </c>
      <c r="N128" s="79">
        <f>SUM(TournamentData[[#This Row],[Robot Game Rank]:[Robot Design Rank]])</f>
        <v/>
      </c>
      <c r="O128" s="79">
        <f>RANK(TournamentData[[#This Row],[Champion''s Score]],TournamentData[Champion''s Score],1)</f>
        <v/>
      </c>
      <c r="P128" s="80" t="n"/>
      <c r="Q128" s="86" t="inlineStr">
        <is>
          <t>No</t>
        </is>
      </c>
      <c r="R128" s="81">
        <f>IF(ISNA(INDEX(CoreValuesResults[Core Values Score],MATCH(TournamentData[[#This Row],[Team Number]],CoreValuesResults[Team Number],0))),0,INDEX(CoreValuesResults[Core Values Score],MATCH(TournamentData[[#This Row],[Team Number]],CoreValuesResults[Team Number],0)))</f>
        <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
      </c>
      <c r="T128" s="81">
        <f>IF(ISNA(INDEX(RobotDesignResults[Robot Design Score],MATCH(TournamentData[[#This Row],[Team Number]],RobotDesignResults[Team Number],0))),0,INDEX(RobotDesignResults[Robot Design Score],MATCH(TournamentData[[#This Row],[Team Number]],RobotDesignResults[Team Number],0)))</f>
        <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8" s="80">
        <f>IF(U128,_xlfn.RANK.EQ(U128,U$3:U$17,0),NumberOfTeams)</f>
        <v/>
      </c>
      <c r="W128" s="80" t="n"/>
    </row>
    <row r="129" ht="20.25" customHeight="1">
      <c r="A129" s="79" t="n">
        <v>127</v>
      </c>
      <c r="B129" s="79">
        <f>INDEX(OfficialTeamList[Pod Number],MATCH(TournamentData[[#This Row],[Team Number]], OfficialTeamList[Team '#],0))</f>
        <v/>
      </c>
      <c r="C129" s="105">
        <f>INDEX(OfficialTeamList[Team Name],MATCH(TournamentData[[#This Row],[Team Number]], OfficialTeamList[Team '#],0))</f>
        <v/>
      </c>
      <c r="D129" s="79">
        <f>IF(TournamentData[[#This Row],[Team Number]]="","",IF(ISNA(INDEX('Robot Game Scores'!C:C,MATCH(TournamentData[[#This Row],[Team Number]], 'Robot Game Scores'!$A:$A,0))),0,INDEX('Robot Game Scores'!C:C,MATCH(TournamentData[[#This Row],[Team Number]], 'Robot Game Scores'!$A:$A,0))))</f>
        <v/>
      </c>
      <c r="E129" s="79">
        <f>IF(TournamentData[[#This Row],[Team Number]]="","",IF(ISNA(INDEX('Robot Game Scores'!D:D,MATCH(TournamentData[[#This Row],[Team Number]], 'Robot Game Scores'!$A:$A,0))),0,INDEX('Robot Game Scores'!D:D,MATCH(TournamentData[[#This Row],[Team Number]], 'Robot Game Scores'!$A:$A,0))))</f>
        <v/>
      </c>
      <c r="F129" s="79">
        <f>IF(TournamentData[[#This Row],[Team Number]]="","",IF(ISNA(INDEX('Robot Game Scores'!E:E,MATCH(TournamentData[[#This Row],[Team Number]], 'Robot Game Scores'!$A:$A,0))),0,INDEX('Robot Game Scores'!E:E,MATCH(TournamentData[[#This Row],[Team Number]], 'Robot Game Scores'!$A:$A,0))))</f>
        <v/>
      </c>
      <c r="G129" s="79">
        <f>IF(TournamentData[[#This Row],[Team Number]]="","",IF(ISNA(INDEX('Robot Game Scores'!#REF!,MATCH(TournamentData[[#This Row],[Team Number]], 'Robot Game Scores'!$A:$A,0))),0,INDEX('Robot Game Scores'!#REF!,MATCH(TournamentData[[#This Row],[Team Number]], 'Robot Game Scores'!$A:$A,0))))</f>
        <v/>
      </c>
      <c r="H129" s="79">
        <f>IF(TournamentData[[#This Row],[Team Number]]="","",IF(ISNA(INDEX('Robot Game Scores'!#REF!,MATCH(TournamentData[[#This Row],[Team Number]], 'Robot Game Scores'!$A:$A,0))),0,INDEX('Robot Game Scores'!#REF!,MATCH(TournamentData[[#This Row],[Team Number]], 'Robot Game Scores'!$A:$A,0))))</f>
        <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9" s="79">
        <f>_xlfn.RANK.EQ(TournamentData[[#This Row],[Max Robot Game Score]],TournamentData[Max Robot Game Score])</f>
        <v/>
      </c>
      <c r="K129" s="79">
        <f>INDEX(CoreValuesResults[Core Values Rank],MATCH(TournamentData[[#This Row],[Team Number]],CoreValuesResults[Team Number],0))</f>
        <v/>
      </c>
      <c r="L129" s="79">
        <f>INDEX(InnovationProjectResults[Innovation Project Rank],MATCH(TournamentData[[#This Row],[Team Number]],InnovationProjectResults[Team Number],0))</f>
        <v/>
      </c>
      <c r="M129" s="79">
        <f>INDEX(RobotDesignResults[Robot Design Rank],MATCH(TournamentData[[#This Row],[Team Number]],RobotDesignResults[Team Number],0))</f>
        <v/>
      </c>
      <c r="N129" s="79">
        <f>SUM(TournamentData[[#This Row],[Robot Game Rank]:[Robot Design Rank]])</f>
        <v/>
      </c>
      <c r="O129" s="79">
        <f>RANK(TournamentData[[#This Row],[Champion''s Score]],TournamentData[Champion''s Score],1)</f>
        <v/>
      </c>
      <c r="P129" s="80" t="n"/>
      <c r="Q129" s="86" t="inlineStr">
        <is>
          <t>No</t>
        </is>
      </c>
      <c r="R129" s="81">
        <f>IF(ISNA(INDEX(CoreValuesResults[Core Values Score],MATCH(TournamentData[[#This Row],[Team Number]],CoreValuesResults[Team Number],0))),0,INDEX(CoreValuesResults[Core Values Score],MATCH(TournamentData[[#This Row],[Team Number]],CoreValuesResults[Team Number],0)))</f>
        <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
      </c>
      <c r="T129" s="81">
        <f>IF(ISNA(INDEX(RobotDesignResults[Robot Design Score],MATCH(TournamentData[[#This Row],[Team Number]],RobotDesignResults[Team Number],0))),0,INDEX(RobotDesignResults[Robot Design Score],MATCH(TournamentData[[#This Row],[Team Number]],RobotDesignResults[Team Number],0)))</f>
        <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9" s="80">
        <f>IF(U129,_xlfn.RANK.EQ(U129,U$3:U$17,0),NumberOfTeams)</f>
        <v/>
      </c>
      <c r="W129" s="80" t="n"/>
    </row>
    <row r="130" ht="20.25" customHeight="1">
      <c r="A130" s="79" t="n">
        <v>128</v>
      </c>
      <c r="B130" s="79">
        <f>INDEX(OfficialTeamList[Pod Number],MATCH(TournamentData[[#This Row],[Team Number]], OfficialTeamList[Team '#],0))</f>
        <v/>
      </c>
      <c r="C130" s="105">
        <f>INDEX(OfficialTeamList[Team Name],MATCH(TournamentData[[#This Row],[Team Number]], OfficialTeamList[Team '#],0))</f>
        <v/>
      </c>
      <c r="D130" s="79">
        <f>IF(TournamentData[[#This Row],[Team Number]]="","",IF(ISNA(INDEX('Robot Game Scores'!C:C,MATCH(TournamentData[[#This Row],[Team Number]], 'Robot Game Scores'!$A:$A,0))),0,INDEX('Robot Game Scores'!C:C,MATCH(TournamentData[[#This Row],[Team Number]], 'Robot Game Scores'!$A:$A,0))))</f>
        <v/>
      </c>
      <c r="E130" s="79">
        <f>IF(TournamentData[[#This Row],[Team Number]]="","",IF(ISNA(INDEX('Robot Game Scores'!D:D,MATCH(TournamentData[[#This Row],[Team Number]], 'Robot Game Scores'!$A:$A,0))),0,INDEX('Robot Game Scores'!D:D,MATCH(TournamentData[[#This Row],[Team Number]], 'Robot Game Scores'!$A:$A,0))))</f>
        <v/>
      </c>
      <c r="F130" s="79">
        <f>IF(TournamentData[[#This Row],[Team Number]]="","",IF(ISNA(INDEX('Robot Game Scores'!E:E,MATCH(TournamentData[[#This Row],[Team Number]], 'Robot Game Scores'!$A:$A,0))),0,INDEX('Robot Game Scores'!E:E,MATCH(TournamentData[[#This Row],[Team Number]], 'Robot Game Scores'!$A:$A,0))))</f>
        <v/>
      </c>
      <c r="G130" s="79">
        <f>IF(TournamentData[[#This Row],[Team Number]]="","",IF(ISNA(INDEX('Robot Game Scores'!#REF!,MATCH(TournamentData[[#This Row],[Team Number]], 'Robot Game Scores'!$A:$A,0))),0,INDEX('Robot Game Scores'!#REF!,MATCH(TournamentData[[#This Row],[Team Number]], 'Robot Game Scores'!$A:$A,0))))</f>
        <v/>
      </c>
      <c r="H130" s="79">
        <f>IF(TournamentData[[#This Row],[Team Number]]="","",IF(ISNA(INDEX('Robot Game Scores'!#REF!,MATCH(TournamentData[[#This Row],[Team Number]], 'Robot Game Scores'!$A:$A,0))),0,INDEX('Robot Game Scores'!#REF!,MATCH(TournamentData[[#This Row],[Team Number]], 'Robot Game Scores'!$A:$A,0))))</f>
        <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0" s="79">
        <f>_xlfn.RANK.EQ(TournamentData[[#This Row],[Max Robot Game Score]],TournamentData[Max Robot Game Score])</f>
        <v/>
      </c>
      <c r="K130" s="79">
        <f>INDEX(CoreValuesResults[Core Values Rank],MATCH(TournamentData[[#This Row],[Team Number]],CoreValuesResults[Team Number],0))</f>
        <v/>
      </c>
      <c r="L130" s="79">
        <f>INDEX(InnovationProjectResults[Innovation Project Rank],MATCH(TournamentData[[#This Row],[Team Number]],InnovationProjectResults[Team Number],0))</f>
        <v/>
      </c>
      <c r="M130" s="79">
        <f>INDEX(RobotDesignResults[Robot Design Rank],MATCH(TournamentData[[#This Row],[Team Number]],RobotDesignResults[Team Number],0))</f>
        <v/>
      </c>
      <c r="N130" s="79">
        <f>SUM(TournamentData[[#This Row],[Robot Game Rank]:[Robot Design Rank]])</f>
        <v/>
      </c>
      <c r="O130" s="79">
        <f>RANK(TournamentData[[#This Row],[Champion''s Score]],TournamentData[Champion''s Score],1)</f>
        <v/>
      </c>
      <c r="P130" s="80" t="n"/>
      <c r="Q130" s="86" t="inlineStr">
        <is>
          <t>No</t>
        </is>
      </c>
      <c r="R130" s="81">
        <f>IF(ISNA(INDEX(CoreValuesResults[Core Values Score],MATCH(TournamentData[[#This Row],[Team Number]],CoreValuesResults[Team Number],0))),0,INDEX(CoreValuesResults[Core Values Score],MATCH(TournamentData[[#This Row],[Team Number]],CoreValuesResults[Team Number],0)))</f>
        <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
      </c>
      <c r="T130" s="81">
        <f>IF(ISNA(INDEX(RobotDesignResults[Robot Design Score],MATCH(TournamentData[[#This Row],[Team Number]],RobotDesignResults[Team Number],0))),0,INDEX(RobotDesignResults[Robot Design Score],MATCH(TournamentData[[#This Row],[Team Number]],RobotDesignResults[Team Number],0)))</f>
        <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0" s="80">
        <f>IF(U130,_xlfn.RANK.EQ(U130,U$3:U$17,0),NumberOfTeams)</f>
        <v/>
      </c>
      <c r="W130" s="80" t="n"/>
    </row>
    <row r="131" ht="20.25" customHeight="1">
      <c r="A131" s="79" t="n">
        <v>129</v>
      </c>
      <c r="B131" s="79">
        <f>INDEX(OfficialTeamList[Pod Number],MATCH(TournamentData[[#This Row],[Team Number]], OfficialTeamList[Team '#],0))</f>
        <v/>
      </c>
      <c r="C131" s="105">
        <f>INDEX(OfficialTeamList[Team Name],MATCH(TournamentData[[#This Row],[Team Number]], OfficialTeamList[Team '#],0))</f>
        <v/>
      </c>
      <c r="D131" s="79">
        <f>IF(TournamentData[[#This Row],[Team Number]]="","",IF(ISNA(INDEX('Robot Game Scores'!C:C,MATCH(TournamentData[[#This Row],[Team Number]], 'Robot Game Scores'!$A:$A,0))),0,INDEX('Robot Game Scores'!C:C,MATCH(TournamentData[[#This Row],[Team Number]], 'Robot Game Scores'!$A:$A,0))))</f>
        <v/>
      </c>
      <c r="E131" s="79">
        <f>IF(TournamentData[[#This Row],[Team Number]]="","",IF(ISNA(INDEX('Robot Game Scores'!D:D,MATCH(TournamentData[[#This Row],[Team Number]], 'Robot Game Scores'!$A:$A,0))),0,INDEX('Robot Game Scores'!D:D,MATCH(TournamentData[[#This Row],[Team Number]], 'Robot Game Scores'!$A:$A,0))))</f>
        <v/>
      </c>
      <c r="F131" s="79">
        <f>IF(TournamentData[[#This Row],[Team Number]]="","",IF(ISNA(INDEX('Robot Game Scores'!E:E,MATCH(TournamentData[[#This Row],[Team Number]], 'Robot Game Scores'!$A:$A,0))),0,INDEX('Robot Game Scores'!E:E,MATCH(TournamentData[[#This Row],[Team Number]], 'Robot Game Scores'!$A:$A,0))))</f>
        <v/>
      </c>
      <c r="G131" s="79">
        <f>IF(TournamentData[[#This Row],[Team Number]]="","",IF(ISNA(INDEX('Robot Game Scores'!#REF!,MATCH(TournamentData[[#This Row],[Team Number]], 'Robot Game Scores'!$A:$A,0))),0,INDEX('Robot Game Scores'!#REF!,MATCH(TournamentData[[#This Row],[Team Number]], 'Robot Game Scores'!$A:$A,0))))</f>
        <v/>
      </c>
      <c r="H131" s="79">
        <f>IF(TournamentData[[#This Row],[Team Number]]="","",IF(ISNA(INDEX('Robot Game Scores'!#REF!,MATCH(TournamentData[[#This Row],[Team Number]], 'Robot Game Scores'!$A:$A,0))),0,INDEX('Robot Game Scores'!#REF!,MATCH(TournamentData[[#This Row],[Team Number]], 'Robot Game Scores'!$A:$A,0))))</f>
        <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1" s="79">
        <f>_xlfn.RANK.EQ(TournamentData[[#This Row],[Max Robot Game Score]],TournamentData[Max Robot Game Score])</f>
        <v/>
      </c>
      <c r="K131" s="79">
        <f>INDEX(CoreValuesResults[Core Values Rank],MATCH(TournamentData[[#This Row],[Team Number]],CoreValuesResults[Team Number],0))</f>
        <v/>
      </c>
      <c r="L131" s="79">
        <f>INDEX(InnovationProjectResults[Innovation Project Rank],MATCH(TournamentData[[#This Row],[Team Number]],InnovationProjectResults[Team Number],0))</f>
        <v/>
      </c>
      <c r="M131" s="79">
        <f>INDEX(RobotDesignResults[Robot Design Rank],MATCH(TournamentData[[#This Row],[Team Number]],RobotDesignResults[Team Number],0))</f>
        <v/>
      </c>
      <c r="N131" s="79">
        <f>SUM(TournamentData[[#This Row],[Robot Game Rank]:[Robot Design Rank]])</f>
        <v/>
      </c>
      <c r="O131" s="79">
        <f>RANK(TournamentData[[#This Row],[Champion''s Score]],TournamentData[Champion''s Score],1)</f>
        <v/>
      </c>
      <c r="P131" s="80" t="n"/>
      <c r="Q131" s="86" t="inlineStr">
        <is>
          <t>No</t>
        </is>
      </c>
      <c r="R131" s="81">
        <f>IF(ISNA(INDEX(CoreValuesResults[Core Values Score],MATCH(TournamentData[[#This Row],[Team Number]],CoreValuesResults[Team Number],0))),0,INDEX(CoreValuesResults[Core Values Score],MATCH(TournamentData[[#This Row],[Team Number]],CoreValuesResults[Team Number],0)))</f>
        <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
      </c>
      <c r="T131" s="81">
        <f>IF(ISNA(INDEX(RobotDesignResults[Robot Design Score],MATCH(TournamentData[[#This Row],[Team Number]],RobotDesignResults[Team Number],0))),0,INDEX(RobotDesignResults[Robot Design Score],MATCH(TournamentData[[#This Row],[Team Number]],RobotDesignResults[Team Number],0)))</f>
        <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1" s="80">
        <f>IF(U131,_xlfn.RANK.EQ(U131,U$3:U$17,0),NumberOfTeams)</f>
        <v/>
      </c>
      <c r="W131" s="80" t="n"/>
    </row>
    <row r="132" ht="20.25" customHeight="1">
      <c r="A132" s="79" t="n">
        <v>130</v>
      </c>
      <c r="B132" s="79">
        <f>INDEX(OfficialTeamList[Pod Number],MATCH(TournamentData[[#This Row],[Team Number]], OfficialTeamList[Team '#],0))</f>
        <v/>
      </c>
      <c r="C132" s="105">
        <f>INDEX(OfficialTeamList[Team Name],MATCH(TournamentData[[#This Row],[Team Number]], OfficialTeamList[Team '#],0))</f>
        <v/>
      </c>
      <c r="D132" s="79">
        <f>IF(TournamentData[[#This Row],[Team Number]]="","",IF(ISNA(INDEX('Robot Game Scores'!C:C,MATCH(TournamentData[[#This Row],[Team Number]], 'Robot Game Scores'!$A:$A,0))),0,INDEX('Robot Game Scores'!C:C,MATCH(TournamentData[[#This Row],[Team Number]], 'Robot Game Scores'!$A:$A,0))))</f>
        <v/>
      </c>
      <c r="E132" s="79">
        <f>IF(TournamentData[[#This Row],[Team Number]]="","",IF(ISNA(INDEX('Robot Game Scores'!D:D,MATCH(TournamentData[[#This Row],[Team Number]], 'Robot Game Scores'!$A:$A,0))),0,INDEX('Robot Game Scores'!D:D,MATCH(TournamentData[[#This Row],[Team Number]], 'Robot Game Scores'!$A:$A,0))))</f>
        <v/>
      </c>
      <c r="F132" s="79">
        <f>IF(TournamentData[[#This Row],[Team Number]]="","",IF(ISNA(INDEX('Robot Game Scores'!E:E,MATCH(TournamentData[[#This Row],[Team Number]], 'Robot Game Scores'!$A:$A,0))),0,INDEX('Robot Game Scores'!E:E,MATCH(TournamentData[[#This Row],[Team Number]], 'Robot Game Scores'!$A:$A,0))))</f>
        <v/>
      </c>
      <c r="G132" s="79">
        <f>IF(TournamentData[[#This Row],[Team Number]]="","",IF(ISNA(INDEX('Robot Game Scores'!#REF!,MATCH(TournamentData[[#This Row],[Team Number]], 'Robot Game Scores'!$A:$A,0))),0,INDEX('Robot Game Scores'!#REF!,MATCH(TournamentData[[#This Row],[Team Number]], 'Robot Game Scores'!$A:$A,0))))</f>
        <v/>
      </c>
      <c r="H132" s="79">
        <f>IF(TournamentData[[#This Row],[Team Number]]="","",IF(ISNA(INDEX('Robot Game Scores'!#REF!,MATCH(TournamentData[[#This Row],[Team Number]], 'Robot Game Scores'!$A:$A,0))),0,INDEX('Robot Game Scores'!#REF!,MATCH(TournamentData[[#This Row],[Team Number]], 'Robot Game Scores'!$A:$A,0))))</f>
        <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2" s="79">
        <f>_xlfn.RANK.EQ(TournamentData[[#This Row],[Max Robot Game Score]],TournamentData[Max Robot Game Score])</f>
        <v/>
      </c>
      <c r="K132" s="79">
        <f>INDEX(CoreValuesResults[Core Values Rank],MATCH(TournamentData[[#This Row],[Team Number]],CoreValuesResults[Team Number],0))</f>
        <v/>
      </c>
      <c r="L132" s="79">
        <f>INDEX(InnovationProjectResults[Innovation Project Rank],MATCH(TournamentData[[#This Row],[Team Number]],InnovationProjectResults[Team Number],0))</f>
        <v/>
      </c>
      <c r="M132" s="79">
        <f>INDEX(RobotDesignResults[Robot Design Rank],MATCH(TournamentData[[#This Row],[Team Number]],RobotDesignResults[Team Number],0))</f>
        <v/>
      </c>
      <c r="N132" s="79">
        <f>SUM(TournamentData[[#This Row],[Robot Game Rank]:[Robot Design Rank]])</f>
        <v/>
      </c>
      <c r="O132" s="79">
        <f>RANK(TournamentData[[#This Row],[Champion''s Score]],TournamentData[Champion''s Score],1)</f>
        <v/>
      </c>
      <c r="P132" s="80" t="n"/>
      <c r="Q132" s="86" t="inlineStr">
        <is>
          <t>No</t>
        </is>
      </c>
      <c r="R132" s="81">
        <f>IF(ISNA(INDEX(CoreValuesResults[Core Values Score],MATCH(TournamentData[[#This Row],[Team Number]],CoreValuesResults[Team Number],0))),0,INDEX(CoreValuesResults[Core Values Score],MATCH(TournamentData[[#This Row],[Team Number]],CoreValuesResults[Team Number],0)))</f>
        <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
      </c>
      <c r="T132" s="81">
        <f>IF(ISNA(INDEX(RobotDesignResults[Robot Design Score],MATCH(TournamentData[[#This Row],[Team Number]],RobotDesignResults[Team Number],0))),0,INDEX(RobotDesignResults[Robot Design Score],MATCH(TournamentData[[#This Row],[Team Number]],RobotDesignResults[Team Number],0)))</f>
        <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2" s="80">
        <f>IF(U132,_xlfn.RANK.EQ(U132,U$3:U$17,0),NumberOfTeams)</f>
        <v/>
      </c>
      <c r="W132" s="80" t="n"/>
    </row>
    <row r="133" ht="20.25" customHeight="1">
      <c r="A133" s="79" t="n">
        <v>131</v>
      </c>
      <c r="B133" s="79">
        <f>INDEX(OfficialTeamList[Pod Number],MATCH(TournamentData[[#This Row],[Team Number]], OfficialTeamList[Team '#],0))</f>
        <v/>
      </c>
      <c r="C133" s="105">
        <f>INDEX(OfficialTeamList[Team Name],MATCH(TournamentData[[#This Row],[Team Number]], OfficialTeamList[Team '#],0))</f>
        <v/>
      </c>
      <c r="D133" s="79">
        <f>IF(TournamentData[[#This Row],[Team Number]]="","",IF(ISNA(INDEX('Robot Game Scores'!C:C,MATCH(TournamentData[[#This Row],[Team Number]], 'Robot Game Scores'!$A:$A,0))),0,INDEX('Robot Game Scores'!C:C,MATCH(TournamentData[[#This Row],[Team Number]], 'Robot Game Scores'!$A:$A,0))))</f>
        <v/>
      </c>
      <c r="E133" s="79">
        <f>IF(TournamentData[[#This Row],[Team Number]]="","",IF(ISNA(INDEX('Robot Game Scores'!D:D,MATCH(TournamentData[[#This Row],[Team Number]], 'Robot Game Scores'!$A:$A,0))),0,INDEX('Robot Game Scores'!D:D,MATCH(TournamentData[[#This Row],[Team Number]], 'Robot Game Scores'!$A:$A,0))))</f>
        <v/>
      </c>
      <c r="F133" s="79">
        <f>IF(TournamentData[[#This Row],[Team Number]]="","",IF(ISNA(INDEX('Robot Game Scores'!E:E,MATCH(TournamentData[[#This Row],[Team Number]], 'Robot Game Scores'!$A:$A,0))),0,INDEX('Robot Game Scores'!E:E,MATCH(TournamentData[[#This Row],[Team Number]], 'Robot Game Scores'!$A:$A,0))))</f>
        <v/>
      </c>
      <c r="G133" s="79">
        <f>IF(TournamentData[[#This Row],[Team Number]]="","",IF(ISNA(INDEX('Robot Game Scores'!#REF!,MATCH(TournamentData[[#This Row],[Team Number]], 'Robot Game Scores'!$A:$A,0))),0,INDEX('Robot Game Scores'!#REF!,MATCH(TournamentData[[#This Row],[Team Number]], 'Robot Game Scores'!$A:$A,0))))</f>
        <v/>
      </c>
      <c r="H133" s="79">
        <f>IF(TournamentData[[#This Row],[Team Number]]="","",IF(ISNA(INDEX('Robot Game Scores'!#REF!,MATCH(TournamentData[[#This Row],[Team Number]], 'Robot Game Scores'!$A:$A,0))),0,INDEX('Robot Game Scores'!#REF!,MATCH(TournamentData[[#This Row],[Team Number]], 'Robot Game Scores'!$A:$A,0))))</f>
        <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3" s="79">
        <f>_xlfn.RANK.EQ(TournamentData[[#This Row],[Max Robot Game Score]],TournamentData[Max Robot Game Score])</f>
        <v/>
      </c>
      <c r="K133" s="79">
        <f>INDEX(CoreValuesResults[Core Values Rank],MATCH(TournamentData[[#This Row],[Team Number]],CoreValuesResults[Team Number],0))</f>
        <v/>
      </c>
      <c r="L133" s="79">
        <f>INDEX(InnovationProjectResults[Innovation Project Rank],MATCH(TournamentData[[#This Row],[Team Number]],InnovationProjectResults[Team Number],0))</f>
        <v/>
      </c>
      <c r="M133" s="79">
        <f>INDEX(RobotDesignResults[Robot Design Rank],MATCH(TournamentData[[#This Row],[Team Number]],RobotDesignResults[Team Number],0))</f>
        <v/>
      </c>
      <c r="N133" s="79">
        <f>SUM(TournamentData[[#This Row],[Robot Game Rank]:[Robot Design Rank]])</f>
        <v/>
      </c>
      <c r="O133" s="79">
        <f>RANK(TournamentData[[#This Row],[Champion''s Score]],TournamentData[Champion''s Score],1)</f>
        <v/>
      </c>
      <c r="P133" s="80" t="n"/>
      <c r="Q133" s="86" t="inlineStr">
        <is>
          <t>No</t>
        </is>
      </c>
      <c r="R133" s="81">
        <f>IF(ISNA(INDEX(CoreValuesResults[Core Values Score],MATCH(TournamentData[[#This Row],[Team Number]],CoreValuesResults[Team Number],0))),0,INDEX(CoreValuesResults[Core Values Score],MATCH(TournamentData[[#This Row],[Team Number]],CoreValuesResults[Team Number],0)))</f>
        <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
      </c>
      <c r="T133" s="81">
        <f>IF(ISNA(INDEX(RobotDesignResults[Robot Design Score],MATCH(TournamentData[[#This Row],[Team Number]],RobotDesignResults[Team Number],0))),0,INDEX(RobotDesignResults[Robot Design Score],MATCH(TournamentData[[#This Row],[Team Number]],RobotDesignResults[Team Number],0)))</f>
        <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3" s="80">
        <f>IF(U133,_xlfn.RANK.EQ(U133,U$3:U$17,0),NumberOfTeams)</f>
        <v/>
      </c>
      <c r="W133" s="80" t="n"/>
    </row>
    <row r="134" ht="20.25" customHeight="1">
      <c r="A134" s="79" t="n">
        <v>132</v>
      </c>
      <c r="B134" s="79">
        <f>INDEX(OfficialTeamList[Pod Number],MATCH(TournamentData[[#This Row],[Team Number]], OfficialTeamList[Team '#],0))</f>
        <v/>
      </c>
      <c r="C134" s="105">
        <f>INDEX(OfficialTeamList[Team Name],MATCH(TournamentData[[#This Row],[Team Number]], OfficialTeamList[Team '#],0))</f>
        <v/>
      </c>
      <c r="D134" s="79">
        <f>IF(TournamentData[[#This Row],[Team Number]]="","",IF(ISNA(INDEX('Robot Game Scores'!C:C,MATCH(TournamentData[[#This Row],[Team Number]], 'Robot Game Scores'!$A:$A,0))),0,INDEX('Robot Game Scores'!C:C,MATCH(TournamentData[[#This Row],[Team Number]], 'Robot Game Scores'!$A:$A,0))))</f>
        <v/>
      </c>
      <c r="E134" s="79">
        <f>IF(TournamentData[[#This Row],[Team Number]]="","",IF(ISNA(INDEX('Robot Game Scores'!D:D,MATCH(TournamentData[[#This Row],[Team Number]], 'Robot Game Scores'!$A:$A,0))),0,INDEX('Robot Game Scores'!D:D,MATCH(TournamentData[[#This Row],[Team Number]], 'Robot Game Scores'!$A:$A,0))))</f>
        <v/>
      </c>
      <c r="F134" s="79">
        <f>IF(TournamentData[[#This Row],[Team Number]]="","",IF(ISNA(INDEX('Robot Game Scores'!E:E,MATCH(TournamentData[[#This Row],[Team Number]], 'Robot Game Scores'!$A:$A,0))),0,INDEX('Robot Game Scores'!E:E,MATCH(TournamentData[[#This Row],[Team Number]], 'Robot Game Scores'!$A:$A,0))))</f>
        <v/>
      </c>
      <c r="G134" s="79">
        <f>IF(TournamentData[[#This Row],[Team Number]]="","",IF(ISNA(INDEX('Robot Game Scores'!#REF!,MATCH(TournamentData[[#This Row],[Team Number]], 'Robot Game Scores'!$A:$A,0))),0,INDEX('Robot Game Scores'!#REF!,MATCH(TournamentData[[#This Row],[Team Number]], 'Robot Game Scores'!$A:$A,0))))</f>
        <v/>
      </c>
      <c r="H134" s="79">
        <f>IF(TournamentData[[#This Row],[Team Number]]="","",IF(ISNA(INDEX('Robot Game Scores'!#REF!,MATCH(TournamentData[[#This Row],[Team Number]], 'Robot Game Scores'!$A:$A,0))),0,INDEX('Robot Game Scores'!#REF!,MATCH(TournamentData[[#This Row],[Team Number]], 'Robot Game Scores'!$A:$A,0))))</f>
        <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4" s="79">
        <f>_xlfn.RANK.EQ(TournamentData[[#This Row],[Max Robot Game Score]],TournamentData[Max Robot Game Score])</f>
        <v/>
      </c>
      <c r="K134" s="79">
        <f>INDEX(CoreValuesResults[Core Values Rank],MATCH(TournamentData[[#This Row],[Team Number]],CoreValuesResults[Team Number],0))</f>
        <v/>
      </c>
      <c r="L134" s="79">
        <f>INDEX(InnovationProjectResults[Innovation Project Rank],MATCH(TournamentData[[#This Row],[Team Number]],InnovationProjectResults[Team Number],0))</f>
        <v/>
      </c>
      <c r="M134" s="79">
        <f>INDEX(RobotDesignResults[Robot Design Rank],MATCH(TournamentData[[#This Row],[Team Number]],RobotDesignResults[Team Number],0))</f>
        <v/>
      </c>
      <c r="N134" s="79">
        <f>SUM(TournamentData[[#This Row],[Robot Game Rank]:[Robot Design Rank]])</f>
        <v/>
      </c>
      <c r="O134" s="79">
        <f>RANK(TournamentData[[#This Row],[Champion''s Score]],TournamentData[Champion''s Score],1)</f>
        <v/>
      </c>
      <c r="P134" s="80" t="n"/>
      <c r="Q134" s="86" t="inlineStr">
        <is>
          <t>No</t>
        </is>
      </c>
      <c r="R134" s="81">
        <f>IF(ISNA(INDEX(CoreValuesResults[Core Values Score],MATCH(TournamentData[[#This Row],[Team Number]],CoreValuesResults[Team Number],0))),0,INDEX(CoreValuesResults[Core Values Score],MATCH(TournamentData[[#This Row],[Team Number]],CoreValuesResults[Team Number],0)))</f>
        <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
      </c>
      <c r="T134" s="81">
        <f>IF(ISNA(INDEX(RobotDesignResults[Robot Design Score],MATCH(TournamentData[[#This Row],[Team Number]],RobotDesignResults[Team Number],0))),0,INDEX(RobotDesignResults[Robot Design Score],MATCH(TournamentData[[#This Row],[Team Number]],RobotDesignResults[Team Number],0)))</f>
        <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4" s="80">
        <f>IF(U134,_xlfn.RANK.EQ(U134,U$3:U$17,0),NumberOfTeams)</f>
        <v/>
      </c>
      <c r="W134" s="80" t="n"/>
    </row>
    <row r="135" ht="20.25" customHeight="1">
      <c r="A135" s="79" t="n">
        <v>133</v>
      </c>
      <c r="B135" s="79">
        <f>INDEX(OfficialTeamList[Pod Number],MATCH(TournamentData[[#This Row],[Team Number]], OfficialTeamList[Team '#],0))</f>
        <v/>
      </c>
      <c r="C135" s="105">
        <f>INDEX(OfficialTeamList[Team Name],MATCH(TournamentData[[#This Row],[Team Number]], OfficialTeamList[Team '#],0))</f>
        <v/>
      </c>
      <c r="D135" s="79">
        <f>IF(TournamentData[[#This Row],[Team Number]]="","",IF(ISNA(INDEX('Robot Game Scores'!C:C,MATCH(TournamentData[[#This Row],[Team Number]], 'Robot Game Scores'!$A:$A,0))),0,INDEX('Robot Game Scores'!C:C,MATCH(TournamentData[[#This Row],[Team Number]], 'Robot Game Scores'!$A:$A,0))))</f>
        <v/>
      </c>
      <c r="E135" s="79">
        <f>IF(TournamentData[[#This Row],[Team Number]]="","",IF(ISNA(INDEX('Robot Game Scores'!D:D,MATCH(TournamentData[[#This Row],[Team Number]], 'Robot Game Scores'!$A:$A,0))),0,INDEX('Robot Game Scores'!D:D,MATCH(TournamentData[[#This Row],[Team Number]], 'Robot Game Scores'!$A:$A,0))))</f>
        <v/>
      </c>
      <c r="F135" s="79">
        <f>IF(TournamentData[[#This Row],[Team Number]]="","",IF(ISNA(INDEX('Robot Game Scores'!E:E,MATCH(TournamentData[[#This Row],[Team Number]], 'Robot Game Scores'!$A:$A,0))),0,INDEX('Robot Game Scores'!E:E,MATCH(TournamentData[[#This Row],[Team Number]], 'Robot Game Scores'!$A:$A,0))))</f>
        <v/>
      </c>
      <c r="G135" s="79">
        <f>IF(TournamentData[[#This Row],[Team Number]]="","",IF(ISNA(INDEX('Robot Game Scores'!#REF!,MATCH(TournamentData[[#This Row],[Team Number]], 'Robot Game Scores'!$A:$A,0))),0,INDEX('Robot Game Scores'!#REF!,MATCH(TournamentData[[#This Row],[Team Number]], 'Robot Game Scores'!$A:$A,0))))</f>
        <v/>
      </c>
      <c r="H135" s="79">
        <f>IF(TournamentData[[#This Row],[Team Number]]="","",IF(ISNA(INDEX('Robot Game Scores'!#REF!,MATCH(TournamentData[[#This Row],[Team Number]], 'Robot Game Scores'!$A:$A,0))),0,INDEX('Robot Game Scores'!#REF!,MATCH(TournamentData[[#This Row],[Team Number]], 'Robot Game Scores'!$A:$A,0))))</f>
        <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5" s="79">
        <f>_xlfn.RANK.EQ(TournamentData[[#This Row],[Max Robot Game Score]],TournamentData[Max Robot Game Score])</f>
        <v/>
      </c>
      <c r="K135" s="79">
        <f>INDEX(CoreValuesResults[Core Values Rank],MATCH(TournamentData[[#This Row],[Team Number]],CoreValuesResults[Team Number],0))</f>
        <v/>
      </c>
      <c r="L135" s="79">
        <f>INDEX(InnovationProjectResults[Innovation Project Rank],MATCH(TournamentData[[#This Row],[Team Number]],InnovationProjectResults[Team Number],0))</f>
        <v/>
      </c>
      <c r="M135" s="79">
        <f>INDEX(RobotDesignResults[Robot Design Rank],MATCH(TournamentData[[#This Row],[Team Number]],RobotDesignResults[Team Number],0))</f>
        <v/>
      </c>
      <c r="N135" s="79">
        <f>SUM(TournamentData[[#This Row],[Robot Game Rank]:[Robot Design Rank]])</f>
        <v/>
      </c>
      <c r="O135" s="79">
        <f>RANK(TournamentData[[#This Row],[Champion''s Score]],TournamentData[Champion''s Score],1)</f>
        <v/>
      </c>
      <c r="P135" s="80" t="n"/>
      <c r="Q135" s="86" t="inlineStr">
        <is>
          <t>No</t>
        </is>
      </c>
      <c r="R135" s="81">
        <f>IF(ISNA(INDEX(CoreValuesResults[Core Values Score],MATCH(TournamentData[[#This Row],[Team Number]],CoreValuesResults[Team Number],0))),0,INDEX(CoreValuesResults[Core Values Score],MATCH(TournamentData[[#This Row],[Team Number]],CoreValuesResults[Team Number],0)))</f>
        <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
      </c>
      <c r="T135" s="81">
        <f>IF(ISNA(INDEX(RobotDesignResults[Robot Design Score],MATCH(TournamentData[[#This Row],[Team Number]],RobotDesignResults[Team Number],0))),0,INDEX(RobotDesignResults[Robot Design Score],MATCH(TournamentData[[#This Row],[Team Number]],RobotDesignResults[Team Number],0)))</f>
        <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5" s="80">
        <f>IF(U135,_xlfn.RANK.EQ(U135,U$3:U$17,0),NumberOfTeams)</f>
        <v/>
      </c>
      <c r="W135" s="80" t="n"/>
    </row>
    <row r="136" ht="20.25" customHeight="1">
      <c r="A136" s="79" t="n">
        <v>134</v>
      </c>
      <c r="B136" s="79">
        <f>INDEX(OfficialTeamList[Pod Number],MATCH(TournamentData[[#This Row],[Team Number]], OfficialTeamList[Team '#],0))</f>
        <v/>
      </c>
      <c r="C136" s="105">
        <f>INDEX(OfficialTeamList[Team Name],MATCH(TournamentData[[#This Row],[Team Number]], OfficialTeamList[Team '#],0))</f>
        <v/>
      </c>
      <c r="D136" s="79">
        <f>IF(TournamentData[[#This Row],[Team Number]]="","",IF(ISNA(INDEX('Robot Game Scores'!C:C,MATCH(TournamentData[[#This Row],[Team Number]], 'Robot Game Scores'!$A:$A,0))),0,INDEX('Robot Game Scores'!C:C,MATCH(TournamentData[[#This Row],[Team Number]], 'Robot Game Scores'!$A:$A,0))))</f>
        <v/>
      </c>
      <c r="E136" s="79">
        <f>IF(TournamentData[[#This Row],[Team Number]]="","",IF(ISNA(INDEX('Robot Game Scores'!D:D,MATCH(TournamentData[[#This Row],[Team Number]], 'Robot Game Scores'!$A:$A,0))),0,INDEX('Robot Game Scores'!D:D,MATCH(TournamentData[[#This Row],[Team Number]], 'Robot Game Scores'!$A:$A,0))))</f>
        <v/>
      </c>
      <c r="F136" s="79">
        <f>IF(TournamentData[[#This Row],[Team Number]]="","",IF(ISNA(INDEX('Robot Game Scores'!E:E,MATCH(TournamentData[[#This Row],[Team Number]], 'Robot Game Scores'!$A:$A,0))),0,INDEX('Robot Game Scores'!E:E,MATCH(TournamentData[[#This Row],[Team Number]], 'Robot Game Scores'!$A:$A,0))))</f>
        <v/>
      </c>
      <c r="G136" s="79">
        <f>IF(TournamentData[[#This Row],[Team Number]]="","",IF(ISNA(INDEX('Robot Game Scores'!#REF!,MATCH(TournamentData[[#This Row],[Team Number]], 'Robot Game Scores'!$A:$A,0))),0,INDEX('Robot Game Scores'!#REF!,MATCH(TournamentData[[#This Row],[Team Number]], 'Robot Game Scores'!$A:$A,0))))</f>
        <v/>
      </c>
      <c r="H136" s="79">
        <f>IF(TournamentData[[#This Row],[Team Number]]="","",IF(ISNA(INDEX('Robot Game Scores'!#REF!,MATCH(TournamentData[[#This Row],[Team Number]], 'Robot Game Scores'!$A:$A,0))),0,INDEX('Robot Game Scores'!#REF!,MATCH(TournamentData[[#This Row],[Team Number]], 'Robot Game Scores'!$A:$A,0))))</f>
        <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6" s="79">
        <f>_xlfn.RANK.EQ(TournamentData[[#This Row],[Max Robot Game Score]],TournamentData[Max Robot Game Score])</f>
        <v/>
      </c>
      <c r="K136" s="79">
        <f>INDEX(CoreValuesResults[Core Values Rank],MATCH(TournamentData[[#This Row],[Team Number]],CoreValuesResults[Team Number],0))</f>
        <v/>
      </c>
      <c r="L136" s="79">
        <f>INDEX(InnovationProjectResults[Innovation Project Rank],MATCH(TournamentData[[#This Row],[Team Number]],InnovationProjectResults[Team Number],0))</f>
        <v/>
      </c>
      <c r="M136" s="79">
        <f>INDEX(RobotDesignResults[Robot Design Rank],MATCH(TournamentData[[#This Row],[Team Number]],RobotDesignResults[Team Number],0))</f>
        <v/>
      </c>
      <c r="N136" s="79">
        <f>SUM(TournamentData[[#This Row],[Robot Game Rank]:[Robot Design Rank]])</f>
        <v/>
      </c>
      <c r="O136" s="79">
        <f>RANK(TournamentData[[#This Row],[Champion''s Score]],TournamentData[Champion''s Score],1)</f>
        <v/>
      </c>
      <c r="P136" s="80" t="n"/>
      <c r="Q136" s="86" t="inlineStr">
        <is>
          <t>No</t>
        </is>
      </c>
      <c r="R136" s="81">
        <f>IF(ISNA(INDEX(CoreValuesResults[Core Values Score],MATCH(TournamentData[[#This Row],[Team Number]],CoreValuesResults[Team Number],0))),0,INDEX(CoreValuesResults[Core Values Score],MATCH(TournamentData[[#This Row],[Team Number]],CoreValuesResults[Team Number],0)))</f>
        <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
      </c>
      <c r="T136" s="81">
        <f>IF(ISNA(INDEX(RobotDesignResults[Robot Design Score],MATCH(TournamentData[[#This Row],[Team Number]],RobotDesignResults[Team Number],0))),0,INDEX(RobotDesignResults[Robot Design Score],MATCH(TournamentData[[#This Row],[Team Number]],RobotDesignResults[Team Number],0)))</f>
        <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6" s="80">
        <f>IF(U136,_xlfn.RANK.EQ(U136,U$3:U$17,0),NumberOfTeams)</f>
        <v/>
      </c>
      <c r="W136" s="80" t="n"/>
    </row>
    <row r="137" ht="20.25" customHeight="1">
      <c r="A137" s="79" t="n">
        <v>135</v>
      </c>
      <c r="B137" s="79">
        <f>INDEX(OfficialTeamList[Pod Number],MATCH(TournamentData[[#This Row],[Team Number]], OfficialTeamList[Team '#],0))</f>
        <v/>
      </c>
      <c r="C137" s="105">
        <f>INDEX(OfficialTeamList[Team Name],MATCH(TournamentData[[#This Row],[Team Number]], OfficialTeamList[Team '#],0))</f>
        <v/>
      </c>
      <c r="D137" s="79">
        <f>IF(TournamentData[[#This Row],[Team Number]]="","",IF(ISNA(INDEX('Robot Game Scores'!C:C,MATCH(TournamentData[[#This Row],[Team Number]], 'Robot Game Scores'!$A:$A,0))),0,INDEX('Robot Game Scores'!C:C,MATCH(TournamentData[[#This Row],[Team Number]], 'Robot Game Scores'!$A:$A,0))))</f>
        <v/>
      </c>
      <c r="E137" s="79">
        <f>IF(TournamentData[[#This Row],[Team Number]]="","",IF(ISNA(INDEX('Robot Game Scores'!D:D,MATCH(TournamentData[[#This Row],[Team Number]], 'Robot Game Scores'!$A:$A,0))),0,INDEX('Robot Game Scores'!D:D,MATCH(TournamentData[[#This Row],[Team Number]], 'Robot Game Scores'!$A:$A,0))))</f>
        <v/>
      </c>
      <c r="F137" s="79">
        <f>IF(TournamentData[[#This Row],[Team Number]]="","",IF(ISNA(INDEX('Robot Game Scores'!E:E,MATCH(TournamentData[[#This Row],[Team Number]], 'Robot Game Scores'!$A:$A,0))),0,INDEX('Robot Game Scores'!E:E,MATCH(TournamentData[[#This Row],[Team Number]], 'Robot Game Scores'!$A:$A,0))))</f>
        <v/>
      </c>
      <c r="G137" s="79">
        <f>IF(TournamentData[[#This Row],[Team Number]]="","",IF(ISNA(INDEX('Robot Game Scores'!#REF!,MATCH(TournamentData[[#This Row],[Team Number]], 'Robot Game Scores'!$A:$A,0))),0,INDEX('Robot Game Scores'!#REF!,MATCH(TournamentData[[#This Row],[Team Number]], 'Robot Game Scores'!$A:$A,0))))</f>
        <v/>
      </c>
      <c r="H137" s="79">
        <f>IF(TournamentData[[#This Row],[Team Number]]="","",IF(ISNA(INDEX('Robot Game Scores'!#REF!,MATCH(TournamentData[[#This Row],[Team Number]], 'Robot Game Scores'!$A:$A,0))),0,INDEX('Robot Game Scores'!#REF!,MATCH(TournamentData[[#This Row],[Team Number]], 'Robot Game Scores'!$A:$A,0))))</f>
        <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7" s="79">
        <f>_xlfn.RANK.EQ(TournamentData[[#This Row],[Max Robot Game Score]],TournamentData[Max Robot Game Score])</f>
        <v/>
      </c>
      <c r="K137" s="79">
        <f>INDEX(CoreValuesResults[Core Values Rank],MATCH(TournamentData[[#This Row],[Team Number]],CoreValuesResults[Team Number],0))</f>
        <v/>
      </c>
      <c r="L137" s="79">
        <f>INDEX(InnovationProjectResults[Innovation Project Rank],MATCH(TournamentData[[#This Row],[Team Number]],InnovationProjectResults[Team Number],0))</f>
        <v/>
      </c>
      <c r="M137" s="79">
        <f>INDEX(RobotDesignResults[Robot Design Rank],MATCH(TournamentData[[#This Row],[Team Number]],RobotDesignResults[Team Number],0))</f>
        <v/>
      </c>
      <c r="N137" s="79">
        <f>SUM(TournamentData[[#This Row],[Robot Game Rank]:[Robot Design Rank]])</f>
        <v/>
      </c>
      <c r="O137" s="79">
        <f>RANK(TournamentData[[#This Row],[Champion''s Score]],TournamentData[Champion''s Score],1)</f>
        <v/>
      </c>
      <c r="P137" s="80" t="n"/>
      <c r="Q137" s="86" t="inlineStr">
        <is>
          <t>No</t>
        </is>
      </c>
      <c r="R137" s="81">
        <f>IF(ISNA(INDEX(CoreValuesResults[Core Values Score],MATCH(TournamentData[[#This Row],[Team Number]],CoreValuesResults[Team Number],0))),0,INDEX(CoreValuesResults[Core Values Score],MATCH(TournamentData[[#This Row],[Team Number]],CoreValuesResults[Team Number],0)))</f>
        <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
      </c>
      <c r="T137" s="81">
        <f>IF(ISNA(INDEX(RobotDesignResults[Robot Design Score],MATCH(TournamentData[[#This Row],[Team Number]],RobotDesignResults[Team Number],0))),0,INDEX(RobotDesignResults[Robot Design Score],MATCH(TournamentData[[#This Row],[Team Number]],RobotDesignResults[Team Number],0)))</f>
        <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7" s="80">
        <f>IF(U137,_xlfn.RANK.EQ(U137,U$3:U$17,0),NumberOfTeams)</f>
        <v/>
      </c>
      <c r="W137" s="80" t="n"/>
    </row>
    <row r="138" ht="20.25" customHeight="1">
      <c r="A138" s="79" t="n">
        <v>136</v>
      </c>
      <c r="B138" s="79">
        <f>INDEX(OfficialTeamList[Pod Number],MATCH(TournamentData[[#This Row],[Team Number]], OfficialTeamList[Team '#],0))</f>
        <v/>
      </c>
      <c r="C138" s="105">
        <f>INDEX(OfficialTeamList[Team Name],MATCH(TournamentData[[#This Row],[Team Number]], OfficialTeamList[Team '#],0))</f>
        <v/>
      </c>
      <c r="D138" s="79">
        <f>IF(TournamentData[[#This Row],[Team Number]]="","",IF(ISNA(INDEX('Robot Game Scores'!C:C,MATCH(TournamentData[[#This Row],[Team Number]], 'Robot Game Scores'!$A:$A,0))),0,INDEX('Robot Game Scores'!C:C,MATCH(TournamentData[[#This Row],[Team Number]], 'Robot Game Scores'!$A:$A,0))))</f>
        <v/>
      </c>
      <c r="E138" s="79">
        <f>IF(TournamentData[[#This Row],[Team Number]]="","",IF(ISNA(INDEX('Robot Game Scores'!D:D,MATCH(TournamentData[[#This Row],[Team Number]], 'Robot Game Scores'!$A:$A,0))),0,INDEX('Robot Game Scores'!D:D,MATCH(TournamentData[[#This Row],[Team Number]], 'Robot Game Scores'!$A:$A,0))))</f>
        <v/>
      </c>
      <c r="F138" s="79">
        <f>IF(TournamentData[[#This Row],[Team Number]]="","",IF(ISNA(INDEX('Robot Game Scores'!E:E,MATCH(TournamentData[[#This Row],[Team Number]], 'Robot Game Scores'!$A:$A,0))),0,INDEX('Robot Game Scores'!E:E,MATCH(TournamentData[[#This Row],[Team Number]], 'Robot Game Scores'!$A:$A,0))))</f>
        <v/>
      </c>
      <c r="G138" s="79">
        <f>IF(TournamentData[[#This Row],[Team Number]]="","",IF(ISNA(INDEX('Robot Game Scores'!#REF!,MATCH(TournamentData[[#This Row],[Team Number]], 'Robot Game Scores'!$A:$A,0))),0,INDEX('Robot Game Scores'!#REF!,MATCH(TournamentData[[#This Row],[Team Number]], 'Robot Game Scores'!$A:$A,0))))</f>
        <v/>
      </c>
      <c r="H138" s="79">
        <f>IF(TournamentData[[#This Row],[Team Number]]="","",IF(ISNA(INDEX('Robot Game Scores'!#REF!,MATCH(TournamentData[[#This Row],[Team Number]], 'Robot Game Scores'!$A:$A,0))),0,INDEX('Robot Game Scores'!#REF!,MATCH(TournamentData[[#This Row],[Team Number]], 'Robot Game Scores'!$A:$A,0))))</f>
        <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8" s="79">
        <f>_xlfn.RANK.EQ(TournamentData[[#This Row],[Max Robot Game Score]],TournamentData[Max Robot Game Score])</f>
        <v/>
      </c>
      <c r="K138" s="79">
        <f>INDEX(CoreValuesResults[Core Values Rank],MATCH(TournamentData[[#This Row],[Team Number]],CoreValuesResults[Team Number],0))</f>
        <v/>
      </c>
      <c r="L138" s="79">
        <f>INDEX(InnovationProjectResults[Innovation Project Rank],MATCH(TournamentData[[#This Row],[Team Number]],InnovationProjectResults[Team Number],0))</f>
        <v/>
      </c>
      <c r="M138" s="79">
        <f>INDEX(RobotDesignResults[Robot Design Rank],MATCH(TournamentData[[#This Row],[Team Number]],RobotDesignResults[Team Number],0))</f>
        <v/>
      </c>
      <c r="N138" s="79">
        <f>SUM(TournamentData[[#This Row],[Robot Game Rank]:[Robot Design Rank]])</f>
        <v/>
      </c>
      <c r="O138" s="79">
        <f>RANK(TournamentData[[#This Row],[Champion''s Score]],TournamentData[Champion''s Score],1)</f>
        <v/>
      </c>
      <c r="P138" s="80" t="n"/>
      <c r="Q138" s="86" t="inlineStr">
        <is>
          <t>No</t>
        </is>
      </c>
      <c r="R138" s="81">
        <f>IF(ISNA(INDEX(CoreValuesResults[Core Values Score],MATCH(TournamentData[[#This Row],[Team Number]],CoreValuesResults[Team Number],0))),0,INDEX(CoreValuesResults[Core Values Score],MATCH(TournamentData[[#This Row],[Team Number]],CoreValuesResults[Team Number],0)))</f>
        <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
      </c>
      <c r="T138" s="81">
        <f>IF(ISNA(INDEX(RobotDesignResults[Robot Design Score],MATCH(TournamentData[[#This Row],[Team Number]],RobotDesignResults[Team Number],0))),0,INDEX(RobotDesignResults[Robot Design Score],MATCH(TournamentData[[#This Row],[Team Number]],RobotDesignResults[Team Number],0)))</f>
        <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8" s="80">
        <f>IF(U138,_xlfn.RANK.EQ(U138,U$3:U$17,0),NumberOfTeams)</f>
        <v/>
      </c>
      <c r="W138" s="80" t="n"/>
    </row>
    <row r="139" ht="20.25" customHeight="1">
      <c r="A139" s="79" t="n">
        <v>137</v>
      </c>
      <c r="B139" s="79">
        <f>INDEX(OfficialTeamList[Pod Number],MATCH(TournamentData[[#This Row],[Team Number]], OfficialTeamList[Team '#],0))</f>
        <v/>
      </c>
      <c r="C139" s="105">
        <f>INDEX(OfficialTeamList[Team Name],MATCH(TournamentData[[#This Row],[Team Number]], OfficialTeamList[Team '#],0))</f>
        <v/>
      </c>
      <c r="D139" s="79">
        <f>IF(TournamentData[[#This Row],[Team Number]]="","",IF(ISNA(INDEX('Robot Game Scores'!C:C,MATCH(TournamentData[[#This Row],[Team Number]], 'Robot Game Scores'!$A:$A,0))),0,INDEX('Robot Game Scores'!C:C,MATCH(TournamentData[[#This Row],[Team Number]], 'Robot Game Scores'!$A:$A,0))))</f>
        <v/>
      </c>
      <c r="E139" s="79">
        <f>IF(TournamentData[[#This Row],[Team Number]]="","",IF(ISNA(INDEX('Robot Game Scores'!D:D,MATCH(TournamentData[[#This Row],[Team Number]], 'Robot Game Scores'!$A:$A,0))),0,INDEX('Robot Game Scores'!D:D,MATCH(TournamentData[[#This Row],[Team Number]], 'Robot Game Scores'!$A:$A,0))))</f>
        <v/>
      </c>
      <c r="F139" s="79">
        <f>IF(TournamentData[[#This Row],[Team Number]]="","",IF(ISNA(INDEX('Robot Game Scores'!E:E,MATCH(TournamentData[[#This Row],[Team Number]], 'Robot Game Scores'!$A:$A,0))),0,INDEX('Robot Game Scores'!E:E,MATCH(TournamentData[[#This Row],[Team Number]], 'Robot Game Scores'!$A:$A,0))))</f>
        <v/>
      </c>
      <c r="G139" s="79">
        <f>IF(TournamentData[[#This Row],[Team Number]]="","",IF(ISNA(INDEX('Robot Game Scores'!#REF!,MATCH(TournamentData[[#This Row],[Team Number]], 'Robot Game Scores'!$A:$A,0))),0,INDEX('Robot Game Scores'!#REF!,MATCH(TournamentData[[#This Row],[Team Number]], 'Robot Game Scores'!$A:$A,0))))</f>
        <v/>
      </c>
      <c r="H139" s="79">
        <f>IF(TournamentData[[#This Row],[Team Number]]="","",IF(ISNA(INDEX('Robot Game Scores'!#REF!,MATCH(TournamentData[[#This Row],[Team Number]], 'Robot Game Scores'!$A:$A,0))),0,INDEX('Robot Game Scores'!#REF!,MATCH(TournamentData[[#This Row],[Team Number]], 'Robot Game Scores'!$A:$A,0))))</f>
        <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9" s="79">
        <f>_xlfn.RANK.EQ(TournamentData[[#This Row],[Max Robot Game Score]],TournamentData[Max Robot Game Score])</f>
        <v/>
      </c>
      <c r="K139" s="79">
        <f>INDEX(CoreValuesResults[Core Values Rank],MATCH(TournamentData[[#This Row],[Team Number]],CoreValuesResults[Team Number],0))</f>
        <v/>
      </c>
      <c r="L139" s="79">
        <f>INDEX(InnovationProjectResults[Innovation Project Rank],MATCH(TournamentData[[#This Row],[Team Number]],InnovationProjectResults[Team Number],0))</f>
        <v/>
      </c>
      <c r="M139" s="79">
        <f>INDEX(RobotDesignResults[Robot Design Rank],MATCH(TournamentData[[#This Row],[Team Number]],RobotDesignResults[Team Number],0))</f>
        <v/>
      </c>
      <c r="N139" s="79">
        <f>SUM(TournamentData[[#This Row],[Robot Game Rank]:[Robot Design Rank]])</f>
        <v/>
      </c>
      <c r="O139" s="79">
        <f>RANK(TournamentData[[#This Row],[Champion''s Score]],TournamentData[Champion''s Score],1)</f>
        <v/>
      </c>
      <c r="P139" s="80" t="n"/>
      <c r="Q139" s="86" t="inlineStr">
        <is>
          <t>No</t>
        </is>
      </c>
      <c r="R139" s="81">
        <f>IF(ISNA(INDEX(CoreValuesResults[Core Values Score],MATCH(TournamentData[[#This Row],[Team Number]],CoreValuesResults[Team Number],0))),0,INDEX(CoreValuesResults[Core Values Score],MATCH(TournamentData[[#This Row],[Team Number]],CoreValuesResults[Team Number],0)))</f>
        <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
      </c>
      <c r="T139" s="81">
        <f>IF(ISNA(INDEX(RobotDesignResults[Robot Design Score],MATCH(TournamentData[[#This Row],[Team Number]],RobotDesignResults[Team Number],0))),0,INDEX(RobotDesignResults[Robot Design Score],MATCH(TournamentData[[#This Row],[Team Number]],RobotDesignResults[Team Number],0)))</f>
        <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9" s="80">
        <f>IF(U139,_xlfn.RANK.EQ(U139,U$3:U$17,0),NumberOfTeams)</f>
        <v/>
      </c>
      <c r="W139" s="80" t="n"/>
    </row>
    <row r="140" ht="20.25" customHeight="1">
      <c r="A140" s="79" t="n">
        <v>138</v>
      </c>
      <c r="B140" s="79">
        <f>INDEX(OfficialTeamList[Pod Number],MATCH(TournamentData[[#This Row],[Team Number]], OfficialTeamList[Team '#],0))</f>
        <v/>
      </c>
      <c r="C140" s="105">
        <f>INDEX(OfficialTeamList[Team Name],MATCH(TournamentData[[#This Row],[Team Number]], OfficialTeamList[Team '#],0))</f>
        <v/>
      </c>
      <c r="D140" s="79">
        <f>IF(TournamentData[[#This Row],[Team Number]]="","",IF(ISNA(INDEX('Robot Game Scores'!C:C,MATCH(TournamentData[[#This Row],[Team Number]], 'Robot Game Scores'!$A:$A,0))),0,INDEX('Robot Game Scores'!C:C,MATCH(TournamentData[[#This Row],[Team Number]], 'Robot Game Scores'!$A:$A,0))))</f>
        <v/>
      </c>
      <c r="E140" s="79">
        <f>IF(TournamentData[[#This Row],[Team Number]]="","",IF(ISNA(INDEX('Robot Game Scores'!D:D,MATCH(TournamentData[[#This Row],[Team Number]], 'Robot Game Scores'!$A:$A,0))),0,INDEX('Robot Game Scores'!D:D,MATCH(TournamentData[[#This Row],[Team Number]], 'Robot Game Scores'!$A:$A,0))))</f>
        <v/>
      </c>
      <c r="F140" s="79">
        <f>IF(TournamentData[[#This Row],[Team Number]]="","",IF(ISNA(INDEX('Robot Game Scores'!E:E,MATCH(TournamentData[[#This Row],[Team Number]], 'Robot Game Scores'!$A:$A,0))),0,INDEX('Robot Game Scores'!E:E,MATCH(TournamentData[[#This Row],[Team Number]], 'Robot Game Scores'!$A:$A,0))))</f>
        <v/>
      </c>
      <c r="G140" s="79">
        <f>IF(TournamentData[[#This Row],[Team Number]]="","",IF(ISNA(INDEX('Robot Game Scores'!#REF!,MATCH(TournamentData[[#This Row],[Team Number]], 'Robot Game Scores'!$A:$A,0))),0,INDEX('Robot Game Scores'!#REF!,MATCH(TournamentData[[#This Row],[Team Number]], 'Robot Game Scores'!$A:$A,0))))</f>
        <v/>
      </c>
      <c r="H140" s="79">
        <f>IF(TournamentData[[#This Row],[Team Number]]="","",IF(ISNA(INDEX('Robot Game Scores'!#REF!,MATCH(TournamentData[[#This Row],[Team Number]], 'Robot Game Scores'!$A:$A,0))),0,INDEX('Robot Game Scores'!#REF!,MATCH(TournamentData[[#This Row],[Team Number]], 'Robot Game Scores'!$A:$A,0))))</f>
        <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0" s="79">
        <f>_xlfn.RANK.EQ(TournamentData[[#This Row],[Max Robot Game Score]],TournamentData[Max Robot Game Score])</f>
        <v/>
      </c>
      <c r="K140" s="79">
        <f>INDEX(CoreValuesResults[Core Values Rank],MATCH(TournamentData[[#This Row],[Team Number]],CoreValuesResults[Team Number],0))</f>
        <v/>
      </c>
      <c r="L140" s="79">
        <f>INDEX(InnovationProjectResults[Innovation Project Rank],MATCH(TournamentData[[#This Row],[Team Number]],InnovationProjectResults[Team Number],0))</f>
        <v/>
      </c>
      <c r="M140" s="79">
        <f>INDEX(RobotDesignResults[Robot Design Rank],MATCH(TournamentData[[#This Row],[Team Number]],RobotDesignResults[Team Number],0))</f>
        <v/>
      </c>
      <c r="N140" s="79">
        <f>SUM(TournamentData[[#This Row],[Robot Game Rank]:[Robot Design Rank]])</f>
        <v/>
      </c>
      <c r="O140" s="79">
        <f>RANK(TournamentData[[#This Row],[Champion''s Score]],TournamentData[Champion''s Score],1)</f>
        <v/>
      </c>
      <c r="P140" s="80" t="n"/>
      <c r="Q140" s="86" t="inlineStr">
        <is>
          <t>No</t>
        </is>
      </c>
      <c r="R140" s="81">
        <f>IF(ISNA(INDEX(CoreValuesResults[Core Values Score],MATCH(TournamentData[[#This Row],[Team Number]],CoreValuesResults[Team Number],0))),0,INDEX(CoreValuesResults[Core Values Score],MATCH(TournamentData[[#This Row],[Team Number]],CoreValuesResults[Team Number],0)))</f>
        <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
      </c>
      <c r="T140" s="81">
        <f>IF(ISNA(INDEX(RobotDesignResults[Robot Design Score],MATCH(TournamentData[[#This Row],[Team Number]],RobotDesignResults[Team Number],0))),0,INDEX(RobotDesignResults[Robot Design Score],MATCH(TournamentData[[#This Row],[Team Number]],RobotDesignResults[Team Number],0)))</f>
        <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0" s="80">
        <f>IF(U140,_xlfn.RANK.EQ(U140,U$3:U$17,0),NumberOfTeams)</f>
        <v/>
      </c>
      <c r="W140" s="80" t="n"/>
    </row>
    <row r="141" ht="20.25" customHeight="1">
      <c r="A141" s="79" t="n">
        <v>139</v>
      </c>
      <c r="B141" s="79">
        <f>INDEX(OfficialTeamList[Pod Number],MATCH(TournamentData[[#This Row],[Team Number]], OfficialTeamList[Team '#],0))</f>
        <v/>
      </c>
      <c r="C141" s="105">
        <f>INDEX(OfficialTeamList[Team Name],MATCH(TournamentData[[#This Row],[Team Number]], OfficialTeamList[Team '#],0))</f>
        <v/>
      </c>
      <c r="D141" s="79">
        <f>IF(TournamentData[[#This Row],[Team Number]]="","",IF(ISNA(INDEX('Robot Game Scores'!C:C,MATCH(TournamentData[[#This Row],[Team Number]], 'Robot Game Scores'!$A:$A,0))),0,INDEX('Robot Game Scores'!C:C,MATCH(TournamentData[[#This Row],[Team Number]], 'Robot Game Scores'!$A:$A,0))))</f>
        <v/>
      </c>
      <c r="E141" s="79">
        <f>IF(TournamentData[[#This Row],[Team Number]]="","",IF(ISNA(INDEX('Robot Game Scores'!D:D,MATCH(TournamentData[[#This Row],[Team Number]], 'Robot Game Scores'!$A:$A,0))),0,INDEX('Robot Game Scores'!D:D,MATCH(TournamentData[[#This Row],[Team Number]], 'Robot Game Scores'!$A:$A,0))))</f>
        <v/>
      </c>
      <c r="F141" s="79">
        <f>IF(TournamentData[[#This Row],[Team Number]]="","",IF(ISNA(INDEX('Robot Game Scores'!E:E,MATCH(TournamentData[[#This Row],[Team Number]], 'Robot Game Scores'!$A:$A,0))),0,INDEX('Robot Game Scores'!E:E,MATCH(TournamentData[[#This Row],[Team Number]], 'Robot Game Scores'!$A:$A,0))))</f>
        <v/>
      </c>
      <c r="G141" s="79">
        <f>IF(TournamentData[[#This Row],[Team Number]]="","",IF(ISNA(INDEX('Robot Game Scores'!#REF!,MATCH(TournamentData[[#This Row],[Team Number]], 'Robot Game Scores'!$A:$A,0))),0,INDEX('Robot Game Scores'!#REF!,MATCH(TournamentData[[#This Row],[Team Number]], 'Robot Game Scores'!$A:$A,0))))</f>
        <v/>
      </c>
      <c r="H141" s="79">
        <f>IF(TournamentData[[#This Row],[Team Number]]="","",IF(ISNA(INDEX('Robot Game Scores'!#REF!,MATCH(TournamentData[[#This Row],[Team Number]], 'Robot Game Scores'!$A:$A,0))),0,INDEX('Robot Game Scores'!#REF!,MATCH(TournamentData[[#This Row],[Team Number]], 'Robot Game Scores'!$A:$A,0))))</f>
        <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1" s="79">
        <f>_xlfn.RANK.EQ(TournamentData[[#This Row],[Max Robot Game Score]],TournamentData[Max Robot Game Score])</f>
        <v/>
      </c>
      <c r="K141" s="79">
        <f>INDEX(CoreValuesResults[Core Values Rank],MATCH(TournamentData[[#This Row],[Team Number]],CoreValuesResults[Team Number],0))</f>
        <v/>
      </c>
      <c r="L141" s="79">
        <f>INDEX(InnovationProjectResults[Innovation Project Rank],MATCH(TournamentData[[#This Row],[Team Number]],InnovationProjectResults[Team Number],0))</f>
        <v/>
      </c>
      <c r="M141" s="79">
        <f>INDEX(RobotDesignResults[Robot Design Rank],MATCH(TournamentData[[#This Row],[Team Number]],RobotDesignResults[Team Number],0))</f>
        <v/>
      </c>
      <c r="N141" s="79">
        <f>SUM(TournamentData[[#This Row],[Robot Game Rank]:[Robot Design Rank]])</f>
        <v/>
      </c>
      <c r="O141" s="79">
        <f>RANK(TournamentData[[#This Row],[Champion''s Score]],TournamentData[Champion''s Score],1)</f>
        <v/>
      </c>
      <c r="P141" s="80" t="n"/>
      <c r="Q141" s="86" t="inlineStr">
        <is>
          <t>No</t>
        </is>
      </c>
      <c r="R141" s="81">
        <f>IF(ISNA(INDEX(CoreValuesResults[Core Values Score],MATCH(TournamentData[[#This Row],[Team Number]],CoreValuesResults[Team Number],0))),0,INDEX(CoreValuesResults[Core Values Score],MATCH(TournamentData[[#This Row],[Team Number]],CoreValuesResults[Team Number],0)))</f>
        <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
      </c>
      <c r="T141" s="81">
        <f>IF(ISNA(INDEX(RobotDesignResults[Robot Design Score],MATCH(TournamentData[[#This Row],[Team Number]],RobotDesignResults[Team Number],0))),0,INDEX(RobotDesignResults[Robot Design Score],MATCH(TournamentData[[#This Row],[Team Number]],RobotDesignResults[Team Number],0)))</f>
        <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1" s="80">
        <f>IF(U141,_xlfn.RANK.EQ(U141,U$3:U$17,0),NumberOfTeams)</f>
        <v/>
      </c>
      <c r="W141" s="80" t="n"/>
    </row>
    <row r="142" ht="20.25" customHeight="1">
      <c r="A142" s="79" t="n">
        <v>140</v>
      </c>
      <c r="B142" s="79">
        <f>INDEX(OfficialTeamList[Pod Number],MATCH(TournamentData[[#This Row],[Team Number]], OfficialTeamList[Team '#],0))</f>
        <v/>
      </c>
      <c r="C142" s="105">
        <f>INDEX(OfficialTeamList[Team Name],MATCH(TournamentData[[#This Row],[Team Number]], OfficialTeamList[Team '#],0))</f>
        <v/>
      </c>
      <c r="D142" s="79">
        <f>IF(TournamentData[[#This Row],[Team Number]]="","",IF(ISNA(INDEX('Robot Game Scores'!C:C,MATCH(TournamentData[[#This Row],[Team Number]], 'Robot Game Scores'!$A:$A,0))),0,INDEX('Robot Game Scores'!C:C,MATCH(TournamentData[[#This Row],[Team Number]], 'Robot Game Scores'!$A:$A,0))))</f>
        <v/>
      </c>
      <c r="E142" s="79">
        <f>IF(TournamentData[[#This Row],[Team Number]]="","",IF(ISNA(INDEX('Robot Game Scores'!D:D,MATCH(TournamentData[[#This Row],[Team Number]], 'Robot Game Scores'!$A:$A,0))),0,INDEX('Robot Game Scores'!D:D,MATCH(TournamentData[[#This Row],[Team Number]], 'Robot Game Scores'!$A:$A,0))))</f>
        <v/>
      </c>
      <c r="F142" s="79">
        <f>IF(TournamentData[[#This Row],[Team Number]]="","",IF(ISNA(INDEX('Robot Game Scores'!E:E,MATCH(TournamentData[[#This Row],[Team Number]], 'Robot Game Scores'!$A:$A,0))),0,INDEX('Robot Game Scores'!E:E,MATCH(TournamentData[[#This Row],[Team Number]], 'Robot Game Scores'!$A:$A,0))))</f>
        <v/>
      </c>
      <c r="G142" s="79">
        <f>IF(TournamentData[[#This Row],[Team Number]]="","",IF(ISNA(INDEX('Robot Game Scores'!#REF!,MATCH(TournamentData[[#This Row],[Team Number]], 'Robot Game Scores'!$A:$A,0))),0,INDEX('Robot Game Scores'!#REF!,MATCH(TournamentData[[#This Row],[Team Number]], 'Robot Game Scores'!$A:$A,0))))</f>
        <v/>
      </c>
      <c r="H142" s="79">
        <f>IF(TournamentData[[#This Row],[Team Number]]="","",IF(ISNA(INDEX('Robot Game Scores'!#REF!,MATCH(TournamentData[[#This Row],[Team Number]], 'Robot Game Scores'!$A:$A,0))),0,INDEX('Robot Game Scores'!#REF!,MATCH(TournamentData[[#This Row],[Team Number]], 'Robot Game Scores'!$A:$A,0))))</f>
        <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2" s="79">
        <f>_xlfn.RANK.EQ(TournamentData[[#This Row],[Max Robot Game Score]],TournamentData[Max Robot Game Score])</f>
        <v/>
      </c>
      <c r="K142" s="79">
        <f>INDEX(CoreValuesResults[Core Values Rank],MATCH(TournamentData[[#This Row],[Team Number]],CoreValuesResults[Team Number],0))</f>
        <v/>
      </c>
      <c r="L142" s="79">
        <f>INDEX(InnovationProjectResults[Innovation Project Rank],MATCH(TournamentData[[#This Row],[Team Number]],InnovationProjectResults[Team Number],0))</f>
        <v/>
      </c>
      <c r="M142" s="79">
        <f>INDEX(RobotDesignResults[Robot Design Rank],MATCH(TournamentData[[#This Row],[Team Number]],RobotDesignResults[Team Number],0))</f>
        <v/>
      </c>
      <c r="N142" s="79">
        <f>SUM(TournamentData[[#This Row],[Robot Game Rank]:[Robot Design Rank]])</f>
        <v/>
      </c>
      <c r="O142" s="79">
        <f>RANK(TournamentData[[#This Row],[Champion''s Score]],TournamentData[Champion''s Score],1)</f>
        <v/>
      </c>
      <c r="P142" s="80" t="n"/>
      <c r="Q142" s="86" t="inlineStr">
        <is>
          <t>No</t>
        </is>
      </c>
      <c r="R142" s="81">
        <f>IF(ISNA(INDEX(CoreValuesResults[Core Values Score],MATCH(TournamentData[[#This Row],[Team Number]],CoreValuesResults[Team Number],0))),0,INDEX(CoreValuesResults[Core Values Score],MATCH(TournamentData[[#This Row],[Team Number]],CoreValuesResults[Team Number],0)))</f>
        <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
      </c>
      <c r="T142" s="81">
        <f>IF(ISNA(INDEX(RobotDesignResults[Robot Design Score],MATCH(TournamentData[[#This Row],[Team Number]],RobotDesignResults[Team Number],0))),0,INDEX(RobotDesignResults[Robot Design Score],MATCH(TournamentData[[#This Row],[Team Number]],RobotDesignResults[Team Number],0)))</f>
        <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2" s="80">
        <f>IF(U142,_xlfn.RANK.EQ(U142,U$3:U$17,0),NumberOfTeams)</f>
        <v/>
      </c>
      <c r="W142" s="80" t="n"/>
    </row>
    <row r="143" ht="20.25" customHeight="1">
      <c r="A143" s="79" t="n">
        <v>141</v>
      </c>
      <c r="B143" s="79">
        <f>INDEX(OfficialTeamList[Pod Number],MATCH(TournamentData[[#This Row],[Team Number]], OfficialTeamList[Team '#],0))</f>
        <v/>
      </c>
      <c r="C143" s="105">
        <f>INDEX(OfficialTeamList[Team Name],MATCH(TournamentData[[#This Row],[Team Number]], OfficialTeamList[Team '#],0))</f>
        <v/>
      </c>
      <c r="D143" s="79">
        <f>IF(TournamentData[[#This Row],[Team Number]]="","",IF(ISNA(INDEX('Robot Game Scores'!C:C,MATCH(TournamentData[[#This Row],[Team Number]], 'Robot Game Scores'!$A:$A,0))),0,INDEX('Robot Game Scores'!C:C,MATCH(TournamentData[[#This Row],[Team Number]], 'Robot Game Scores'!$A:$A,0))))</f>
        <v/>
      </c>
      <c r="E143" s="79">
        <f>IF(TournamentData[[#This Row],[Team Number]]="","",IF(ISNA(INDEX('Robot Game Scores'!D:D,MATCH(TournamentData[[#This Row],[Team Number]], 'Robot Game Scores'!$A:$A,0))),0,INDEX('Robot Game Scores'!D:D,MATCH(TournamentData[[#This Row],[Team Number]], 'Robot Game Scores'!$A:$A,0))))</f>
        <v/>
      </c>
      <c r="F143" s="79">
        <f>IF(TournamentData[[#This Row],[Team Number]]="","",IF(ISNA(INDEX('Robot Game Scores'!E:E,MATCH(TournamentData[[#This Row],[Team Number]], 'Robot Game Scores'!$A:$A,0))),0,INDEX('Robot Game Scores'!E:E,MATCH(TournamentData[[#This Row],[Team Number]], 'Robot Game Scores'!$A:$A,0))))</f>
        <v/>
      </c>
      <c r="G143" s="79">
        <f>IF(TournamentData[[#This Row],[Team Number]]="","",IF(ISNA(INDEX('Robot Game Scores'!#REF!,MATCH(TournamentData[[#This Row],[Team Number]], 'Robot Game Scores'!$A:$A,0))),0,INDEX('Robot Game Scores'!#REF!,MATCH(TournamentData[[#This Row],[Team Number]], 'Robot Game Scores'!$A:$A,0))))</f>
        <v/>
      </c>
      <c r="H143" s="79">
        <f>IF(TournamentData[[#This Row],[Team Number]]="","",IF(ISNA(INDEX('Robot Game Scores'!#REF!,MATCH(TournamentData[[#This Row],[Team Number]], 'Robot Game Scores'!$A:$A,0))),0,INDEX('Robot Game Scores'!#REF!,MATCH(TournamentData[[#This Row],[Team Number]], 'Robot Game Scores'!$A:$A,0))))</f>
        <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3" s="79">
        <f>_xlfn.RANK.EQ(TournamentData[[#This Row],[Max Robot Game Score]],TournamentData[Max Robot Game Score])</f>
        <v/>
      </c>
      <c r="K143" s="79">
        <f>INDEX(CoreValuesResults[Core Values Rank],MATCH(TournamentData[[#This Row],[Team Number]],CoreValuesResults[Team Number],0))</f>
        <v/>
      </c>
      <c r="L143" s="79">
        <f>INDEX(InnovationProjectResults[Innovation Project Rank],MATCH(TournamentData[[#This Row],[Team Number]],InnovationProjectResults[Team Number],0))</f>
        <v/>
      </c>
      <c r="M143" s="79">
        <f>INDEX(RobotDesignResults[Robot Design Rank],MATCH(TournamentData[[#This Row],[Team Number]],RobotDesignResults[Team Number],0))</f>
        <v/>
      </c>
      <c r="N143" s="79">
        <f>SUM(TournamentData[[#This Row],[Robot Game Rank]:[Robot Design Rank]])</f>
        <v/>
      </c>
      <c r="O143" s="79">
        <f>RANK(TournamentData[[#This Row],[Champion''s Score]],TournamentData[Champion''s Score],1)</f>
        <v/>
      </c>
      <c r="P143" s="80" t="n"/>
      <c r="Q143" s="86" t="inlineStr">
        <is>
          <t>No</t>
        </is>
      </c>
      <c r="R143" s="81">
        <f>IF(ISNA(INDEX(CoreValuesResults[Core Values Score],MATCH(TournamentData[[#This Row],[Team Number]],CoreValuesResults[Team Number],0))),0,INDEX(CoreValuesResults[Core Values Score],MATCH(TournamentData[[#This Row],[Team Number]],CoreValuesResults[Team Number],0)))</f>
        <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
      </c>
      <c r="T143" s="81">
        <f>IF(ISNA(INDEX(RobotDesignResults[Robot Design Score],MATCH(TournamentData[[#This Row],[Team Number]],RobotDesignResults[Team Number],0))),0,INDEX(RobotDesignResults[Robot Design Score],MATCH(TournamentData[[#This Row],[Team Number]],RobotDesignResults[Team Number],0)))</f>
        <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3" s="80">
        <f>IF(U143,_xlfn.RANK.EQ(U143,U$3:U$17,0),NumberOfTeams)</f>
        <v/>
      </c>
      <c r="W143" s="80" t="n"/>
    </row>
    <row r="144" ht="20.25" customHeight="1">
      <c r="A144" s="79" t="n">
        <v>142</v>
      </c>
      <c r="B144" s="79">
        <f>INDEX(OfficialTeamList[Pod Number],MATCH(TournamentData[[#This Row],[Team Number]], OfficialTeamList[Team '#],0))</f>
        <v/>
      </c>
      <c r="C144" s="105">
        <f>INDEX(OfficialTeamList[Team Name],MATCH(TournamentData[[#This Row],[Team Number]], OfficialTeamList[Team '#],0))</f>
        <v/>
      </c>
      <c r="D144" s="79">
        <f>IF(TournamentData[[#This Row],[Team Number]]="","",IF(ISNA(INDEX('Robot Game Scores'!C:C,MATCH(TournamentData[[#This Row],[Team Number]], 'Robot Game Scores'!$A:$A,0))),0,INDEX('Robot Game Scores'!C:C,MATCH(TournamentData[[#This Row],[Team Number]], 'Robot Game Scores'!$A:$A,0))))</f>
        <v/>
      </c>
      <c r="E144" s="79">
        <f>IF(TournamentData[[#This Row],[Team Number]]="","",IF(ISNA(INDEX('Robot Game Scores'!D:D,MATCH(TournamentData[[#This Row],[Team Number]], 'Robot Game Scores'!$A:$A,0))),0,INDEX('Robot Game Scores'!D:D,MATCH(TournamentData[[#This Row],[Team Number]], 'Robot Game Scores'!$A:$A,0))))</f>
        <v/>
      </c>
      <c r="F144" s="79">
        <f>IF(TournamentData[[#This Row],[Team Number]]="","",IF(ISNA(INDEX('Robot Game Scores'!E:E,MATCH(TournamentData[[#This Row],[Team Number]], 'Robot Game Scores'!$A:$A,0))),0,INDEX('Robot Game Scores'!E:E,MATCH(TournamentData[[#This Row],[Team Number]], 'Robot Game Scores'!$A:$A,0))))</f>
        <v/>
      </c>
      <c r="G144" s="79">
        <f>IF(TournamentData[[#This Row],[Team Number]]="","",IF(ISNA(INDEX('Robot Game Scores'!#REF!,MATCH(TournamentData[[#This Row],[Team Number]], 'Robot Game Scores'!$A:$A,0))),0,INDEX('Robot Game Scores'!#REF!,MATCH(TournamentData[[#This Row],[Team Number]], 'Robot Game Scores'!$A:$A,0))))</f>
        <v/>
      </c>
      <c r="H144" s="79">
        <f>IF(TournamentData[[#This Row],[Team Number]]="","",IF(ISNA(INDEX('Robot Game Scores'!#REF!,MATCH(TournamentData[[#This Row],[Team Number]], 'Robot Game Scores'!$A:$A,0))),0,INDEX('Robot Game Scores'!#REF!,MATCH(TournamentData[[#This Row],[Team Number]], 'Robot Game Scores'!$A:$A,0))))</f>
        <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4" s="79">
        <f>_xlfn.RANK.EQ(TournamentData[[#This Row],[Max Robot Game Score]],TournamentData[Max Robot Game Score])</f>
        <v/>
      </c>
      <c r="K144" s="79">
        <f>INDEX(CoreValuesResults[Core Values Rank],MATCH(TournamentData[[#This Row],[Team Number]],CoreValuesResults[Team Number],0))</f>
        <v/>
      </c>
      <c r="L144" s="79">
        <f>INDEX(InnovationProjectResults[Innovation Project Rank],MATCH(TournamentData[[#This Row],[Team Number]],InnovationProjectResults[Team Number],0))</f>
        <v/>
      </c>
      <c r="M144" s="79">
        <f>INDEX(RobotDesignResults[Robot Design Rank],MATCH(TournamentData[[#This Row],[Team Number]],RobotDesignResults[Team Number],0))</f>
        <v/>
      </c>
      <c r="N144" s="79">
        <f>SUM(TournamentData[[#This Row],[Robot Game Rank]:[Robot Design Rank]])</f>
        <v/>
      </c>
      <c r="O144" s="79">
        <f>RANK(TournamentData[[#This Row],[Champion''s Score]],TournamentData[Champion''s Score],1)</f>
        <v/>
      </c>
      <c r="P144" s="80" t="n"/>
      <c r="Q144" s="86" t="inlineStr">
        <is>
          <t>No</t>
        </is>
      </c>
      <c r="R144" s="81">
        <f>IF(ISNA(INDEX(CoreValuesResults[Core Values Score],MATCH(TournamentData[[#This Row],[Team Number]],CoreValuesResults[Team Number],0))),0,INDEX(CoreValuesResults[Core Values Score],MATCH(TournamentData[[#This Row],[Team Number]],CoreValuesResults[Team Number],0)))</f>
        <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
      </c>
      <c r="T144" s="81">
        <f>IF(ISNA(INDEX(RobotDesignResults[Robot Design Score],MATCH(TournamentData[[#This Row],[Team Number]],RobotDesignResults[Team Number],0))),0,INDEX(RobotDesignResults[Robot Design Score],MATCH(TournamentData[[#This Row],[Team Number]],RobotDesignResults[Team Number],0)))</f>
        <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4" s="80">
        <f>IF(U144,_xlfn.RANK.EQ(U144,U$3:U$17,0),NumberOfTeams)</f>
        <v/>
      </c>
      <c r="W144" s="80" t="n"/>
    </row>
    <row r="145" ht="20.25" customHeight="1">
      <c r="A145" s="79" t="n">
        <v>143</v>
      </c>
      <c r="B145" s="79">
        <f>INDEX(OfficialTeamList[Pod Number],MATCH(TournamentData[[#This Row],[Team Number]], OfficialTeamList[Team '#],0))</f>
        <v/>
      </c>
      <c r="C145" s="105">
        <f>INDEX(OfficialTeamList[Team Name],MATCH(TournamentData[[#This Row],[Team Number]], OfficialTeamList[Team '#],0))</f>
        <v/>
      </c>
      <c r="D145" s="79">
        <f>IF(TournamentData[[#This Row],[Team Number]]="","",IF(ISNA(INDEX('Robot Game Scores'!C:C,MATCH(TournamentData[[#This Row],[Team Number]], 'Robot Game Scores'!$A:$A,0))),0,INDEX('Robot Game Scores'!C:C,MATCH(TournamentData[[#This Row],[Team Number]], 'Robot Game Scores'!$A:$A,0))))</f>
        <v/>
      </c>
      <c r="E145" s="79">
        <f>IF(TournamentData[[#This Row],[Team Number]]="","",IF(ISNA(INDEX('Robot Game Scores'!D:D,MATCH(TournamentData[[#This Row],[Team Number]], 'Robot Game Scores'!$A:$A,0))),0,INDEX('Robot Game Scores'!D:D,MATCH(TournamentData[[#This Row],[Team Number]], 'Robot Game Scores'!$A:$A,0))))</f>
        <v/>
      </c>
      <c r="F145" s="79">
        <f>IF(TournamentData[[#This Row],[Team Number]]="","",IF(ISNA(INDEX('Robot Game Scores'!E:E,MATCH(TournamentData[[#This Row],[Team Number]], 'Robot Game Scores'!$A:$A,0))),0,INDEX('Robot Game Scores'!E:E,MATCH(TournamentData[[#This Row],[Team Number]], 'Robot Game Scores'!$A:$A,0))))</f>
        <v/>
      </c>
      <c r="G145" s="79">
        <f>IF(TournamentData[[#This Row],[Team Number]]="","",IF(ISNA(INDEX('Robot Game Scores'!#REF!,MATCH(TournamentData[[#This Row],[Team Number]], 'Robot Game Scores'!$A:$A,0))),0,INDEX('Robot Game Scores'!#REF!,MATCH(TournamentData[[#This Row],[Team Number]], 'Robot Game Scores'!$A:$A,0))))</f>
        <v/>
      </c>
      <c r="H145" s="79">
        <f>IF(TournamentData[[#This Row],[Team Number]]="","",IF(ISNA(INDEX('Robot Game Scores'!#REF!,MATCH(TournamentData[[#This Row],[Team Number]], 'Robot Game Scores'!$A:$A,0))),0,INDEX('Robot Game Scores'!#REF!,MATCH(TournamentData[[#This Row],[Team Number]], 'Robot Game Scores'!$A:$A,0))))</f>
        <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5" s="79">
        <f>_xlfn.RANK.EQ(TournamentData[[#This Row],[Max Robot Game Score]],TournamentData[Max Robot Game Score])</f>
        <v/>
      </c>
      <c r="K145" s="79">
        <f>INDEX(CoreValuesResults[Core Values Rank],MATCH(TournamentData[[#This Row],[Team Number]],CoreValuesResults[Team Number],0))</f>
        <v/>
      </c>
      <c r="L145" s="79">
        <f>INDEX(InnovationProjectResults[Innovation Project Rank],MATCH(TournamentData[[#This Row],[Team Number]],InnovationProjectResults[Team Number],0))</f>
        <v/>
      </c>
      <c r="M145" s="79">
        <f>INDEX(RobotDesignResults[Robot Design Rank],MATCH(TournamentData[[#This Row],[Team Number]],RobotDesignResults[Team Number],0))</f>
        <v/>
      </c>
      <c r="N145" s="79">
        <f>SUM(TournamentData[[#This Row],[Robot Game Rank]:[Robot Design Rank]])</f>
        <v/>
      </c>
      <c r="O145" s="79">
        <f>RANK(TournamentData[[#This Row],[Champion''s Score]],TournamentData[Champion''s Score],1)</f>
        <v/>
      </c>
      <c r="P145" s="80" t="n"/>
      <c r="Q145" s="86" t="inlineStr">
        <is>
          <t>No</t>
        </is>
      </c>
      <c r="R145" s="81">
        <f>IF(ISNA(INDEX(CoreValuesResults[Core Values Score],MATCH(TournamentData[[#This Row],[Team Number]],CoreValuesResults[Team Number],0))),0,INDEX(CoreValuesResults[Core Values Score],MATCH(TournamentData[[#This Row],[Team Number]],CoreValuesResults[Team Number],0)))</f>
        <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
      </c>
      <c r="T145" s="81">
        <f>IF(ISNA(INDEX(RobotDesignResults[Robot Design Score],MATCH(TournamentData[[#This Row],[Team Number]],RobotDesignResults[Team Number],0))),0,INDEX(RobotDesignResults[Robot Design Score],MATCH(TournamentData[[#This Row],[Team Number]],RobotDesignResults[Team Number],0)))</f>
        <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5" s="80">
        <f>IF(U145,_xlfn.RANK.EQ(U145,U$3:U$17,0),NumberOfTeams)</f>
        <v/>
      </c>
      <c r="W145" s="80" t="n"/>
    </row>
    <row r="146" ht="20.25" customHeight="1">
      <c r="A146" s="79" t="n">
        <v>144</v>
      </c>
      <c r="B146" s="79">
        <f>INDEX(OfficialTeamList[Pod Number],MATCH(TournamentData[[#This Row],[Team Number]], OfficialTeamList[Team '#],0))</f>
        <v/>
      </c>
      <c r="C146" s="105">
        <f>INDEX(OfficialTeamList[Team Name],MATCH(TournamentData[[#This Row],[Team Number]], OfficialTeamList[Team '#],0))</f>
        <v/>
      </c>
      <c r="D146" s="79">
        <f>IF(TournamentData[[#This Row],[Team Number]]="","",IF(ISNA(INDEX('Robot Game Scores'!C:C,MATCH(TournamentData[[#This Row],[Team Number]], 'Robot Game Scores'!$A:$A,0))),0,INDEX('Robot Game Scores'!C:C,MATCH(TournamentData[[#This Row],[Team Number]], 'Robot Game Scores'!$A:$A,0))))</f>
        <v/>
      </c>
      <c r="E146" s="79">
        <f>IF(TournamentData[[#This Row],[Team Number]]="","",IF(ISNA(INDEX('Robot Game Scores'!D:D,MATCH(TournamentData[[#This Row],[Team Number]], 'Robot Game Scores'!$A:$A,0))),0,INDEX('Robot Game Scores'!D:D,MATCH(TournamentData[[#This Row],[Team Number]], 'Robot Game Scores'!$A:$A,0))))</f>
        <v/>
      </c>
      <c r="F146" s="79">
        <f>IF(TournamentData[[#This Row],[Team Number]]="","",IF(ISNA(INDEX('Robot Game Scores'!E:E,MATCH(TournamentData[[#This Row],[Team Number]], 'Robot Game Scores'!$A:$A,0))),0,INDEX('Robot Game Scores'!E:E,MATCH(TournamentData[[#This Row],[Team Number]], 'Robot Game Scores'!$A:$A,0))))</f>
        <v/>
      </c>
      <c r="G146" s="79">
        <f>IF(TournamentData[[#This Row],[Team Number]]="","",IF(ISNA(INDEX('Robot Game Scores'!#REF!,MATCH(TournamentData[[#This Row],[Team Number]], 'Robot Game Scores'!$A:$A,0))),0,INDEX('Robot Game Scores'!#REF!,MATCH(TournamentData[[#This Row],[Team Number]], 'Robot Game Scores'!$A:$A,0))))</f>
        <v/>
      </c>
      <c r="H146" s="79">
        <f>IF(TournamentData[[#This Row],[Team Number]]="","",IF(ISNA(INDEX('Robot Game Scores'!#REF!,MATCH(TournamentData[[#This Row],[Team Number]], 'Robot Game Scores'!$A:$A,0))),0,INDEX('Robot Game Scores'!#REF!,MATCH(TournamentData[[#This Row],[Team Number]], 'Robot Game Scores'!$A:$A,0))))</f>
        <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6" s="79">
        <f>_xlfn.RANK.EQ(TournamentData[[#This Row],[Max Robot Game Score]],TournamentData[Max Robot Game Score])</f>
        <v/>
      </c>
      <c r="K146" s="79">
        <f>INDEX(CoreValuesResults[Core Values Rank],MATCH(TournamentData[[#This Row],[Team Number]],CoreValuesResults[Team Number],0))</f>
        <v/>
      </c>
      <c r="L146" s="79">
        <f>INDEX(InnovationProjectResults[Innovation Project Rank],MATCH(TournamentData[[#This Row],[Team Number]],InnovationProjectResults[Team Number],0))</f>
        <v/>
      </c>
      <c r="M146" s="79">
        <f>INDEX(RobotDesignResults[Robot Design Rank],MATCH(TournamentData[[#This Row],[Team Number]],RobotDesignResults[Team Number],0))</f>
        <v/>
      </c>
      <c r="N146" s="79">
        <f>SUM(TournamentData[[#This Row],[Robot Game Rank]:[Robot Design Rank]])</f>
        <v/>
      </c>
      <c r="O146" s="79">
        <f>RANK(TournamentData[[#This Row],[Champion''s Score]],TournamentData[Champion''s Score],1)</f>
        <v/>
      </c>
      <c r="P146" s="80" t="n"/>
      <c r="Q146" s="86" t="inlineStr">
        <is>
          <t>No</t>
        </is>
      </c>
      <c r="R146" s="81">
        <f>IF(ISNA(INDEX(CoreValuesResults[Core Values Score],MATCH(TournamentData[[#This Row],[Team Number]],CoreValuesResults[Team Number],0))),0,INDEX(CoreValuesResults[Core Values Score],MATCH(TournamentData[[#This Row],[Team Number]],CoreValuesResults[Team Number],0)))</f>
        <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
      </c>
      <c r="T146" s="81">
        <f>IF(ISNA(INDEX(RobotDesignResults[Robot Design Score],MATCH(TournamentData[[#This Row],[Team Number]],RobotDesignResults[Team Number],0))),0,INDEX(RobotDesignResults[Robot Design Score],MATCH(TournamentData[[#This Row],[Team Number]],RobotDesignResults[Team Number],0)))</f>
        <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6" s="80">
        <f>IF(U146,_xlfn.RANK.EQ(U146,U$3:U$17,0),NumberOfTeams)</f>
        <v/>
      </c>
      <c r="W146" s="80" t="n"/>
    </row>
    <row r="147" ht="20.25" customHeight="1">
      <c r="A147" s="79" t="n">
        <v>145</v>
      </c>
      <c r="B147" s="79">
        <f>INDEX(OfficialTeamList[Pod Number],MATCH(TournamentData[[#This Row],[Team Number]], OfficialTeamList[Team '#],0))</f>
        <v/>
      </c>
      <c r="C147" s="105">
        <f>INDEX(OfficialTeamList[Team Name],MATCH(TournamentData[[#This Row],[Team Number]], OfficialTeamList[Team '#],0))</f>
        <v/>
      </c>
      <c r="D147" s="79">
        <f>IF(TournamentData[[#This Row],[Team Number]]="","",IF(ISNA(INDEX('Robot Game Scores'!C:C,MATCH(TournamentData[[#This Row],[Team Number]], 'Robot Game Scores'!$A:$A,0))),0,INDEX('Robot Game Scores'!C:C,MATCH(TournamentData[[#This Row],[Team Number]], 'Robot Game Scores'!$A:$A,0))))</f>
        <v/>
      </c>
      <c r="E147" s="79">
        <f>IF(TournamentData[[#This Row],[Team Number]]="","",IF(ISNA(INDEX('Robot Game Scores'!D:D,MATCH(TournamentData[[#This Row],[Team Number]], 'Robot Game Scores'!$A:$A,0))),0,INDEX('Robot Game Scores'!D:D,MATCH(TournamentData[[#This Row],[Team Number]], 'Robot Game Scores'!$A:$A,0))))</f>
        <v/>
      </c>
      <c r="F147" s="79">
        <f>IF(TournamentData[[#This Row],[Team Number]]="","",IF(ISNA(INDEX('Robot Game Scores'!E:E,MATCH(TournamentData[[#This Row],[Team Number]], 'Robot Game Scores'!$A:$A,0))),0,INDEX('Robot Game Scores'!E:E,MATCH(TournamentData[[#This Row],[Team Number]], 'Robot Game Scores'!$A:$A,0))))</f>
        <v/>
      </c>
      <c r="G147" s="79">
        <f>IF(TournamentData[[#This Row],[Team Number]]="","",IF(ISNA(INDEX('Robot Game Scores'!#REF!,MATCH(TournamentData[[#This Row],[Team Number]], 'Robot Game Scores'!$A:$A,0))),0,INDEX('Robot Game Scores'!#REF!,MATCH(TournamentData[[#This Row],[Team Number]], 'Robot Game Scores'!$A:$A,0))))</f>
        <v/>
      </c>
      <c r="H147" s="79">
        <f>IF(TournamentData[[#This Row],[Team Number]]="","",IF(ISNA(INDEX('Robot Game Scores'!#REF!,MATCH(TournamentData[[#This Row],[Team Number]], 'Robot Game Scores'!$A:$A,0))),0,INDEX('Robot Game Scores'!#REF!,MATCH(TournamentData[[#This Row],[Team Number]], 'Robot Game Scores'!$A:$A,0))))</f>
        <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7" s="79">
        <f>_xlfn.RANK.EQ(TournamentData[[#This Row],[Max Robot Game Score]],TournamentData[Max Robot Game Score])</f>
        <v/>
      </c>
      <c r="K147" s="79">
        <f>INDEX(CoreValuesResults[Core Values Rank],MATCH(TournamentData[[#This Row],[Team Number]],CoreValuesResults[Team Number],0))</f>
        <v/>
      </c>
      <c r="L147" s="79">
        <f>INDEX(InnovationProjectResults[Innovation Project Rank],MATCH(TournamentData[[#This Row],[Team Number]],InnovationProjectResults[Team Number],0))</f>
        <v/>
      </c>
      <c r="M147" s="79">
        <f>INDEX(RobotDesignResults[Robot Design Rank],MATCH(TournamentData[[#This Row],[Team Number]],RobotDesignResults[Team Number],0))</f>
        <v/>
      </c>
      <c r="N147" s="79">
        <f>SUM(TournamentData[[#This Row],[Robot Game Rank]:[Robot Design Rank]])</f>
        <v/>
      </c>
      <c r="O147" s="79">
        <f>RANK(TournamentData[[#This Row],[Champion''s Score]],TournamentData[Champion''s Score],1)</f>
        <v/>
      </c>
      <c r="P147" s="80" t="n"/>
      <c r="Q147" s="86" t="inlineStr">
        <is>
          <t>No</t>
        </is>
      </c>
      <c r="R147" s="81">
        <f>IF(ISNA(INDEX(CoreValuesResults[Core Values Score],MATCH(TournamentData[[#This Row],[Team Number]],CoreValuesResults[Team Number],0))),0,INDEX(CoreValuesResults[Core Values Score],MATCH(TournamentData[[#This Row],[Team Number]],CoreValuesResults[Team Number],0)))</f>
        <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
      </c>
      <c r="T147" s="81">
        <f>IF(ISNA(INDEX(RobotDesignResults[Robot Design Score],MATCH(TournamentData[[#This Row],[Team Number]],RobotDesignResults[Team Number],0))),0,INDEX(RobotDesignResults[Robot Design Score],MATCH(TournamentData[[#This Row],[Team Number]],RobotDesignResults[Team Number],0)))</f>
        <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7" s="80">
        <f>IF(U147,_xlfn.RANK.EQ(U147,U$3:U$17,0),NumberOfTeams)</f>
        <v/>
      </c>
      <c r="W147" s="80" t="n"/>
    </row>
    <row r="148" ht="20.25" customHeight="1">
      <c r="A148" s="79" t="n">
        <v>146</v>
      </c>
      <c r="B148" s="79">
        <f>INDEX(OfficialTeamList[Pod Number],MATCH(TournamentData[[#This Row],[Team Number]], OfficialTeamList[Team '#],0))</f>
        <v/>
      </c>
      <c r="C148" s="105">
        <f>INDEX(OfficialTeamList[Team Name],MATCH(TournamentData[[#This Row],[Team Number]], OfficialTeamList[Team '#],0))</f>
        <v/>
      </c>
      <c r="D148" s="79">
        <f>IF(TournamentData[[#This Row],[Team Number]]="","",IF(ISNA(INDEX('Robot Game Scores'!C:C,MATCH(TournamentData[[#This Row],[Team Number]], 'Robot Game Scores'!$A:$A,0))),0,INDEX('Robot Game Scores'!C:C,MATCH(TournamentData[[#This Row],[Team Number]], 'Robot Game Scores'!$A:$A,0))))</f>
        <v/>
      </c>
      <c r="E148" s="79">
        <f>IF(TournamentData[[#This Row],[Team Number]]="","",IF(ISNA(INDEX('Robot Game Scores'!D:D,MATCH(TournamentData[[#This Row],[Team Number]], 'Robot Game Scores'!$A:$A,0))),0,INDEX('Robot Game Scores'!D:D,MATCH(TournamentData[[#This Row],[Team Number]], 'Robot Game Scores'!$A:$A,0))))</f>
        <v/>
      </c>
      <c r="F148" s="79">
        <f>IF(TournamentData[[#This Row],[Team Number]]="","",IF(ISNA(INDEX('Robot Game Scores'!E:E,MATCH(TournamentData[[#This Row],[Team Number]], 'Robot Game Scores'!$A:$A,0))),0,INDEX('Robot Game Scores'!E:E,MATCH(TournamentData[[#This Row],[Team Number]], 'Robot Game Scores'!$A:$A,0))))</f>
        <v/>
      </c>
      <c r="G148" s="79">
        <f>IF(TournamentData[[#This Row],[Team Number]]="","",IF(ISNA(INDEX('Robot Game Scores'!#REF!,MATCH(TournamentData[[#This Row],[Team Number]], 'Robot Game Scores'!$A:$A,0))),0,INDEX('Robot Game Scores'!#REF!,MATCH(TournamentData[[#This Row],[Team Number]], 'Robot Game Scores'!$A:$A,0))))</f>
        <v/>
      </c>
      <c r="H148" s="79">
        <f>IF(TournamentData[[#This Row],[Team Number]]="","",IF(ISNA(INDEX('Robot Game Scores'!#REF!,MATCH(TournamentData[[#This Row],[Team Number]], 'Robot Game Scores'!$A:$A,0))),0,INDEX('Robot Game Scores'!#REF!,MATCH(TournamentData[[#This Row],[Team Number]], 'Robot Game Scores'!$A:$A,0))))</f>
        <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8" s="79">
        <f>_xlfn.RANK.EQ(TournamentData[[#This Row],[Max Robot Game Score]],TournamentData[Max Robot Game Score])</f>
        <v/>
      </c>
      <c r="K148" s="79">
        <f>INDEX(CoreValuesResults[Core Values Rank],MATCH(TournamentData[[#This Row],[Team Number]],CoreValuesResults[Team Number],0))</f>
        <v/>
      </c>
      <c r="L148" s="79">
        <f>INDEX(InnovationProjectResults[Innovation Project Rank],MATCH(TournamentData[[#This Row],[Team Number]],InnovationProjectResults[Team Number],0))</f>
        <v/>
      </c>
      <c r="M148" s="79">
        <f>INDEX(RobotDesignResults[Robot Design Rank],MATCH(TournamentData[[#This Row],[Team Number]],RobotDesignResults[Team Number],0))</f>
        <v/>
      </c>
      <c r="N148" s="79">
        <f>SUM(TournamentData[[#This Row],[Robot Game Rank]:[Robot Design Rank]])</f>
        <v/>
      </c>
      <c r="O148" s="79">
        <f>RANK(TournamentData[[#This Row],[Champion''s Score]],TournamentData[Champion''s Score],1)</f>
        <v/>
      </c>
      <c r="P148" s="80" t="n"/>
      <c r="Q148" s="86" t="inlineStr">
        <is>
          <t>No</t>
        </is>
      </c>
      <c r="R148" s="81">
        <f>IF(ISNA(INDEX(CoreValuesResults[Core Values Score],MATCH(TournamentData[[#This Row],[Team Number]],CoreValuesResults[Team Number],0))),0,INDEX(CoreValuesResults[Core Values Score],MATCH(TournamentData[[#This Row],[Team Number]],CoreValuesResults[Team Number],0)))</f>
        <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
      </c>
      <c r="T148" s="81">
        <f>IF(ISNA(INDEX(RobotDesignResults[Robot Design Score],MATCH(TournamentData[[#This Row],[Team Number]],RobotDesignResults[Team Number],0))),0,INDEX(RobotDesignResults[Robot Design Score],MATCH(TournamentData[[#This Row],[Team Number]],RobotDesignResults[Team Number],0)))</f>
        <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8" s="80">
        <f>IF(U148,_xlfn.RANK.EQ(U148,U$3:U$17,0),NumberOfTeams)</f>
        <v/>
      </c>
      <c r="W148" s="80" t="n"/>
    </row>
    <row r="149" ht="20.25" customHeight="1">
      <c r="A149" s="79" t="n">
        <v>147</v>
      </c>
      <c r="B149" s="79">
        <f>INDEX(OfficialTeamList[Pod Number],MATCH(TournamentData[[#This Row],[Team Number]], OfficialTeamList[Team '#],0))</f>
        <v/>
      </c>
      <c r="C149" s="105">
        <f>INDEX(OfficialTeamList[Team Name],MATCH(TournamentData[[#This Row],[Team Number]], OfficialTeamList[Team '#],0))</f>
        <v/>
      </c>
      <c r="D149" s="79">
        <f>IF(TournamentData[[#This Row],[Team Number]]="","",IF(ISNA(INDEX('Robot Game Scores'!C:C,MATCH(TournamentData[[#This Row],[Team Number]], 'Robot Game Scores'!$A:$A,0))),0,INDEX('Robot Game Scores'!C:C,MATCH(TournamentData[[#This Row],[Team Number]], 'Robot Game Scores'!$A:$A,0))))</f>
        <v/>
      </c>
      <c r="E149" s="79">
        <f>IF(TournamentData[[#This Row],[Team Number]]="","",IF(ISNA(INDEX('Robot Game Scores'!D:D,MATCH(TournamentData[[#This Row],[Team Number]], 'Robot Game Scores'!$A:$A,0))),0,INDEX('Robot Game Scores'!D:D,MATCH(TournamentData[[#This Row],[Team Number]], 'Robot Game Scores'!$A:$A,0))))</f>
        <v/>
      </c>
      <c r="F149" s="79">
        <f>IF(TournamentData[[#This Row],[Team Number]]="","",IF(ISNA(INDEX('Robot Game Scores'!E:E,MATCH(TournamentData[[#This Row],[Team Number]], 'Robot Game Scores'!$A:$A,0))),0,INDEX('Robot Game Scores'!E:E,MATCH(TournamentData[[#This Row],[Team Number]], 'Robot Game Scores'!$A:$A,0))))</f>
        <v/>
      </c>
      <c r="G149" s="79">
        <f>IF(TournamentData[[#This Row],[Team Number]]="","",IF(ISNA(INDEX('Robot Game Scores'!#REF!,MATCH(TournamentData[[#This Row],[Team Number]], 'Robot Game Scores'!$A:$A,0))),0,INDEX('Robot Game Scores'!#REF!,MATCH(TournamentData[[#This Row],[Team Number]], 'Robot Game Scores'!$A:$A,0))))</f>
        <v/>
      </c>
      <c r="H149" s="79">
        <f>IF(TournamentData[[#This Row],[Team Number]]="","",IF(ISNA(INDEX('Robot Game Scores'!#REF!,MATCH(TournamentData[[#This Row],[Team Number]], 'Robot Game Scores'!$A:$A,0))),0,INDEX('Robot Game Scores'!#REF!,MATCH(TournamentData[[#This Row],[Team Number]], 'Robot Game Scores'!$A:$A,0))))</f>
        <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9" s="79">
        <f>_xlfn.RANK.EQ(TournamentData[[#This Row],[Max Robot Game Score]],TournamentData[Max Robot Game Score])</f>
        <v/>
      </c>
      <c r="K149" s="79">
        <f>INDEX(CoreValuesResults[Core Values Rank],MATCH(TournamentData[[#This Row],[Team Number]],CoreValuesResults[Team Number],0))</f>
        <v/>
      </c>
      <c r="L149" s="79">
        <f>INDEX(InnovationProjectResults[Innovation Project Rank],MATCH(TournamentData[[#This Row],[Team Number]],InnovationProjectResults[Team Number],0))</f>
        <v/>
      </c>
      <c r="M149" s="79">
        <f>INDEX(RobotDesignResults[Robot Design Rank],MATCH(TournamentData[[#This Row],[Team Number]],RobotDesignResults[Team Number],0))</f>
        <v/>
      </c>
      <c r="N149" s="79">
        <f>SUM(TournamentData[[#This Row],[Robot Game Rank]:[Robot Design Rank]])</f>
        <v/>
      </c>
      <c r="O149" s="79">
        <f>RANK(TournamentData[[#This Row],[Champion''s Score]],TournamentData[Champion''s Score],1)</f>
        <v/>
      </c>
      <c r="P149" s="80" t="n"/>
      <c r="Q149" s="86" t="inlineStr">
        <is>
          <t>No</t>
        </is>
      </c>
      <c r="R149" s="81">
        <f>IF(ISNA(INDEX(CoreValuesResults[Core Values Score],MATCH(TournamentData[[#This Row],[Team Number]],CoreValuesResults[Team Number],0))),0,INDEX(CoreValuesResults[Core Values Score],MATCH(TournamentData[[#This Row],[Team Number]],CoreValuesResults[Team Number],0)))</f>
        <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
      </c>
      <c r="T149" s="81">
        <f>IF(ISNA(INDEX(RobotDesignResults[Robot Design Score],MATCH(TournamentData[[#This Row],[Team Number]],RobotDesignResults[Team Number],0))),0,INDEX(RobotDesignResults[Robot Design Score],MATCH(TournamentData[[#This Row],[Team Number]],RobotDesignResults[Team Number],0)))</f>
        <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9" s="80">
        <f>IF(U149,_xlfn.RANK.EQ(U149,U$3:U$17,0),NumberOfTeams)</f>
        <v/>
      </c>
      <c r="W149" s="80" t="n"/>
    </row>
    <row r="150" ht="20.25" customHeight="1">
      <c r="A150" s="79" t="n">
        <v>148</v>
      </c>
      <c r="B150" s="79">
        <f>INDEX(OfficialTeamList[Pod Number],MATCH(TournamentData[[#This Row],[Team Number]], OfficialTeamList[Team '#],0))</f>
        <v/>
      </c>
      <c r="C150" s="105">
        <f>INDEX(OfficialTeamList[Team Name],MATCH(TournamentData[[#This Row],[Team Number]], OfficialTeamList[Team '#],0))</f>
        <v/>
      </c>
      <c r="D150" s="79">
        <f>IF(TournamentData[[#This Row],[Team Number]]="","",IF(ISNA(INDEX('Robot Game Scores'!C:C,MATCH(TournamentData[[#This Row],[Team Number]], 'Robot Game Scores'!$A:$A,0))),0,INDEX('Robot Game Scores'!C:C,MATCH(TournamentData[[#This Row],[Team Number]], 'Robot Game Scores'!$A:$A,0))))</f>
        <v/>
      </c>
      <c r="E150" s="79">
        <f>IF(TournamentData[[#This Row],[Team Number]]="","",IF(ISNA(INDEX('Robot Game Scores'!D:D,MATCH(TournamentData[[#This Row],[Team Number]], 'Robot Game Scores'!$A:$A,0))),0,INDEX('Robot Game Scores'!D:D,MATCH(TournamentData[[#This Row],[Team Number]], 'Robot Game Scores'!$A:$A,0))))</f>
        <v/>
      </c>
      <c r="F150" s="79">
        <f>IF(TournamentData[[#This Row],[Team Number]]="","",IF(ISNA(INDEX('Robot Game Scores'!E:E,MATCH(TournamentData[[#This Row],[Team Number]], 'Robot Game Scores'!$A:$A,0))),0,INDEX('Robot Game Scores'!E:E,MATCH(TournamentData[[#This Row],[Team Number]], 'Robot Game Scores'!$A:$A,0))))</f>
        <v/>
      </c>
      <c r="G150" s="79">
        <f>IF(TournamentData[[#This Row],[Team Number]]="","",IF(ISNA(INDEX('Robot Game Scores'!#REF!,MATCH(TournamentData[[#This Row],[Team Number]], 'Robot Game Scores'!$A:$A,0))),0,INDEX('Robot Game Scores'!#REF!,MATCH(TournamentData[[#This Row],[Team Number]], 'Robot Game Scores'!$A:$A,0))))</f>
        <v/>
      </c>
      <c r="H150" s="79">
        <f>IF(TournamentData[[#This Row],[Team Number]]="","",IF(ISNA(INDEX('Robot Game Scores'!#REF!,MATCH(TournamentData[[#This Row],[Team Number]], 'Robot Game Scores'!$A:$A,0))),0,INDEX('Robot Game Scores'!#REF!,MATCH(TournamentData[[#This Row],[Team Number]], 'Robot Game Scores'!$A:$A,0))))</f>
        <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0" s="79">
        <f>_xlfn.RANK.EQ(TournamentData[[#This Row],[Max Robot Game Score]],TournamentData[Max Robot Game Score])</f>
        <v/>
      </c>
      <c r="K150" s="79">
        <f>INDEX(CoreValuesResults[Core Values Rank],MATCH(TournamentData[[#This Row],[Team Number]],CoreValuesResults[Team Number],0))</f>
        <v/>
      </c>
      <c r="L150" s="79">
        <f>INDEX(InnovationProjectResults[Innovation Project Rank],MATCH(TournamentData[[#This Row],[Team Number]],InnovationProjectResults[Team Number],0))</f>
        <v/>
      </c>
      <c r="M150" s="79">
        <f>INDEX(RobotDesignResults[Robot Design Rank],MATCH(TournamentData[[#This Row],[Team Number]],RobotDesignResults[Team Number],0))</f>
        <v/>
      </c>
      <c r="N150" s="79">
        <f>SUM(TournamentData[[#This Row],[Robot Game Rank]:[Robot Design Rank]])</f>
        <v/>
      </c>
      <c r="O150" s="79">
        <f>RANK(TournamentData[[#This Row],[Champion''s Score]],TournamentData[Champion''s Score],1)</f>
        <v/>
      </c>
      <c r="P150" s="80" t="n"/>
      <c r="Q150" s="86" t="inlineStr">
        <is>
          <t>No</t>
        </is>
      </c>
      <c r="R150" s="81">
        <f>IF(ISNA(INDEX(CoreValuesResults[Core Values Score],MATCH(TournamentData[[#This Row],[Team Number]],CoreValuesResults[Team Number],0))),0,INDEX(CoreValuesResults[Core Values Score],MATCH(TournamentData[[#This Row],[Team Number]],CoreValuesResults[Team Number],0)))</f>
        <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
      </c>
      <c r="T150" s="81">
        <f>IF(ISNA(INDEX(RobotDesignResults[Robot Design Score],MATCH(TournamentData[[#This Row],[Team Number]],RobotDesignResults[Team Number],0))),0,INDEX(RobotDesignResults[Robot Design Score],MATCH(TournamentData[[#This Row],[Team Number]],RobotDesignResults[Team Number],0)))</f>
        <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0" s="80">
        <f>IF(U150,_xlfn.RANK.EQ(U150,U$3:U$17,0),NumberOfTeams)</f>
        <v/>
      </c>
      <c r="W150" s="80" t="n"/>
    </row>
    <row r="151" ht="20.25" customHeight="1">
      <c r="A151" s="71" t="n"/>
      <c r="B151" s="71" t="n"/>
      <c r="C151" s="72" t="n"/>
      <c r="G151" s="72" t="n"/>
      <c r="H151" s="72" t="n"/>
      <c r="I151" s="72" t="n"/>
      <c r="J151" s="72" t="n"/>
      <c r="K151" s="72" t="n"/>
      <c r="L151" s="72" t="n"/>
      <c r="M151" s="72" t="n"/>
      <c r="N151" s="72" t="n"/>
      <c r="O151" s="72" t="n"/>
      <c r="P151" s="71" t="n"/>
      <c r="Q151" s="86" t="n"/>
      <c r="R151" s="87" t="n"/>
      <c r="S151" s="87" t="n"/>
      <c r="T151" s="87" t="n"/>
      <c r="U151" s="88" t="n"/>
      <c r="V151" s="86" t="n"/>
      <c r="W151" s="71" t="n"/>
    </row>
    <row r="152" ht="20.25" customHeight="1">
      <c r="A152" s="71" t="n"/>
      <c r="B152" s="71" t="n"/>
      <c r="C152" s="72" t="n"/>
      <c r="G152" s="72" t="n"/>
      <c r="H152" s="72" t="n"/>
      <c r="I152" s="72" t="n"/>
      <c r="J152" s="72" t="n"/>
      <c r="K152" s="72" t="n"/>
      <c r="L152" s="72" t="n"/>
      <c r="M152" s="72" t="n"/>
      <c r="N152" s="72" t="n"/>
      <c r="O152" s="72" t="n"/>
      <c r="P152" s="71" t="n"/>
      <c r="Q152" s="86" t="n"/>
      <c r="R152" s="87" t="n"/>
      <c r="S152" s="87" t="n"/>
      <c r="T152" s="87" t="n"/>
      <c r="U152" s="88" t="n"/>
      <c r="V152" s="86" t="n"/>
      <c r="W152" s="71" t="n"/>
    </row>
    <row r="153" ht="20.25" customHeight="1">
      <c r="A153" s="71" t="n"/>
      <c r="B153" s="71" t="n"/>
      <c r="C153" s="72" t="n"/>
      <c r="G153" s="72" t="n"/>
      <c r="H153" s="72" t="n"/>
      <c r="I153" s="72" t="n"/>
      <c r="J153" s="72" t="n"/>
      <c r="K153" s="72" t="n"/>
      <c r="L153" s="72" t="n"/>
      <c r="M153" s="72" t="n"/>
      <c r="N153" s="72" t="n"/>
      <c r="O153" s="72" t="n"/>
      <c r="P153" s="71" t="n"/>
      <c r="Q153" s="86" t="n"/>
      <c r="R153" s="87" t="n"/>
      <c r="S153" s="87" t="n"/>
      <c r="T153" s="87" t="n"/>
      <c r="U153" s="88" t="n"/>
      <c r="V153" s="86" t="n"/>
      <c r="W153" s="71" t="n"/>
    </row>
    <row r="154" ht="20.25" customHeight="1">
      <c r="A154" s="71" t="n"/>
      <c r="B154" s="71" t="n"/>
      <c r="C154" s="72" t="n"/>
      <c r="G154" s="72" t="n"/>
      <c r="H154" s="72" t="n"/>
      <c r="I154" s="72" t="n"/>
      <c r="J154" s="72" t="n"/>
      <c r="K154" s="72" t="n"/>
      <c r="L154" s="72" t="n"/>
      <c r="M154" s="72" t="n"/>
      <c r="N154" s="72" t="n"/>
      <c r="O154" s="72" t="n"/>
      <c r="P154" s="71" t="n"/>
      <c r="Q154" s="86" t="n"/>
      <c r="R154" s="87" t="n"/>
      <c r="S154" s="87" t="n"/>
      <c r="T154" s="87" t="n"/>
      <c r="U154" s="88" t="n"/>
      <c r="V154" s="86" t="n"/>
      <c r="W154" s="71" t="n"/>
    </row>
    <row r="155" ht="20.25" customHeight="1">
      <c r="A155" s="71" t="n"/>
      <c r="B155" s="71" t="n"/>
      <c r="C155" s="72" t="n"/>
      <c r="G155" s="72" t="n"/>
      <c r="H155" s="72" t="n"/>
      <c r="I155" s="72" t="n"/>
      <c r="J155" s="72" t="n"/>
      <c r="K155" s="72" t="n"/>
      <c r="L155" s="72" t="n"/>
      <c r="M155" s="72" t="n"/>
      <c r="N155" s="72" t="n"/>
      <c r="O155" s="72" t="n"/>
      <c r="P155" s="71" t="n"/>
      <c r="Q155" s="86" t="n"/>
      <c r="R155" s="87" t="n"/>
      <c r="S155" s="87" t="n"/>
      <c r="T155" s="87" t="n"/>
      <c r="U155" s="88" t="n"/>
      <c r="V155" s="86" t="n"/>
      <c r="W155" s="71" t="n"/>
    </row>
    <row r="156" ht="20.25" customHeight="1">
      <c r="A156" s="71" t="n"/>
      <c r="B156" s="71" t="n"/>
      <c r="C156" s="72" t="n"/>
      <c r="G156" s="72" t="n"/>
      <c r="H156" s="72" t="n"/>
      <c r="I156" s="72" t="n"/>
      <c r="J156" s="72" t="n"/>
      <c r="K156" s="72" t="n"/>
      <c r="L156" s="72" t="n"/>
      <c r="M156" s="72" t="n"/>
      <c r="N156" s="72" t="n"/>
      <c r="O156" s="72" t="n"/>
      <c r="P156" s="71" t="n"/>
      <c r="Q156" s="86" t="n"/>
      <c r="R156" s="87" t="n"/>
      <c r="S156" s="87" t="n"/>
      <c r="T156" s="87" t="n"/>
      <c r="U156" s="88" t="n"/>
      <c r="V156" s="86" t="n"/>
      <c r="W156" s="71" t="n"/>
    </row>
    <row r="157" ht="20.25" customHeight="1">
      <c r="A157" s="71" t="n"/>
      <c r="B157" s="71" t="n"/>
      <c r="C157" s="72" t="n"/>
      <c r="G157" s="72" t="n"/>
      <c r="H157" s="72" t="n"/>
      <c r="I157" s="72" t="n"/>
      <c r="J157" s="72" t="n"/>
      <c r="K157" s="72" t="n"/>
      <c r="L157" s="72" t="n"/>
      <c r="M157" s="72" t="n"/>
      <c r="N157" s="72" t="n"/>
      <c r="O157" s="72" t="n"/>
      <c r="P157" s="71" t="n"/>
      <c r="Q157" s="86" t="n"/>
      <c r="R157" s="87" t="n"/>
      <c r="S157" s="87" t="n"/>
      <c r="T157" s="87" t="n"/>
      <c r="U157" s="88" t="n"/>
      <c r="V157" s="86" t="n"/>
      <c r="W157" s="71" t="n"/>
    </row>
    <row r="158" ht="20.25" customHeight="1">
      <c r="A158" s="71" t="n"/>
      <c r="B158" s="71" t="n"/>
      <c r="C158" s="72" t="n"/>
      <c r="G158" s="72" t="n"/>
      <c r="H158" s="72" t="n"/>
      <c r="I158" s="72" t="n"/>
      <c r="J158" s="72" t="n"/>
      <c r="K158" s="72" t="n"/>
      <c r="L158" s="72" t="n"/>
      <c r="M158" s="72" t="n"/>
      <c r="N158" s="72" t="n"/>
      <c r="O158" s="72" t="n"/>
      <c r="P158" s="71" t="n"/>
      <c r="Q158" s="86" t="n"/>
      <c r="R158" s="87" t="n"/>
      <c r="S158" s="87" t="n"/>
      <c r="T158" s="87" t="n"/>
      <c r="U158" s="88" t="n"/>
      <c r="V158" s="86" t="n"/>
      <c r="W158" s="71" t="n"/>
    </row>
    <row r="159" ht="20.25" customHeight="1">
      <c r="A159" s="71" t="n"/>
      <c r="B159" s="71" t="n"/>
      <c r="C159" s="72" t="n"/>
      <c r="G159" s="72" t="n"/>
      <c r="H159" s="72" t="n"/>
      <c r="I159" s="72" t="n"/>
      <c r="J159" s="72" t="n"/>
      <c r="K159" s="72" t="n"/>
      <c r="L159" s="72" t="n"/>
      <c r="M159" s="72" t="n"/>
      <c r="N159" s="72" t="n"/>
      <c r="O159" s="72" t="n"/>
      <c r="P159" s="71" t="n"/>
      <c r="Q159" s="86" t="n"/>
      <c r="R159" s="87" t="n"/>
      <c r="S159" s="87" t="n"/>
      <c r="T159" s="87" t="n"/>
      <c r="U159" s="88" t="n"/>
      <c r="V159" s="86" t="n"/>
      <c r="W159" s="71" t="n"/>
    </row>
    <row r="160" ht="20.25" customHeight="1">
      <c r="A160" s="71" t="n"/>
      <c r="B160" s="71" t="n"/>
      <c r="C160" s="72" t="n"/>
      <c r="G160" s="72" t="n"/>
      <c r="H160" s="72" t="n"/>
      <c r="I160" s="72" t="n"/>
      <c r="J160" s="72" t="n"/>
      <c r="K160" s="72" t="n"/>
      <c r="L160" s="72" t="n"/>
      <c r="M160" s="72" t="n"/>
      <c r="N160" s="72" t="n"/>
      <c r="O160" s="72" t="n"/>
      <c r="P160" s="71" t="n"/>
      <c r="Q160" s="86" t="n"/>
      <c r="R160" s="87" t="n"/>
      <c r="S160" s="87" t="n"/>
      <c r="T160" s="87" t="n"/>
      <c r="U160" s="88" t="n"/>
      <c r="V160" s="86" t="n"/>
      <c r="W160" s="71" t="n"/>
    </row>
    <row r="161" ht="20.25" customHeight="1">
      <c r="A161" s="71" t="n"/>
      <c r="B161" s="71" t="n"/>
      <c r="C161" s="72" t="n"/>
      <c r="G161" s="72" t="n"/>
      <c r="H161" s="72" t="n"/>
      <c r="I161" s="72" t="n"/>
      <c r="J161" s="72" t="n"/>
      <c r="K161" s="72" t="n"/>
      <c r="L161" s="72" t="n"/>
      <c r="M161" s="72" t="n"/>
      <c r="N161" s="72" t="n"/>
      <c r="O161" s="72" t="n"/>
      <c r="P161" s="71" t="n"/>
      <c r="Q161" s="86" t="n"/>
      <c r="R161" s="87" t="n"/>
      <c r="S161" s="87" t="n"/>
      <c r="T161" s="87" t="n"/>
      <c r="U161" s="88" t="n"/>
      <c r="V161" s="86" t="n"/>
      <c r="W161" s="71" t="n"/>
    </row>
    <row r="162" ht="20.25" customHeight="1">
      <c r="A162" s="71" t="n"/>
      <c r="B162" s="71" t="n"/>
      <c r="C162" s="72" t="n"/>
      <c r="G162" s="72" t="n"/>
      <c r="H162" s="72" t="n"/>
      <c r="I162" s="72" t="n"/>
      <c r="J162" s="72" t="n"/>
      <c r="K162" s="72" t="n"/>
      <c r="L162" s="72" t="n"/>
      <c r="M162" s="72" t="n"/>
      <c r="N162" s="72" t="n"/>
      <c r="O162" s="72" t="n"/>
      <c r="P162" s="71" t="n"/>
      <c r="Q162" s="86" t="n"/>
      <c r="R162" s="87" t="n"/>
      <c r="S162" s="87" t="n"/>
      <c r="T162" s="87" t="n"/>
      <c r="U162" s="88" t="n"/>
      <c r="V162" s="86" t="n"/>
      <c r="W162" s="71" t="n"/>
    </row>
    <row r="163" ht="20.25" customHeight="1">
      <c r="A163" s="71" t="n"/>
      <c r="B163" s="71" t="n"/>
      <c r="C163" s="72" t="n"/>
      <c r="G163" s="72" t="n"/>
      <c r="H163" s="72" t="n"/>
      <c r="I163" s="72" t="n"/>
      <c r="J163" s="72" t="n"/>
      <c r="K163" s="72" t="n"/>
      <c r="L163" s="72" t="n"/>
      <c r="M163" s="72" t="n"/>
      <c r="N163" s="72" t="n"/>
      <c r="O163" s="72" t="n"/>
      <c r="P163" s="71" t="n"/>
      <c r="Q163" s="86" t="n"/>
      <c r="R163" s="87" t="n"/>
      <c r="S163" s="87" t="n"/>
      <c r="T163" s="87" t="n"/>
      <c r="U163" s="88" t="n"/>
      <c r="V163" s="86" t="n"/>
      <c r="W163" s="71" t="n"/>
    </row>
    <row r="164" ht="20.25" customHeight="1">
      <c r="A164" s="71" t="n"/>
      <c r="B164" s="71" t="n"/>
      <c r="C164" s="72" t="n"/>
      <c r="G164" s="72" t="n"/>
      <c r="H164" s="72" t="n"/>
      <c r="I164" s="72" t="n"/>
      <c r="J164" s="72" t="n"/>
      <c r="K164" s="72" t="n"/>
      <c r="L164" s="72" t="n"/>
      <c r="M164" s="72" t="n"/>
      <c r="N164" s="72" t="n"/>
      <c r="O164" s="72" t="n"/>
      <c r="P164" s="71" t="n"/>
      <c r="Q164" s="86" t="n"/>
      <c r="R164" s="87" t="n"/>
      <c r="S164" s="87" t="n"/>
      <c r="T164" s="87" t="n"/>
      <c r="U164" s="88" t="n"/>
      <c r="V164" s="86" t="n"/>
      <c r="W164" s="71" t="n"/>
    </row>
    <row r="165" ht="20.25" customHeight="1">
      <c r="A165" s="71" t="n"/>
      <c r="B165" s="71" t="n"/>
      <c r="C165" s="72" t="n"/>
      <c r="G165" s="72" t="n"/>
      <c r="H165" s="72" t="n"/>
      <c r="I165" s="72" t="n"/>
      <c r="J165" s="72" t="n"/>
      <c r="K165" s="72" t="n"/>
      <c r="L165" s="72" t="n"/>
      <c r="M165" s="72" t="n"/>
      <c r="N165" s="72" t="n"/>
      <c r="O165" s="72" t="n"/>
      <c r="P165" s="71" t="n"/>
      <c r="Q165" s="86" t="n"/>
      <c r="R165" s="87" t="n"/>
      <c r="S165" s="87" t="n"/>
      <c r="T165" s="87" t="n"/>
      <c r="U165" s="88" t="n"/>
      <c r="V165" s="86" t="n"/>
      <c r="W165" s="71" t="n"/>
    </row>
    <row r="166" ht="20.25" customHeight="1">
      <c r="A166" s="71" t="n"/>
      <c r="B166" s="71" t="n"/>
      <c r="C166" s="72" t="n"/>
      <c r="G166" s="72" t="n"/>
      <c r="H166" s="72" t="n"/>
      <c r="I166" s="72" t="n"/>
      <c r="J166" s="72" t="n"/>
      <c r="K166" s="72" t="n"/>
      <c r="L166" s="72" t="n"/>
      <c r="M166" s="72" t="n"/>
      <c r="N166" s="72" t="n"/>
      <c r="O166" s="72" t="n"/>
      <c r="P166" s="71" t="n"/>
      <c r="Q166" s="86" t="n"/>
      <c r="R166" s="87" t="n"/>
      <c r="S166" s="87" t="n"/>
      <c r="T166" s="87" t="n"/>
      <c r="U166" s="88" t="n"/>
      <c r="V166" s="86" t="n"/>
      <c r="W166" s="71" t="n"/>
    </row>
    <row r="167" ht="20.25" customHeight="1">
      <c r="A167" s="71" t="n"/>
      <c r="B167" s="71" t="n"/>
      <c r="C167" s="72" t="n"/>
      <c r="G167" s="72" t="n"/>
      <c r="H167" s="72" t="n"/>
      <c r="I167" s="72" t="n"/>
      <c r="J167" s="72" t="n"/>
      <c r="K167" s="72" t="n"/>
      <c r="L167" s="72" t="n"/>
      <c r="M167" s="72" t="n"/>
      <c r="N167" s="72" t="n"/>
      <c r="O167" s="72" t="n"/>
      <c r="P167" s="71" t="n"/>
      <c r="Q167" s="86" t="n"/>
      <c r="R167" s="87" t="n"/>
      <c r="S167" s="87" t="n"/>
      <c r="T167" s="87" t="n"/>
      <c r="U167" s="88" t="n"/>
      <c r="V167" s="86" t="n"/>
      <c r="W167" s="71" t="n"/>
    </row>
    <row r="168" ht="20.25" customHeight="1">
      <c r="A168" s="71" t="n"/>
      <c r="B168" s="71" t="n"/>
      <c r="C168" s="72" t="n"/>
      <c r="G168" s="72" t="n"/>
      <c r="H168" s="72" t="n"/>
      <c r="I168" s="72" t="n"/>
      <c r="J168" s="72" t="n"/>
      <c r="K168" s="72" t="n"/>
      <c r="L168" s="72" t="n"/>
      <c r="M168" s="72" t="n"/>
      <c r="N168" s="72" t="n"/>
      <c r="O168" s="72" t="n"/>
      <c r="P168" s="71" t="n"/>
      <c r="Q168" s="86" t="n"/>
      <c r="R168" s="87" t="n"/>
      <c r="S168" s="87" t="n"/>
      <c r="T168" s="87" t="n"/>
      <c r="U168" s="88" t="n"/>
      <c r="V168" s="86" t="n"/>
      <c r="W168" s="71" t="n"/>
    </row>
    <row r="169" ht="20.25" customHeight="1">
      <c r="A169" s="71" t="n"/>
      <c r="B169" s="71" t="n"/>
      <c r="C169" s="72" t="n"/>
      <c r="G169" s="72" t="n"/>
      <c r="H169" s="72" t="n"/>
      <c r="I169" s="72" t="n"/>
      <c r="J169" s="72" t="n"/>
      <c r="K169" s="72" t="n"/>
      <c r="L169" s="72" t="n"/>
      <c r="M169" s="72" t="n"/>
      <c r="N169" s="72" t="n"/>
      <c r="O169" s="72" t="n"/>
      <c r="P169" s="71" t="n"/>
      <c r="Q169" s="86" t="n"/>
      <c r="R169" s="87" t="n"/>
      <c r="S169" s="87" t="n"/>
      <c r="T169" s="87" t="n"/>
      <c r="U169" s="88" t="n"/>
      <c r="V169" s="86" t="n"/>
      <c r="W169" s="71" t="n"/>
    </row>
    <row r="170" ht="20.25" customHeight="1">
      <c r="A170" s="71" t="n"/>
      <c r="B170" s="71" t="n"/>
      <c r="C170" s="72" t="n"/>
      <c r="G170" s="72" t="n"/>
      <c r="H170" s="72" t="n"/>
      <c r="I170" s="72" t="n"/>
      <c r="J170" s="72" t="n"/>
      <c r="K170" s="72" t="n"/>
      <c r="L170" s="72" t="n"/>
      <c r="M170" s="72" t="n"/>
      <c r="N170" s="72" t="n"/>
      <c r="O170" s="72" t="n"/>
      <c r="P170" s="71" t="n"/>
      <c r="Q170" s="86" t="n"/>
      <c r="R170" s="87" t="n"/>
      <c r="S170" s="87" t="n"/>
      <c r="T170" s="87" t="n"/>
      <c r="U170" s="88" t="n"/>
      <c r="V170" s="86" t="n"/>
      <c r="W170" s="71" t="n"/>
    </row>
    <row r="171" ht="20.25" customHeight="1">
      <c r="A171" s="71" t="n"/>
      <c r="B171" s="71" t="n"/>
      <c r="C171" s="72" t="n"/>
      <c r="G171" s="72" t="n"/>
      <c r="H171" s="72" t="n"/>
      <c r="I171" s="72" t="n"/>
      <c r="J171" s="72" t="n"/>
      <c r="K171" s="72" t="n"/>
      <c r="L171" s="72" t="n"/>
      <c r="M171" s="72" t="n"/>
      <c r="N171" s="72" t="n"/>
      <c r="O171" s="72" t="n"/>
      <c r="P171" s="71" t="n"/>
      <c r="Q171" s="86" t="n"/>
      <c r="R171" s="87" t="n"/>
      <c r="S171" s="87" t="n"/>
      <c r="T171" s="87" t="n"/>
      <c r="U171" s="88" t="n"/>
      <c r="V171" s="86" t="n"/>
      <c r="W171" s="71" t="n"/>
    </row>
    <row r="172" ht="20.25" customHeight="1">
      <c r="A172" s="71" t="n"/>
      <c r="B172" s="71" t="n"/>
      <c r="C172" s="72" t="n"/>
      <c r="G172" s="72" t="n"/>
      <c r="H172" s="72" t="n"/>
      <c r="I172" s="72" t="n"/>
      <c r="J172" s="72" t="n"/>
      <c r="K172" s="72" t="n"/>
      <c r="L172" s="72" t="n"/>
      <c r="M172" s="72" t="n"/>
      <c r="N172" s="72" t="n"/>
      <c r="O172" s="72" t="n"/>
      <c r="P172" s="71" t="n"/>
      <c r="Q172" s="86" t="n"/>
      <c r="R172" s="87" t="n"/>
      <c r="S172" s="87" t="n"/>
      <c r="T172" s="87" t="n"/>
      <c r="U172" s="88" t="n"/>
      <c r="V172" s="86" t="n"/>
      <c r="W172" s="71" t="n"/>
    </row>
    <row r="173" ht="20.25" customHeight="1">
      <c r="A173" s="71" t="n"/>
      <c r="B173" s="71" t="n"/>
      <c r="C173" s="72" t="n"/>
      <c r="G173" s="72" t="n"/>
      <c r="H173" s="72" t="n"/>
      <c r="I173" s="72" t="n"/>
      <c r="J173" s="72" t="n"/>
      <c r="K173" s="72" t="n"/>
      <c r="L173" s="72" t="n"/>
      <c r="M173" s="72" t="n"/>
      <c r="N173" s="72" t="n"/>
      <c r="O173" s="72" t="n"/>
      <c r="P173" s="71" t="n"/>
      <c r="Q173" s="86" t="n"/>
      <c r="R173" s="87" t="n"/>
      <c r="S173" s="87" t="n"/>
      <c r="T173" s="87" t="n"/>
      <c r="U173" s="88" t="n"/>
      <c r="V173" s="86" t="n"/>
      <c r="W173" s="71" t="n"/>
    </row>
    <row r="174" ht="20.25" customHeight="1">
      <c r="A174" s="71" t="n"/>
      <c r="B174" s="71" t="n"/>
      <c r="C174" s="72" t="n"/>
      <c r="G174" s="72" t="n"/>
      <c r="H174" s="72" t="n"/>
      <c r="I174" s="72" t="n"/>
      <c r="J174" s="72" t="n"/>
      <c r="K174" s="72" t="n"/>
      <c r="L174" s="72" t="n"/>
      <c r="M174" s="72" t="n"/>
      <c r="N174" s="72" t="n"/>
      <c r="O174" s="72" t="n"/>
      <c r="P174" s="71" t="n"/>
      <c r="Q174" s="86" t="n"/>
      <c r="R174" s="87" t="n"/>
      <c r="S174" s="87" t="n"/>
      <c r="T174" s="87" t="n"/>
      <c r="U174" s="88" t="n"/>
      <c r="V174" s="86" t="n"/>
      <c r="W174" s="71" t="n"/>
    </row>
    <row r="175" ht="20.25" customHeight="1">
      <c r="A175" s="71" t="n"/>
      <c r="B175" s="71" t="n"/>
      <c r="C175" s="72" t="n"/>
      <c r="G175" s="72" t="n"/>
      <c r="H175" s="72" t="n"/>
      <c r="I175" s="72" t="n"/>
      <c r="J175" s="72" t="n"/>
      <c r="K175" s="72" t="n"/>
      <c r="L175" s="72" t="n"/>
      <c r="M175" s="72" t="n"/>
      <c r="N175" s="72" t="n"/>
      <c r="O175" s="72" t="n"/>
      <c r="P175" s="71" t="n"/>
      <c r="Q175" s="86" t="n"/>
      <c r="R175" s="87" t="n"/>
      <c r="S175" s="87" t="n"/>
      <c r="T175" s="87" t="n"/>
      <c r="U175" s="88" t="n"/>
      <c r="V175" s="86" t="n"/>
      <c r="W175" s="71" t="n"/>
    </row>
    <row r="176" ht="20.25" customHeight="1">
      <c r="A176" s="71" t="n"/>
      <c r="B176" s="71" t="n"/>
      <c r="C176" s="72" t="n"/>
      <c r="G176" s="72" t="n"/>
      <c r="H176" s="72" t="n"/>
      <c r="I176" s="72" t="n"/>
      <c r="J176" s="72" t="n"/>
      <c r="K176" s="72" t="n"/>
      <c r="L176" s="72" t="n"/>
      <c r="M176" s="72" t="n"/>
      <c r="N176" s="72" t="n"/>
      <c r="O176" s="72" t="n"/>
      <c r="P176" s="71" t="n"/>
      <c r="Q176" s="86" t="n"/>
      <c r="R176" s="87" t="n"/>
      <c r="S176" s="87" t="n"/>
      <c r="T176" s="87" t="n"/>
      <c r="U176" s="88" t="n"/>
      <c r="V176" s="86" t="n"/>
      <c r="W176" s="71" t="n"/>
    </row>
    <row r="177" ht="20.25" customHeight="1">
      <c r="A177" s="71" t="n"/>
      <c r="B177" s="71" t="n"/>
      <c r="C177" s="72" t="n"/>
      <c r="G177" s="72" t="n"/>
      <c r="H177" s="72" t="n"/>
      <c r="I177" s="72" t="n"/>
      <c r="J177" s="72" t="n"/>
      <c r="K177" s="72" t="n"/>
      <c r="L177" s="72" t="n"/>
      <c r="M177" s="72" t="n"/>
      <c r="N177" s="72" t="n"/>
      <c r="O177" s="72" t="n"/>
      <c r="P177" s="71" t="n"/>
      <c r="Q177" s="86" t="n"/>
      <c r="R177" s="87" t="n"/>
      <c r="S177" s="87" t="n"/>
      <c r="T177" s="87" t="n"/>
      <c r="U177" s="88" t="n"/>
      <c r="V177" s="86" t="n"/>
      <c r="W177" s="71" t="n"/>
    </row>
    <row r="178" ht="20.25" customHeight="1">
      <c r="A178" s="71" t="n"/>
      <c r="B178" s="71" t="n"/>
      <c r="C178" s="72" t="n"/>
      <c r="G178" s="72" t="n"/>
      <c r="H178" s="72" t="n"/>
      <c r="I178" s="72" t="n"/>
      <c r="J178" s="72" t="n"/>
      <c r="K178" s="72" t="n"/>
      <c r="L178" s="72" t="n"/>
      <c r="M178" s="72" t="n"/>
      <c r="N178" s="72" t="n"/>
      <c r="O178" s="72" t="n"/>
      <c r="P178" s="71" t="n"/>
      <c r="Q178" s="86" t="n"/>
      <c r="R178" s="87" t="n"/>
      <c r="S178" s="87" t="n"/>
      <c r="T178" s="87" t="n"/>
      <c r="U178" s="88" t="n"/>
      <c r="V178" s="86" t="n"/>
      <c r="W178" s="71" t="n"/>
    </row>
    <row r="179" ht="20.25" customHeight="1">
      <c r="A179" s="71" t="n"/>
      <c r="B179" s="71" t="n"/>
      <c r="C179" s="72" t="n"/>
      <c r="G179" s="72" t="n"/>
      <c r="H179" s="72" t="n"/>
      <c r="I179" s="72" t="n"/>
      <c r="J179" s="72" t="n"/>
      <c r="K179" s="72" t="n"/>
      <c r="L179" s="72" t="n"/>
      <c r="M179" s="72" t="n"/>
      <c r="N179" s="72" t="n"/>
      <c r="O179" s="72" t="n"/>
      <c r="P179" s="71" t="n"/>
      <c r="Q179" s="86" t="n"/>
      <c r="R179" s="87" t="n"/>
      <c r="S179" s="87" t="n"/>
      <c r="T179" s="87" t="n"/>
      <c r="U179" s="88" t="n"/>
      <c r="V179" s="86" t="n"/>
      <c r="W179" s="71" t="n"/>
    </row>
    <row r="180" ht="20.25" customHeight="1">
      <c r="A180" s="71" t="n"/>
      <c r="B180" s="71" t="n"/>
      <c r="C180" s="72" t="n"/>
      <c r="G180" s="72" t="n"/>
      <c r="H180" s="72" t="n"/>
      <c r="I180" s="72" t="n"/>
      <c r="J180" s="72" t="n"/>
      <c r="K180" s="72" t="n"/>
      <c r="L180" s="72" t="n"/>
      <c r="M180" s="72" t="n"/>
      <c r="N180" s="72" t="n"/>
      <c r="O180" s="72" t="n"/>
      <c r="P180" s="71" t="n"/>
      <c r="Q180" s="86" t="n"/>
      <c r="R180" s="87" t="n"/>
      <c r="S180" s="87" t="n"/>
      <c r="T180" s="87" t="n"/>
      <c r="U180" s="88" t="n"/>
      <c r="V180" s="86" t="n"/>
      <c r="W180" s="71" t="n"/>
    </row>
    <row r="181" ht="20.25" customHeight="1">
      <c r="A181" s="71" t="n"/>
      <c r="B181" s="71" t="n"/>
      <c r="C181" s="72" t="n"/>
      <c r="G181" s="72" t="n"/>
      <c r="H181" s="72" t="n"/>
      <c r="I181" s="72" t="n"/>
      <c r="J181" s="72" t="n"/>
      <c r="K181" s="72" t="n"/>
      <c r="L181" s="72" t="n"/>
      <c r="M181" s="72" t="n"/>
      <c r="N181" s="72" t="n"/>
      <c r="O181" s="72" t="n"/>
      <c r="P181" s="71" t="n"/>
      <c r="Q181" s="86" t="n"/>
      <c r="R181" s="87" t="n"/>
      <c r="S181" s="87" t="n"/>
      <c r="T181" s="87" t="n"/>
      <c r="U181" s="88" t="n"/>
      <c r="V181" s="86" t="n"/>
      <c r="W181" s="71" t="n"/>
    </row>
    <row r="182" ht="20.25" customHeight="1">
      <c r="A182" s="71" t="n"/>
      <c r="B182" s="71" t="n"/>
      <c r="C182" s="72" t="n"/>
      <c r="G182" s="72" t="n"/>
      <c r="H182" s="72" t="n"/>
      <c r="I182" s="72" t="n"/>
      <c r="J182" s="72" t="n"/>
      <c r="K182" s="72" t="n"/>
      <c r="L182" s="72" t="n"/>
      <c r="M182" s="72" t="n"/>
      <c r="N182" s="72" t="n"/>
      <c r="O182" s="72" t="n"/>
      <c r="P182" s="71" t="n"/>
      <c r="Q182" s="86" t="n"/>
      <c r="R182" s="87" t="n"/>
      <c r="S182" s="87" t="n"/>
      <c r="T182" s="87" t="n"/>
      <c r="U182" s="88" t="n"/>
      <c r="V182" s="86" t="n"/>
      <c r="W182" s="71" t="n"/>
    </row>
    <row r="183" ht="20.25" customHeight="1">
      <c r="A183" s="71" t="n"/>
      <c r="B183" s="71" t="n"/>
      <c r="C183" s="72" t="n"/>
      <c r="G183" s="72" t="n"/>
      <c r="H183" s="72" t="n"/>
      <c r="I183" s="72" t="n"/>
      <c r="J183" s="72" t="n"/>
      <c r="K183" s="72" t="n"/>
      <c r="L183" s="72" t="n"/>
      <c r="M183" s="72" t="n"/>
      <c r="N183" s="72" t="n"/>
      <c r="O183" s="72" t="n"/>
      <c r="P183" s="71" t="n"/>
      <c r="Q183" s="86" t="n"/>
      <c r="R183" s="87" t="n"/>
      <c r="S183" s="87" t="n"/>
      <c r="T183" s="87" t="n"/>
      <c r="U183" s="88" t="n"/>
      <c r="V183" s="86" t="n"/>
      <c r="W183" s="71" t="n"/>
    </row>
    <row r="184" ht="20.25" customHeight="1">
      <c r="A184" s="71" t="n"/>
      <c r="B184" s="71" t="n"/>
      <c r="C184" s="72" t="n"/>
      <c r="G184" s="72" t="n"/>
      <c r="H184" s="72" t="n"/>
      <c r="I184" s="72" t="n"/>
      <c r="J184" s="72" t="n"/>
      <c r="K184" s="72" t="n"/>
      <c r="L184" s="72" t="n"/>
      <c r="M184" s="72" t="n"/>
      <c r="N184" s="72" t="n"/>
      <c r="O184" s="72" t="n"/>
      <c r="P184" s="71" t="n"/>
      <c r="Q184" s="86" t="n"/>
      <c r="R184" s="87" t="n"/>
      <c r="S184" s="87" t="n"/>
      <c r="T184" s="87" t="n"/>
      <c r="U184" s="88" t="n"/>
      <c r="V184" s="86" t="n"/>
      <c r="W184" s="71" t="n"/>
    </row>
    <row r="185" ht="20.25" customHeight="1">
      <c r="A185" s="71" t="n"/>
      <c r="B185" s="71" t="n"/>
      <c r="C185" s="72" t="n"/>
      <c r="G185" s="72" t="n"/>
      <c r="H185" s="72" t="n"/>
      <c r="I185" s="72" t="n"/>
      <c r="J185" s="72" t="n"/>
      <c r="K185" s="72" t="n"/>
      <c r="L185" s="72" t="n"/>
      <c r="M185" s="72" t="n"/>
      <c r="N185" s="72" t="n"/>
      <c r="O185" s="72" t="n"/>
      <c r="P185" s="71" t="n"/>
      <c r="Q185" s="86" t="n"/>
      <c r="R185" s="87" t="n"/>
      <c r="S185" s="87" t="n"/>
      <c r="T185" s="87" t="n"/>
      <c r="U185" s="88" t="n"/>
      <c r="V185" s="86" t="n"/>
      <c r="W185" s="71" t="n"/>
    </row>
    <row r="186" ht="20.25" customHeight="1">
      <c r="A186" s="71" t="n"/>
      <c r="B186" s="71" t="n"/>
      <c r="C186" s="72" t="n"/>
      <c r="G186" s="72" t="n"/>
      <c r="H186" s="72" t="n"/>
      <c r="I186" s="72" t="n"/>
      <c r="J186" s="72" t="n"/>
      <c r="K186" s="72" t="n"/>
      <c r="L186" s="72" t="n"/>
      <c r="M186" s="72" t="n"/>
      <c r="N186" s="72" t="n"/>
      <c r="O186" s="72" t="n"/>
      <c r="P186" s="71" t="n"/>
      <c r="Q186" s="86" t="n"/>
      <c r="R186" s="87" t="n"/>
      <c r="S186" s="87" t="n"/>
      <c r="T186" s="87" t="n"/>
      <c r="U186" s="88" t="n"/>
      <c r="V186" s="86" t="n"/>
      <c r="W186" s="71" t="n"/>
    </row>
    <row r="187" ht="20.25" customHeight="1">
      <c r="A187" s="71" t="n"/>
      <c r="B187" s="71" t="n"/>
      <c r="C187" s="72" t="n"/>
      <c r="G187" s="72" t="n"/>
      <c r="H187" s="72" t="n"/>
      <c r="I187" s="72" t="n"/>
      <c r="J187" s="72" t="n"/>
      <c r="K187" s="72" t="n"/>
      <c r="L187" s="72" t="n"/>
      <c r="M187" s="72" t="n"/>
      <c r="N187" s="72" t="n"/>
      <c r="O187" s="72" t="n"/>
      <c r="P187" s="71" t="n"/>
      <c r="Q187" s="86" t="n"/>
      <c r="R187" s="87" t="n"/>
      <c r="S187" s="87" t="n"/>
      <c r="T187" s="87" t="n"/>
      <c r="U187" s="88" t="n"/>
      <c r="V187" s="86" t="n"/>
      <c r="W187" s="71" t="n"/>
    </row>
    <row r="188" ht="20.25" customHeight="1">
      <c r="A188" s="71" t="n"/>
      <c r="B188" s="71" t="n"/>
      <c r="C188" s="72" t="n"/>
      <c r="G188" s="72" t="n"/>
      <c r="H188" s="72" t="n"/>
      <c r="I188" s="72" t="n"/>
      <c r="J188" s="72" t="n"/>
      <c r="K188" s="72" t="n"/>
      <c r="L188" s="72" t="n"/>
      <c r="M188" s="72" t="n"/>
      <c r="N188" s="72" t="n"/>
      <c r="O188" s="72" t="n"/>
      <c r="P188" s="71" t="n"/>
      <c r="Q188" s="86" t="n"/>
      <c r="R188" s="87" t="n"/>
      <c r="S188" s="87" t="n"/>
      <c r="T188" s="87" t="n"/>
      <c r="U188" s="88" t="n"/>
      <c r="V188" s="86" t="n"/>
      <c r="W188" s="71" t="n"/>
    </row>
    <row r="189" ht="20.25" customHeight="1">
      <c r="A189" s="71" t="n"/>
      <c r="B189" s="71" t="n"/>
      <c r="C189" s="72" t="n"/>
      <c r="G189" s="72" t="n"/>
      <c r="H189" s="72" t="n"/>
      <c r="I189" s="72" t="n"/>
      <c r="J189" s="72" t="n"/>
      <c r="K189" s="72" t="n"/>
      <c r="L189" s="72" t="n"/>
      <c r="M189" s="72" t="n"/>
      <c r="N189" s="72" t="n"/>
      <c r="O189" s="72" t="n"/>
      <c r="P189" s="71" t="n"/>
      <c r="Q189" s="86" t="n"/>
      <c r="R189" s="87" t="n"/>
      <c r="S189" s="87" t="n"/>
      <c r="T189" s="87" t="n"/>
      <c r="U189" s="88" t="n"/>
      <c r="V189" s="86" t="n"/>
      <c r="W189" s="71" t="n"/>
    </row>
    <row r="190" ht="20.25" customHeight="1">
      <c r="A190" s="71" t="n"/>
      <c r="B190" s="71" t="n"/>
      <c r="C190" s="72" t="n"/>
      <c r="G190" s="72" t="n"/>
      <c r="H190" s="72" t="n"/>
      <c r="I190" s="72" t="n"/>
      <c r="J190" s="72" t="n"/>
      <c r="K190" s="72" t="n"/>
      <c r="L190" s="72" t="n"/>
      <c r="M190" s="72" t="n"/>
      <c r="N190" s="72" t="n"/>
      <c r="O190" s="72" t="n"/>
      <c r="P190" s="71" t="n"/>
      <c r="Q190" s="86" t="n"/>
      <c r="R190" s="87" t="n"/>
      <c r="S190" s="87" t="n"/>
      <c r="T190" s="87" t="n"/>
      <c r="U190" s="88" t="n"/>
      <c r="V190" s="86" t="n"/>
      <c r="W190" s="71" t="n"/>
    </row>
    <row r="191" ht="20.25" customHeight="1">
      <c r="A191" s="71" t="n"/>
      <c r="B191" s="71" t="n"/>
      <c r="C191" s="72" t="n"/>
      <c r="G191" s="72" t="n"/>
      <c r="H191" s="72" t="n"/>
      <c r="I191" s="72" t="n"/>
      <c r="J191" s="72" t="n"/>
      <c r="K191" s="72" t="n"/>
      <c r="L191" s="72" t="n"/>
      <c r="M191" s="72" t="n"/>
      <c r="N191" s="72" t="n"/>
      <c r="O191" s="72" t="n"/>
      <c r="P191" s="71" t="n"/>
      <c r="Q191" s="86" t="n"/>
      <c r="R191" s="87" t="n"/>
      <c r="S191" s="87" t="n"/>
      <c r="T191" s="87" t="n"/>
      <c r="U191" s="88" t="n"/>
      <c r="V191" s="86" t="n"/>
      <c r="W191" s="71" t="n"/>
    </row>
    <row r="192" ht="20.25" customHeight="1">
      <c r="A192" s="71" t="n"/>
      <c r="B192" s="71" t="n"/>
      <c r="C192" s="72" t="n"/>
      <c r="G192" s="72" t="n"/>
      <c r="H192" s="72" t="n"/>
      <c r="I192" s="72" t="n"/>
      <c r="J192" s="72" t="n"/>
      <c r="K192" s="72" t="n"/>
      <c r="L192" s="72" t="n"/>
      <c r="M192" s="72" t="n"/>
      <c r="N192" s="72" t="n"/>
      <c r="O192" s="72" t="n"/>
      <c r="P192" s="71" t="n"/>
      <c r="Q192" s="86" t="n"/>
      <c r="R192" s="87" t="n"/>
      <c r="S192" s="87" t="n"/>
      <c r="T192" s="87" t="n"/>
      <c r="U192" s="88" t="n"/>
      <c r="V192" s="86" t="n"/>
      <c r="W192" s="71" t="n"/>
    </row>
    <row r="193" ht="20.25" customHeight="1">
      <c r="A193" s="71" t="n"/>
      <c r="B193" s="71" t="n"/>
      <c r="C193" s="72" t="n"/>
      <c r="G193" s="72" t="n"/>
      <c r="H193" s="72" t="n"/>
      <c r="I193" s="72" t="n"/>
      <c r="J193" s="72" t="n"/>
      <c r="K193" s="72" t="n"/>
      <c r="L193" s="72" t="n"/>
      <c r="M193" s="72" t="n"/>
      <c r="N193" s="72" t="n"/>
      <c r="O193" s="72" t="n"/>
      <c r="P193" s="71" t="n"/>
      <c r="Q193" s="86" t="n"/>
      <c r="R193" s="87" t="n"/>
      <c r="S193" s="87" t="n"/>
      <c r="T193" s="87" t="n"/>
      <c r="U193" s="88" t="n"/>
      <c r="V193" s="86" t="n"/>
      <c r="W193" s="71" t="n"/>
    </row>
    <row r="194" ht="20.25" customHeight="1">
      <c r="A194" s="71" t="n"/>
      <c r="B194" s="71" t="n"/>
      <c r="C194" s="72" t="n"/>
      <c r="G194" s="72" t="n"/>
      <c r="H194" s="72" t="n"/>
      <c r="I194" s="72" t="n"/>
      <c r="J194" s="72" t="n"/>
      <c r="K194" s="72" t="n"/>
      <c r="L194" s="72" t="n"/>
      <c r="M194" s="72" t="n"/>
      <c r="N194" s="72" t="n"/>
      <c r="O194" s="72" t="n"/>
      <c r="P194" s="71" t="n"/>
      <c r="Q194" s="86" t="n"/>
      <c r="R194" s="87" t="n"/>
      <c r="S194" s="87" t="n"/>
      <c r="T194" s="87" t="n"/>
      <c r="U194" s="88" t="n"/>
      <c r="V194" s="86" t="n"/>
      <c r="W194" s="71" t="n"/>
    </row>
    <row r="195" ht="20.25" customHeight="1">
      <c r="A195" s="71" t="n"/>
      <c r="B195" s="71" t="n"/>
      <c r="C195" s="72" t="n"/>
      <c r="G195" s="72" t="n"/>
      <c r="H195" s="72" t="n"/>
      <c r="I195" s="72" t="n"/>
      <c r="J195" s="72" t="n"/>
      <c r="K195" s="72" t="n"/>
      <c r="L195" s="72" t="n"/>
      <c r="M195" s="72" t="n"/>
      <c r="N195" s="72" t="n"/>
      <c r="O195" s="72" t="n"/>
      <c r="P195" s="71" t="n"/>
      <c r="Q195" s="86" t="n"/>
      <c r="R195" s="87" t="n"/>
      <c r="S195" s="87" t="n"/>
      <c r="T195" s="87" t="n"/>
      <c r="U195" s="88" t="n"/>
      <c r="V195" s="86" t="n"/>
      <c r="W195" s="71" t="n"/>
    </row>
    <row r="196" ht="20.25" customHeight="1">
      <c r="A196" s="71" t="n"/>
      <c r="B196" s="71" t="n"/>
      <c r="C196" s="72" t="n"/>
      <c r="G196" s="72" t="n"/>
      <c r="H196" s="72" t="n"/>
      <c r="I196" s="72" t="n"/>
      <c r="J196" s="72" t="n"/>
      <c r="K196" s="72" t="n"/>
      <c r="L196" s="72" t="n"/>
      <c r="M196" s="72" t="n"/>
      <c r="N196" s="72" t="n"/>
      <c r="O196" s="72" t="n"/>
      <c r="P196" s="71" t="n"/>
      <c r="Q196" s="86" t="n"/>
      <c r="R196" s="87" t="n"/>
      <c r="S196" s="87" t="n"/>
      <c r="T196" s="87" t="n"/>
      <c r="U196" s="88" t="n"/>
      <c r="V196" s="86" t="n"/>
      <c r="W196" s="71" t="n"/>
    </row>
    <row r="197" ht="20.25" customHeight="1">
      <c r="A197" s="71" t="n"/>
      <c r="B197" s="71" t="n"/>
      <c r="C197" s="72" t="n"/>
      <c r="G197" s="72" t="n"/>
      <c r="H197" s="72" t="n"/>
      <c r="I197" s="72" t="n"/>
      <c r="J197" s="72" t="n"/>
      <c r="K197" s="72" t="n"/>
      <c r="L197" s="72" t="n"/>
      <c r="M197" s="72" t="n"/>
      <c r="N197" s="72" t="n"/>
      <c r="O197" s="72" t="n"/>
      <c r="P197" s="71" t="n"/>
      <c r="Q197" s="86" t="n"/>
      <c r="R197" s="87" t="n"/>
      <c r="S197" s="87" t="n"/>
      <c r="T197" s="87" t="n"/>
      <c r="U197" s="88" t="n"/>
      <c r="V197" s="86" t="n"/>
      <c r="W197" s="71" t="n"/>
    </row>
    <row r="198" ht="20.25" customHeight="1">
      <c r="A198" s="71" t="n"/>
      <c r="B198" s="71" t="n"/>
      <c r="C198" s="72" t="n"/>
      <c r="G198" s="72" t="n"/>
      <c r="H198" s="72" t="n"/>
      <c r="I198" s="72" t="n"/>
      <c r="J198" s="72" t="n"/>
      <c r="K198" s="72" t="n"/>
      <c r="L198" s="72" t="n"/>
      <c r="M198" s="72" t="n"/>
      <c r="N198" s="72" t="n"/>
      <c r="O198" s="72" t="n"/>
      <c r="P198" s="72" t="n"/>
      <c r="W198" s="71" t="n"/>
    </row>
    <row r="199" ht="20.25" customHeight="1">
      <c r="A199" s="71" t="n"/>
      <c r="B199" s="71" t="n"/>
      <c r="C199" s="72" t="n"/>
      <c r="G199" s="72" t="n"/>
      <c r="H199" s="72" t="n"/>
      <c r="I199" s="72" t="n"/>
      <c r="J199" s="72" t="n"/>
      <c r="K199" s="72" t="n"/>
      <c r="L199" s="72" t="n"/>
      <c r="M199" s="72" t="n"/>
      <c r="N199" s="72" t="n"/>
      <c r="O199" s="72" t="n"/>
      <c r="P199" s="72" t="n"/>
      <c r="W199" s="71" t="n"/>
    </row>
    <row r="200" ht="20.25" customHeight="1">
      <c r="A200" s="71" t="n"/>
      <c r="B200" s="71" t="n"/>
      <c r="C200" s="72" t="n"/>
      <c r="G200" s="72" t="n"/>
      <c r="H200" s="72" t="n"/>
      <c r="I200" s="72" t="n"/>
      <c r="J200" s="72" t="n"/>
      <c r="K200" s="72" t="n"/>
      <c r="L200" s="72" t="n"/>
      <c r="M200" s="72" t="n"/>
      <c r="N200" s="72" t="n"/>
      <c r="O200" s="72" t="n"/>
      <c r="P200" s="72" t="n"/>
      <c r="W200" s="71" t="n"/>
    </row>
    <row r="201" ht="20.25" customHeight="1">
      <c r="A201" s="71" t="n"/>
      <c r="B201" s="71" t="n"/>
      <c r="C201" s="72" t="n"/>
      <c r="G201" s="72" t="n"/>
      <c r="H201" s="72" t="n"/>
      <c r="I201" s="72" t="n"/>
      <c r="J201" s="72" t="n"/>
      <c r="K201" s="72" t="n"/>
      <c r="L201" s="72" t="n"/>
      <c r="M201" s="72" t="n"/>
      <c r="N201" s="72" t="n"/>
      <c r="O201" s="72" t="n"/>
      <c r="P201" s="72" t="n"/>
      <c r="W201" s="71" t="n"/>
    </row>
    <row r="202" ht="20.25" customHeight="1">
      <c r="A202" s="71" t="n"/>
      <c r="B202" s="71" t="n"/>
      <c r="C202" s="72" t="n"/>
      <c r="G202" s="72" t="n"/>
      <c r="H202" s="72" t="n"/>
      <c r="I202" s="72" t="n"/>
      <c r="J202" s="72" t="n"/>
      <c r="K202" s="72" t="n"/>
      <c r="L202" s="72" t="n"/>
      <c r="M202" s="72" t="n"/>
      <c r="N202" s="72" t="n"/>
      <c r="O202" s="72" t="n"/>
      <c r="P202" s="72" t="n"/>
      <c r="W202" s="71" t="n"/>
    </row>
    <row r="203" ht="20.25" customHeight="1">
      <c r="A203" s="71" t="n"/>
      <c r="B203" s="71" t="n"/>
      <c r="C203" s="72" t="n"/>
      <c r="G203" s="72" t="n"/>
      <c r="H203" s="72" t="n"/>
      <c r="I203" s="72" t="n"/>
      <c r="J203" s="72" t="n"/>
      <c r="K203" s="72" t="n"/>
      <c r="L203" s="72" t="n"/>
      <c r="M203" s="72" t="n"/>
      <c r="N203" s="72" t="n"/>
      <c r="O203" s="72" t="n"/>
      <c r="P203" s="72" t="n"/>
      <c r="W203" s="71" t="n"/>
    </row>
    <row r="204" ht="20.25" customHeight="1">
      <c r="A204" s="71" t="n"/>
      <c r="B204" s="71" t="n"/>
      <c r="C204" s="72" t="n"/>
      <c r="G204" s="72" t="n"/>
      <c r="H204" s="72" t="n"/>
      <c r="I204" s="72" t="n"/>
      <c r="J204" s="72" t="n"/>
      <c r="K204" s="72" t="n"/>
      <c r="L204" s="72" t="n"/>
      <c r="M204" s="72" t="n"/>
      <c r="N204" s="72" t="n"/>
      <c r="O204" s="72" t="n"/>
      <c r="P204" s="72" t="n"/>
      <c r="W204" s="71" t="n"/>
    </row>
    <row r="205" ht="20.25" customHeight="1">
      <c r="A205" s="71" t="n"/>
      <c r="B205" s="71" t="n"/>
      <c r="C205" s="72" t="n"/>
      <c r="G205" s="72" t="n"/>
      <c r="H205" s="72" t="n"/>
      <c r="I205" s="72" t="n"/>
      <c r="J205" s="72" t="n"/>
      <c r="K205" s="72" t="n"/>
      <c r="L205" s="72" t="n"/>
      <c r="M205" s="72" t="n"/>
      <c r="N205" s="72" t="n"/>
      <c r="O205" s="72" t="n"/>
      <c r="P205" s="72" t="n"/>
      <c r="W205" s="71" t="n"/>
    </row>
    <row r="206" ht="20.25" customHeight="1">
      <c r="A206" s="71" t="n"/>
      <c r="B206" s="71" t="n"/>
      <c r="C206" s="72" t="n"/>
      <c r="G206" s="72" t="n"/>
      <c r="H206" s="72" t="n"/>
      <c r="I206" s="72" t="n"/>
      <c r="J206" s="72" t="n"/>
      <c r="K206" s="72" t="n"/>
      <c r="L206" s="72" t="n"/>
      <c r="M206" s="72" t="n"/>
      <c r="N206" s="72" t="n"/>
      <c r="O206" s="72" t="n"/>
      <c r="P206" s="72" t="n"/>
      <c r="W206" s="71" t="n"/>
    </row>
    <row r="207" ht="20.25" customHeight="1">
      <c r="A207" s="71" t="n"/>
      <c r="B207" s="71" t="n"/>
      <c r="C207" s="72" t="n"/>
      <c r="G207" s="72" t="n"/>
      <c r="H207" s="72" t="n"/>
      <c r="I207" s="72" t="n"/>
      <c r="J207" s="72" t="n"/>
      <c r="K207" s="72" t="n"/>
      <c r="L207" s="72" t="n"/>
      <c r="M207" s="72" t="n"/>
      <c r="N207" s="72" t="n"/>
      <c r="O207" s="72" t="n"/>
      <c r="P207" s="72" t="n"/>
      <c r="W207" s="71" t="n"/>
    </row>
    <row r="208" ht="20.25" customHeight="1">
      <c r="A208" s="71" t="n"/>
      <c r="B208" s="71" t="n"/>
      <c r="C208" s="72" t="n"/>
      <c r="G208" s="72" t="n"/>
      <c r="H208" s="72" t="n"/>
      <c r="I208" s="72" t="n"/>
      <c r="J208" s="72" t="n"/>
      <c r="K208" s="72" t="n"/>
      <c r="L208" s="72" t="n"/>
      <c r="M208" s="72" t="n"/>
      <c r="N208" s="72" t="n"/>
      <c r="O208" s="72" t="n"/>
      <c r="P208" s="72" t="n"/>
      <c r="W208" s="71" t="n"/>
    </row>
    <row r="209" ht="20.25" customHeight="1">
      <c r="A209" s="71" t="n"/>
      <c r="B209" s="71" t="n"/>
      <c r="C209" s="72" t="n"/>
      <c r="G209" s="72" t="n"/>
      <c r="H209" s="72" t="n"/>
      <c r="I209" s="72" t="n"/>
      <c r="J209" s="72" t="n"/>
      <c r="K209" s="72" t="n"/>
      <c r="L209" s="72" t="n"/>
      <c r="M209" s="72" t="n"/>
      <c r="N209" s="72" t="n"/>
      <c r="O209" s="72" t="n"/>
      <c r="P209" s="72" t="n"/>
      <c r="W209" s="71" t="n"/>
    </row>
    <row r="210" ht="20.25" customHeight="1">
      <c r="A210" s="71" t="n"/>
      <c r="B210" s="71" t="n"/>
      <c r="C210" s="72" t="n"/>
      <c r="G210" s="72" t="n"/>
      <c r="H210" s="72" t="n"/>
      <c r="I210" s="72" t="n"/>
      <c r="J210" s="72" t="n"/>
      <c r="K210" s="72" t="n"/>
      <c r="L210" s="72" t="n"/>
      <c r="M210" s="72" t="n"/>
      <c r="N210" s="72" t="n"/>
      <c r="O210" s="72" t="n"/>
      <c r="P210" s="72" t="n"/>
      <c r="W210" s="71" t="n"/>
    </row>
    <row r="211" ht="20.25" customHeight="1">
      <c r="A211" s="71" t="n"/>
      <c r="B211" s="71" t="n"/>
      <c r="C211" s="72" t="n"/>
      <c r="G211" s="72" t="n"/>
      <c r="H211" s="72" t="n"/>
      <c r="I211" s="72" t="n"/>
      <c r="J211" s="72" t="n"/>
      <c r="K211" s="72" t="n"/>
      <c r="L211" s="72" t="n"/>
      <c r="M211" s="72" t="n"/>
      <c r="N211" s="72" t="n"/>
      <c r="O211" s="72" t="n"/>
      <c r="P211" s="72" t="n"/>
      <c r="W211" s="71" t="n"/>
    </row>
    <row r="212" ht="20.25" customHeight="1">
      <c r="A212" s="71" t="n"/>
      <c r="B212" s="71" t="n"/>
      <c r="C212" s="72" t="n"/>
      <c r="G212" s="72" t="n"/>
      <c r="H212" s="72" t="n"/>
      <c r="I212" s="72" t="n"/>
      <c r="J212" s="72" t="n"/>
      <c r="K212" s="72" t="n"/>
      <c r="L212" s="72" t="n"/>
      <c r="M212" s="72" t="n"/>
      <c r="N212" s="72" t="n"/>
      <c r="O212" s="72" t="n"/>
      <c r="P212" s="72" t="n"/>
      <c r="W212" s="71" t="n"/>
    </row>
    <row r="213" ht="20.25" customHeight="1">
      <c r="A213" s="71" t="n"/>
      <c r="B213" s="71" t="n"/>
      <c r="C213" s="72" t="n"/>
      <c r="G213" s="72" t="n"/>
      <c r="H213" s="72" t="n"/>
      <c r="I213" s="72" t="n"/>
      <c r="J213" s="72" t="n"/>
      <c r="K213" s="72" t="n"/>
      <c r="L213" s="72" t="n"/>
      <c r="M213" s="72" t="n"/>
      <c r="N213" s="72" t="n"/>
      <c r="O213" s="72" t="n"/>
      <c r="P213" s="72" t="n"/>
      <c r="W213" s="71" t="n"/>
    </row>
    <row r="214" ht="20.25" customHeight="1">
      <c r="A214" s="71" t="n"/>
      <c r="B214" s="71" t="n"/>
      <c r="C214" s="72" t="n"/>
      <c r="G214" s="72" t="n"/>
      <c r="H214" s="72" t="n"/>
      <c r="I214" s="72" t="n"/>
      <c r="J214" s="72" t="n"/>
      <c r="K214" s="72" t="n"/>
      <c r="L214" s="72" t="n"/>
      <c r="M214" s="72" t="n"/>
      <c r="N214" s="72" t="n"/>
      <c r="O214" s="72" t="n"/>
      <c r="P214" s="72" t="n"/>
      <c r="W214" s="71" t="n"/>
    </row>
    <row r="215" ht="20.25" customHeight="1">
      <c r="A215" s="71" t="n"/>
      <c r="B215" s="71" t="n"/>
      <c r="C215" s="72" t="n"/>
      <c r="G215" s="72" t="n"/>
      <c r="H215" s="72" t="n"/>
      <c r="I215" s="72" t="n"/>
      <c r="J215" s="72" t="n"/>
      <c r="K215" s="72" t="n"/>
      <c r="L215" s="72" t="n"/>
      <c r="M215" s="72" t="n"/>
      <c r="N215" s="72" t="n"/>
      <c r="O215" s="72" t="n"/>
      <c r="P215" s="72" t="n"/>
      <c r="W215" s="71" t="n"/>
    </row>
    <row r="216" ht="20.25" customHeight="1">
      <c r="A216" s="71" t="n"/>
      <c r="B216" s="71" t="n"/>
      <c r="C216" s="72" t="n"/>
      <c r="G216" s="72" t="n"/>
      <c r="H216" s="72" t="n"/>
      <c r="I216" s="72" t="n"/>
      <c r="J216" s="72" t="n"/>
      <c r="K216" s="72" t="n"/>
      <c r="L216" s="72" t="n"/>
      <c r="M216" s="72" t="n"/>
      <c r="N216" s="72" t="n"/>
      <c r="O216" s="72" t="n"/>
      <c r="P216" s="72" t="n"/>
      <c r="W216" s="71" t="n"/>
    </row>
    <row r="217" ht="20.25" customHeight="1">
      <c r="A217" s="71" t="n"/>
      <c r="B217" s="71" t="n"/>
      <c r="C217" s="72" t="n"/>
      <c r="G217" s="72" t="n"/>
      <c r="H217" s="72" t="n"/>
      <c r="I217" s="72" t="n"/>
      <c r="J217" s="72" t="n"/>
      <c r="K217" s="72" t="n"/>
      <c r="L217" s="72" t="n"/>
      <c r="M217" s="72" t="n"/>
      <c r="N217" s="72" t="n"/>
      <c r="O217" s="72" t="n"/>
      <c r="P217" s="72" t="n"/>
      <c r="W217" s="71" t="n"/>
    </row>
    <row r="218" ht="20.25" customHeight="1">
      <c r="A218" s="71" t="n"/>
      <c r="B218" s="71" t="n"/>
      <c r="C218" s="72" t="n"/>
      <c r="G218" s="72" t="n"/>
      <c r="H218" s="72" t="n"/>
      <c r="I218" s="72" t="n"/>
      <c r="J218" s="72" t="n"/>
      <c r="K218" s="72" t="n"/>
      <c r="L218" s="72" t="n"/>
      <c r="M218" s="72" t="n"/>
      <c r="N218" s="72" t="n"/>
      <c r="O218" s="72" t="n"/>
      <c r="P218" s="72" t="n"/>
      <c r="W218" s="71" t="n"/>
    </row>
    <row r="219" ht="20.25" customHeight="1">
      <c r="A219" s="71" t="n"/>
      <c r="B219" s="71" t="n"/>
      <c r="C219" s="72" t="n"/>
      <c r="G219" s="72" t="n"/>
      <c r="H219" s="72" t="n"/>
      <c r="I219" s="72" t="n"/>
      <c r="J219" s="72" t="n"/>
      <c r="K219" s="72" t="n"/>
      <c r="L219" s="72" t="n"/>
      <c r="M219" s="72" t="n"/>
      <c r="N219" s="72" t="n"/>
      <c r="O219" s="72" t="n"/>
      <c r="P219" s="72" t="n"/>
      <c r="W219" s="71" t="n"/>
    </row>
    <row r="220" ht="20.25" customHeight="1">
      <c r="A220" s="71" t="n"/>
      <c r="B220" s="71" t="n"/>
      <c r="C220" s="72" t="n"/>
      <c r="G220" s="72" t="n"/>
      <c r="H220" s="72" t="n"/>
      <c r="I220" s="72" t="n"/>
      <c r="J220" s="72" t="n"/>
      <c r="K220" s="72" t="n"/>
      <c r="L220" s="72" t="n"/>
      <c r="M220" s="72" t="n"/>
      <c r="N220" s="72" t="n"/>
      <c r="O220" s="72" t="n"/>
      <c r="P220" s="72" t="n"/>
      <c r="W220" s="71" t="n"/>
    </row>
    <row r="221" ht="20.25" customHeight="1">
      <c r="A221" s="71" t="n"/>
      <c r="B221" s="71" t="n"/>
      <c r="C221" s="72" t="n"/>
      <c r="G221" s="72" t="n"/>
      <c r="H221" s="72" t="n"/>
      <c r="I221" s="72" t="n"/>
      <c r="J221" s="72" t="n"/>
      <c r="K221" s="72" t="n"/>
      <c r="L221" s="72" t="n"/>
      <c r="M221" s="72" t="n"/>
      <c r="N221" s="72" t="n"/>
      <c r="O221" s="72" t="n"/>
      <c r="P221" s="72" t="n"/>
      <c r="W221" s="71" t="n"/>
    </row>
    <row r="222" ht="20.25" customHeight="1">
      <c r="A222" s="71" t="n"/>
      <c r="B222" s="71" t="n"/>
      <c r="C222" s="72" t="n"/>
      <c r="G222" s="72" t="n"/>
      <c r="H222" s="72" t="n"/>
      <c r="I222" s="72" t="n"/>
      <c r="J222" s="72" t="n"/>
      <c r="K222" s="72" t="n"/>
      <c r="L222" s="72" t="n"/>
      <c r="M222" s="72" t="n"/>
      <c r="N222" s="72" t="n"/>
      <c r="O222" s="72" t="n"/>
      <c r="P222" s="72" t="n"/>
      <c r="W222" s="71" t="n"/>
    </row>
    <row r="223" ht="20.25" customHeight="1">
      <c r="A223" s="71" t="n"/>
      <c r="B223" s="71" t="n"/>
      <c r="C223" s="72" t="n"/>
      <c r="G223" s="72" t="n"/>
      <c r="H223" s="72" t="n"/>
      <c r="I223" s="72" t="n"/>
      <c r="J223" s="72" t="n"/>
      <c r="K223" s="72" t="n"/>
      <c r="L223" s="72" t="n"/>
      <c r="M223" s="72" t="n"/>
      <c r="N223" s="72" t="n"/>
      <c r="O223" s="72" t="n"/>
      <c r="P223" s="72" t="n"/>
      <c r="W223" s="71" t="n"/>
    </row>
    <row r="224" ht="20.25" customHeight="1">
      <c r="A224" s="71" t="n"/>
      <c r="B224" s="71" t="n"/>
      <c r="C224" s="72" t="n"/>
      <c r="G224" s="72" t="n"/>
      <c r="H224" s="72" t="n"/>
      <c r="I224" s="72" t="n"/>
      <c r="J224" s="72" t="n"/>
      <c r="K224" s="72" t="n"/>
      <c r="L224" s="72" t="n"/>
      <c r="M224" s="72" t="n"/>
      <c r="N224" s="72" t="n"/>
      <c r="O224" s="72" t="n"/>
      <c r="P224" s="72" t="n"/>
      <c r="W224" s="71" t="n"/>
    </row>
    <row r="225" ht="20.25" customHeight="1">
      <c r="A225" s="71" t="n"/>
      <c r="B225" s="71" t="n"/>
      <c r="C225" s="72" t="n"/>
      <c r="G225" s="72" t="n"/>
      <c r="H225" s="72" t="n"/>
      <c r="I225" s="72" t="n"/>
      <c r="J225" s="72" t="n"/>
      <c r="K225" s="72" t="n"/>
      <c r="L225" s="72" t="n"/>
      <c r="M225" s="72" t="n"/>
      <c r="N225" s="72" t="n"/>
      <c r="O225" s="72" t="n"/>
      <c r="P225" s="72" t="n"/>
      <c r="W225" s="71" t="n"/>
    </row>
    <row r="226" ht="20.25" customHeight="1">
      <c r="A226" s="71" t="n"/>
      <c r="B226" s="71" t="n"/>
      <c r="C226" s="72" t="n"/>
      <c r="G226" s="72" t="n"/>
      <c r="H226" s="72" t="n"/>
      <c r="I226" s="72" t="n"/>
      <c r="J226" s="72" t="n"/>
      <c r="K226" s="72" t="n"/>
      <c r="L226" s="72" t="n"/>
      <c r="M226" s="72" t="n"/>
      <c r="N226" s="72" t="n"/>
      <c r="O226" s="72" t="n"/>
      <c r="P226" s="72" t="n"/>
      <c r="W226" s="71" t="n"/>
    </row>
    <row r="227" ht="20.25" customHeight="1">
      <c r="A227" s="71" t="n"/>
      <c r="B227" s="71" t="n"/>
      <c r="C227" s="72" t="n"/>
      <c r="G227" s="72" t="n"/>
      <c r="H227" s="72" t="n"/>
      <c r="I227" s="72" t="n"/>
      <c r="J227" s="72" t="n"/>
      <c r="K227" s="72" t="n"/>
      <c r="L227" s="72" t="n"/>
      <c r="M227" s="72" t="n"/>
      <c r="N227" s="72" t="n"/>
      <c r="O227" s="72" t="n"/>
      <c r="P227" s="72" t="n"/>
      <c r="W227" s="71" t="n"/>
    </row>
    <row r="228" ht="20.25" customHeight="1">
      <c r="A228" s="71" t="n"/>
      <c r="B228" s="71" t="n"/>
      <c r="C228" s="72" t="n"/>
      <c r="G228" s="72" t="n"/>
      <c r="H228" s="72" t="n"/>
      <c r="I228" s="72" t="n"/>
      <c r="J228" s="72" t="n"/>
      <c r="K228" s="72" t="n"/>
      <c r="L228" s="72" t="n"/>
      <c r="M228" s="72" t="n"/>
      <c r="N228" s="72" t="n"/>
      <c r="O228" s="72" t="n"/>
      <c r="P228" s="72" t="n"/>
      <c r="W228" s="71" t="n"/>
    </row>
    <row r="229" ht="20.25" customHeight="1">
      <c r="A229" s="71" t="n"/>
      <c r="B229" s="71" t="n"/>
      <c r="C229" s="72" t="n"/>
      <c r="G229" s="72" t="n"/>
      <c r="H229" s="72" t="n"/>
      <c r="I229" s="72" t="n"/>
      <c r="J229" s="72" t="n"/>
      <c r="K229" s="72" t="n"/>
      <c r="L229" s="72" t="n"/>
      <c r="M229" s="72" t="n"/>
      <c r="N229" s="72" t="n"/>
      <c r="O229" s="72" t="n"/>
      <c r="P229" s="72" t="n"/>
      <c r="W229" s="71" t="n"/>
    </row>
    <row r="230" ht="20.25" customHeight="1">
      <c r="A230" s="71" t="n"/>
      <c r="B230" s="71" t="n"/>
      <c r="C230" s="72" t="n"/>
      <c r="G230" s="72" t="n"/>
      <c r="H230" s="72" t="n"/>
      <c r="I230" s="72" t="n"/>
      <c r="J230" s="72" t="n"/>
      <c r="K230" s="72" t="n"/>
      <c r="L230" s="72" t="n"/>
      <c r="M230" s="72" t="n"/>
      <c r="N230" s="72" t="n"/>
      <c r="O230" s="72" t="n"/>
      <c r="P230" s="72" t="n"/>
      <c r="W230" s="71" t="n"/>
    </row>
    <row r="231" ht="20.25" customHeight="1">
      <c r="A231" s="71" t="n"/>
      <c r="B231" s="71" t="n"/>
      <c r="C231" s="72" t="n"/>
      <c r="G231" s="72" t="n"/>
      <c r="H231" s="72" t="n"/>
      <c r="I231" s="72" t="n"/>
      <c r="J231" s="72" t="n"/>
      <c r="K231" s="72" t="n"/>
      <c r="L231" s="72" t="n"/>
      <c r="M231" s="72" t="n"/>
      <c r="N231" s="72" t="n"/>
      <c r="O231" s="72" t="n"/>
      <c r="P231" s="72" t="n"/>
      <c r="W231" s="71" t="n"/>
    </row>
    <row r="232" ht="20.25" customHeight="1">
      <c r="A232" s="71" t="n"/>
      <c r="B232" s="71" t="n"/>
      <c r="C232" s="72" t="n"/>
      <c r="G232" s="72" t="n"/>
      <c r="H232" s="72" t="n"/>
      <c r="I232" s="72" t="n"/>
      <c r="J232" s="72" t="n"/>
      <c r="K232" s="72" t="n"/>
      <c r="L232" s="72" t="n"/>
      <c r="M232" s="72" t="n"/>
      <c r="N232" s="72" t="n"/>
      <c r="O232" s="72" t="n"/>
      <c r="P232" s="72" t="n"/>
      <c r="W232" s="71" t="n"/>
    </row>
    <row r="233" ht="20.25" customHeight="1">
      <c r="A233" s="71" t="n"/>
      <c r="B233" s="71" t="n"/>
      <c r="C233" s="72" t="n"/>
      <c r="G233" s="72" t="n"/>
      <c r="H233" s="72" t="n"/>
      <c r="I233" s="72" t="n"/>
      <c r="J233" s="72" t="n"/>
      <c r="K233" s="72" t="n"/>
      <c r="L233" s="72" t="n"/>
      <c r="M233" s="72" t="n"/>
      <c r="N233" s="72" t="n"/>
      <c r="O233" s="72" t="n"/>
      <c r="P233" s="72" t="n"/>
      <c r="W233" s="71" t="n"/>
    </row>
    <row r="234" ht="20.25" customHeight="1">
      <c r="A234" s="71" t="n"/>
      <c r="B234" s="71" t="n"/>
      <c r="C234" s="72" t="n"/>
      <c r="G234" s="72" t="n"/>
      <c r="H234" s="72" t="n"/>
      <c r="I234" s="72" t="n"/>
      <c r="J234" s="72" t="n"/>
      <c r="K234" s="72" t="n"/>
      <c r="L234" s="72" t="n"/>
      <c r="M234" s="72" t="n"/>
      <c r="N234" s="72" t="n"/>
      <c r="O234" s="72" t="n"/>
      <c r="P234" s="72" t="n"/>
      <c r="W234" s="71" t="n"/>
    </row>
    <row r="235" ht="20.25" customHeight="1">
      <c r="A235" s="71" t="n"/>
      <c r="B235" s="71" t="n"/>
      <c r="C235" s="72" t="n"/>
      <c r="G235" s="72" t="n"/>
      <c r="H235" s="72" t="n"/>
      <c r="I235" s="72" t="n"/>
      <c r="J235" s="72" t="n"/>
      <c r="K235" s="72" t="n"/>
      <c r="L235" s="72" t="n"/>
      <c r="M235" s="72" t="n"/>
      <c r="N235" s="72" t="n"/>
      <c r="O235" s="72" t="n"/>
      <c r="P235" s="72" t="n"/>
      <c r="W235" s="71" t="n"/>
    </row>
    <row r="236" ht="20.25" customHeight="1">
      <c r="A236" s="71" t="n"/>
      <c r="B236" s="71" t="n"/>
      <c r="C236" s="72" t="n"/>
      <c r="G236" s="72" t="n"/>
      <c r="H236" s="72" t="n"/>
      <c r="I236" s="72" t="n"/>
      <c r="J236" s="72" t="n"/>
      <c r="K236" s="72" t="n"/>
      <c r="L236" s="72" t="n"/>
      <c r="M236" s="72" t="n"/>
      <c r="N236" s="72" t="n"/>
      <c r="O236" s="72" t="n"/>
      <c r="P236" s="72" t="n"/>
      <c r="W236" s="71" t="n"/>
    </row>
    <row r="237" ht="20.25" customHeight="1">
      <c r="A237" s="71" t="n"/>
      <c r="B237" s="71" t="n"/>
      <c r="C237" s="72" t="n"/>
      <c r="G237" s="72" t="n"/>
      <c r="H237" s="72" t="n"/>
      <c r="I237" s="72" t="n"/>
      <c r="J237" s="72" t="n"/>
      <c r="K237" s="72" t="n"/>
      <c r="L237" s="72" t="n"/>
      <c r="M237" s="72" t="n"/>
      <c r="N237" s="72" t="n"/>
      <c r="O237" s="72" t="n"/>
      <c r="P237" s="72" t="n"/>
      <c r="W237" s="71" t="n"/>
    </row>
    <row r="238" ht="20.25" customHeight="1">
      <c r="A238" s="71" t="n"/>
      <c r="B238" s="71" t="n"/>
      <c r="C238" s="72" t="n"/>
      <c r="G238" s="72" t="n"/>
      <c r="H238" s="72" t="n"/>
      <c r="I238" s="72" t="n"/>
      <c r="J238" s="72" t="n"/>
      <c r="K238" s="72" t="n"/>
      <c r="L238" s="72" t="n"/>
      <c r="M238" s="72" t="n"/>
      <c r="N238" s="72" t="n"/>
      <c r="O238" s="72" t="n"/>
      <c r="P238" s="72" t="n"/>
      <c r="W238" s="71" t="n"/>
    </row>
    <row r="239" ht="20.25" customHeight="1">
      <c r="A239" s="71" t="n"/>
      <c r="B239" s="71" t="n"/>
      <c r="C239" s="72" t="n"/>
      <c r="G239" s="72" t="n"/>
      <c r="H239" s="72" t="n"/>
      <c r="I239" s="72" t="n"/>
      <c r="J239" s="72" t="n"/>
      <c r="K239" s="72" t="n"/>
      <c r="L239" s="72" t="n"/>
      <c r="M239" s="72" t="n"/>
      <c r="N239" s="72" t="n"/>
      <c r="O239" s="72" t="n"/>
      <c r="P239" s="72" t="n"/>
      <c r="W239" s="71" t="n"/>
    </row>
    <row r="240" ht="20.25" customHeight="1">
      <c r="A240" s="71" t="n"/>
      <c r="B240" s="71" t="n"/>
      <c r="C240" s="72" t="n"/>
      <c r="G240" s="72" t="n"/>
      <c r="H240" s="72" t="n"/>
      <c r="I240" s="72" t="n"/>
      <c r="J240" s="72" t="n"/>
      <c r="K240" s="72" t="n"/>
      <c r="L240" s="72" t="n"/>
      <c r="M240" s="72" t="n"/>
      <c r="N240" s="72" t="n"/>
      <c r="O240" s="72" t="n"/>
      <c r="P240" s="72" t="n"/>
      <c r="W240" s="71" t="n"/>
    </row>
    <row r="241" ht="20.25" customHeight="1">
      <c r="A241" s="71" t="n"/>
      <c r="B241" s="71" t="n"/>
      <c r="C241" s="72" t="n"/>
      <c r="G241" s="72" t="n"/>
      <c r="H241" s="72" t="n"/>
      <c r="I241" s="72" t="n"/>
      <c r="J241" s="72" t="n"/>
      <c r="K241" s="72" t="n"/>
      <c r="L241" s="72" t="n"/>
      <c r="M241" s="72" t="n"/>
      <c r="N241" s="72" t="n"/>
      <c r="O241" s="72" t="n"/>
      <c r="P241" s="72" t="n"/>
      <c r="W241" s="71" t="n"/>
    </row>
    <row r="242" ht="20.25" customHeight="1">
      <c r="A242" s="71" t="n"/>
      <c r="B242" s="71" t="n"/>
      <c r="C242" s="72" t="n"/>
      <c r="G242" s="72" t="n"/>
      <c r="H242" s="72" t="n"/>
      <c r="I242" s="72" t="n"/>
      <c r="J242" s="72" t="n"/>
      <c r="K242" s="72" t="n"/>
      <c r="L242" s="72" t="n"/>
      <c r="M242" s="72" t="n"/>
      <c r="N242" s="72" t="n"/>
      <c r="O242" s="72" t="n"/>
      <c r="P242" s="72" t="n"/>
      <c r="W242" s="71" t="n"/>
    </row>
    <row r="243" ht="20.25" customHeight="1">
      <c r="A243" s="71" t="n"/>
      <c r="B243" s="71" t="n"/>
      <c r="C243" s="72" t="n"/>
      <c r="G243" s="72" t="n"/>
      <c r="H243" s="72" t="n"/>
      <c r="I243" s="72" t="n"/>
      <c r="J243" s="72" t="n"/>
      <c r="K243" s="72" t="n"/>
      <c r="L243" s="72" t="n"/>
      <c r="M243" s="72" t="n"/>
      <c r="N243" s="72" t="n"/>
      <c r="O243" s="72" t="n"/>
      <c r="P243" s="72" t="n"/>
      <c r="W243" s="71" t="n"/>
    </row>
    <row r="244" ht="20.25" customHeight="1">
      <c r="A244" s="71" t="n"/>
      <c r="B244" s="71" t="n"/>
      <c r="C244" s="72" t="n"/>
      <c r="G244" s="72" t="n"/>
      <c r="H244" s="72" t="n"/>
      <c r="I244" s="72" t="n"/>
      <c r="J244" s="72" t="n"/>
      <c r="K244" s="72" t="n"/>
      <c r="L244" s="72" t="n"/>
      <c r="M244" s="72" t="n"/>
      <c r="N244" s="72" t="n"/>
      <c r="O244" s="72" t="n"/>
      <c r="P244" s="72" t="n"/>
      <c r="W244" s="71" t="n"/>
    </row>
    <row r="245" ht="20.25" customHeight="1">
      <c r="A245" s="71" t="n"/>
      <c r="B245" s="71" t="n"/>
      <c r="C245" s="72" t="n"/>
      <c r="G245" s="72" t="n"/>
      <c r="H245" s="72" t="n"/>
      <c r="I245" s="72" t="n"/>
      <c r="J245" s="72" t="n"/>
      <c r="K245" s="72" t="n"/>
      <c r="L245" s="72" t="n"/>
      <c r="M245" s="72" t="n"/>
      <c r="N245" s="72" t="n"/>
      <c r="O245" s="72" t="n"/>
      <c r="P245" s="72" t="n"/>
      <c r="W245" s="71" t="n"/>
    </row>
    <row r="246" ht="20.25" customHeight="1">
      <c r="A246" s="71" t="n"/>
      <c r="B246" s="71" t="n"/>
      <c r="C246" s="72" t="n"/>
      <c r="G246" s="72" t="n"/>
      <c r="H246" s="72" t="n"/>
      <c r="I246" s="72" t="n"/>
      <c r="J246" s="72" t="n"/>
      <c r="K246" s="72" t="n"/>
      <c r="L246" s="72" t="n"/>
      <c r="M246" s="72" t="n"/>
      <c r="N246" s="72" t="n"/>
      <c r="O246" s="72" t="n"/>
      <c r="P246" s="72" t="n"/>
      <c r="W246" s="71" t="n"/>
    </row>
    <row r="247" ht="20.25" customHeight="1">
      <c r="A247" s="71" t="n"/>
      <c r="B247" s="71" t="n"/>
      <c r="C247" s="72" t="n"/>
      <c r="G247" s="72" t="n"/>
      <c r="H247" s="72" t="n"/>
      <c r="I247" s="72" t="n"/>
      <c r="J247" s="72" t="n"/>
      <c r="K247" s="72" t="n"/>
      <c r="L247" s="72" t="n"/>
      <c r="M247" s="72" t="n"/>
      <c r="N247" s="72" t="n"/>
      <c r="O247" s="72" t="n"/>
      <c r="P247" s="72" t="n"/>
      <c r="W247" s="71" t="n"/>
    </row>
    <row r="248" ht="20.25" customHeight="1">
      <c r="A248" s="71" t="n"/>
      <c r="B248" s="71" t="n"/>
      <c r="C248" s="72" t="n"/>
      <c r="G248" s="72" t="n"/>
      <c r="H248" s="72" t="n"/>
      <c r="I248" s="72" t="n"/>
      <c r="J248" s="72" t="n"/>
      <c r="K248" s="72" t="n"/>
      <c r="L248" s="72" t="n"/>
      <c r="M248" s="72" t="n"/>
      <c r="N248" s="72" t="n"/>
      <c r="O248" s="72" t="n"/>
      <c r="P248" s="72" t="n"/>
      <c r="W248" s="71" t="n"/>
    </row>
    <row r="249" ht="20.25" customHeight="1">
      <c r="A249" s="71" t="n"/>
      <c r="B249" s="71" t="n"/>
      <c r="C249" s="72" t="n"/>
      <c r="G249" s="72" t="n"/>
      <c r="H249" s="72" t="n"/>
      <c r="I249" s="72" t="n"/>
      <c r="J249" s="72" t="n"/>
      <c r="K249" s="72" t="n"/>
      <c r="L249" s="72" t="n"/>
      <c r="M249" s="72" t="n"/>
      <c r="N249" s="72" t="n"/>
      <c r="O249" s="72" t="n"/>
      <c r="P249" s="72" t="n"/>
      <c r="W249" s="71" t="n"/>
    </row>
    <row r="250" ht="20.25" customHeight="1">
      <c r="A250" s="71" t="n"/>
      <c r="B250" s="71" t="n"/>
      <c r="C250" s="72" t="n"/>
      <c r="G250" s="72" t="n"/>
      <c r="H250" s="72" t="n"/>
      <c r="I250" s="72" t="n"/>
      <c r="J250" s="72" t="n"/>
      <c r="K250" s="72" t="n"/>
      <c r="L250" s="72" t="n"/>
      <c r="M250" s="72" t="n"/>
      <c r="N250" s="72" t="n"/>
      <c r="O250" s="72" t="n"/>
      <c r="P250" s="72" t="n"/>
      <c r="W250" s="71" t="n"/>
    </row>
    <row r="251" ht="20.25" customHeight="1">
      <c r="A251" s="71" t="n"/>
      <c r="B251" s="71" t="n"/>
      <c r="C251" s="72" t="n"/>
      <c r="G251" s="72" t="n"/>
      <c r="H251" s="72" t="n"/>
      <c r="I251" s="72" t="n"/>
      <c r="J251" s="72" t="n"/>
      <c r="K251" s="72" t="n"/>
      <c r="L251" s="72" t="n"/>
      <c r="M251" s="72" t="n"/>
      <c r="N251" s="72" t="n"/>
      <c r="O251" s="72" t="n"/>
      <c r="P251" s="72" t="n"/>
      <c r="W251" s="71" t="n"/>
    </row>
    <row r="252" ht="20.25" customHeight="1">
      <c r="A252" s="71" t="n"/>
      <c r="B252" s="71" t="n"/>
      <c r="C252" s="72" t="n"/>
      <c r="G252" s="72" t="n"/>
      <c r="H252" s="72" t="n"/>
      <c r="I252" s="72" t="n"/>
      <c r="J252" s="72" t="n"/>
      <c r="K252" s="72" t="n"/>
      <c r="L252" s="72" t="n"/>
      <c r="M252" s="72" t="n"/>
      <c r="N252" s="72" t="n"/>
      <c r="O252" s="72" t="n"/>
      <c r="P252" s="72" t="n"/>
      <c r="W252" s="71" t="n"/>
    </row>
    <row r="253" ht="20.25" customHeight="1">
      <c r="A253" s="71" t="n"/>
      <c r="B253" s="71" t="n"/>
      <c r="C253" s="72" t="n"/>
      <c r="G253" s="72" t="n"/>
      <c r="H253" s="72" t="n"/>
      <c r="I253" s="72" t="n"/>
      <c r="J253" s="72" t="n"/>
      <c r="K253" s="72" t="n"/>
      <c r="L253" s="72" t="n"/>
      <c r="M253" s="72" t="n"/>
      <c r="N253" s="72" t="n"/>
      <c r="O253" s="72" t="n"/>
      <c r="P253" s="72" t="n"/>
      <c r="W253" s="71" t="n"/>
    </row>
    <row r="254" ht="20.25" customHeight="1">
      <c r="A254" s="71" t="n"/>
      <c r="B254" s="71" t="n"/>
      <c r="C254" s="72" t="n"/>
      <c r="G254" s="72" t="n"/>
      <c r="H254" s="72" t="n"/>
      <c r="I254" s="72" t="n"/>
      <c r="J254" s="72" t="n"/>
      <c r="K254" s="72" t="n"/>
      <c r="L254" s="72" t="n"/>
      <c r="M254" s="72" t="n"/>
      <c r="N254" s="72" t="n"/>
      <c r="O254" s="72" t="n"/>
      <c r="P254" s="72" t="n"/>
      <c r="W254" s="71" t="n"/>
    </row>
    <row r="255" ht="20.25" customHeight="1">
      <c r="A255" s="71" t="n"/>
      <c r="B255" s="71" t="n"/>
      <c r="C255" s="72" t="n"/>
      <c r="G255" s="72" t="n"/>
      <c r="H255" s="72" t="n"/>
      <c r="I255" s="72" t="n"/>
      <c r="J255" s="72" t="n"/>
      <c r="K255" s="72" t="n"/>
      <c r="L255" s="72" t="n"/>
      <c r="M255" s="72" t="n"/>
      <c r="N255" s="72" t="n"/>
      <c r="O255" s="72" t="n"/>
      <c r="P255" s="72" t="n"/>
      <c r="W255" s="71" t="n"/>
    </row>
    <row r="256" ht="20.25" customHeight="1">
      <c r="A256" s="71" t="n"/>
      <c r="B256" s="71" t="n"/>
      <c r="C256" s="72" t="n"/>
      <c r="G256" s="72" t="n"/>
      <c r="H256" s="72" t="n"/>
      <c r="I256" s="72" t="n"/>
      <c r="J256" s="72" t="n"/>
      <c r="K256" s="72" t="n"/>
      <c r="L256" s="72" t="n"/>
      <c r="M256" s="72" t="n"/>
      <c r="N256" s="72" t="n"/>
      <c r="O256" s="72" t="n"/>
      <c r="P256" s="72" t="n"/>
      <c r="W256" s="71" t="n"/>
    </row>
    <row r="257" ht="20.25" customHeight="1">
      <c r="A257" s="71" t="n"/>
      <c r="B257" s="71" t="n"/>
      <c r="C257" s="72" t="n"/>
      <c r="G257" s="72" t="n"/>
      <c r="H257" s="72" t="n"/>
      <c r="I257" s="72" t="n"/>
      <c r="J257" s="72" t="n"/>
      <c r="K257" s="72" t="n"/>
      <c r="L257" s="72" t="n"/>
      <c r="M257" s="72" t="n"/>
      <c r="N257" s="72" t="n"/>
      <c r="O257" s="72" t="n"/>
      <c r="P257" s="72" t="n"/>
      <c r="W257" s="71" t="n"/>
    </row>
    <row r="258" ht="20.25" customHeight="1">
      <c r="A258" s="71" t="n"/>
      <c r="B258" s="71" t="n"/>
      <c r="C258" s="72" t="n"/>
      <c r="G258" s="72" t="n"/>
      <c r="H258" s="72" t="n"/>
      <c r="I258" s="72" t="n"/>
      <c r="J258" s="72" t="n"/>
      <c r="K258" s="72" t="n"/>
      <c r="L258" s="72" t="n"/>
      <c r="M258" s="72" t="n"/>
      <c r="N258" s="72" t="n"/>
      <c r="O258" s="72" t="n"/>
      <c r="P258" s="72" t="n"/>
      <c r="W258" s="71" t="n"/>
    </row>
    <row r="259" ht="20.25" customHeight="1">
      <c r="A259" s="71" t="n"/>
      <c r="B259" s="71" t="n"/>
      <c r="C259" s="72" t="n"/>
      <c r="G259" s="72" t="n"/>
      <c r="H259" s="72" t="n"/>
      <c r="I259" s="72" t="n"/>
      <c r="J259" s="72" t="n"/>
      <c r="K259" s="72" t="n"/>
      <c r="L259" s="72" t="n"/>
      <c r="M259" s="72" t="n"/>
      <c r="N259" s="72" t="n"/>
      <c r="O259" s="72" t="n"/>
      <c r="P259" s="72" t="n"/>
      <c r="W259" s="71" t="n"/>
    </row>
    <row r="260" ht="20.25" customHeight="1">
      <c r="A260" s="71" t="n"/>
      <c r="B260" s="71" t="n"/>
      <c r="C260" s="72" t="n"/>
      <c r="G260" s="72" t="n"/>
      <c r="H260" s="72" t="n"/>
      <c r="I260" s="72" t="n"/>
      <c r="J260" s="72" t="n"/>
      <c r="K260" s="72" t="n"/>
      <c r="L260" s="72" t="n"/>
      <c r="M260" s="72" t="n"/>
      <c r="N260" s="72" t="n"/>
      <c r="O260" s="72" t="n"/>
      <c r="P260" s="72" t="n"/>
      <c r="W260" s="71" t="n"/>
    </row>
    <row r="261" ht="20.25" customHeight="1">
      <c r="A261" s="71" t="n"/>
      <c r="B261" s="71" t="n"/>
      <c r="C261" s="72" t="n"/>
      <c r="G261" s="72" t="n"/>
      <c r="H261" s="72" t="n"/>
      <c r="I261" s="72" t="n"/>
      <c r="J261" s="72" t="n"/>
      <c r="K261" s="72" t="n"/>
      <c r="L261" s="72" t="n"/>
      <c r="M261" s="72" t="n"/>
      <c r="N261" s="72" t="n"/>
      <c r="O261" s="72" t="n"/>
      <c r="P261" s="72" t="n"/>
      <c r="W261" s="71" t="n"/>
    </row>
    <row r="262" ht="20.25" customHeight="1">
      <c r="A262" s="71" t="n"/>
      <c r="B262" s="71" t="n"/>
      <c r="C262" s="72" t="n"/>
      <c r="G262" s="72" t="n"/>
      <c r="H262" s="72" t="n"/>
      <c r="I262" s="72" t="n"/>
      <c r="J262" s="72" t="n"/>
      <c r="K262" s="72" t="n"/>
      <c r="L262" s="72" t="n"/>
      <c r="M262" s="72" t="n"/>
      <c r="N262" s="72" t="n"/>
      <c r="O262" s="72" t="n"/>
      <c r="P262" s="72" t="n"/>
      <c r="W262" s="71" t="n"/>
    </row>
    <row r="263" ht="20.25" customHeight="1">
      <c r="A263" s="71" t="n"/>
      <c r="B263" s="71" t="n"/>
      <c r="C263" s="72" t="n"/>
      <c r="G263" s="72" t="n"/>
      <c r="H263" s="72" t="n"/>
      <c r="I263" s="72" t="n"/>
      <c r="J263" s="72" t="n"/>
      <c r="K263" s="72" t="n"/>
      <c r="L263" s="72" t="n"/>
      <c r="M263" s="72" t="n"/>
      <c r="N263" s="72" t="n"/>
      <c r="O263" s="72" t="n"/>
      <c r="P263" s="72" t="n"/>
      <c r="W263" s="71" t="n"/>
    </row>
    <row r="264" ht="20.25" customHeight="1">
      <c r="A264" s="71" t="n"/>
      <c r="B264" s="71" t="n"/>
      <c r="C264" s="72" t="n"/>
      <c r="G264" s="72" t="n"/>
      <c r="H264" s="72" t="n"/>
      <c r="I264" s="72" t="n"/>
      <c r="J264" s="72" t="n"/>
      <c r="K264" s="72" t="n"/>
      <c r="L264" s="72" t="n"/>
      <c r="M264" s="72" t="n"/>
      <c r="N264" s="72" t="n"/>
      <c r="O264" s="72" t="n"/>
      <c r="P264" s="72" t="n"/>
      <c r="W264" s="71" t="n"/>
    </row>
    <row r="265" ht="20.25" customHeight="1">
      <c r="A265" s="71" t="n"/>
      <c r="B265" s="71" t="n"/>
      <c r="C265" s="72" t="n"/>
      <c r="G265" s="72" t="n"/>
      <c r="H265" s="72" t="n"/>
      <c r="I265" s="72" t="n"/>
      <c r="J265" s="72" t="n"/>
      <c r="K265" s="72" t="n"/>
      <c r="L265" s="72" t="n"/>
      <c r="M265" s="72" t="n"/>
      <c r="N265" s="72" t="n"/>
      <c r="O265" s="72" t="n"/>
      <c r="P265" s="72" t="n"/>
      <c r="W265" s="71" t="n"/>
    </row>
    <row r="266" ht="20.25" customHeight="1">
      <c r="A266" s="71" t="n"/>
      <c r="B266" s="71" t="n"/>
      <c r="C266" s="72" t="n"/>
      <c r="G266" s="72" t="n"/>
      <c r="H266" s="72" t="n"/>
      <c r="I266" s="72" t="n"/>
      <c r="J266" s="72" t="n"/>
      <c r="K266" s="72" t="n"/>
      <c r="L266" s="72" t="n"/>
      <c r="M266" s="72" t="n"/>
      <c r="N266" s="72" t="n"/>
      <c r="O266" s="72" t="n"/>
      <c r="P266" s="72" t="n"/>
      <c r="W266" s="71" t="n"/>
    </row>
    <row r="267" ht="20.25" customHeight="1">
      <c r="A267" s="71" t="n"/>
      <c r="B267" s="71" t="n"/>
      <c r="C267" s="72" t="n"/>
      <c r="G267" s="72" t="n"/>
      <c r="H267" s="72" t="n"/>
      <c r="I267" s="72" t="n"/>
      <c r="J267" s="72" t="n"/>
      <c r="K267" s="72" t="n"/>
      <c r="L267" s="72" t="n"/>
      <c r="M267" s="72" t="n"/>
      <c r="N267" s="72" t="n"/>
      <c r="O267" s="72" t="n"/>
      <c r="P267" s="72" t="n"/>
      <c r="W267" s="71" t="n"/>
    </row>
    <row r="268" ht="20.25" customHeight="1">
      <c r="A268" s="71" t="n"/>
      <c r="B268" s="71" t="n"/>
      <c r="C268" s="72" t="n"/>
      <c r="G268" s="72" t="n"/>
      <c r="H268" s="72" t="n"/>
      <c r="I268" s="72" t="n"/>
      <c r="J268" s="72" t="n"/>
      <c r="K268" s="72" t="n"/>
      <c r="L268" s="72" t="n"/>
      <c r="M268" s="72" t="n"/>
      <c r="N268" s="72" t="n"/>
      <c r="O268" s="72" t="n"/>
      <c r="P268" s="72" t="n"/>
      <c r="W268" s="71" t="n"/>
    </row>
    <row r="269" ht="20.25" customHeight="1">
      <c r="A269" s="71" t="n"/>
      <c r="B269" s="71" t="n"/>
      <c r="C269" s="72" t="n"/>
      <c r="G269" s="72" t="n"/>
      <c r="H269" s="72" t="n"/>
      <c r="I269" s="72" t="n"/>
      <c r="J269" s="72" t="n"/>
      <c r="K269" s="72" t="n"/>
      <c r="L269" s="72" t="n"/>
      <c r="M269" s="72" t="n"/>
      <c r="N269" s="72" t="n"/>
      <c r="O269" s="72" t="n"/>
      <c r="P269" s="72" t="n"/>
      <c r="W269" s="71" t="n"/>
    </row>
    <row r="270" ht="20.25" customHeight="1">
      <c r="A270" s="71" t="n"/>
      <c r="B270" s="71" t="n"/>
      <c r="C270" s="72" t="n"/>
      <c r="G270" s="72" t="n"/>
      <c r="H270" s="72" t="n"/>
      <c r="I270" s="72" t="n"/>
      <c r="J270" s="72" t="n"/>
      <c r="K270" s="72" t="n"/>
      <c r="L270" s="72" t="n"/>
      <c r="M270" s="72" t="n"/>
      <c r="N270" s="72" t="n"/>
      <c r="O270" s="72" t="n"/>
      <c r="P270" s="72" t="n"/>
      <c r="W270" s="71" t="n"/>
    </row>
    <row r="271" ht="20.25" customHeight="1">
      <c r="A271" s="71" t="n"/>
      <c r="B271" s="71" t="n"/>
      <c r="C271" s="72" t="n"/>
      <c r="G271" s="72" t="n"/>
      <c r="H271" s="72" t="n"/>
      <c r="I271" s="72" t="n"/>
      <c r="J271" s="72" t="n"/>
      <c r="K271" s="72" t="n"/>
      <c r="L271" s="72" t="n"/>
      <c r="M271" s="72" t="n"/>
      <c r="N271" s="72" t="n"/>
      <c r="O271" s="72" t="n"/>
      <c r="P271" s="72" t="n"/>
      <c r="W271" s="71" t="n"/>
    </row>
    <row r="272" ht="20.25" customHeight="1">
      <c r="A272" s="71" t="n"/>
      <c r="B272" s="71" t="n"/>
      <c r="C272" s="72" t="n"/>
      <c r="G272" s="72" t="n"/>
      <c r="H272" s="72" t="n"/>
      <c r="I272" s="72" t="n"/>
      <c r="J272" s="72" t="n"/>
      <c r="K272" s="72" t="n"/>
      <c r="L272" s="72" t="n"/>
      <c r="M272" s="72" t="n"/>
      <c r="N272" s="72" t="n"/>
      <c r="O272" s="72" t="n"/>
      <c r="P272" s="72" t="n"/>
      <c r="W272" s="71" t="n"/>
    </row>
    <row r="273" ht="20.25" customHeight="1">
      <c r="A273" s="71" t="n"/>
      <c r="B273" s="71" t="n"/>
      <c r="C273" s="72" t="n"/>
      <c r="G273" s="72" t="n"/>
      <c r="H273" s="72" t="n"/>
      <c r="I273" s="72" t="n"/>
      <c r="J273" s="72" t="n"/>
      <c r="K273" s="72" t="n"/>
      <c r="L273" s="72" t="n"/>
      <c r="M273" s="72" t="n"/>
      <c r="N273" s="72" t="n"/>
      <c r="O273" s="72" t="n"/>
      <c r="P273" s="72" t="n"/>
      <c r="W273" s="71" t="n"/>
    </row>
    <row r="274" ht="20.25" customHeight="1">
      <c r="A274" s="71" t="n"/>
      <c r="B274" s="71" t="n"/>
      <c r="C274" s="72" t="n"/>
      <c r="G274" s="72" t="n"/>
      <c r="H274" s="72" t="n"/>
      <c r="I274" s="72" t="n"/>
      <c r="J274" s="72" t="n"/>
      <c r="K274" s="72" t="n"/>
      <c r="L274" s="72" t="n"/>
      <c r="M274" s="72" t="n"/>
      <c r="N274" s="72" t="n"/>
      <c r="O274" s="72" t="n"/>
      <c r="P274" s="72" t="n"/>
      <c r="W274" s="71" t="n"/>
    </row>
    <row r="275" ht="20.25" customHeight="1">
      <c r="A275" s="71" t="n"/>
      <c r="B275" s="71" t="n"/>
      <c r="C275" s="72" t="n"/>
      <c r="G275" s="72" t="n"/>
      <c r="H275" s="72" t="n"/>
      <c r="I275" s="72" t="n"/>
      <c r="J275" s="72" t="n"/>
      <c r="K275" s="72" t="n"/>
      <c r="L275" s="72" t="n"/>
      <c r="M275" s="72" t="n"/>
      <c r="N275" s="72" t="n"/>
      <c r="O275" s="72" t="n"/>
      <c r="P275" s="72" t="n"/>
      <c r="W275" s="71" t="n"/>
    </row>
    <row r="276" ht="20.25" customHeight="1">
      <c r="A276" s="71" t="n"/>
      <c r="B276" s="71" t="n"/>
      <c r="C276" s="72" t="n"/>
      <c r="G276" s="72" t="n"/>
      <c r="H276" s="72" t="n"/>
      <c r="I276" s="72" t="n"/>
      <c r="J276" s="72" t="n"/>
      <c r="K276" s="72" t="n"/>
      <c r="L276" s="72" t="n"/>
      <c r="M276" s="72" t="n"/>
      <c r="N276" s="72" t="n"/>
      <c r="O276" s="72" t="n"/>
      <c r="P276" s="72" t="n"/>
      <c r="W276" s="71" t="n"/>
    </row>
    <row r="277" ht="20.25" customHeight="1">
      <c r="A277" s="71" t="n"/>
      <c r="B277" s="71" t="n"/>
      <c r="C277" s="72" t="n"/>
      <c r="G277" s="72" t="n"/>
      <c r="H277" s="72" t="n"/>
      <c r="I277" s="72" t="n"/>
      <c r="J277" s="72" t="n"/>
      <c r="K277" s="72" t="n"/>
      <c r="L277" s="72" t="n"/>
      <c r="M277" s="72" t="n"/>
      <c r="N277" s="72" t="n"/>
      <c r="O277" s="72" t="n"/>
      <c r="P277" s="72" t="n"/>
      <c r="W277" s="71" t="n"/>
    </row>
    <row r="278" ht="20.25" customHeight="1">
      <c r="A278" s="71" t="n"/>
      <c r="B278" s="71" t="n"/>
      <c r="C278" s="72" t="n"/>
      <c r="G278" s="72" t="n"/>
      <c r="H278" s="72" t="n"/>
      <c r="I278" s="72" t="n"/>
      <c r="J278" s="72" t="n"/>
      <c r="K278" s="72" t="n"/>
      <c r="L278" s="72" t="n"/>
      <c r="M278" s="72" t="n"/>
      <c r="N278" s="72" t="n"/>
      <c r="O278" s="72" t="n"/>
      <c r="P278" s="72" t="n"/>
      <c r="W278" s="71" t="n"/>
    </row>
    <row r="279" ht="20.25" customHeight="1">
      <c r="A279" s="71" t="n"/>
      <c r="B279" s="71" t="n"/>
      <c r="C279" s="72" t="n"/>
      <c r="G279" s="72" t="n"/>
      <c r="H279" s="72" t="n"/>
      <c r="I279" s="72" t="n"/>
      <c r="J279" s="72" t="n"/>
      <c r="K279" s="72" t="n"/>
      <c r="L279" s="72" t="n"/>
      <c r="M279" s="72" t="n"/>
      <c r="N279" s="72" t="n"/>
      <c r="O279" s="72" t="n"/>
      <c r="P279" s="72" t="n"/>
      <c r="W279" s="71" t="n"/>
    </row>
    <row r="280" ht="20.25" customHeight="1">
      <c r="A280" s="71" t="n"/>
      <c r="B280" s="71" t="n"/>
      <c r="C280" s="72" t="n"/>
      <c r="G280" s="72" t="n"/>
      <c r="H280" s="72" t="n"/>
      <c r="I280" s="72" t="n"/>
      <c r="J280" s="72" t="n"/>
      <c r="K280" s="72" t="n"/>
      <c r="L280" s="72" t="n"/>
      <c r="M280" s="72" t="n"/>
      <c r="N280" s="72" t="n"/>
      <c r="O280" s="72" t="n"/>
      <c r="P280" s="72" t="n"/>
      <c r="W280" s="71" t="n"/>
    </row>
    <row r="281" ht="20.25" customHeight="1">
      <c r="A281" s="71" t="n"/>
      <c r="B281" s="71" t="n"/>
      <c r="C281" s="72" t="n"/>
      <c r="G281" s="72" t="n"/>
      <c r="H281" s="72" t="n"/>
      <c r="I281" s="72" t="n"/>
      <c r="J281" s="72" t="n"/>
      <c r="K281" s="72" t="n"/>
      <c r="L281" s="72" t="n"/>
      <c r="M281" s="72" t="n"/>
      <c r="N281" s="72" t="n"/>
      <c r="O281" s="72" t="n"/>
      <c r="P281" s="72" t="n"/>
      <c r="W281" s="71" t="n"/>
    </row>
    <row r="282" ht="20.25" customHeight="1">
      <c r="A282" s="71" t="n"/>
      <c r="B282" s="71" t="n"/>
      <c r="C282" s="72" t="n"/>
      <c r="G282" s="72" t="n"/>
      <c r="H282" s="72" t="n"/>
      <c r="I282" s="72" t="n"/>
      <c r="J282" s="72" t="n"/>
      <c r="K282" s="72" t="n"/>
      <c r="L282" s="72" t="n"/>
      <c r="M282" s="72" t="n"/>
      <c r="N282" s="72" t="n"/>
      <c r="O282" s="72" t="n"/>
      <c r="P282" s="72" t="n"/>
      <c r="W282" s="71" t="n"/>
    </row>
    <row r="283" ht="20.25" customHeight="1">
      <c r="A283" s="71" t="n"/>
      <c r="B283" s="71" t="n"/>
      <c r="C283" s="72" t="n"/>
      <c r="G283" s="72" t="n"/>
      <c r="H283" s="72" t="n"/>
      <c r="I283" s="72" t="n"/>
      <c r="J283" s="72" t="n"/>
      <c r="K283" s="72" t="n"/>
      <c r="L283" s="72" t="n"/>
      <c r="M283" s="72" t="n"/>
      <c r="N283" s="72" t="n"/>
      <c r="O283" s="72" t="n"/>
      <c r="P283" s="72" t="n"/>
      <c r="W283" s="71" t="n"/>
    </row>
    <row r="284" ht="20.25" customHeight="1">
      <c r="A284" s="71" t="n"/>
      <c r="B284" s="71" t="n"/>
      <c r="C284" s="72" t="n"/>
      <c r="G284" s="72" t="n"/>
      <c r="H284" s="72" t="n"/>
      <c r="I284" s="72" t="n"/>
      <c r="J284" s="72" t="n"/>
      <c r="K284" s="72" t="n"/>
      <c r="L284" s="72" t="n"/>
      <c r="M284" s="72" t="n"/>
      <c r="N284" s="72" t="n"/>
      <c r="O284" s="72" t="n"/>
      <c r="P284" s="72" t="n"/>
      <c r="W284" s="71" t="n"/>
    </row>
    <row r="285" ht="20.25" customHeight="1">
      <c r="A285" s="71" t="n"/>
      <c r="B285" s="71" t="n"/>
      <c r="C285" s="72" t="n"/>
      <c r="G285" s="72" t="n"/>
      <c r="H285" s="72" t="n"/>
      <c r="I285" s="72" t="n"/>
      <c r="J285" s="72" t="n"/>
      <c r="K285" s="72" t="n"/>
      <c r="L285" s="72" t="n"/>
      <c r="M285" s="72" t="n"/>
      <c r="N285" s="72" t="n"/>
      <c r="O285" s="72" t="n"/>
      <c r="P285" s="72" t="n"/>
      <c r="W285" s="71" t="n"/>
    </row>
    <row r="286" ht="20.25" customHeight="1">
      <c r="A286" s="71" t="n"/>
      <c r="B286" s="71" t="n"/>
      <c r="C286" s="72" t="n"/>
      <c r="G286" s="72" t="n"/>
      <c r="H286" s="72" t="n"/>
      <c r="I286" s="72" t="n"/>
      <c r="J286" s="72" t="n"/>
      <c r="K286" s="72" t="n"/>
      <c r="L286" s="72" t="n"/>
      <c r="M286" s="72" t="n"/>
      <c r="N286" s="72" t="n"/>
      <c r="O286" s="72" t="n"/>
      <c r="P286" s="72" t="n"/>
      <c r="W286" s="71" t="n"/>
    </row>
    <row r="287" ht="20.25" customHeight="1">
      <c r="A287" s="71" t="n"/>
      <c r="B287" s="71" t="n"/>
      <c r="C287" s="72" t="n"/>
      <c r="G287" s="72" t="n"/>
      <c r="H287" s="72" t="n"/>
      <c r="I287" s="72" t="n"/>
      <c r="J287" s="72" t="n"/>
      <c r="K287" s="72" t="n"/>
      <c r="L287" s="72" t="n"/>
      <c r="M287" s="72" t="n"/>
      <c r="N287" s="72" t="n"/>
      <c r="O287" s="72" t="n"/>
      <c r="P287" s="72" t="n"/>
      <c r="W287" s="71" t="n"/>
    </row>
    <row r="288" ht="20.25" customHeight="1">
      <c r="A288" s="71" t="n"/>
      <c r="B288" s="71" t="n"/>
      <c r="C288" s="72" t="n"/>
      <c r="G288" s="72" t="n"/>
      <c r="H288" s="72" t="n"/>
      <c r="I288" s="72" t="n"/>
      <c r="J288" s="72" t="n"/>
      <c r="K288" s="72" t="n"/>
      <c r="L288" s="72" t="n"/>
      <c r="M288" s="72" t="n"/>
      <c r="N288" s="72" t="n"/>
      <c r="O288" s="72" t="n"/>
      <c r="P288" s="72" t="n"/>
      <c r="W288" s="71" t="n"/>
    </row>
    <row r="289" ht="20.25" customHeight="1">
      <c r="A289" s="71" t="n"/>
      <c r="B289" s="71" t="n"/>
      <c r="C289" s="72" t="n"/>
      <c r="G289" s="72" t="n"/>
      <c r="H289" s="72" t="n"/>
      <c r="I289" s="72" t="n"/>
      <c r="J289" s="72" t="n"/>
      <c r="K289" s="72" t="n"/>
      <c r="L289" s="72" t="n"/>
      <c r="M289" s="72" t="n"/>
      <c r="N289" s="72" t="n"/>
      <c r="O289" s="72" t="n"/>
      <c r="P289" s="72" t="n"/>
      <c r="W289" s="71" t="n"/>
    </row>
    <row r="290" ht="20.25" customHeight="1">
      <c r="A290" s="71" t="n"/>
      <c r="B290" s="71" t="n"/>
      <c r="C290" s="72" t="n"/>
      <c r="G290" s="72" t="n"/>
      <c r="H290" s="72" t="n"/>
      <c r="I290" s="72" t="n"/>
      <c r="J290" s="72" t="n"/>
      <c r="K290" s="72" t="n"/>
      <c r="L290" s="72" t="n"/>
      <c r="M290" s="72" t="n"/>
      <c r="N290" s="72" t="n"/>
      <c r="O290" s="72" t="n"/>
      <c r="P290" s="72" t="n"/>
      <c r="W290" s="71" t="n"/>
    </row>
    <row r="291" ht="20.25" customHeight="1">
      <c r="A291" s="71" t="n"/>
      <c r="B291" s="71" t="n"/>
      <c r="C291" s="72" t="n"/>
      <c r="G291" s="72" t="n"/>
      <c r="H291" s="72" t="n"/>
      <c r="I291" s="72" t="n"/>
      <c r="J291" s="72" t="n"/>
      <c r="K291" s="72" t="n"/>
      <c r="L291" s="72" t="n"/>
      <c r="M291" s="72" t="n"/>
      <c r="N291" s="72" t="n"/>
      <c r="O291" s="72" t="n"/>
      <c r="P291" s="72" t="n"/>
      <c r="W291" s="71" t="n"/>
    </row>
    <row r="292" ht="20.25" customHeight="1">
      <c r="A292" s="71" t="n"/>
      <c r="B292" s="71" t="n"/>
      <c r="C292" s="72" t="n"/>
      <c r="G292" s="72" t="n"/>
      <c r="H292" s="72" t="n"/>
      <c r="I292" s="72" t="n"/>
      <c r="J292" s="72" t="n"/>
      <c r="K292" s="72" t="n"/>
      <c r="L292" s="72" t="n"/>
      <c r="M292" s="72" t="n"/>
      <c r="N292" s="72" t="n"/>
      <c r="O292" s="72" t="n"/>
      <c r="P292" s="72" t="n"/>
      <c r="W292" s="71" t="n"/>
    </row>
    <row r="293" ht="20.25" customHeight="1">
      <c r="A293" s="71" t="n"/>
      <c r="B293" s="71" t="n"/>
      <c r="C293" s="72" t="n"/>
      <c r="G293" s="72" t="n"/>
      <c r="H293" s="72" t="n"/>
      <c r="I293" s="72" t="n"/>
      <c r="J293" s="72" t="n"/>
      <c r="K293" s="72" t="n"/>
      <c r="L293" s="72" t="n"/>
      <c r="M293" s="72" t="n"/>
      <c r="N293" s="72" t="n"/>
      <c r="O293" s="72" t="n"/>
      <c r="P293" s="72" t="n"/>
      <c r="W293" s="71" t="n"/>
    </row>
    <row r="294" ht="20.25" customHeight="1">
      <c r="A294" s="71" t="n"/>
      <c r="B294" s="71" t="n"/>
      <c r="C294" s="72" t="n"/>
      <c r="G294" s="72" t="n"/>
      <c r="H294" s="72" t="n"/>
      <c r="I294" s="72" t="n"/>
      <c r="J294" s="72" t="n"/>
      <c r="K294" s="72" t="n"/>
      <c r="L294" s="72" t="n"/>
      <c r="M294" s="72" t="n"/>
      <c r="N294" s="72" t="n"/>
      <c r="O294" s="72" t="n"/>
      <c r="P294" s="72" t="n"/>
      <c r="W294" s="71" t="n"/>
    </row>
    <row r="295" ht="20.25" customHeight="1">
      <c r="A295" s="71" t="n"/>
      <c r="B295" s="71" t="n"/>
      <c r="C295" s="72" t="n"/>
      <c r="G295" s="72" t="n"/>
      <c r="H295" s="72" t="n"/>
      <c r="I295" s="72" t="n"/>
      <c r="J295" s="72" t="n"/>
      <c r="K295" s="72" t="n"/>
      <c r="L295" s="72" t="n"/>
      <c r="M295" s="72" t="n"/>
      <c r="N295" s="72" t="n"/>
      <c r="O295" s="72" t="n"/>
      <c r="P295" s="72" t="n"/>
      <c r="W295" s="71" t="n"/>
    </row>
    <row r="296" ht="20.25" customHeight="1">
      <c r="A296" s="71" t="n"/>
      <c r="B296" s="71" t="n"/>
      <c r="C296" s="72" t="n"/>
      <c r="G296" s="72" t="n"/>
      <c r="H296" s="72" t="n"/>
      <c r="I296" s="72" t="n"/>
      <c r="J296" s="72" t="n"/>
      <c r="K296" s="72" t="n"/>
      <c r="L296" s="72" t="n"/>
      <c r="M296" s="72" t="n"/>
      <c r="N296" s="72" t="n"/>
      <c r="O296" s="72" t="n"/>
      <c r="P296" s="72" t="n"/>
      <c r="W296" s="71" t="n"/>
    </row>
    <row r="297" ht="20.25" customHeight="1">
      <c r="A297" s="71" t="n"/>
      <c r="B297" s="71" t="n"/>
      <c r="C297" s="72" t="n"/>
      <c r="G297" s="72" t="n"/>
      <c r="H297" s="72" t="n"/>
      <c r="I297" s="72" t="n"/>
      <c r="J297" s="72" t="n"/>
      <c r="K297" s="72" t="n"/>
      <c r="L297" s="72" t="n"/>
      <c r="M297" s="72" t="n"/>
      <c r="N297" s="72" t="n"/>
      <c r="O297" s="72" t="n"/>
      <c r="P297" s="72" t="n"/>
      <c r="W297" s="71" t="n"/>
    </row>
    <row r="298" ht="20.25" customHeight="1">
      <c r="A298" s="71" t="n"/>
      <c r="B298" s="71" t="n"/>
      <c r="C298" s="72" t="n"/>
      <c r="G298" s="72" t="n"/>
      <c r="H298" s="72" t="n"/>
      <c r="I298" s="72" t="n"/>
      <c r="J298" s="72" t="n"/>
      <c r="K298" s="72" t="n"/>
      <c r="L298" s="72" t="n"/>
      <c r="M298" s="72" t="n"/>
      <c r="N298" s="72" t="n"/>
      <c r="O298" s="72" t="n"/>
      <c r="P298" s="72" t="n"/>
      <c r="W298" s="71" t="n"/>
    </row>
    <row r="299" ht="20.25" customHeight="1">
      <c r="A299" s="71" t="n"/>
      <c r="B299" s="71" t="n"/>
      <c r="C299" s="72" t="n"/>
      <c r="G299" s="72" t="n"/>
      <c r="H299" s="72" t="n"/>
      <c r="I299" s="72" t="n"/>
      <c r="J299" s="72" t="n"/>
      <c r="K299" s="72" t="n"/>
      <c r="L299" s="72" t="n"/>
      <c r="M299" s="72" t="n"/>
      <c r="N299" s="72" t="n"/>
      <c r="O299" s="72" t="n"/>
      <c r="P299" s="72" t="n"/>
      <c r="W299" s="71" t="n"/>
    </row>
    <row r="300" ht="20.25" customHeight="1">
      <c r="A300" s="71" t="n"/>
      <c r="B300" s="71" t="n"/>
      <c r="C300" s="72" t="n"/>
      <c r="G300" s="72" t="n"/>
      <c r="H300" s="72" t="n"/>
      <c r="I300" s="72" t="n"/>
      <c r="J300" s="72" t="n"/>
      <c r="K300" s="72" t="n"/>
      <c r="L300" s="72" t="n"/>
      <c r="M300" s="72" t="n"/>
      <c r="N300" s="72" t="n"/>
      <c r="O300" s="72" t="n"/>
      <c r="P300" s="72" t="n"/>
      <c r="W300" s="71" t="n"/>
    </row>
    <row r="301" ht="20.25" customHeight="1">
      <c r="A301" s="71" t="n"/>
      <c r="B301" s="71" t="n"/>
      <c r="C301" s="72" t="n"/>
      <c r="G301" s="72" t="n"/>
      <c r="H301" s="72" t="n"/>
      <c r="I301" s="72" t="n"/>
      <c r="J301" s="72" t="n"/>
      <c r="K301" s="72" t="n"/>
      <c r="L301" s="72" t="n"/>
      <c r="M301" s="72" t="n"/>
      <c r="N301" s="72" t="n"/>
      <c r="O301" s="72" t="n"/>
      <c r="P301" s="72" t="n"/>
      <c r="W301" s="71" t="n"/>
    </row>
    <row r="302" ht="20.25" customHeight="1">
      <c r="A302" s="71" t="n"/>
      <c r="B302" s="71" t="n"/>
      <c r="C302" s="72" t="n"/>
      <c r="G302" s="72" t="n"/>
      <c r="H302" s="72" t="n"/>
      <c r="I302" s="72" t="n"/>
      <c r="J302" s="72" t="n"/>
      <c r="K302" s="72" t="n"/>
      <c r="L302" s="72" t="n"/>
      <c r="M302" s="72" t="n"/>
      <c r="N302" s="72" t="n"/>
      <c r="O302" s="72" t="n"/>
      <c r="P302" s="72" t="n"/>
      <c r="W302" s="71" t="n"/>
    </row>
    <row r="303" ht="20.25" customHeight="1">
      <c r="A303" s="71" t="n"/>
      <c r="B303" s="71" t="n"/>
      <c r="C303" s="72" t="n"/>
      <c r="G303" s="72" t="n"/>
      <c r="H303" s="72" t="n"/>
      <c r="I303" s="72" t="n"/>
      <c r="J303" s="72" t="n"/>
      <c r="K303" s="72" t="n"/>
      <c r="L303" s="72" t="n"/>
      <c r="M303" s="72" t="n"/>
      <c r="N303" s="72" t="n"/>
      <c r="O303" s="72" t="n"/>
      <c r="P303" s="72" t="n"/>
      <c r="W303" s="71" t="n"/>
    </row>
    <row r="304" ht="20.25" customHeight="1">
      <c r="A304" s="71" t="n"/>
      <c r="B304" s="71" t="n"/>
      <c r="C304" s="72" t="n"/>
      <c r="G304" s="72" t="n"/>
      <c r="H304" s="72" t="n"/>
      <c r="I304" s="72" t="n"/>
      <c r="J304" s="72" t="n"/>
      <c r="K304" s="72" t="n"/>
      <c r="L304" s="72" t="n"/>
      <c r="M304" s="72" t="n"/>
      <c r="N304" s="72" t="n"/>
      <c r="O304" s="72" t="n"/>
      <c r="P304" s="72" t="n"/>
      <c r="W304" s="71" t="n"/>
    </row>
    <row r="305" ht="20.25" customHeight="1">
      <c r="A305" s="71" t="n"/>
      <c r="B305" s="71" t="n"/>
      <c r="C305" s="72" t="n"/>
      <c r="G305" s="72" t="n"/>
      <c r="H305" s="72" t="n"/>
      <c r="I305" s="72" t="n"/>
      <c r="J305" s="72" t="n"/>
      <c r="K305" s="72" t="n"/>
      <c r="L305" s="72" t="n"/>
      <c r="M305" s="72" t="n"/>
      <c r="N305" s="72" t="n"/>
      <c r="O305" s="72" t="n"/>
      <c r="P305" s="72" t="n"/>
      <c r="W305" s="71" t="n"/>
    </row>
    <row r="306" ht="20.25" customHeight="1">
      <c r="A306" s="71" t="n"/>
      <c r="B306" s="71" t="n"/>
      <c r="C306" s="72" t="n"/>
      <c r="G306" s="72" t="n"/>
      <c r="H306" s="72" t="n"/>
      <c r="I306" s="72" t="n"/>
      <c r="J306" s="72" t="n"/>
      <c r="K306" s="72" t="n"/>
      <c r="L306" s="72" t="n"/>
      <c r="M306" s="72" t="n"/>
      <c r="N306" s="72" t="n"/>
      <c r="O306" s="72" t="n"/>
      <c r="P306" s="72" t="n"/>
      <c r="W306" s="71" t="n"/>
    </row>
    <row r="307" ht="20.25" customHeight="1">
      <c r="A307" s="71" t="n"/>
      <c r="B307" s="71" t="n"/>
      <c r="C307" s="72" t="n"/>
      <c r="G307" s="72" t="n"/>
      <c r="H307" s="72" t="n"/>
      <c r="I307" s="72" t="n"/>
      <c r="J307" s="72" t="n"/>
      <c r="K307" s="72" t="n"/>
      <c r="L307" s="72" t="n"/>
      <c r="M307" s="72" t="n"/>
      <c r="N307" s="72" t="n"/>
      <c r="O307" s="72" t="n"/>
      <c r="P307" s="72" t="n"/>
      <c r="W307" s="71" t="n"/>
    </row>
    <row r="308" ht="20.25" customHeight="1">
      <c r="A308" s="71" t="n"/>
      <c r="B308" s="71" t="n"/>
      <c r="C308" s="72" t="n"/>
      <c r="G308" s="72" t="n"/>
      <c r="H308" s="72" t="n"/>
      <c r="I308" s="72" t="n"/>
      <c r="J308" s="72" t="n"/>
      <c r="K308" s="72" t="n"/>
      <c r="L308" s="72" t="n"/>
      <c r="M308" s="72" t="n"/>
      <c r="N308" s="72" t="n"/>
      <c r="O308" s="72" t="n"/>
      <c r="P308" s="72" t="n"/>
      <c r="W308" s="71" t="n"/>
    </row>
    <row r="309" ht="20.25" customHeight="1">
      <c r="A309" s="71" t="n"/>
      <c r="B309" s="71" t="n"/>
      <c r="C309" s="72" t="n"/>
      <c r="G309" s="72" t="n"/>
      <c r="H309" s="72" t="n"/>
      <c r="I309" s="72" t="n"/>
      <c r="J309" s="72" t="n"/>
      <c r="K309" s="72" t="n"/>
      <c r="L309" s="72" t="n"/>
      <c r="M309" s="72" t="n"/>
      <c r="N309" s="72" t="n"/>
      <c r="O309" s="72" t="n"/>
      <c r="P309" s="72" t="n"/>
      <c r="W309" s="71" t="n"/>
    </row>
    <row r="310" ht="20.25" customHeight="1">
      <c r="A310" s="71" t="n"/>
      <c r="B310" s="71" t="n"/>
      <c r="C310" s="72" t="n"/>
      <c r="G310" s="72" t="n"/>
      <c r="H310" s="72" t="n"/>
      <c r="I310" s="72" t="n"/>
      <c r="J310" s="72" t="n"/>
      <c r="K310" s="72" t="n"/>
      <c r="L310" s="72" t="n"/>
      <c r="M310" s="72" t="n"/>
      <c r="N310" s="72" t="n"/>
      <c r="O310" s="72" t="n"/>
      <c r="P310" s="72" t="n"/>
      <c r="W310" s="71" t="n"/>
    </row>
    <row r="311" ht="20.25" customHeight="1">
      <c r="A311" s="71" t="n"/>
      <c r="B311" s="71" t="n"/>
      <c r="C311" s="72" t="n"/>
      <c r="G311" s="72" t="n"/>
      <c r="H311" s="72" t="n"/>
      <c r="I311" s="72" t="n"/>
      <c r="J311" s="72" t="n"/>
      <c r="K311" s="72" t="n"/>
      <c r="L311" s="72" t="n"/>
      <c r="M311" s="72" t="n"/>
      <c r="N311" s="72" t="n"/>
      <c r="O311" s="72" t="n"/>
      <c r="P311" s="72" t="n"/>
      <c r="W311" s="71" t="n"/>
    </row>
    <row r="312" ht="20.25" customHeight="1">
      <c r="A312" s="71" t="n"/>
      <c r="B312" s="71" t="n"/>
      <c r="C312" s="72" t="n"/>
      <c r="G312" s="72" t="n"/>
      <c r="H312" s="72" t="n"/>
      <c r="I312" s="72" t="n"/>
      <c r="J312" s="72" t="n"/>
      <c r="K312" s="72" t="n"/>
      <c r="L312" s="72" t="n"/>
      <c r="M312" s="72" t="n"/>
      <c r="N312" s="72" t="n"/>
      <c r="O312" s="72" t="n"/>
      <c r="P312" s="72" t="n"/>
      <c r="W312" s="71" t="n"/>
    </row>
    <row r="313" ht="20.25" customHeight="1">
      <c r="A313" s="71" t="n"/>
      <c r="B313" s="71" t="n"/>
      <c r="C313" s="72" t="n"/>
      <c r="G313" s="72" t="n"/>
      <c r="H313" s="72" t="n"/>
      <c r="I313" s="72" t="n"/>
      <c r="J313" s="72" t="n"/>
      <c r="K313" s="72" t="n"/>
      <c r="L313" s="72" t="n"/>
      <c r="M313" s="72" t="n"/>
      <c r="N313" s="72" t="n"/>
      <c r="O313" s="72" t="n"/>
      <c r="P313" s="72" t="n"/>
      <c r="W313" s="71" t="n"/>
    </row>
    <row r="314" ht="20.25" customHeight="1">
      <c r="A314" s="71" t="n"/>
      <c r="B314" s="71" t="n"/>
      <c r="C314" s="72" t="n"/>
      <c r="G314" s="72" t="n"/>
      <c r="H314" s="72" t="n"/>
      <c r="I314" s="72" t="n"/>
      <c r="J314" s="72" t="n"/>
      <c r="K314" s="72" t="n"/>
      <c r="L314" s="72" t="n"/>
      <c r="M314" s="72" t="n"/>
      <c r="N314" s="72" t="n"/>
      <c r="O314" s="72" t="n"/>
      <c r="P314" s="72" t="n"/>
      <c r="W314" s="71" t="n"/>
    </row>
    <row r="315" ht="20.25" customHeight="1">
      <c r="A315" s="71" t="n"/>
      <c r="B315" s="71" t="n"/>
      <c r="C315" s="72" t="n"/>
      <c r="G315" s="72" t="n"/>
      <c r="H315" s="72" t="n"/>
      <c r="I315" s="72" t="n"/>
      <c r="J315" s="72" t="n"/>
      <c r="K315" s="72" t="n"/>
      <c r="L315" s="72" t="n"/>
      <c r="M315" s="72" t="n"/>
      <c r="N315" s="72" t="n"/>
      <c r="O315" s="72" t="n"/>
      <c r="P315" s="72" t="n"/>
      <c r="W315" s="71" t="n"/>
    </row>
    <row r="316" ht="20.25" customHeight="1">
      <c r="A316" s="71" t="n"/>
      <c r="B316" s="71" t="n"/>
      <c r="C316" s="72" t="n"/>
      <c r="G316" s="72" t="n"/>
      <c r="H316" s="72" t="n"/>
      <c r="I316" s="72" t="n"/>
      <c r="J316" s="72" t="n"/>
      <c r="K316" s="72" t="n"/>
      <c r="L316" s="72" t="n"/>
      <c r="M316" s="72" t="n"/>
      <c r="N316" s="72" t="n"/>
      <c r="O316" s="72" t="n"/>
      <c r="P316" s="72" t="n"/>
      <c r="W316" s="71" t="n"/>
    </row>
    <row r="317" ht="20.25" customHeight="1">
      <c r="A317" s="71" t="n"/>
      <c r="B317" s="71" t="n"/>
      <c r="C317" s="72" t="n"/>
      <c r="G317" s="72" t="n"/>
      <c r="H317" s="72" t="n"/>
      <c r="I317" s="72" t="n"/>
      <c r="J317" s="72" t="n"/>
      <c r="K317" s="72" t="n"/>
      <c r="L317" s="72" t="n"/>
      <c r="M317" s="72" t="n"/>
      <c r="N317" s="72" t="n"/>
      <c r="O317" s="72" t="n"/>
      <c r="P317" s="72" t="n"/>
      <c r="W317" s="71" t="n"/>
    </row>
    <row r="318" ht="20.25" customHeight="1">
      <c r="A318" s="71" t="n"/>
      <c r="B318" s="71" t="n"/>
      <c r="C318" s="72" t="n"/>
      <c r="G318" s="72" t="n"/>
      <c r="H318" s="72" t="n"/>
      <c r="I318" s="72" t="n"/>
      <c r="J318" s="72" t="n"/>
      <c r="K318" s="72" t="n"/>
      <c r="L318" s="72" t="n"/>
      <c r="M318" s="72" t="n"/>
      <c r="N318" s="72" t="n"/>
      <c r="O318" s="72" t="n"/>
      <c r="P318" s="72" t="n"/>
      <c r="W318" s="71" t="n"/>
    </row>
    <row r="319" ht="20.25" customHeight="1">
      <c r="A319" s="71" t="n"/>
      <c r="B319" s="71" t="n"/>
      <c r="C319" s="72" t="n"/>
      <c r="G319" s="72" t="n"/>
      <c r="H319" s="72" t="n"/>
      <c r="I319" s="72" t="n"/>
      <c r="J319" s="72" t="n"/>
      <c r="K319" s="72" t="n"/>
      <c r="L319" s="72" t="n"/>
      <c r="M319" s="72" t="n"/>
      <c r="N319" s="72" t="n"/>
      <c r="O319" s="72" t="n"/>
      <c r="P319" s="72" t="n"/>
      <c r="W319" s="71" t="n"/>
    </row>
    <row r="320" ht="20.25" customHeight="1">
      <c r="A320" s="71" t="n"/>
      <c r="B320" s="71" t="n"/>
      <c r="C320" s="72" t="n"/>
      <c r="G320" s="72" t="n"/>
      <c r="H320" s="72" t="n"/>
      <c r="I320" s="72" t="n"/>
      <c r="J320" s="72" t="n"/>
      <c r="K320" s="72" t="n"/>
      <c r="L320" s="72" t="n"/>
      <c r="M320" s="72" t="n"/>
      <c r="N320" s="72" t="n"/>
      <c r="O320" s="72" t="n"/>
      <c r="P320" s="72" t="n"/>
      <c r="W320" s="71" t="n"/>
    </row>
    <row r="321" ht="20.25" customHeight="1">
      <c r="A321" s="71" t="n"/>
      <c r="B321" s="71" t="n"/>
      <c r="C321" s="72" t="n"/>
      <c r="G321" s="72" t="n"/>
      <c r="H321" s="72" t="n"/>
      <c r="I321" s="72" t="n"/>
      <c r="J321" s="72" t="n"/>
      <c r="K321" s="72" t="n"/>
      <c r="L321" s="72" t="n"/>
      <c r="M321" s="72" t="n"/>
      <c r="N321" s="72" t="n"/>
      <c r="O321" s="72" t="n"/>
      <c r="P321" s="72" t="n"/>
      <c r="W321" s="71" t="n"/>
    </row>
    <row r="322" ht="20.25" customHeight="1">
      <c r="A322" s="71" t="n"/>
      <c r="B322" s="71" t="n"/>
      <c r="C322" s="72" t="n"/>
      <c r="G322" s="72" t="n"/>
      <c r="H322" s="72" t="n"/>
      <c r="I322" s="72" t="n"/>
      <c r="J322" s="72" t="n"/>
      <c r="K322" s="72" t="n"/>
      <c r="L322" s="72" t="n"/>
      <c r="M322" s="72" t="n"/>
      <c r="N322" s="72" t="n"/>
      <c r="O322" s="72" t="n"/>
      <c r="P322" s="72" t="n"/>
      <c r="W322" s="71" t="n"/>
    </row>
    <row r="323" ht="20.25" customHeight="1">
      <c r="A323" s="71" t="n"/>
      <c r="B323" s="71" t="n"/>
      <c r="C323" s="72" t="n"/>
      <c r="G323" s="72" t="n"/>
      <c r="H323" s="72" t="n"/>
      <c r="I323" s="72" t="n"/>
      <c r="J323" s="72" t="n"/>
      <c r="K323" s="72" t="n"/>
      <c r="L323" s="72" t="n"/>
      <c r="M323" s="72" t="n"/>
      <c r="N323" s="72" t="n"/>
      <c r="O323" s="72" t="n"/>
      <c r="P323" s="72" t="n"/>
      <c r="W323" s="71" t="n"/>
    </row>
    <row r="324" ht="20.25" customHeight="1">
      <c r="A324" s="71" t="n"/>
      <c r="B324" s="71" t="n"/>
      <c r="C324" s="72" t="n"/>
      <c r="G324" s="72" t="n"/>
      <c r="H324" s="72" t="n"/>
      <c r="I324" s="72" t="n"/>
      <c r="J324" s="72" t="n"/>
      <c r="K324" s="72" t="n"/>
      <c r="L324" s="72" t="n"/>
      <c r="M324" s="72" t="n"/>
      <c r="N324" s="72" t="n"/>
      <c r="O324" s="72" t="n"/>
      <c r="P324" s="72" t="n"/>
      <c r="W324" s="71" t="n"/>
    </row>
    <row r="325" ht="20.25" customHeight="1">
      <c r="A325" s="71" t="n"/>
      <c r="B325" s="71" t="n"/>
      <c r="C325" s="72" t="n"/>
      <c r="G325" s="72" t="n"/>
      <c r="H325" s="72" t="n"/>
      <c r="I325" s="72" t="n"/>
      <c r="J325" s="72" t="n"/>
      <c r="K325" s="72" t="n"/>
      <c r="L325" s="72" t="n"/>
      <c r="M325" s="72" t="n"/>
      <c r="N325" s="72" t="n"/>
      <c r="O325" s="72" t="n"/>
      <c r="P325" s="72" t="n"/>
      <c r="W325" s="71" t="n"/>
    </row>
    <row r="326" ht="20.25" customHeight="1">
      <c r="A326" s="71" t="n"/>
      <c r="B326" s="71" t="n"/>
      <c r="C326" s="72" t="n"/>
      <c r="G326" s="72" t="n"/>
      <c r="H326" s="72" t="n"/>
      <c r="I326" s="72" t="n"/>
      <c r="J326" s="72" t="n"/>
      <c r="K326" s="72" t="n"/>
      <c r="L326" s="72" t="n"/>
      <c r="M326" s="72" t="n"/>
      <c r="N326" s="72" t="n"/>
      <c r="O326" s="72" t="n"/>
      <c r="P326" s="72" t="n"/>
      <c r="W326" s="71" t="n"/>
    </row>
    <row r="327" ht="20.25" customHeight="1">
      <c r="A327" s="71" t="n"/>
      <c r="B327" s="71" t="n"/>
      <c r="C327" s="72" t="n"/>
      <c r="G327" s="72" t="n"/>
      <c r="H327" s="72" t="n"/>
      <c r="I327" s="72" t="n"/>
      <c r="J327" s="72" t="n"/>
      <c r="K327" s="72" t="n"/>
      <c r="L327" s="72" t="n"/>
      <c r="M327" s="72" t="n"/>
      <c r="N327" s="72" t="n"/>
      <c r="O327" s="72" t="n"/>
      <c r="P327" s="72" t="n"/>
      <c r="W327" s="71" t="n"/>
    </row>
    <row r="328" ht="20.25" customHeight="1">
      <c r="A328" s="71" t="n"/>
      <c r="B328" s="71" t="n"/>
      <c r="C328" s="72" t="n"/>
      <c r="G328" s="72" t="n"/>
      <c r="H328" s="72" t="n"/>
      <c r="I328" s="72" t="n"/>
      <c r="J328" s="72" t="n"/>
      <c r="K328" s="72" t="n"/>
      <c r="L328" s="72" t="n"/>
      <c r="M328" s="72" t="n"/>
      <c r="N328" s="72" t="n"/>
      <c r="O328" s="72" t="n"/>
      <c r="P328" s="72" t="n"/>
      <c r="W328" s="71" t="n"/>
    </row>
    <row r="329" ht="20.25" customHeight="1">
      <c r="A329" s="71" t="n"/>
      <c r="B329" s="71" t="n"/>
      <c r="C329" s="72" t="n"/>
      <c r="G329" s="72" t="n"/>
      <c r="H329" s="72" t="n"/>
      <c r="I329" s="72" t="n"/>
      <c r="J329" s="72" t="n"/>
      <c r="K329" s="72" t="n"/>
      <c r="L329" s="72" t="n"/>
      <c r="M329" s="72" t="n"/>
      <c r="N329" s="72" t="n"/>
      <c r="O329" s="72" t="n"/>
      <c r="P329" s="72" t="n"/>
      <c r="W329" s="71" t="n"/>
    </row>
    <row r="330" ht="20.25" customHeight="1">
      <c r="A330" s="71" t="n"/>
      <c r="B330" s="71" t="n"/>
      <c r="C330" s="72" t="n"/>
      <c r="G330" s="72" t="n"/>
      <c r="H330" s="72" t="n"/>
      <c r="I330" s="72" t="n"/>
      <c r="J330" s="72" t="n"/>
      <c r="K330" s="72" t="n"/>
      <c r="L330" s="72" t="n"/>
      <c r="M330" s="72" t="n"/>
      <c r="N330" s="72" t="n"/>
      <c r="O330" s="72" t="n"/>
      <c r="P330" s="72" t="n"/>
      <c r="W330" s="71" t="n"/>
    </row>
    <row r="331" ht="20.25" customHeight="1">
      <c r="A331" s="71" t="n"/>
      <c r="B331" s="71" t="n"/>
      <c r="C331" s="72" t="n"/>
      <c r="G331" s="72" t="n"/>
      <c r="H331" s="72" t="n"/>
      <c r="I331" s="72" t="n"/>
      <c r="J331" s="72" t="n"/>
      <c r="K331" s="72" t="n"/>
      <c r="L331" s="72" t="n"/>
      <c r="M331" s="72" t="n"/>
      <c r="N331" s="72" t="n"/>
      <c r="O331" s="72" t="n"/>
      <c r="P331" s="72" t="n"/>
      <c r="W331" s="71" t="n"/>
    </row>
    <row r="332" ht="20.25" customHeight="1">
      <c r="A332" s="71" t="n"/>
      <c r="B332" s="71" t="n"/>
      <c r="C332" s="72" t="n"/>
      <c r="G332" s="72" t="n"/>
      <c r="H332" s="72" t="n"/>
      <c r="I332" s="72" t="n"/>
      <c r="J332" s="72" t="n"/>
      <c r="K332" s="72" t="n"/>
      <c r="L332" s="72" t="n"/>
      <c r="M332" s="72" t="n"/>
      <c r="N332" s="72" t="n"/>
      <c r="O332" s="72" t="n"/>
      <c r="P332" s="72" t="n"/>
      <c r="W332" s="71" t="n"/>
    </row>
    <row r="333" ht="20.25" customHeight="1">
      <c r="A333" s="71" t="n"/>
      <c r="B333" s="71" t="n"/>
      <c r="C333" s="72" t="n"/>
      <c r="G333" s="72" t="n"/>
      <c r="H333" s="72" t="n"/>
      <c r="I333" s="72" t="n"/>
      <c r="J333" s="72" t="n"/>
      <c r="K333" s="72" t="n"/>
      <c r="L333" s="72" t="n"/>
      <c r="M333" s="72" t="n"/>
      <c r="N333" s="72" t="n"/>
      <c r="O333" s="72" t="n"/>
      <c r="P333" s="72" t="n"/>
      <c r="W333" s="71" t="n"/>
    </row>
    <row r="334" ht="20.25" customHeight="1">
      <c r="A334" s="71" t="n"/>
      <c r="B334" s="71" t="n"/>
      <c r="C334" s="72" t="n"/>
      <c r="G334" s="72" t="n"/>
      <c r="H334" s="72" t="n"/>
      <c r="I334" s="72" t="n"/>
      <c r="J334" s="72" t="n"/>
      <c r="K334" s="72" t="n"/>
      <c r="L334" s="72" t="n"/>
      <c r="M334" s="72" t="n"/>
      <c r="N334" s="72" t="n"/>
      <c r="O334" s="72" t="n"/>
      <c r="P334" s="72" t="n"/>
      <c r="W334" s="71" t="n"/>
    </row>
    <row r="335" ht="20.25" customHeight="1">
      <c r="A335" s="71" t="n"/>
      <c r="B335" s="71" t="n"/>
      <c r="C335" s="72" t="n"/>
      <c r="G335" s="72" t="n"/>
      <c r="H335" s="72" t="n"/>
      <c r="I335" s="72" t="n"/>
      <c r="J335" s="72" t="n"/>
      <c r="K335" s="72" t="n"/>
      <c r="L335" s="72" t="n"/>
      <c r="M335" s="72" t="n"/>
      <c r="N335" s="72" t="n"/>
      <c r="O335" s="72" t="n"/>
      <c r="P335" s="72" t="n"/>
      <c r="W335" s="71" t="n"/>
    </row>
    <row r="336" ht="20.25" customHeight="1">
      <c r="A336" s="71" t="n"/>
      <c r="B336" s="71" t="n"/>
      <c r="C336" s="72" t="n"/>
      <c r="G336" s="72" t="n"/>
      <c r="H336" s="72" t="n"/>
      <c r="I336" s="72" t="n"/>
      <c r="J336" s="72" t="n"/>
      <c r="K336" s="72" t="n"/>
      <c r="L336" s="72" t="n"/>
      <c r="M336" s="72" t="n"/>
      <c r="N336" s="72" t="n"/>
      <c r="O336" s="72" t="n"/>
      <c r="P336" s="72" t="n"/>
      <c r="W336" s="71" t="n"/>
    </row>
    <row r="337" ht="20.25" customHeight="1">
      <c r="A337" s="71" t="n"/>
      <c r="B337" s="71" t="n"/>
      <c r="C337" s="72" t="n"/>
      <c r="G337" s="72" t="n"/>
      <c r="H337" s="72" t="n"/>
      <c r="I337" s="72" t="n"/>
      <c r="J337" s="72" t="n"/>
      <c r="K337" s="72" t="n"/>
      <c r="L337" s="72" t="n"/>
      <c r="M337" s="72" t="n"/>
      <c r="N337" s="72" t="n"/>
      <c r="O337" s="72" t="n"/>
      <c r="P337" s="72" t="n"/>
      <c r="W337" s="71" t="n"/>
    </row>
    <row r="338" ht="20.25" customHeight="1">
      <c r="A338" s="71" t="n"/>
      <c r="B338" s="71" t="n"/>
      <c r="C338" s="72" t="n"/>
      <c r="G338" s="72" t="n"/>
      <c r="H338" s="72" t="n"/>
      <c r="I338" s="72" t="n"/>
      <c r="J338" s="72" t="n"/>
      <c r="K338" s="72" t="n"/>
      <c r="L338" s="72" t="n"/>
      <c r="M338" s="72" t="n"/>
      <c r="N338" s="72" t="n"/>
      <c r="O338" s="72" t="n"/>
      <c r="P338" s="72" t="n"/>
      <c r="W338" s="71" t="n"/>
    </row>
    <row r="339" ht="20.25" customHeight="1">
      <c r="A339" s="71" t="n"/>
      <c r="B339" s="71" t="n"/>
      <c r="C339" s="72" t="n"/>
      <c r="G339" s="72" t="n"/>
      <c r="H339" s="72" t="n"/>
      <c r="I339" s="72" t="n"/>
      <c r="J339" s="72" t="n"/>
      <c r="K339" s="72" t="n"/>
      <c r="L339" s="72" t="n"/>
      <c r="M339" s="72" t="n"/>
      <c r="N339" s="72" t="n"/>
      <c r="O339" s="72" t="n"/>
      <c r="P339" s="72" t="n"/>
      <c r="W339" s="71" t="n"/>
    </row>
    <row r="340" ht="20.25" customHeight="1">
      <c r="A340" s="71" t="n"/>
      <c r="B340" s="71" t="n"/>
      <c r="C340" s="72" t="n"/>
      <c r="G340" s="72" t="n"/>
      <c r="H340" s="72" t="n"/>
      <c r="I340" s="72" t="n"/>
      <c r="J340" s="72" t="n"/>
      <c r="K340" s="72" t="n"/>
      <c r="L340" s="72" t="n"/>
      <c r="M340" s="72" t="n"/>
      <c r="N340" s="72" t="n"/>
      <c r="O340" s="72" t="n"/>
      <c r="P340" s="72" t="n"/>
      <c r="W340" s="71" t="n"/>
    </row>
    <row r="341" ht="20.25" customHeight="1">
      <c r="A341" s="71" t="n"/>
      <c r="B341" s="71" t="n"/>
      <c r="C341" s="72" t="n"/>
      <c r="G341" s="72" t="n"/>
      <c r="H341" s="72" t="n"/>
      <c r="I341" s="72" t="n"/>
      <c r="J341" s="72" t="n"/>
      <c r="K341" s="72" t="n"/>
      <c r="L341" s="72" t="n"/>
      <c r="M341" s="72" t="n"/>
      <c r="N341" s="72" t="n"/>
      <c r="O341" s="72" t="n"/>
      <c r="P341" s="72" t="n"/>
      <c r="W341" s="71" t="n"/>
    </row>
    <row r="342" ht="20.25" customHeight="1">
      <c r="A342" s="71" t="n"/>
      <c r="B342" s="71" t="n"/>
      <c r="C342" s="72" t="n"/>
      <c r="G342" s="72" t="n"/>
      <c r="H342" s="72" t="n"/>
      <c r="I342" s="72" t="n"/>
      <c r="J342" s="72" t="n"/>
      <c r="K342" s="72" t="n"/>
      <c r="L342" s="72" t="n"/>
      <c r="M342" s="72" t="n"/>
      <c r="N342" s="72" t="n"/>
      <c r="O342" s="72" t="n"/>
      <c r="P342" s="72" t="n"/>
      <c r="W342" s="71" t="n"/>
    </row>
    <row r="343" ht="20.25" customHeight="1">
      <c r="A343" s="71" t="n"/>
      <c r="B343" s="71" t="n"/>
      <c r="C343" s="72" t="n"/>
      <c r="G343" s="72" t="n"/>
      <c r="H343" s="72" t="n"/>
      <c r="I343" s="72" t="n"/>
      <c r="J343" s="72" t="n"/>
      <c r="K343" s="72" t="n"/>
      <c r="L343" s="72" t="n"/>
      <c r="M343" s="72" t="n"/>
      <c r="N343" s="72" t="n"/>
      <c r="O343" s="72" t="n"/>
      <c r="P343" s="72" t="n"/>
      <c r="W343" s="71" t="n"/>
    </row>
    <row r="344" ht="20.25" customHeight="1">
      <c r="A344" s="71" t="n"/>
      <c r="B344" s="71" t="n"/>
      <c r="C344" s="72" t="n"/>
      <c r="G344" s="72" t="n"/>
      <c r="H344" s="72" t="n"/>
      <c r="I344" s="72" t="n"/>
      <c r="J344" s="72" t="n"/>
      <c r="K344" s="72" t="n"/>
      <c r="L344" s="72" t="n"/>
      <c r="M344" s="72" t="n"/>
      <c r="N344" s="72" t="n"/>
      <c r="O344" s="72" t="n"/>
      <c r="P344" s="72" t="n"/>
      <c r="W344" s="71" t="n"/>
    </row>
    <row r="345" ht="20.25" customHeight="1">
      <c r="A345" s="71" t="n"/>
      <c r="B345" s="71" t="n"/>
      <c r="C345" s="72" t="n"/>
      <c r="G345" s="72" t="n"/>
      <c r="H345" s="72" t="n"/>
      <c r="I345" s="72" t="n"/>
      <c r="J345" s="72" t="n"/>
      <c r="K345" s="72" t="n"/>
      <c r="L345" s="72" t="n"/>
      <c r="M345" s="72" t="n"/>
      <c r="N345" s="72" t="n"/>
      <c r="O345" s="72" t="n"/>
      <c r="P345" s="72" t="n"/>
      <c r="W345" s="71" t="n"/>
    </row>
    <row r="346" ht="20.25" customHeight="1">
      <c r="A346" s="71" t="n"/>
      <c r="B346" s="71" t="n"/>
      <c r="C346" s="72" t="n"/>
      <c r="G346" s="72" t="n"/>
      <c r="H346" s="72" t="n"/>
      <c r="I346" s="72" t="n"/>
      <c r="J346" s="72" t="n"/>
      <c r="K346" s="72" t="n"/>
      <c r="L346" s="72" t="n"/>
      <c r="M346" s="72" t="n"/>
      <c r="N346" s="72" t="n"/>
      <c r="O346" s="72" t="n"/>
      <c r="P346" s="72" t="n"/>
      <c r="W346" s="71" t="n"/>
    </row>
    <row r="347" ht="20.25" customHeight="1">
      <c r="A347" s="71" t="n"/>
      <c r="B347" s="71" t="n"/>
      <c r="C347" s="72" t="n"/>
      <c r="G347" s="72" t="n"/>
      <c r="H347" s="72" t="n"/>
      <c r="I347" s="72" t="n"/>
      <c r="J347" s="72" t="n"/>
      <c r="K347" s="72" t="n"/>
      <c r="L347" s="72" t="n"/>
      <c r="M347" s="72" t="n"/>
      <c r="N347" s="72" t="n"/>
      <c r="O347" s="72" t="n"/>
      <c r="P347" s="72" t="n"/>
      <c r="W347" s="71" t="n"/>
    </row>
    <row r="348" ht="20.25" customHeight="1">
      <c r="A348" s="71" t="n"/>
      <c r="B348" s="71" t="n"/>
      <c r="C348" s="72" t="n"/>
      <c r="G348" s="72" t="n"/>
      <c r="H348" s="72" t="n"/>
      <c r="I348" s="72" t="n"/>
      <c r="J348" s="72" t="n"/>
      <c r="K348" s="72" t="n"/>
      <c r="L348" s="72" t="n"/>
      <c r="M348" s="72" t="n"/>
      <c r="N348" s="72" t="n"/>
      <c r="O348" s="72" t="n"/>
      <c r="P348" s="72" t="n"/>
      <c r="W348" s="71" t="n"/>
    </row>
    <row r="349" ht="20.25" customHeight="1">
      <c r="A349" s="71" t="n"/>
      <c r="B349" s="71" t="n"/>
      <c r="C349" s="72" t="n"/>
      <c r="G349" s="72" t="n"/>
      <c r="H349" s="72" t="n"/>
      <c r="I349" s="72" t="n"/>
      <c r="J349" s="72" t="n"/>
      <c r="K349" s="72" t="n"/>
      <c r="L349" s="72" t="n"/>
      <c r="M349" s="72" t="n"/>
      <c r="N349" s="72" t="n"/>
      <c r="O349" s="72" t="n"/>
      <c r="P349" s="72" t="n"/>
      <c r="W349" s="71" t="n"/>
    </row>
    <row r="350" ht="20.25" customHeight="1">
      <c r="A350" s="71" t="n"/>
      <c r="B350" s="71" t="n"/>
      <c r="C350" s="72" t="n"/>
      <c r="G350" s="72" t="n"/>
      <c r="H350" s="72" t="n"/>
      <c r="I350" s="72" t="n"/>
      <c r="J350" s="72" t="n"/>
      <c r="K350" s="72" t="n"/>
      <c r="L350" s="72" t="n"/>
      <c r="M350" s="72" t="n"/>
      <c r="N350" s="72" t="n"/>
      <c r="O350" s="72" t="n"/>
      <c r="P350" s="72" t="n"/>
      <c r="W350" s="71" t="n"/>
    </row>
    <row r="351" ht="20.25" customHeight="1">
      <c r="A351" s="71" t="n"/>
      <c r="B351" s="71" t="n"/>
      <c r="C351" s="72" t="n"/>
      <c r="G351" s="72" t="n"/>
      <c r="H351" s="72" t="n"/>
      <c r="I351" s="72" t="n"/>
      <c r="J351" s="72" t="n"/>
      <c r="K351" s="72" t="n"/>
      <c r="L351" s="72" t="n"/>
      <c r="M351" s="72" t="n"/>
      <c r="N351" s="72" t="n"/>
      <c r="O351" s="72" t="n"/>
      <c r="P351" s="72" t="n"/>
      <c r="W351" s="71" t="n"/>
    </row>
    <row r="352" ht="20.25" customHeight="1">
      <c r="A352" s="71" t="n"/>
      <c r="B352" s="71" t="n"/>
      <c r="C352" s="72" t="n"/>
      <c r="G352" s="72" t="n"/>
      <c r="H352" s="72" t="n"/>
      <c r="I352" s="72" t="n"/>
      <c r="J352" s="72" t="n"/>
      <c r="K352" s="72" t="n"/>
      <c r="L352" s="72" t="n"/>
      <c r="M352" s="72" t="n"/>
      <c r="N352" s="72" t="n"/>
      <c r="O352" s="72" t="n"/>
      <c r="P352" s="72" t="n"/>
      <c r="W352" s="71" t="n"/>
    </row>
    <row r="353" ht="20.25" customHeight="1">
      <c r="A353" s="71" t="n"/>
      <c r="B353" s="71" t="n"/>
      <c r="C353" s="72" t="n"/>
      <c r="G353" s="72" t="n"/>
      <c r="H353" s="72" t="n"/>
      <c r="I353" s="72" t="n"/>
      <c r="J353" s="72" t="n"/>
      <c r="K353" s="72" t="n"/>
      <c r="L353" s="72" t="n"/>
      <c r="M353" s="72" t="n"/>
      <c r="N353" s="72" t="n"/>
      <c r="O353" s="72" t="n"/>
      <c r="P353" s="72" t="n"/>
      <c r="W353" s="71" t="n"/>
    </row>
    <row r="354" ht="20.25" customHeight="1">
      <c r="A354" s="71" t="n"/>
      <c r="B354" s="71" t="n"/>
      <c r="C354" s="72" t="n"/>
      <c r="G354" s="72" t="n"/>
      <c r="H354" s="72" t="n"/>
      <c r="I354" s="72" t="n"/>
      <c r="J354" s="72" t="n"/>
      <c r="K354" s="72" t="n"/>
      <c r="L354" s="72" t="n"/>
      <c r="M354" s="72" t="n"/>
      <c r="N354" s="72" t="n"/>
      <c r="O354" s="72" t="n"/>
      <c r="P354" s="72" t="n"/>
      <c r="W354" s="71" t="n"/>
    </row>
    <row r="355" ht="20.25" customHeight="1">
      <c r="A355" s="71" t="n"/>
      <c r="B355" s="71" t="n"/>
      <c r="C355" s="72" t="n"/>
      <c r="G355" s="72" t="n"/>
      <c r="H355" s="72" t="n"/>
      <c r="I355" s="72" t="n"/>
      <c r="J355" s="72" t="n"/>
      <c r="K355" s="72" t="n"/>
      <c r="L355" s="72" t="n"/>
      <c r="M355" s="72" t="n"/>
      <c r="N355" s="72" t="n"/>
      <c r="O355" s="72" t="n"/>
      <c r="P355" s="72" t="n"/>
      <c r="W355" s="71" t="n"/>
    </row>
    <row r="356" ht="20.25" customHeight="1">
      <c r="A356" s="71" t="n"/>
      <c r="B356" s="71" t="n"/>
      <c r="C356" s="72" t="n"/>
      <c r="G356" s="72" t="n"/>
      <c r="H356" s="72" t="n"/>
      <c r="I356" s="72" t="n"/>
      <c r="J356" s="72" t="n"/>
      <c r="K356" s="72" t="n"/>
      <c r="L356" s="72" t="n"/>
      <c r="M356" s="72" t="n"/>
      <c r="N356" s="72" t="n"/>
      <c r="O356" s="72" t="n"/>
      <c r="P356" s="72" t="n"/>
      <c r="W356" s="71" t="n"/>
    </row>
    <row r="357" ht="20.25" customHeight="1">
      <c r="A357" s="71" t="n"/>
      <c r="B357" s="71" t="n"/>
      <c r="C357" s="72" t="n"/>
      <c r="G357" s="72" t="n"/>
      <c r="H357" s="72" t="n"/>
      <c r="I357" s="72" t="n"/>
      <c r="J357" s="72" t="n"/>
      <c r="K357" s="72" t="n"/>
      <c r="L357" s="72" t="n"/>
      <c r="M357" s="72" t="n"/>
      <c r="N357" s="72" t="n"/>
      <c r="O357" s="72" t="n"/>
      <c r="P357" s="72" t="n"/>
      <c r="W357" s="71" t="n"/>
    </row>
    <row r="358" ht="20.25" customHeight="1">
      <c r="A358" s="71" t="n"/>
      <c r="B358" s="71" t="n"/>
      <c r="C358" s="72" t="n"/>
      <c r="G358" s="72" t="n"/>
      <c r="H358" s="72" t="n"/>
      <c r="I358" s="72" t="n"/>
      <c r="J358" s="72" t="n"/>
      <c r="K358" s="72" t="n"/>
      <c r="L358" s="72" t="n"/>
      <c r="M358" s="72" t="n"/>
      <c r="N358" s="72" t="n"/>
      <c r="O358" s="72" t="n"/>
      <c r="P358" s="72" t="n"/>
      <c r="W358" s="71" t="n"/>
    </row>
    <row r="359" ht="20.25" customHeight="1">
      <c r="A359" s="71" t="n"/>
      <c r="B359" s="71" t="n"/>
      <c r="C359" s="72" t="n"/>
      <c r="G359" s="72" t="n"/>
      <c r="H359" s="72" t="n"/>
      <c r="I359" s="72" t="n"/>
      <c r="J359" s="72" t="n"/>
      <c r="K359" s="72" t="n"/>
      <c r="L359" s="72" t="n"/>
      <c r="M359" s="72" t="n"/>
      <c r="N359" s="72" t="n"/>
      <c r="O359" s="72" t="n"/>
      <c r="P359" s="72" t="n"/>
      <c r="W359" s="71" t="n"/>
    </row>
    <row r="360" ht="20.25" customHeight="1">
      <c r="A360" s="71" t="n"/>
      <c r="B360" s="71" t="n"/>
      <c r="C360" s="72" t="n"/>
      <c r="G360" s="72" t="n"/>
      <c r="H360" s="72" t="n"/>
      <c r="I360" s="72" t="n"/>
      <c r="J360" s="72" t="n"/>
      <c r="K360" s="72" t="n"/>
      <c r="L360" s="72" t="n"/>
      <c r="M360" s="72" t="n"/>
      <c r="N360" s="72" t="n"/>
      <c r="O360" s="72" t="n"/>
      <c r="P360" s="72" t="n"/>
      <c r="W360" s="71" t="n"/>
    </row>
    <row r="361" ht="20.25" customHeight="1">
      <c r="A361" s="71" t="n"/>
      <c r="B361" s="71" t="n"/>
      <c r="C361" s="72" t="n"/>
      <c r="G361" s="72" t="n"/>
      <c r="H361" s="72" t="n"/>
      <c r="I361" s="72" t="n"/>
      <c r="J361" s="72" t="n"/>
      <c r="K361" s="72" t="n"/>
      <c r="L361" s="72" t="n"/>
      <c r="M361" s="72" t="n"/>
      <c r="N361" s="72" t="n"/>
      <c r="O361" s="72" t="n"/>
      <c r="P361" s="72" t="n"/>
      <c r="W361" s="71" t="n"/>
    </row>
    <row r="362" ht="20.25" customHeight="1">
      <c r="A362" s="71" t="n"/>
      <c r="B362" s="71" t="n"/>
      <c r="C362" s="72" t="n"/>
      <c r="G362" s="72" t="n"/>
      <c r="H362" s="72" t="n"/>
      <c r="I362" s="72" t="n"/>
      <c r="J362" s="72" t="n"/>
      <c r="K362" s="72" t="n"/>
      <c r="L362" s="72" t="n"/>
      <c r="M362" s="72" t="n"/>
      <c r="N362" s="72" t="n"/>
      <c r="O362" s="72" t="n"/>
      <c r="P362" s="72" t="n"/>
      <c r="W362" s="71" t="n"/>
    </row>
    <row r="363" ht="20.25" customHeight="1">
      <c r="A363" s="71" t="n"/>
      <c r="B363" s="71" t="n"/>
      <c r="C363" s="72" t="n"/>
      <c r="G363" s="72" t="n"/>
      <c r="H363" s="72" t="n"/>
      <c r="I363" s="72" t="n"/>
      <c r="J363" s="72" t="n"/>
      <c r="K363" s="72" t="n"/>
      <c r="L363" s="72" t="n"/>
      <c r="M363" s="72" t="n"/>
      <c r="N363" s="72" t="n"/>
      <c r="O363" s="72" t="n"/>
      <c r="P363" s="72" t="n"/>
      <c r="W363" s="71" t="n"/>
    </row>
    <row r="364" ht="20.25" customHeight="1">
      <c r="A364" s="71" t="n"/>
      <c r="B364" s="71" t="n"/>
      <c r="C364" s="72" t="n"/>
      <c r="G364" s="72" t="n"/>
      <c r="H364" s="72" t="n"/>
      <c r="I364" s="72" t="n"/>
      <c r="J364" s="72" t="n"/>
      <c r="K364" s="72" t="n"/>
      <c r="L364" s="72" t="n"/>
      <c r="M364" s="72" t="n"/>
      <c r="N364" s="72" t="n"/>
      <c r="O364" s="72" t="n"/>
      <c r="P364" s="72" t="n"/>
      <c r="W364" s="71" t="n"/>
    </row>
    <row r="365" ht="20.25" customHeight="1">
      <c r="A365" s="71" t="n"/>
      <c r="B365" s="71" t="n"/>
      <c r="C365" s="72" t="n"/>
      <c r="G365" s="72" t="n"/>
      <c r="H365" s="72" t="n"/>
      <c r="I365" s="72" t="n"/>
      <c r="J365" s="72" t="n"/>
      <c r="K365" s="72" t="n"/>
      <c r="L365" s="72" t="n"/>
      <c r="M365" s="72" t="n"/>
      <c r="N365" s="72" t="n"/>
      <c r="O365" s="72" t="n"/>
      <c r="P365" s="72" t="n"/>
      <c r="W365" s="71" t="n"/>
    </row>
    <row r="366" ht="20.25" customHeight="1">
      <c r="A366" s="71" t="n"/>
      <c r="B366" s="71" t="n"/>
      <c r="C366" s="72" t="n"/>
      <c r="G366" s="72" t="n"/>
      <c r="H366" s="72" t="n"/>
      <c r="I366" s="72" t="n"/>
      <c r="J366" s="72" t="n"/>
      <c r="K366" s="72" t="n"/>
      <c r="L366" s="72" t="n"/>
      <c r="M366" s="72" t="n"/>
      <c r="N366" s="72" t="n"/>
      <c r="O366" s="72" t="n"/>
      <c r="P366" s="72" t="n"/>
      <c r="W366" s="71" t="n"/>
    </row>
    <row r="367" ht="20.25" customHeight="1">
      <c r="A367" s="71" t="n"/>
      <c r="B367" s="71" t="n"/>
      <c r="C367" s="72" t="n"/>
      <c r="G367" s="72" t="n"/>
      <c r="H367" s="72" t="n"/>
      <c r="I367" s="72" t="n"/>
      <c r="J367" s="72" t="n"/>
      <c r="K367" s="72" t="n"/>
      <c r="L367" s="72" t="n"/>
      <c r="M367" s="72" t="n"/>
      <c r="N367" s="72" t="n"/>
      <c r="O367" s="72" t="n"/>
      <c r="P367" s="72" t="n"/>
      <c r="W367" s="71" t="n"/>
    </row>
    <row r="368" ht="20.25" customHeight="1">
      <c r="A368" s="71" t="n"/>
      <c r="B368" s="71" t="n"/>
      <c r="C368" s="72" t="n"/>
      <c r="G368" s="72" t="n"/>
      <c r="H368" s="72" t="n"/>
      <c r="I368" s="72" t="n"/>
      <c r="J368" s="72" t="n"/>
      <c r="K368" s="72" t="n"/>
      <c r="L368" s="72" t="n"/>
      <c r="M368" s="72" t="n"/>
      <c r="N368" s="72" t="n"/>
      <c r="O368" s="72" t="n"/>
      <c r="P368" s="72" t="n"/>
      <c r="W368" s="71" t="n"/>
    </row>
    <row r="369" ht="20.25" customHeight="1">
      <c r="A369" s="71" t="n"/>
      <c r="B369" s="71" t="n"/>
      <c r="C369" s="72" t="n"/>
      <c r="G369" s="72" t="n"/>
      <c r="H369" s="72" t="n"/>
      <c r="I369" s="72" t="n"/>
      <c r="J369" s="72" t="n"/>
      <c r="K369" s="72" t="n"/>
      <c r="L369" s="72" t="n"/>
      <c r="M369" s="72" t="n"/>
      <c r="N369" s="72" t="n"/>
      <c r="O369" s="72" t="n"/>
      <c r="P369" s="72" t="n"/>
      <c r="W369" s="71" t="n"/>
    </row>
    <row r="370" ht="20.25" customHeight="1">
      <c r="A370" s="71" t="n"/>
      <c r="B370" s="71" t="n"/>
      <c r="C370" s="72" t="n"/>
      <c r="G370" s="72" t="n"/>
      <c r="H370" s="72" t="n"/>
      <c r="I370" s="72" t="n"/>
      <c r="J370" s="72" t="n"/>
      <c r="K370" s="72" t="n"/>
      <c r="L370" s="72" t="n"/>
      <c r="M370" s="72" t="n"/>
      <c r="N370" s="72" t="n"/>
      <c r="O370" s="72" t="n"/>
      <c r="P370" s="72" t="n"/>
      <c r="W370" s="71" t="n"/>
    </row>
    <row r="371" ht="20.25" customHeight="1">
      <c r="A371" s="71" t="n"/>
      <c r="B371" s="71" t="n"/>
      <c r="C371" s="72" t="n"/>
      <c r="G371" s="72" t="n"/>
      <c r="H371" s="72" t="n"/>
      <c r="I371" s="72" t="n"/>
      <c r="J371" s="72" t="n"/>
      <c r="K371" s="72" t="n"/>
      <c r="L371" s="72" t="n"/>
      <c r="M371" s="72" t="n"/>
      <c r="N371" s="72" t="n"/>
      <c r="O371" s="72" t="n"/>
      <c r="P371" s="72" t="n"/>
      <c r="W371" s="71" t="n"/>
    </row>
    <row r="372" ht="20.25" customHeight="1">
      <c r="A372" s="71" t="n"/>
      <c r="B372" s="71" t="n"/>
      <c r="C372" s="72" t="n"/>
      <c r="G372" s="72" t="n"/>
      <c r="H372" s="72" t="n"/>
      <c r="I372" s="72" t="n"/>
      <c r="J372" s="72" t="n"/>
      <c r="K372" s="72" t="n"/>
      <c r="L372" s="72" t="n"/>
      <c r="M372" s="72" t="n"/>
      <c r="N372" s="72" t="n"/>
      <c r="O372" s="72" t="n"/>
      <c r="P372" s="72" t="n"/>
      <c r="W372" s="71" t="n"/>
    </row>
    <row r="373" ht="20.25" customHeight="1">
      <c r="A373" s="71" t="n"/>
      <c r="B373" s="71" t="n"/>
      <c r="C373" s="72" t="n"/>
      <c r="G373" s="72" t="n"/>
      <c r="H373" s="72" t="n"/>
      <c r="I373" s="72" t="n"/>
      <c r="J373" s="72" t="n"/>
      <c r="K373" s="72" t="n"/>
      <c r="L373" s="72" t="n"/>
      <c r="M373" s="72" t="n"/>
      <c r="N373" s="72" t="n"/>
      <c r="O373" s="72" t="n"/>
      <c r="P373" s="72" t="n"/>
      <c r="W373" s="71" t="n"/>
    </row>
    <row r="374" ht="20.25" customHeight="1">
      <c r="A374" s="71" t="n"/>
      <c r="B374" s="71" t="n"/>
      <c r="C374" s="72" t="n"/>
      <c r="G374" s="72" t="n"/>
      <c r="H374" s="72" t="n"/>
      <c r="I374" s="72" t="n"/>
      <c r="J374" s="72" t="n"/>
      <c r="K374" s="72" t="n"/>
      <c r="L374" s="72" t="n"/>
      <c r="M374" s="72" t="n"/>
      <c r="N374" s="72" t="n"/>
      <c r="O374" s="72" t="n"/>
      <c r="P374" s="72" t="n"/>
      <c r="W374" s="71" t="n"/>
    </row>
    <row r="375" ht="20.25" customHeight="1">
      <c r="A375" s="71" t="n"/>
      <c r="B375" s="71" t="n"/>
      <c r="C375" s="72" t="n"/>
      <c r="G375" s="72" t="n"/>
      <c r="H375" s="72" t="n"/>
      <c r="I375" s="72" t="n"/>
      <c r="J375" s="72" t="n"/>
      <c r="K375" s="72" t="n"/>
      <c r="L375" s="72" t="n"/>
      <c r="M375" s="72" t="n"/>
      <c r="N375" s="72" t="n"/>
      <c r="O375" s="72" t="n"/>
      <c r="P375" s="72" t="n"/>
      <c r="W375" s="71" t="n"/>
    </row>
    <row r="376" ht="20.25" customHeight="1">
      <c r="A376" s="71" t="n"/>
      <c r="B376" s="71" t="n"/>
      <c r="C376" s="72" t="n"/>
      <c r="G376" s="72" t="n"/>
      <c r="H376" s="72" t="n"/>
      <c r="I376" s="72" t="n"/>
      <c r="J376" s="72" t="n"/>
      <c r="K376" s="72" t="n"/>
      <c r="L376" s="72" t="n"/>
      <c r="M376" s="72" t="n"/>
      <c r="N376" s="72" t="n"/>
      <c r="O376" s="72" t="n"/>
      <c r="P376" s="72" t="n"/>
      <c r="W376" s="71" t="n"/>
    </row>
    <row r="377" ht="20.25" customHeight="1">
      <c r="A377" s="71" t="n"/>
      <c r="B377" s="71" t="n"/>
      <c r="C377" s="72" t="n"/>
      <c r="G377" s="72" t="n"/>
      <c r="H377" s="72" t="n"/>
      <c r="I377" s="72" t="n"/>
      <c r="J377" s="72" t="n"/>
      <c r="K377" s="72" t="n"/>
      <c r="L377" s="72" t="n"/>
      <c r="M377" s="72" t="n"/>
      <c r="N377" s="72" t="n"/>
      <c r="O377" s="72" t="n"/>
      <c r="P377" s="72" t="n"/>
      <c r="W377" s="71" t="n"/>
    </row>
    <row r="378" ht="20.25" customHeight="1">
      <c r="A378" s="71" t="n"/>
      <c r="B378" s="71" t="n"/>
      <c r="C378" s="72" t="n"/>
      <c r="G378" s="72" t="n"/>
      <c r="H378" s="72" t="n"/>
      <c r="I378" s="72" t="n"/>
      <c r="J378" s="72" t="n"/>
      <c r="K378" s="72" t="n"/>
      <c r="L378" s="72" t="n"/>
      <c r="M378" s="72" t="n"/>
      <c r="N378" s="72" t="n"/>
      <c r="O378" s="72" t="n"/>
      <c r="P378" s="72" t="n"/>
      <c r="W378" s="71" t="n"/>
    </row>
    <row r="379" ht="20.25" customHeight="1">
      <c r="A379" s="71" t="n"/>
      <c r="B379" s="71" t="n"/>
      <c r="C379" s="72" t="n"/>
      <c r="G379" s="72" t="n"/>
      <c r="H379" s="72" t="n"/>
      <c r="I379" s="72" t="n"/>
      <c r="J379" s="72" t="n"/>
      <c r="K379" s="72" t="n"/>
      <c r="L379" s="72" t="n"/>
      <c r="M379" s="72" t="n"/>
      <c r="N379" s="72" t="n"/>
      <c r="O379" s="72" t="n"/>
      <c r="P379" s="72" t="n"/>
      <c r="W379" s="71" t="n"/>
    </row>
    <row r="380" ht="20.25" customHeight="1">
      <c r="A380" s="71" t="n"/>
      <c r="B380" s="71" t="n"/>
      <c r="C380" s="72" t="n"/>
      <c r="G380" s="72" t="n"/>
      <c r="H380" s="72" t="n"/>
      <c r="I380" s="72" t="n"/>
      <c r="J380" s="72" t="n"/>
      <c r="K380" s="72" t="n"/>
      <c r="L380" s="72" t="n"/>
      <c r="M380" s="72" t="n"/>
      <c r="N380" s="72" t="n"/>
      <c r="O380" s="72" t="n"/>
      <c r="P380" s="72" t="n"/>
      <c r="W380" s="71" t="n"/>
    </row>
    <row r="381" ht="20.25" customHeight="1">
      <c r="A381" s="71" t="n"/>
      <c r="B381" s="71" t="n"/>
      <c r="C381" s="72" t="n"/>
      <c r="G381" s="72" t="n"/>
      <c r="H381" s="72" t="n"/>
      <c r="I381" s="72" t="n"/>
      <c r="J381" s="72" t="n"/>
      <c r="K381" s="72" t="n"/>
      <c r="L381" s="72" t="n"/>
      <c r="M381" s="72" t="n"/>
      <c r="N381" s="72" t="n"/>
      <c r="O381" s="72" t="n"/>
      <c r="P381" s="72" t="n"/>
      <c r="W381" s="71" t="n"/>
    </row>
    <row r="382" ht="20.25" customHeight="1">
      <c r="A382" s="71" t="n"/>
      <c r="B382" s="71" t="n"/>
      <c r="C382" s="72" t="n"/>
      <c r="G382" s="72" t="n"/>
      <c r="H382" s="72" t="n"/>
      <c r="I382" s="72" t="n"/>
      <c r="J382" s="72" t="n"/>
      <c r="K382" s="72" t="n"/>
      <c r="L382" s="72" t="n"/>
      <c r="M382" s="72" t="n"/>
      <c r="N382" s="72" t="n"/>
      <c r="O382" s="72" t="n"/>
      <c r="P382" s="72" t="n"/>
      <c r="W382" s="71" t="n"/>
    </row>
    <row r="383" ht="20.25" customHeight="1">
      <c r="A383" s="71" t="n"/>
      <c r="B383" s="71" t="n"/>
      <c r="C383" s="72" t="n"/>
      <c r="G383" s="72" t="n"/>
      <c r="H383" s="72" t="n"/>
      <c r="I383" s="72" t="n"/>
      <c r="J383" s="72" t="n"/>
      <c r="K383" s="72" t="n"/>
      <c r="L383" s="72" t="n"/>
      <c r="M383" s="72" t="n"/>
      <c r="N383" s="72" t="n"/>
      <c r="O383" s="72" t="n"/>
      <c r="P383" s="72" t="n"/>
      <c r="W383" s="71" t="n"/>
    </row>
    <row r="384" ht="20.25" customHeight="1">
      <c r="A384" s="71" t="n"/>
      <c r="B384" s="71" t="n"/>
      <c r="C384" s="72" t="n"/>
      <c r="G384" s="72" t="n"/>
      <c r="H384" s="72" t="n"/>
      <c r="I384" s="72" t="n"/>
      <c r="J384" s="72" t="n"/>
      <c r="K384" s="72" t="n"/>
      <c r="L384" s="72" t="n"/>
      <c r="M384" s="72" t="n"/>
      <c r="N384" s="72" t="n"/>
      <c r="O384" s="72" t="n"/>
      <c r="P384" s="72" t="n"/>
      <c r="W384" s="71" t="n"/>
    </row>
    <row r="385" ht="20.25" customHeight="1">
      <c r="A385" s="71" t="n"/>
      <c r="B385" s="71" t="n"/>
      <c r="C385" s="72" t="n"/>
      <c r="G385" s="72" t="n"/>
      <c r="H385" s="72" t="n"/>
      <c r="I385" s="72" t="n"/>
      <c r="J385" s="72" t="n"/>
      <c r="K385" s="72" t="n"/>
      <c r="L385" s="72" t="n"/>
      <c r="M385" s="72" t="n"/>
      <c r="N385" s="72" t="n"/>
      <c r="O385" s="72" t="n"/>
      <c r="P385" s="72" t="n"/>
      <c r="W385" s="71" t="n"/>
    </row>
    <row r="386" ht="20.25" customHeight="1">
      <c r="A386" s="71" t="n"/>
      <c r="B386" s="71" t="n"/>
      <c r="C386" s="72" t="n"/>
      <c r="G386" s="72" t="n"/>
      <c r="H386" s="72" t="n"/>
      <c r="I386" s="72" t="n"/>
      <c r="J386" s="72" t="n"/>
      <c r="K386" s="72" t="n"/>
      <c r="L386" s="72" t="n"/>
      <c r="M386" s="72" t="n"/>
      <c r="N386" s="72" t="n"/>
      <c r="O386" s="72" t="n"/>
      <c r="P386" s="72" t="n"/>
      <c r="W386" s="71" t="n"/>
    </row>
    <row r="387" ht="20.25" customHeight="1">
      <c r="A387" s="71" t="n"/>
      <c r="B387" s="71" t="n"/>
      <c r="C387" s="72" t="n"/>
      <c r="G387" s="72" t="n"/>
      <c r="H387" s="72" t="n"/>
      <c r="I387" s="72" t="n"/>
      <c r="J387" s="72" t="n"/>
      <c r="K387" s="72" t="n"/>
      <c r="L387" s="72" t="n"/>
      <c r="M387" s="72" t="n"/>
      <c r="N387" s="72" t="n"/>
      <c r="O387" s="72" t="n"/>
      <c r="P387" s="72" t="n"/>
      <c r="W387" s="71" t="n"/>
    </row>
    <row r="388" ht="20.25" customHeight="1">
      <c r="A388" s="71" t="n"/>
      <c r="B388" s="71" t="n"/>
      <c r="C388" s="72" t="n"/>
      <c r="G388" s="72" t="n"/>
      <c r="H388" s="72" t="n"/>
      <c r="I388" s="72" t="n"/>
      <c r="J388" s="72" t="n"/>
      <c r="K388" s="72" t="n"/>
      <c r="L388" s="72" t="n"/>
      <c r="M388" s="72" t="n"/>
      <c r="N388" s="72" t="n"/>
      <c r="O388" s="72" t="n"/>
      <c r="P388" s="72" t="n"/>
      <c r="W388" s="71" t="n"/>
    </row>
    <row r="389" ht="20.25" customHeight="1">
      <c r="A389" s="71" t="n"/>
      <c r="B389" s="71" t="n"/>
      <c r="C389" s="72" t="n"/>
      <c r="G389" s="72" t="n"/>
      <c r="H389" s="72" t="n"/>
      <c r="I389" s="72" t="n"/>
      <c r="J389" s="72" t="n"/>
      <c r="K389" s="72" t="n"/>
      <c r="L389" s="72" t="n"/>
      <c r="M389" s="72" t="n"/>
      <c r="N389" s="72" t="n"/>
      <c r="O389" s="72" t="n"/>
      <c r="P389" s="72" t="n"/>
      <c r="W389" s="71" t="n"/>
    </row>
    <row r="390" ht="20.25" customHeight="1">
      <c r="A390" s="71" t="n"/>
      <c r="B390" s="71" t="n"/>
      <c r="C390" s="72" t="n"/>
      <c r="G390" s="72" t="n"/>
      <c r="H390" s="72" t="n"/>
      <c r="I390" s="72" t="n"/>
      <c r="J390" s="72" t="n"/>
      <c r="K390" s="72" t="n"/>
      <c r="L390" s="72" t="n"/>
      <c r="M390" s="72" t="n"/>
      <c r="N390" s="72" t="n"/>
      <c r="O390" s="72" t="n"/>
      <c r="P390" s="72" t="n"/>
      <c r="W390" s="71" t="n"/>
    </row>
    <row r="391" ht="20.25" customHeight="1">
      <c r="A391" s="71" t="n"/>
      <c r="B391" s="71" t="n"/>
      <c r="C391" s="72" t="n"/>
      <c r="G391" s="72" t="n"/>
      <c r="H391" s="72" t="n"/>
      <c r="I391" s="72" t="n"/>
      <c r="J391" s="72" t="n"/>
      <c r="K391" s="72" t="n"/>
      <c r="L391" s="72" t="n"/>
      <c r="M391" s="72" t="n"/>
      <c r="N391" s="72" t="n"/>
      <c r="O391" s="72" t="n"/>
      <c r="P391" s="72" t="n"/>
      <c r="W391" s="71" t="n"/>
    </row>
    <row r="392" ht="20.25" customHeight="1">
      <c r="A392" s="71" t="n"/>
      <c r="B392" s="71" t="n"/>
      <c r="C392" s="72" t="n"/>
      <c r="G392" s="72" t="n"/>
      <c r="H392" s="72" t="n"/>
      <c r="I392" s="72" t="n"/>
      <c r="J392" s="72" t="n"/>
      <c r="K392" s="72" t="n"/>
      <c r="L392" s="72" t="n"/>
      <c r="M392" s="72" t="n"/>
      <c r="N392" s="72" t="n"/>
      <c r="O392" s="72" t="n"/>
      <c r="P392" s="72" t="n"/>
      <c r="W392" s="71" t="n"/>
    </row>
    <row r="393" ht="20.25" customHeight="1">
      <c r="A393" s="71" t="n"/>
      <c r="B393" s="71" t="n"/>
      <c r="C393" s="72" t="n"/>
      <c r="G393" s="72" t="n"/>
      <c r="H393" s="72" t="n"/>
      <c r="I393" s="72" t="n"/>
      <c r="J393" s="72" t="n"/>
      <c r="K393" s="72" t="n"/>
      <c r="L393" s="72" t="n"/>
      <c r="M393" s="72" t="n"/>
      <c r="N393" s="72" t="n"/>
      <c r="O393" s="72" t="n"/>
      <c r="P393" s="72" t="n"/>
      <c r="W393" s="71" t="n"/>
    </row>
    <row r="394" ht="20.25" customHeight="1">
      <c r="A394" s="71" t="n"/>
      <c r="B394" s="71" t="n"/>
      <c r="C394" s="72" t="n"/>
      <c r="G394" s="72" t="n"/>
      <c r="H394" s="72" t="n"/>
      <c r="I394" s="72" t="n"/>
      <c r="J394" s="72" t="n"/>
      <c r="K394" s="72" t="n"/>
      <c r="L394" s="72" t="n"/>
      <c r="M394" s="72" t="n"/>
      <c r="N394" s="72" t="n"/>
      <c r="O394" s="72" t="n"/>
      <c r="P394" s="72" t="n"/>
      <c r="W394" s="71" t="n"/>
    </row>
    <row r="395" ht="20.25" customHeight="1">
      <c r="A395" s="71" t="n"/>
      <c r="B395" s="71" t="n"/>
      <c r="C395" s="72" t="n"/>
      <c r="G395" s="72" t="n"/>
      <c r="H395" s="72" t="n"/>
      <c r="I395" s="72" t="n"/>
      <c r="J395" s="72" t="n"/>
      <c r="K395" s="72" t="n"/>
      <c r="L395" s="72" t="n"/>
      <c r="M395" s="72" t="n"/>
      <c r="N395" s="72" t="n"/>
      <c r="O395" s="72" t="n"/>
      <c r="P395" s="72" t="n"/>
      <c r="W395" s="71" t="n"/>
    </row>
    <row r="396" ht="20.25" customHeight="1">
      <c r="A396" s="71" t="n"/>
      <c r="B396" s="71" t="n"/>
      <c r="C396" s="72" t="n"/>
      <c r="G396" s="72" t="n"/>
      <c r="H396" s="72" t="n"/>
      <c r="I396" s="72" t="n"/>
      <c r="J396" s="72" t="n"/>
      <c r="K396" s="72" t="n"/>
      <c r="L396" s="72" t="n"/>
      <c r="M396" s="72" t="n"/>
      <c r="N396" s="72" t="n"/>
      <c r="O396" s="72" t="n"/>
      <c r="P396" s="72" t="n"/>
      <c r="W396" s="71" t="n"/>
    </row>
    <row r="397" ht="20.25" customHeight="1">
      <c r="A397" s="71" t="n"/>
      <c r="B397" s="71" t="n"/>
      <c r="C397" s="72" t="n"/>
      <c r="G397" s="72" t="n"/>
      <c r="H397" s="72" t="n"/>
      <c r="I397" s="72" t="n"/>
      <c r="J397" s="72" t="n"/>
      <c r="K397" s="72" t="n"/>
      <c r="L397" s="72" t="n"/>
      <c r="M397" s="72" t="n"/>
      <c r="N397" s="72" t="n"/>
      <c r="O397" s="72" t="n"/>
      <c r="P397" s="72" t="n"/>
      <c r="W397" s="71" t="n"/>
    </row>
    <row r="398" ht="20.25" customHeight="1">
      <c r="A398" s="71" t="n"/>
      <c r="B398" s="71" t="n"/>
      <c r="C398" s="72" t="n"/>
      <c r="G398" s="72" t="n"/>
      <c r="H398" s="72" t="n"/>
      <c r="I398" s="72" t="n"/>
      <c r="J398" s="72" t="n"/>
      <c r="K398" s="72" t="n"/>
      <c r="L398" s="72" t="n"/>
      <c r="M398" s="72" t="n"/>
      <c r="N398" s="72" t="n"/>
      <c r="O398" s="72" t="n"/>
      <c r="P398" s="72" t="n"/>
      <c r="W398" s="71" t="n"/>
    </row>
    <row r="399" ht="20.25" customHeight="1">
      <c r="A399" s="71" t="n"/>
      <c r="B399" s="71" t="n"/>
      <c r="C399" s="72" t="n"/>
      <c r="G399" s="72" t="n"/>
      <c r="H399" s="72" t="n"/>
      <c r="I399" s="72" t="n"/>
      <c r="J399" s="72" t="n"/>
      <c r="K399" s="72" t="n"/>
      <c r="L399" s="72" t="n"/>
      <c r="M399" s="72" t="n"/>
      <c r="N399" s="72" t="n"/>
      <c r="O399" s="72" t="n"/>
      <c r="P399" s="72" t="n"/>
      <c r="W399" s="71" t="n"/>
    </row>
    <row r="400" ht="20.25" customHeight="1">
      <c r="A400" s="71" t="n"/>
      <c r="B400" s="71" t="n"/>
      <c r="C400" s="72" t="n"/>
      <c r="G400" s="72" t="n"/>
      <c r="H400" s="72" t="n"/>
      <c r="I400" s="72" t="n"/>
      <c r="J400" s="72" t="n"/>
      <c r="K400" s="72" t="n"/>
      <c r="L400" s="72" t="n"/>
      <c r="M400" s="72" t="n"/>
      <c r="N400" s="72" t="n"/>
      <c r="O400" s="72" t="n"/>
      <c r="P400" s="72" t="n"/>
      <c r="W400" s="71" t="n"/>
    </row>
    <row r="401" ht="20.25" customHeight="1">
      <c r="A401" s="71" t="n"/>
      <c r="B401" s="71" t="n"/>
      <c r="C401" s="72" t="n"/>
      <c r="G401" s="72" t="n"/>
      <c r="H401" s="72" t="n"/>
      <c r="I401" s="72" t="n"/>
      <c r="J401" s="72" t="n"/>
      <c r="K401" s="72" t="n"/>
      <c r="L401" s="72" t="n"/>
      <c r="M401" s="72" t="n"/>
      <c r="N401" s="72" t="n"/>
      <c r="O401" s="72" t="n"/>
      <c r="P401" s="72" t="n"/>
      <c r="W401" s="71" t="n"/>
    </row>
    <row r="402" ht="20.25" customHeight="1">
      <c r="A402" s="71" t="n"/>
      <c r="B402" s="71" t="n"/>
      <c r="C402" s="72" t="n"/>
      <c r="G402" s="72" t="n"/>
      <c r="H402" s="72" t="n"/>
      <c r="I402" s="72" t="n"/>
      <c r="J402" s="72" t="n"/>
      <c r="K402" s="72" t="n"/>
      <c r="L402" s="72" t="n"/>
      <c r="M402" s="72" t="n"/>
      <c r="N402" s="72" t="n"/>
      <c r="O402" s="72" t="n"/>
      <c r="P402" s="72" t="n"/>
      <c r="W402" s="71" t="n"/>
    </row>
    <row r="403" ht="20.25" customHeight="1">
      <c r="A403" s="71" t="n"/>
      <c r="B403" s="71" t="n"/>
      <c r="C403" s="72" t="n"/>
      <c r="G403" s="72" t="n"/>
      <c r="H403" s="72" t="n"/>
      <c r="I403" s="72" t="n"/>
      <c r="J403" s="72" t="n"/>
      <c r="K403" s="72" t="n"/>
      <c r="L403" s="72" t="n"/>
      <c r="M403" s="72" t="n"/>
      <c r="N403" s="72" t="n"/>
      <c r="O403" s="72" t="n"/>
      <c r="P403" s="72" t="n"/>
      <c r="W403" s="71" t="n"/>
    </row>
    <row r="404" ht="20.25" customHeight="1">
      <c r="A404" s="71" t="n"/>
      <c r="B404" s="71" t="n"/>
      <c r="C404" s="72" t="n"/>
      <c r="G404" s="72" t="n"/>
      <c r="H404" s="72" t="n"/>
      <c r="I404" s="72" t="n"/>
      <c r="J404" s="72" t="n"/>
      <c r="K404" s="72" t="n"/>
      <c r="L404" s="72" t="n"/>
      <c r="M404" s="72" t="n"/>
      <c r="N404" s="72" t="n"/>
      <c r="O404" s="72" t="n"/>
      <c r="P404" s="72" t="n"/>
      <c r="W404" s="71" t="n"/>
    </row>
    <row r="405" ht="20.25" customHeight="1">
      <c r="A405" s="71" t="n"/>
      <c r="B405" s="71" t="n"/>
      <c r="C405" s="72" t="n"/>
      <c r="G405" s="72" t="n"/>
      <c r="H405" s="72" t="n"/>
      <c r="I405" s="72" t="n"/>
      <c r="J405" s="72" t="n"/>
      <c r="K405" s="72" t="n"/>
      <c r="L405" s="72" t="n"/>
      <c r="M405" s="72" t="n"/>
      <c r="N405" s="72" t="n"/>
      <c r="O405" s="72" t="n"/>
      <c r="P405" s="72" t="n"/>
      <c r="W405" s="71" t="n"/>
    </row>
    <row r="406" ht="20.25" customHeight="1">
      <c r="A406" s="71" t="n"/>
      <c r="B406" s="71" t="n"/>
      <c r="C406" s="72" t="n"/>
      <c r="G406" s="72" t="n"/>
      <c r="H406" s="72" t="n"/>
      <c r="I406" s="72" t="n"/>
      <c r="J406" s="72" t="n"/>
      <c r="K406" s="72" t="n"/>
      <c r="L406" s="72" t="n"/>
      <c r="M406" s="72" t="n"/>
      <c r="N406" s="72" t="n"/>
      <c r="O406" s="72" t="n"/>
      <c r="P406" s="72" t="n"/>
      <c r="W406" s="71" t="n"/>
    </row>
    <row r="407" ht="20.25" customHeight="1">
      <c r="A407" s="71" t="n"/>
      <c r="B407" s="71" t="n"/>
      <c r="C407" s="72" t="n"/>
      <c r="G407" s="72" t="n"/>
      <c r="H407" s="72" t="n"/>
      <c r="I407" s="72" t="n"/>
      <c r="J407" s="72" t="n"/>
      <c r="K407" s="72" t="n"/>
      <c r="L407" s="72" t="n"/>
      <c r="M407" s="72" t="n"/>
      <c r="N407" s="72" t="n"/>
      <c r="O407" s="72" t="n"/>
      <c r="P407" s="72" t="n"/>
      <c r="W407" s="71" t="n"/>
    </row>
    <row r="408" ht="20.25" customHeight="1">
      <c r="A408" s="71" t="n"/>
      <c r="B408" s="71" t="n"/>
      <c r="C408" s="72" t="n"/>
      <c r="G408" s="72" t="n"/>
      <c r="H408" s="72" t="n"/>
      <c r="I408" s="72" t="n"/>
      <c r="J408" s="72" t="n"/>
      <c r="K408" s="72" t="n"/>
      <c r="L408" s="72" t="n"/>
      <c r="M408" s="72" t="n"/>
      <c r="N408" s="72" t="n"/>
      <c r="O408" s="72" t="n"/>
      <c r="P408" s="72" t="n"/>
      <c r="W408" s="71" t="n"/>
    </row>
    <row r="409" ht="20.25" customHeight="1">
      <c r="A409" s="71" t="n"/>
      <c r="B409" s="71" t="n"/>
      <c r="C409" s="72" t="n"/>
      <c r="G409" s="72" t="n"/>
      <c r="H409" s="72" t="n"/>
      <c r="I409" s="72" t="n"/>
      <c r="J409" s="72" t="n"/>
      <c r="K409" s="72" t="n"/>
      <c r="L409" s="72" t="n"/>
      <c r="M409" s="72" t="n"/>
      <c r="N409" s="72" t="n"/>
      <c r="O409" s="72" t="n"/>
      <c r="P409" s="72" t="n"/>
      <c r="W409" s="71" t="n"/>
    </row>
    <row r="410" ht="20.25" customHeight="1">
      <c r="A410" s="71" t="n"/>
      <c r="B410" s="71" t="n"/>
      <c r="C410" s="72" t="n"/>
      <c r="G410" s="72" t="n"/>
      <c r="H410" s="72" t="n"/>
      <c r="I410" s="72" t="n"/>
      <c r="J410" s="72" t="n"/>
      <c r="K410" s="72" t="n"/>
      <c r="L410" s="72" t="n"/>
      <c r="M410" s="72" t="n"/>
      <c r="N410" s="72" t="n"/>
      <c r="O410" s="72" t="n"/>
      <c r="P410" s="72" t="n"/>
      <c r="W410" s="71" t="n"/>
    </row>
    <row r="411" ht="20.25" customHeight="1">
      <c r="A411" s="71" t="n"/>
      <c r="B411" s="71" t="n"/>
      <c r="C411" s="72" t="n"/>
      <c r="G411" s="72" t="n"/>
      <c r="H411" s="72" t="n"/>
      <c r="I411" s="72" t="n"/>
      <c r="J411" s="72" t="n"/>
      <c r="K411" s="72" t="n"/>
      <c r="L411" s="72" t="n"/>
      <c r="M411" s="72" t="n"/>
      <c r="N411" s="72" t="n"/>
      <c r="O411" s="72" t="n"/>
      <c r="P411" s="72" t="n"/>
      <c r="W411" s="71" t="n"/>
    </row>
    <row r="412" ht="20.25" customHeight="1">
      <c r="A412" s="71" t="n"/>
      <c r="B412" s="71" t="n"/>
      <c r="C412" s="72" t="n"/>
      <c r="G412" s="72" t="n"/>
      <c r="H412" s="72" t="n"/>
      <c r="I412" s="72" t="n"/>
      <c r="J412" s="72" t="n"/>
      <c r="K412" s="72" t="n"/>
      <c r="L412" s="72" t="n"/>
      <c r="M412" s="72" t="n"/>
      <c r="N412" s="72" t="n"/>
      <c r="O412" s="72" t="n"/>
      <c r="P412" s="72" t="n"/>
      <c r="W412" s="71" t="n"/>
    </row>
    <row r="413" ht="20.25" customHeight="1">
      <c r="A413" s="71" t="n"/>
      <c r="B413" s="71" t="n"/>
      <c r="C413" s="72" t="n"/>
      <c r="G413" s="72" t="n"/>
      <c r="H413" s="72" t="n"/>
      <c r="I413" s="72" t="n"/>
      <c r="J413" s="72" t="n"/>
      <c r="K413" s="72" t="n"/>
      <c r="L413" s="72" t="n"/>
      <c r="M413" s="72" t="n"/>
      <c r="N413" s="72" t="n"/>
      <c r="O413" s="72" t="n"/>
      <c r="P413" s="72" t="n"/>
      <c r="W413" s="71" t="n"/>
    </row>
    <row r="414" ht="20.25" customHeight="1">
      <c r="A414" s="71" t="n"/>
      <c r="B414" s="71" t="n"/>
      <c r="C414" s="72" t="n"/>
      <c r="G414" s="72" t="n"/>
      <c r="H414" s="72" t="n"/>
      <c r="I414" s="72" t="n"/>
      <c r="J414" s="72" t="n"/>
      <c r="K414" s="72" t="n"/>
      <c r="L414" s="72" t="n"/>
      <c r="M414" s="72" t="n"/>
      <c r="N414" s="72" t="n"/>
      <c r="O414" s="72" t="n"/>
      <c r="P414" s="72" t="n"/>
      <c r="W414" s="71" t="n"/>
    </row>
    <row r="415" ht="20.25" customHeight="1">
      <c r="A415" s="71" t="n"/>
      <c r="B415" s="71" t="n"/>
      <c r="C415" s="72" t="n"/>
      <c r="G415" s="72" t="n"/>
      <c r="H415" s="72" t="n"/>
      <c r="I415" s="72" t="n"/>
      <c r="J415" s="72" t="n"/>
      <c r="K415" s="72" t="n"/>
      <c r="L415" s="72" t="n"/>
      <c r="M415" s="72" t="n"/>
      <c r="N415" s="72" t="n"/>
      <c r="O415" s="72" t="n"/>
      <c r="P415" s="72" t="n"/>
      <c r="W415" s="71" t="n"/>
    </row>
    <row r="416" ht="20.25" customHeight="1">
      <c r="A416" s="71" t="n"/>
      <c r="B416" s="71" t="n"/>
      <c r="C416" s="72" t="n"/>
      <c r="G416" s="72" t="n"/>
      <c r="H416" s="72" t="n"/>
      <c r="I416" s="72" t="n"/>
      <c r="J416" s="72" t="n"/>
      <c r="K416" s="72" t="n"/>
      <c r="L416" s="72" t="n"/>
      <c r="M416" s="72" t="n"/>
      <c r="N416" s="72" t="n"/>
      <c r="O416" s="72" t="n"/>
      <c r="P416" s="72" t="n"/>
      <c r="W416" s="71" t="n"/>
    </row>
    <row r="417" ht="20.25" customHeight="1">
      <c r="A417" s="71" t="n"/>
      <c r="B417" s="71" t="n"/>
      <c r="C417" s="72" t="n"/>
      <c r="G417" s="72" t="n"/>
      <c r="H417" s="72" t="n"/>
      <c r="I417" s="72" t="n"/>
      <c r="J417" s="72" t="n"/>
      <c r="K417" s="72" t="n"/>
      <c r="L417" s="72" t="n"/>
      <c r="M417" s="72" t="n"/>
      <c r="N417" s="72" t="n"/>
      <c r="O417" s="72" t="n"/>
      <c r="P417" s="72" t="n"/>
      <c r="W417" s="71" t="n"/>
    </row>
    <row r="418" ht="20.25" customHeight="1">
      <c r="A418" s="71" t="n"/>
      <c r="B418" s="71" t="n"/>
      <c r="C418" s="72" t="n"/>
      <c r="G418" s="72" t="n"/>
      <c r="H418" s="72" t="n"/>
      <c r="I418" s="72" t="n"/>
      <c r="J418" s="72" t="n"/>
      <c r="K418" s="72" t="n"/>
      <c r="L418" s="72" t="n"/>
      <c r="M418" s="72" t="n"/>
      <c r="N418" s="72" t="n"/>
      <c r="O418" s="72" t="n"/>
      <c r="P418" s="72" t="n"/>
      <c r="W418" s="71" t="n"/>
    </row>
    <row r="419" ht="20.25" customHeight="1">
      <c r="A419" s="71" t="n"/>
      <c r="B419" s="71" t="n"/>
      <c r="C419" s="72" t="n"/>
      <c r="G419" s="72" t="n"/>
      <c r="H419" s="72" t="n"/>
      <c r="I419" s="72" t="n"/>
      <c r="J419" s="72" t="n"/>
      <c r="K419" s="72" t="n"/>
      <c r="L419" s="72" t="n"/>
      <c r="M419" s="72" t="n"/>
      <c r="N419" s="72" t="n"/>
      <c r="O419" s="72" t="n"/>
      <c r="P419" s="72" t="n"/>
      <c r="W419" s="71" t="n"/>
    </row>
    <row r="420" ht="20.25" customHeight="1">
      <c r="A420" s="71" t="n"/>
      <c r="B420" s="71" t="n"/>
      <c r="C420" s="72" t="n"/>
      <c r="G420" s="72" t="n"/>
      <c r="H420" s="72" t="n"/>
      <c r="I420" s="72" t="n"/>
      <c r="J420" s="72" t="n"/>
      <c r="K420" s="72" t="n"/>
      <c r="L420" s="72" t="n"/>
      <c r="M420" s="72" t="n"/>
      <c r="N420" s="72" t="n"/>
      <c r="O420" s="72" t="n"/>
      <c r="P420" s="72" t="n"/>
      <c r="W420" s="71" t="n"/>
    </row>
    <row r="421" ht="20.25" customHeight="1">
      <c r="A421" s="71" t="n"/>
      <c r="B421" s="71" t="n"/>
      <c r="C421" s="72" t="n"/>
      <c r="G421" s="72" t="n"/>
      <c r="H421" s="72" t="n"/>
      <c r="I421" s="72" t="n"/>
      <c r="J421" s="72" t="n"/>
      <c r="K421" s="72" t="n"/>
      <c r="L421" s="72" t="n"/>
      <c r="M421" s="72" t="n"/>
      <c r="N421" s="72" t="n"/>
      <c r="O421" s="72" t="n"/>
      <c r="P421" s="72" t="n"/>
      <c r="W421" s="71" t="n"/>
    </row>
    <row r="422" ht="20.25" customHeight="1">
      <c r="A422" s="71" t="n"/>
      <c r="B422" s="71" t="n"/>
      <c r="C422" s="72" t="n"/>
      <c r="G422" s="72" t="n"/>
      <c r="H422" s="72" t="n"/>
      <c r="I422" s="72" t="n"/>
      <c r="J422" s="72" t="n"/>
      <c r="K422" s="72" t="n"/>
      <c r="L422" s="72" t="n"/>
      <c r="M422" s="72" t="n"/>
      <c r="N422" s="72" t="n"/>
      <c r="O422" s="72" t="n"/>
      <c r="P422" s="72" t="n"/>
      <c r="W422" s="71" t="n"/>
    </row>
    <row r="423" ht="20.25" customHeight="1">
      <c r="A423" s="71" t="n"/>
      <c r="B423" s="71" t="n"/>
      <c r="C423" s="72" t="n"/>
      <c r="G423" s="72" t="n"/>
      <c r="H423" s="72" t="n"/>
      <c r="I423" s="72" t="n"/>
      <c r="J423" s="72" t="n"/>
      <c r="K423" s="72" t="n"/>
      <c r="L423" s="72" t="n"/>
      <c r="M423" s="72" t="n"/>
      <c r="N423" s="72" t="n"/>
      <c r="O423" s="72" t="n"/>
      <c r="P423" s="72" t="n"/>
      <c r="W423" s="71" t="n"/>
    </row>
    <row r="424" ht="20.25" customHeight="1">
      <c r="A424" s="71" t="n"/>
      <c r="B424" s="71" t="n"/>
      <c r="C424" s="72" t="n"/>
      <c r="G424" s="72" t="n"/>
      <c r="H424" s="72" t="n"/>
      <c r="I424" s="72" t="n"/>
      <c r="J424" s="72" t="n"/>
      <c r="K424" s="72" t="n"/>
      <c r="L424" s="72" t="n"/>
      <c r="M424" s="72" t="n"/>
      <c r="N424" s="72" t="n"/>
      <c r="O424" s="72" t="n"/>
      <c r="P424" s="72" t="n"/>
      <c r="W424" s="71" t="n"/>
    </row>
    <row r="425" ht="20.25" customHeight="1">
      <c r="A425" s="71" t="n"/>
      <c r="B425" s="71" t="n"/>
      <c r="C425" s="72" t="n"/>
      <c r="G425" s="72" t="n"/>
      <c r="H425" s="72" t="n"/>
      <c r="I425" s="72" t="n"/>
      <c r="J425" s="72" t="n"/>
      <c r="K425" s="72" t="n"/>
      <c r="L425" s="72" t="n"/>
      <c r="M425" s="72" t="n"/>
      <c r="N425" s="72" t="n"/>
      <c r="O425" s="72" t="n"/>
      <c r="P425" s="72" t="n"/>
      <c r="W425" s="71" t="n"/>
    </row>
    <row r="426" ht="20.25" customHeight="1">
      <c r="A426" s="71" t="n"/>
      <c r="B426" s="71" t="n"/>
      <c r="C426" s="72" t="n"/>
      <c r="G426" s="72" t="n"/>
      <c r="H426" s="72" t="n"/>
      <c r="I426" s="72" t="n"/>
      <c r="J426" s="72" t="n"/>
      <c r="K426" s="72" t="n"/>
      <c r="L426" s="72" t="n"/>
      <c r="M426" s="72" t="n"/>
      <c r="N426" s="72" t="n"/>
      <c r="O426" s="72" t="n"/>
      <c r="P426" s="72" t="n"/>
      <c r="W426" s="71" t="n"/>
    </row>
    <row r="427" ht="20.25" customHeight="1">
      <c r="A427" s="71" t="n"/>
      <c r="B427" s="71" t="n"/>
      <c r="C427" s="72" t="n"/>
      <c r="G427" s="72" t="n"/>
      <c r="H427" s="72" t="n"/>
      <c r="I427" s="72" t="n"/>
      <c r="J427" s="72" t="n"/>
      <c r="K427" s="72" t="n"/>
      <c r="L427" s="72" t="n"/>
      <c r="M427" s="72" t="n"/>
      <c r="N427" s="72" t="n"/>
      <c r="O427" s="72" t="n"/>
      <c r="P427" s="72" t="n"/>
      <c r="W427" s="71" t="n"/>
    </row>
    <row r="428" ht="20.25" customHeight="1">
      <c r="A428" s="71" t="n"/>
      <c r="B428" s="71" t="n"/>
      <c r="C428" s="72" t="n"/>
      <c r="G428" s="72" t="n"/>
      <c r="H428" s="72" t="n"/>
      <c r="I428" s="72" t="n"/>
      <c r="J428" s="72" t="n"/>
      <c r="K428" s="72" t="n"/>
      <c r="L428" s="72" t="n"/>
      <c r="M428" s="72" t="n"/>
      <c r="N428" s="72" t="n"/>
      <c r="O428" s="72" t="n"/>
      <c r="P428" s="72" t="n"/>
      <c r="W428" s="71" t="n"/>
    </row>
    <row r="429" ht="20.25" customHeight="1">
      <c r="A429" s="71" t="n"/>
      <c r="B429" s="71" t="n"/>
      <c r="C429" s="72" t="n"/>
      <c r="G429" s="72" t="n"/>
      <c r="H429" s="72" t="n"/>
      <c r="I429" s="72" t="n"/>
      <c r="J429" s="72" t="n"/>
      <c r="K429" s="72" t="n"/>
      <c r="L429" s="72" t="n"/>
      <c r="M429" s="72" t="n"/>
      <c r="N429" s="72" t="n"/>
      <c r="O429" s="72" t="n"/>
      <c r="P429" s="72" t="n"/>
      <c r="W429" s="71" t="n"/>
    </row>
    <row r="430" ht="20.25" customHeight="1">
      <c r="A430" s="71" t="n"/>
      <c r="B430" s="71" t="n"/>
      <c r="C430" s="72" t="n"/>
      <c r="G430" s="72" t="n"/>
      <c r="H430" s="72" t="n"/>
      <c r="I430" s="72" t="n"/>
      <c r="J430" s="72" t="n"/>
      <c r="K430" s="72" t="n"/>
      <c r="L430" s="72" t="n"/>
      <c r="M430" s="72" t="n"/>
      <c r="N430" s="72" t="n"/>
      <c r="O430" s="72" t="n"/>
      <c r="P430" s="72" t="n"/>
      <c r="W430" s="71" t="n"/>
    </row>
    <row r="431" ht="20.25" customHeight="1">
      <c r="A431" s="71" t="n"/>
      <c r="B431" s="71" t="n"/>
      <c r="C431" s="72" t="n"/>
      <c r="G431" s="72" t="n"/>
      <c r="H431" s="72" t="n"/>
      <c r="I431" s="72" t="n"/>
      <c r="J431" s="72" t="n"/>
      <c r="K431" s="72" t="n"/>
      <c r="L431" s="72" t="n"/>
      <c r="M431" s="72" t="n"/>
      <c r="N431" s="72" t="n"/>
      <c r="O431" s="72" t="n"/>
      <c r="P431" s="72" t="n"/>
      <c r="W431" s="71" t="n"/>
    </row>
    <row r="432" ht="20.25" customHeight="1">
      <c r="A432" s="71" t="n"/>
      <c r="B432" s="71" t="n"/>
      <c r="C432" s="72" t="n"/>
      <c r="G432" s="72" t="n"/>
      <c r="H432" s="72" t="n"/>
      <c r="I432" s="72" t="n"/>
      <c r="J432" s="72" t="n"/>
      <c r="K432" s="72" t="n"/>
      <c r="L432" s="72" t="n"/>
      <c r="M432" s="72" t="n"/>
      <c r="N432" s="72" t="n"/>
      <c r="O432" s="72" t="n"/>
      <c r="P432" s="72" t="n"/>
      <c r="W432" s="71" t="n"/>
    </row>
    <row r="433" ht="20.25" customHeight="1">
      <c r="A433" s="71" t="n"/>
      <c r="B433" s="71" t="n"/>
      <c r="C433" s="72" t="n"/>
      <c r="G433" s="72" t="n"/>
      <c r="H433" s="72" t="n"/>
      <c r="I433" s="72" t="n"/>
      <c r="J433" s="72" t="n"/>
      <c r="K433" s="72" t="n"/>
      <c r="L433" s="72" t="n"/>
      <c r="M433" s="72" t="n"/>
      <c r="N433" s="72" t="n"/>
      <c r="O433" s="72" t="n"/>
      <c r="P433" s="72" t="n"/>
      <c r="W433" s="71" t="n"/>
    </row>
    <row r="434" ht="20.25" customHeight="1">
      <c r="A434" s="71" t="n"/>
      <c r="B434" s="71" t="n"/>
      <c r="C434" s="72" t="n"/>
      <c r="G434" s="72" t="n"/>
      <c r="H434" s="72" t="n"/>
      <c r="I434" s="72" t="n"/>
      <c r="J434" s="72" t="n"/>
      <c r="K434" s="72" t="n"/>
      <c r="L434" s="72" t="n"/>
      <c r="M434" s="72" t="n"/>
      <c r="N434" s="72" t="n"/>
      <c r="O434" s="72" t="n"/>
      <c r="P434" s="72" t="n"/>
      <c r="W434" s="71" t="n"/>
    </row>
    <row r="435" ht="20.25" customHeight="1">
      <c r="A435" s="71" t="n"/>
      <c r="B435" s="71" t="n"/>
      <c r="C435" s="72" t="n"/>
      <c r="G435" s="72" t="n"/>
      <c r="H435" s="72" t="n"/>
      <c r="I435" s="72" t="n"/>
      <c r="J435" s="72" t="n"/>
      <c r="K435" s="72" t="n"/>
      <c r="L435" s="72" t="n"/>
      <c r="M435" s="72" t="n"/>
      <c r="N435" s="72" t="n"/>
      <c r="O435" s="72" t="n"/>
      <c r="P435" s="72" t="n"/>
      <c r="W435" s="71" t="n"/>
    </row>
    <row r="436" ht="20.25" customHeight="1">
      <c r="A436" s="71" t="n"/>
      <c r="B436" s="71" t="n"/>
      <c r="C436" s="72" t="n"/>
      <c r="G436" s="72" t="n"/>
      <c r="H436" s="72" t="n"/>
      <c r="I436" s="72" t="n"/>
      <c r="J436" s="72" t="n"/>
      <c r="K436" s="72" t="n"/>
      <c r="L436" s="72" t="n"/>
      <c r="M436" s="72" t="n"/>
      <c r="N436" s="72" t="n"/>
      <c r="O436" s="72" t="n"/>
      <c r="P436" s="72" t="n"/>
      <c r="W436" s="71" t="n"/>
    </row>
    <row r="437" ht="20.25" customHeight="1">
      <c r="A437" s="71" t="n"/>
      <c r="B437" s="71" t="n"/>
      <c r="C437" s="72" t="n"/>
      <c r="G437" s="72" t="n"/>
      <c r="H437" s="72" t="n"/>
      <c r="I437" s="72" t="n"/>
      <c r="J437" s="72" t="n"/>
      <c r="K437" s="72" t="n"/>
      <c r="L437" s="72" t="n"/>
      <c r="M437" s="72" t="n"/>
      <c r="N437" s="72" t="n"/>
      <c r="O437" s="72" t="n"/>
      <c r="P437" s="72" t="n"/>
      <c r="W437" s="71" t="n"/>
    </row>
    <row r="438" ht="20.25" customHeight="1">
      <c r="A438" s="71" t="n"/>
      <c r="B438" s="71" t="n"/>
      <c r="C438" s="72" t="n"/>
      <c r="G438" s="72" t="n"/>
      <c r="H438" s="72" t="n"/>
      <c r="I438" s="72" t="n"/>
      <c r="J438" s="72" t="n"/>
      <c r="K438" s="72" t="n"/>
      <c r="L438" s="72" t="n"/>
      <c r="M438" s="72" t="n"/>
      <c r="N438" s="72" t="n"/>
      <c r="O438" s="72" t="n"/>
      <c r="P438" s="72" t="n"/>
      <c r="W438" s="71" t="n"/>
    </row>
    <row r="439" ht="20.25" customHeight="1">
      <c r="A439" s="71" t="n"/>
      <c r="B439" s="71" t="n"/>
      <c r="C439" s="72" t="n"/>
      <c r="G439" s="72" t="n"/>
      <c r="H439" s="72" t="n"/>
      <c r="I439" s="72" t="n"/>
      <c r="J439" s="72" t="n"/>
      <c r="K439" s="72" t="n"/>
      <c r="L439" s="72" t="n"/>
      <c r="M439" s="72" t="n"/>
      <c r="N439" s="72" t="n"/>
      <c r="O439" s="72" t="n"/>
      <c r="P439" s="72" t="n"/>
      <c r="W439" s="71" t="n"/>
    </row>
    <row r="440" ht="20.25" customHeight="1">
      <c r="A440" s="71" t="n"/>
      <c r="B440" s="71" t="n"/>
      <c r="C440" s="72" t="n"/>
      <c r="G440" s="72" t="n"/>
      <c r="H440" s="72" t="n"/>
      <c r="I440" s="72" t="n"/>
      <c r="J440" s="72" t="n"/>
      <c r="K440" s="72" t="n"/>
      <c r="L440" s="72" t="n"/>
      <c r="M440" s="72" t="n"/>
      <c r="N440" s="72" t="n"/>
      <c r="O440" s="72" t="n"/>
      <c r="P440" s="72" t="n"/>
      <c r="W440" s="71" t="n"/>
    </row>
    <row r="441" ht="20.25" customHeight="1">
      <c r="A441" s="71" t="n"/>
      <c r="B441" s="71" t="n"/>
      <c r="C441" s="72" t="n"/>
      <c r="G441" s="72" t="n"/>
      <c r="H441" s="72" t="n"/>
      <c r="I441" s="72" t="n"/>
      <c r="J441" s="72" t="n"/>
      <c r="K441" s="72" t="n"/>
      <c r="L441" s="72" t="n"/>
      <c r="M441" s="72" t="n"/>
      <c r="N441" s="72" t="n"/>
      <c r="O441" s="72" t="n"/>
      <c r="P441" s="72" t="n"/>
      <c r="W441" s="71" t="n"/>
    </row>
    <row r="442" ht="20.25" customHeight="1">
      <c r="A442" s="71" t="n"/>
      <c r="B442" s="71" t="n"/>
      <c r="C442" s="72" t="n"/>
      <c r="G442" s="72" t="n"/>
      <c r="H442" s="72" t="n"/>
      <c r="I442" s="72" t="n"/>
      <c r="J442" s="72" t="n"/>
      <c r="K442" s="72" t="n"/>
      <c r="L442" s="72" t="n"/>
      <c r="M442" s="72" t="n"/>
      <c r="N442" s="72" t="n"/>
      <c r="O442" s="72" t="n"/>
      <c r="P442" s="72" t="n"/>
      <c r="W442" s="71" t="n"/>
    </row>
    <row r="443" ht="20.25" customHeight="1">
      <c r="A443" s="71" t="n"/>
      <c r="B443" s="71" t="n"/>
      <c r="C443" s="72" t="n"/>
      <c r="G443" s="72" t="n"/>
      <c r="H443" s="72" t="n"/>
      <c r="I443" s="72" t="n"/>
      <c r="J443" s="72" t="n"/>
      <c r="K443" s="72" t="n"/>
      <c r="L443" s="72" t="n"/>
      <c r="M443" s="72" t="n"/>
      <c r="N443" s="72" t="n"/>
      <c r="O443" s="72" t="n"/>
      <c r="P443" s="72" t="n"/>
      <c r="W443" s="71" t="n"/>
    </row>
    <row r="444" ht="20.25" customHeight="1">
      <c r="A444" s="71" t="n"/>
      <c r="B444" s="71" t="n"/>
      <c r="C444" s="72" t="n"/>
      <c r="G444" s="72" t="n"/>
      <c r="H444" s="72" t="n"/>
      <c r="I444" s="72" t="n"/>
      <c r="J444" s="72" t="n"/>
      <c r="K444" s="72" t="n"/>
      <c r="L444" s="72" t="n"/>
      <c r="M444" s="72" t="n"/>
      <c r="N444" s="72" t="n"/>
      <c r="O444" s="72" t="n"/>
      <c r="P444" s="72" t="n"/>
      <c r="W444" s="71" t="n"/>
    </row>
    <row r="445" ht="20.25" customHeight="1">
      <c r="A445" s="71" t="n"/>
      <c r="B445" s="71" t="n"/>
      <c r="C445" s="72" t="n"/>
      <c r="G445" s="72" t="n"/>
      <c r="H445" s="72" t="n"/>
      <c r="I445" s="72" t="n"/>
      <c r="J445" s="72" t="n"/>
      <c r="K445" s="72" t="n"/>
      <c r="L445" s="72" t="n"/>
      <c r="M445" s="72" t="n"/>
      <c r="N445" s="72" t="n"/>
      <c r="O445" s="72" t="n"/>
      <c r="P445" s="72" t="n"/>
      <c r="W445" s="71" t="n"/>
    </row>
    <row r="446" ht="20.25" customHeight="1">
      <c r="A446" s="71" t="n"/>
      <c r="B446" s="71" t="n"/>
      <c r="C446" s="72" t="n"/>
      <c r="G446" s="72" t="n"/>
      <c r="H446" s="72" t="n"/>
      <c r="I446" s="72" t="n"/>
      <c r="J446" s="72" t="n"/>
      <c r="K446" s="72" t="n"/>
      <c r="L446" s="72" t="n"/>
      <c r="M446" s="72" t="n"/>
      <c r="N446" s="72" t="n"/>
      <c r="O446" s="72" t="n"/>
      <c r="P446" s="72" t="n"/>
      <c r="W446" s="71" t="n"/>
    </row>
    <row r="447" ht="20.25" customHeight="1">
      <c r="A447" s="71" t="n"/>
      <c r="B447" s="71" t="n"/>
      <c r="C447" s="72" t="n"/>
      <c r="G447" s="72" t="n"/>
      <c r="H447" s="72" t="n"/>
      <c r="I447" s="72" t="n"/>
      <c r="J447" s="72" t="n"/>
      <c r="K447" s="72" t="n"/>
      <c r="L447" s="72" t="n"/>
      <c r="M447" s="72" t="n"/>
      <c r="N447" s="72" t="n"/>
      <c r="O447" s="72" t="n"/>
      <c r="P447" s="72" t="n"/>
      <c r="W447" s="71" t="n"/>
    </row>
    <row r="448" ht="20.25" customHeight="1">
      <c r="A448" s="71" t="n"/>
      <c r="B448" s="71" t="n"/>
      <c r="C448" s="72" t="n"/>
      <c r="G448" s="72" t="n"/>
      <c r="H448" s="72" t="n"/>
      <c r="I448" s="72" t="n"/>
      <c r="J448" s="72" t="n"/>
      <c r="K448" s="72" t="n"/>
      <c r="L448" s="72" t="n"/>
      <c r="M448" s="72" t="n"/>
      <c r="N448" s="72" t="n"/>
      <c r="O448" s="72" t="n"/>
      <c r="P448" s="72" t="n"/>
      <c r="W448" s="71" t="n"/>
    </row>
    <row r="449" ht="20.25" customHeight="1">
      <c r="A449" s="71" t="n"/>
      <c r="B449" s="71" t="n"/>
      <c r="C449" s="72" t="n"/>
      <c r="G449" s="72" t="n"/>
      <c r="H449" s="72" t="n"/>
      <c r="I449" s="72" t="n"/>
      <c r="J449" s="72" t="n"/>
      <c r="K449" s="72" t="n"/>
      <c r="L449" s="72" t="n"/>
      <c r="M449" s="72" t="n"/>
      <c r="N449" s="72" t="n"/>
      <c r="O449" s="72" t="n"/>
      <c r="P449" s="72" t="n"/>
      <c r="W449" s="71" t="n"/>
    </row>
    <row r="450" ht="20.25" customHeight="1">
      <c r="A450" s="71" t="n"/>
      <c r="B450" s="71" t="n"/>
      <c r="C450" s="72" t="n"/>
      <c r="G450" s="72" t="n"/>
      <c r="H450" s="72" t="n"/>
      <c r="I450" s="72" t="n"/>
      <c r="J450" s="72" t="n"/>
      <c r="K450" s="72" t="n"/>
      <c r="L450" s="72" t="n"/>
      <c r="M450" s="72" t="n"/>
      <c r="N450" s="72" t="n"/>
      <c r="O450" s="72" t="n"/>
      <c r="P450" s="72" t="n"/>
      <c r="W450" s="71" t="n"/>
    </row>
    <row r="451" ht="20.25" customHeight="1">
      <c r="A451" s="71" t="n"/>
      <c r="B451" s="71" t="n"/>
      <c r="C451" s="72" t="n"/>
      <c r="G451" s="72" t="n"/>
      <c r="H451" s="72" t="n"/>
      <c r="I451" s="72" t="n"/>
      <c r="J451" s="72" t="n"/>
      <c r="K451" s="72" t="n"/>
      <c r="L451" s="72" t="n"/>
      <c r="M451" s="72" t="n"/>
      <c r="N451" s="72" t="n"/>
      <c r="O451" s="72" t="n"/>
      <c r="P451" s="72" t="n"/>
      <c r="W451" s="71" t="n"/>
    </row>
    <row r="452" ht="20.25" customHeight="1">
      <c r="A452" s="71" t="n"/>
      <c r="B452" s="71" t="n"/>
      <c r="C452" s="72" t="n"/>
      <c r="G452" s="72" t="n"/>
      <c r="H452" s="72" t="n"/>
      <c r="I452" s="72" t="n"/>
      <c r="J452" s="72" t="n"/>
      <c r="K452" s="72" t="n"/>
      <c r="L452" s="72" t="n"/>
      <c r="M452" s="72" t="n"/>
      <c r="N452" s="72" t="n"/>
      <c r="O452" s="72" t="n"/>
      <c r="P452" s="72" t="n"/>
      <c r="W452" s="71" t="n"/>
    </row>
    <row r="453" ht="20.25" customHeight="1">
      <c r="A453" s="71" t="n"/>
      <c r="B453" s="71" t="n"/>
      <c r="C453" s="72" t="n"/>
      <c r="G453" s="72" t="n"/>
      <c r="H453" s="72" t="n"/>
      <c r="I453" s="72" t="n"/>
      <c r="J453" s="72" t="n"/>
      <c r="K453" s="72" t="n"/>
      <c r="L453" s="72" t="n"/>
      <c r="M453" s="72" t="n"/>
      <c r="N453" s="72" t="n"/>
      <c r="O453" s="72" t="n"/>
      <c r="P453" s="72" t="n"/>
      <c r="W453" s="71" t="n"/>
    </row>
    <row r="454" ht="20.25" customHeight="1">
      <c r="A454" s="71" t="n"/>
      <c r="B454" s="71" t="n"/>
      <c r="C454" s="72" t="n"/>
      <c r="G454" s="72" t="n"/>
      <c r="H454" s="72" t="n"/>
      <c r="I454" s="72" t="n"/>
      <c r="J454" s="72" t="n"/>
      <c r="K454" s="72" t="n"/>
      <c r="L454" s="72" t="n"/>
      <c r="M454" s="72" t="n"/>
      <c r="N454" s="72" t="n"/>
      <c r="O454" s="72" t="n"/>
      <c r="P454" s="72" t="n"/>
      <c r="W454" s="71" t="n"/>
    </row>
    <row r="455" ht="20.25" customHeight="1">
      <c r="A455" s="71" t="n"/>
      <c r="B455" s="71" t="n"/>
      <c r="C455" s="72" t="n"/>
      <c r="G455" s="72" t="n"/>
      <c r="H455" s="72" t="n"/>
      <c r="I455" s="72" t="n"/>
      <c r="J455" s="72" t="n"/>
      <c r="K455" s="72" t="n"/>
      <c r="L455" s="72" t="n"/>
      <c r="M455" s="72" t="n"/>
      <c r="N455" s="72" t="n"/>
      <c r="O455" s="72" t="n"/>
      <c r="P455" s="72" t="n"/>
      <c r="W455" s="71" t="n"/>
    </row>
    <row r="456" ht="20.25" customHeight="1">
      <c r="A456" s="71" t="n"/>
      <c r="B456" s="71" t="n"/>
      <c r="C456" s="72" t="n"/>
      <c r="G456" s="72" t="n"/>
      <c r="H456" s="72" t="n"/>
      <c r="I456" s="72" t="n"/>
      <c r="J456" s="72" t="n"/>
      <c r="K456" s="72" t="n"/>
      <c r="L456" s="72" t="n"/>
      <c r="M456" s="72" t="n"/>
      <c r="N456" s="72" t="n"/>
      <c r="O456" s="72" t="n"/>
      <c r="P456" s="72" t="n"/>
      <c r="W456" s="71" t="n"/>
    </row>
    <row r="457" ht="20.25" customHeight="1">
      <c r="A457" s="71" t="n"/>
      <c r="B457" s="71" t="n"/>
      <c r="C457" s="72" t="n"/>
      <c r="G457" s="72" t="n"/>
      <c r="H457" s="72" t="n"/>
      <c r="I457" s="72" t="n"/>
      <c r="J457" s="72" t="n"/>
      <c r="K457" s="72" t="n"/>
      <c r="L457" s="72" t="n"/>
      <c r="M457" s="72" t="n"/>
      <c r="N457" s="72" t="n"/>
      <c r="O457" s="72" t="n"/>
      <c r="P457" s="72" t="n"/>
      <c r="W457" s="71" t="n"/>
    </row>
    <row r="458" ht="20.25" customHeight="1">
      <c r="A458" s="71" t="n"/>
      <c r="B458" s="71" t="n"/>
      <c r="C458" s="72" t="n"/>
      <c r="G458" s="72" t="n"/>
      <c r="H458" s="72" t="n"/>
      <c r="I458" s="72" t="n"/>
      <c r="J458" s="72" t="n"/>
      <c r="K458" s="72" t="n"/>
      <c r="L458" s="72" t="n"/>
      <c r="M458" s="72" t="n"/>
      <c r="N458" s="72" t="n"/>
      <c r="O458" s="72" t="n"/>
      <c r="P458" s="72" t="n"/>
      <c r="W458" s="71" t="n"/>
    </row>
    <row r="459" ht="20.25" customHeight="1">
      <c r="A459" s="71" t="n"/>
      <c r="B459" s="71" t="n"/>
      <c r="C459" s="72" t="n"/>
      <c r="G459" s="72" t="n"/>
      <c r="H459" s="72" t="n"/>
      <c r="I459" s="72" t="n"/>
      <c r="J459" s="72" t="n"/>
      <c r="K459" s="72" t="n"/>
      <c r="L459" s="72" t="n"/>
      <c r="M459" s="72" t="n"/>
      <c r="N459" s="72" t="n"/>
      <c r="O459" s="72" t="n"/>
      <c r="P459" s="72" t="n"/>
      <c r="W459" s="71" t="n"/>
    </row>
    <row r="460" ht="20.25" customHeight="1">
      <c r="A460" s="71" t="n"/>
      <c r="B460" s="71" t="n"/>
      <c r="C460" s="72" t="n"/>
      <c r="G460" s="72" t="n"/>
      <c r="H460" s="72" t="n"/>
      <c r="I460" s="72" t="n"/>
      <c r="J460" s="72" t="n"/>
      <c r="K460" s="72" t="n"/>
      <c r="L460" s="72" t="n"/>
      <c r="M460" s="72" t="n"/>
      <c r="N460" s="72" t="n"/>
      <c r="O460" s="72" t="n"/>
      <c r="P460" s="72" t="n"/>
      <c r="W460" s="71" t="n"/>
    </row>
    <row r="461" ht="20.25" customHeight="1">
      <c r="A461" s="71" t="n"/>
      <c r="B461" s="71" t="n"/>
      <c r="C461" s="72" t="n"/>
      <c r="G461" s="72" t="n"/>
      <c r="H461" s="72" t="n"/>
      <c r="I461" s="72" t="n"/>
      <c r="J461" s="72" t="n"/>
      <c r="K461" s="72" t="n"/>
      <c r="L461" s="72" t="n"/>
      <c r="M461" s="72" t="n"/>
      <c r="N461" s="72" t="n"/>
      <c r="O461" s="72" t="n"/>
      <c r="P461" s="72" t="n"/>
      <c r="W461" s="71" t="n"/>
    </row>
    <row r="462" ht="20.25" customHeight="1">
      <c r="A462" s="71" t="n"/>
      <c r="B462" s="71" t="n"/>
      <c r="C462" s="72" t="n"/>
      <c r="G462" s="72" t="n"/>
      <c r="H462" s="72" t="n"/>
      <c r="I462" s="72" t="n"/>
      <c r="J462" s="72" t="n"/>
      <c r="K462" s="72" t="n"/>
      <c r="L462" s="72" t="n"/>
      <c r="M462" s="72" t="n"/>
      <c r="N462" s="72" t="n"/>
      <c r="O462" s="72" t="n"/>
      <c r="P462" s="72" t="n"/>
      <c r="W462" s="71" t="n"/>
    </row>
    <row r="463" ht="20.25" customHeight="1">
      <c r="A463" s="71" t="n"/>
      <c r="B463" s="71" t="n"/>
      <c r="C463" s="72" t="n"/>
      <c r="G463" s="72" t="n"/>
      <c r="H463" s="72" t="n"/>
      <c r="I463" s="72" t="n"/>
      <c r="J463" s="72" t="n"/>
      <c r="K463" s="72" t="n"/>
      <c r="L463" s="72" t="n"/>
      <c r="M463" s="72" t="n"/>
      <c r="N463" s="72" t="n"/>
      <c r="O463" s="72" t="n"/>
      <c r="P463" s="72" t="n"/>
      <c r="W463" s="71" t="n"/>
    </row>
    <row r="464" ht="20.25" customHeight="1">
      <c r="A464" s="71" t="n"/>
      <c r="B464" s="71" t="n"/>
      <c r="C464" s="72" t="n"/>
      <c r="G464" s="72" t="n"/>
      <c r="H464" s="72" t="n"/>
      <c r="I464" s="72" t="n"/>
      <c r="J464" s="72" t="n"/>
      <c r="K464" s="72" t="n"/>
      <c r="L464" s="72" t="n"/>
      <c r="M464" s="72" t="n"/>
      <c r="N464" s="72" t="n"/>
      <c r="O464" s="72" t="n"/>
      <c r="P464" s="72" t="n"/>
      <c r="W464" s="71" t="n"/>
    </row>
    <row r="465" ht="20.25" customHeight="1">
      <c r="A465" s="71" t="n"/>
      <c r="B465" s="71" t="n"/>
      <c r="C465" s="72" t="n"/>
      <c r="G465" s="72" t="n"/>
      <c r="H465" s="72" t="n"/>
      <c r="I465" s="72" t="n"/>
      <c r="J465" s="72" t="n"/>
      <c r="K465" s="72" t="n"/>
      <c r="L465" s="72" t="n"/>
      <c r="M465" s="72" t="n"/>
      <c r="N465" s="72" t="n"/>
      <c r="O465" s="72" t="n"/>
      <c r="P465" s="72" t="n"/>
      <c r="W465" s="71" t="n"/>
    </row>
    <row r="466" ht="20.25" customHeight="1">
      <c r="A466" s="71" t="n"/>
      <c r="B466" s="71" t="n"/>
      <c r="C466" s="72" t="n"/>
      <c r="G466" s="72" t="n"/>
      <c r="H466" s="72" t="n"/>
      <c r="I466" s="72" t="n"/>
      <c r="J466" s="72" t="n"/>
      <c r="K466" s="72" t="n"/>
      <c r="L466" s="72" t="n"/>
      <c r="M466" s="72" t="n"/>
      <c r="N466" s="72" t="n"/>
      <c r="O466" s="72" t="n"/>
      <c r="P466" s="72" t="n"/>
      <c r="W466" s="71" t="n"/>
    </row>
    <row r="467" ht="20.25" customHeight="1">
      <c r="A467" s="71" t="n"/>
      <c r="B467" s="71" t="n"/>
      <c r="C467" s="72" t="n"/>
      <c r="G467" s="72" t="n"/>
      <c r="H467" s="72" t="n"/>
      <c r="I467" s="72" t="n"/>
      <c r="J467" s="72" t="n"/>
      <c r="K467" s="72" t="n"/>
      <c r="L467" s="72" t="n"/>
      <c r="M467" s="72" t="n"/>
      <c r="N467" s="72" t="n"/>
      <c r="O467" s="72" t="n"/>
      <c r="P467" s="72" t="n"/>
      <c r="W467" s="71" t="n"/>
    </row>
    <row r="468" ht="20.25" customHeight="1">
      <c r="A468" s="71" t="n"/>
      <c r="B468" s="71" t="n"/>
      <c r="C468" s="72" t="n"/>
      <c r="G468" s="72" t="n"/>
      <c r="H468" s="72" t="n"/>
      <c r="I468" s="72" t="n"/>
      <c r="J468" s="72" t="n"/>
      <c r="K468" s="72" t="n"/>
      <c r="L468" s="72" t="n"/>
      <c r="M468" s="72" t="n"/>
      <c r="N468" s="72" t="n"/>
      <c r="O468" s="72" t="n"/>
      <c r="P468" s="72" t="n"/>
      <c r="W468" s="71" t="n"/>
    </row>
    <row r="469" ht="20.25" customHeight="1">
      <c r="A469" s="71" t="n"/>
      <c r="B469" s="71" t="n"/>
      <c r="C469" s="72" t="n"/>
      <c r="G469" s="72" t="n"/>
      <c r="H469" s="72" t="n"/>
      <c r="I469" s="72" t="n"/>
      <c r="J469" s="72" t="n"/>
      <c r="K469" s="72" t="n"/>
      <c r="L469" s="72" t="n"/>
      <c r="M469" s="72" t="n"/>
      <c r="N469" s="72" t="n"/>
      <c r="O469" s="72" t="n"/>
      <c r="P469" s="72" t="n"/>
      <c r="W469" s="71" t="n"/>
    </row>
    <row r="470" ht="20.25" customHeight="1">
      <c r="A470" s="71" t="n"/>
      <c r="B470" s="71" t="n"/>
      <c r="C470" s="72" t="n"/>
      <c r="G470" s="72" t="n"/>
      <c r="H470" s="72" t="n"/>
      <c r="I470" s="72" t="n"/>
      <c r="J470" s="72" t="n"/>
      <c r="K470" s="72" t="n"/>
      <c r="L470" s="72" t="n"/>
      <c r="M470" s="72" t="n"/>
      <c r="N470" s="72" t="n"/>
      <c r="O470" s="72" t="n"/>
      <c r="P470" s="72" t="n"/>
      <c r="W470" s="71" t="n"/>
    </row>
    <row r="471" ht="20.25" customHeight="1">
      <c r="A471" s="71" t="n"/>
      <c r="B471" s="71" t="n"/>
      <c r="C471" s="72" t="n"/>
      <c r="G471" s="72" t="n"/>
      <c r="H471" s="72" t="n"/>
      <c r="I471" s="72" t="n"/>
      <c r="J471" s="72" t="n"/>
      <c r="K471" s="72" t="n"/>
      <c r="L471" s="72" t="n"/>
      <c r="M471" s="72" t="n"/>
      <c r="N471" s="72" t="n"/>
      <c r="O471" s="72" t="n"/>
      <c r="P471" s="72" t="n"/>
      <c r="W471" s="71" t="n"/>
    </row>
    <row r="472" ht="20.25" customHeight="1">
      <c r="A472" s="71" t="n"/>
      <c r="B472" s="71" t="n"/>
      <c r="C472" s="72" t="n"/>
      <c r="G472" s="72" t="n"/>
      <c r="H472" s="72" t="n"/>
      <c r="I472" s="72" t="n"/>
      <c r="J472" s="72" t="n"/>
      <c r="K472" s="72" t="n"/>
      <c r="L472" s="72" t="n"/>
      <c r="M472" s="72" t="n"/>
      <c r="N472" s="72" t="n"/>
      <c r="O472" s="72" t="n"/>
      <c r="P472" s="72" t="n"/>
      <c r="W472" s="71" t="n"/>
    </row>
    <row r="473" ht="20.25" customHeight="1">
      <c r="A473" s="71" t="n"/>
      <c r="B473" s="71" t="n"/>
      <c r="C473" s="72" t="n"/>
      <c r="G473" s="72" t="n"/>
      <c r="H473" s="72" t="n"/>
      <c r="I473" s="72" t="n"/>
      <c r="J473" s="72" t="n"/>
      <c r="K473" s="72" t="n"/>
      <c r="L473" s="72" t="n"/>
      <c r="M473" s="72" t="n"/>
      <c r="N473" s="72" t="n"/>
      <c r="O473" s="72" t="n"/>
      <c r="P473" s="72" t="n"/>
      <c r="W473" s="71" t="n"/>
    </row>
    <row r="474" ht="20.25" customHeight="1">
      <c r="A474" s="71" t="n"/>
      <c r="B474" s="71" t="n"/>
      <c r="C474" s="72" t="n"/>
      <c r="G474" s="72" t="n"/>
      <c r="H474" s="72" t="n"/>
      <c r="I474" s="72" t="n"/>
      <c r="J474" s="72" t="n"/>
      <c r="K474" s="72" t="n"/>
      <c r="L474" s="72" t="n"/>
      <c r="M474" s="72" t="n"/>
      <c r="N474" s="72" t="n"/>
      <c r="O474" s="72" t="n"/>
      <c r="P474" s="72" t="n"/>
      <c r="W474" s="71" t="n"/>
    </row>
    <row r="475" ht="20.25" customHeight="1">
      <c r="A475" s="71" t="n"/>
      <c r="B475" s="71" t="n"/>
      <c r="C475" s="72" t="n"/>
      <c r="G475" s="72" t="n"/>
      <c r="H475" s="72" t="n"/>
      <c r="I475" s="72" t="n"/>
      <c r="J475" s="72" t="n"/>
      <c r="K475" s="72" t="n"/>
      <c r="L475" s="72" t="n"/>
      <c r="M475" s="72" t="n"/>
      <c r="N475" s="72" t="n"/>
      <c r="O475" s="72" t="n"/>
      <c r="P475" s="72" t="n"/>
      <c r="W475" s="71" t="n"/>
    </row>
    <row r="476" ht="20.25" customHeight="1">
      <c r="A476" s="71" t="n"/>
      <c r="B476" s="71" t="n"/>
      <c r="C476" s="72" t="n"/>
      <c r="G476" s="72" t="n"/>
      <c r="H476" s="72" t="n"/>
      <c r="I476" s="72" t="n"/>
      <c r="J476" s="72" t="n"/>
      <c r="K476" s="72" t="n"/>
      <c r="L476" s="72" t="n"/>
      <c r="M476" s="72" t="n"/>
      <c r="N476" s="72" t="n"/>
      <c r="O476" s="72" t="n"/>
      <c r="P476" s="72" t="n"/>
      <c r="W476" s="71" t="n"/>
    </row>
    <row r="477" ht="20.25" customHeight="1">
      <c r="A477" s="71" t="n"/>
      <c r="B477" s="71" t="n"/>
      <c r="C477" s="72" t="n"/>
      <c r="G477" s="72" t="n"/>
      <c r="H477" s="72" t="n"/>
      <c r="I477" s="72" t="n"/>
      <c r="J477" s="72" t="n"/>
      <c r="K477" s="72" t="n"/>
      <c r="L477" s="72" t="n"/>
      <c r="M477" s="72" t="n"/>
      <c r="N477" s="72" t="n"/>
      <c r="O477" s="72" t="n"/>
      <c r="P477" s="72" t="n"/>
      <c r="W477" s="71" t="n"/>
    </row>
    <row r="478" ht="20.25" customHeight="1">
      <c r="A478" s="71" t="n"/>
      <c r="B478" s="71" t="n"/>
      <c r="C478" s="72" t="n"/>
      <c r="G478" s="72" t="n"/>
      <c r="H478" s="72" t="n"/>
      <c r="I478" s="72" t="n"/>
      <c r="J478" s="72" t="n"/>
      <c r="K478" s="72" t="n"/>
      <c r="L478" s="72" t="n"/>
      <c r="M478" s="72" t="n"/>
      <c r="N478" s="72" t="n"/>
      <c r="O478" s="72" t="n"/>
      <c r="P478" s="72" t="n"/>
      <c r="W478" s="71" t="n"/>
    </row>
    <row r="479" ht="20.25" customHeight="1">
      <c r="A479" s="71" t="n"/>
      <c r="B479" s="71" t="n"/>
      <c r="C479" s="72" t="n"/>
      <c r="G479" s="72" t="n"/>
      <c r="H479" s="72" t="n"/>
      <c r="I479" s="72" t="n"/>
      <c r="J479" s="72" t="n"/>
      <c r="K479" s="72" t="n"/>
      <c r="L479" s="72" t="n"/>
      <c r="M479" s="72" t="n"/>
      <c r="N479" s="72" t="n"/>
      <c r="O479" s="72" t="n"/>
      <c r="P479" s="72" t="n"/>
      <c r="W479" s="71" t="n"/>
    </row>
    <row r="480" ht="20.25" customHeight="1">
      <c r="A480" s="71" t="n"/>
      <c r="B480" s="71" t="n"/>
      <c r="C480" s="72" t="n"/>
      <c r="G480" s="72" t="n"/>
      <c r="H480" s="72" t="n"/>
      <c r="I480" s="72" t="n"/>
      <c r="J480" s="72" t="n"/>
      <c r="K480" s="72" t="n"/>
      <c r="L480" s="72" t="n"/>
      <c r="M480" s="72" t="n"/>
      <c r="N480" s="72" t="n"/>
      <c r="O480" s="72" t="n"/>
      <c r="P480" s="72" t="n"/>
      <c r="W480" s="71" t="n"/>
    </row>
    <row r="481" ht="20.25" customHeight="1">
      <c r="A481" s="71" t="n"/>
      <c r="B481" s="71" t="n"/>
      <c r="C481" s="72" t="n"/>
      <c r="G481" s="72" t="n"/>
      <c r="H481" s="72" t="n"/>
      <c r="I481" s="72" t="n"/>
      <c r="J481" s="72" t="n"/>
      <c r="K481" s="72" t="n"/>
      <c r="L481" s="72" t="n"/>
      <c r="M481" s="72" t="n"/>
      <c r="N481" s="72" t="n"/>
      <c r="O481" s="72" t="n"/>
      <c r="P481" s="72" t="n"/>
      <c r="W481" s="71" t="n"/>
    </row>
    <row r="482" ht="20.25" customHeight="1">
      <c r="A482" s="71" t="n"/>
      <c r="B482" s="71" t="n"/>
      <c r="C482" s="72" t="n"/>
      <c r="G482" s="72" t="n"/>
      <c r="H482" s="72" t="n"/>
      <c r="I482" s="72" t="n"/>
      <c r="J482" s="72" t="n"/>
      <c r="K482" s="72" t="n"/>
      <c r="L482" s="72" t="n"/>
      <c r="M482" s="72" t="n"/>
      <c r="N482" s="72" t="n"/>
      <c r="O482" s="72" t="n"/>
      <c r="P482" s="72" t="n"/>
      <c r="W482" s="71" t="n"/>
    </row>
    <row r="483" ht="20.25" customHeight="1">
      <c r="A483" s="71" t="n"/>
      <c r="B483" s="71" t="n"/>
      <c r="C483" s="72" t="n"/>
      <c r="G483" s="72" t="n"/>
      <c r="H483" s="72" t="n"/>
      <c r="I483" s="72" t="n"/>
      <c r="J483" s="72" t="n"/>
      <c r="K483" s="72" t="n"/>
      <c r="L483" s="72" t="n"/>
      <c r="M483" s="72" t="n"/>
      <c r="N483" s="72" t="n"/>
      <c r="O483" s="72" t="n"/>
      <c r="P483" s="72" t="n"/>
      <c r="W483" s="71" t="n"/>
    </row>
  </sheetData>
  <mergeCells count="5">
    <mergeCell ref="R1:V1"/>
    <mergeCell ref="A1:C1"/>
    <mergeCell ref="D1:J1"/>
    <mergeCell ref="N1:O1"/>
    <mergeCell ref="K1:M1"/>
  </mergeCells>
  <conditionalFormatting sqref="A3:P150 R3:W150">
    <cfRule type="expression" priority="17" dxfId="10">
      <formula>ROW()-NumberOfTeams=2</formula>
    </cfRule>
  </conditionalFormatting>
  <conditionalFormatting sqref="A3:B150">
    <cfRule type="expression" priority="11" dxfId="9">
      <formula>IF($O3 &lt;= NumberofTeamsAdvancing,TRUE,FALSE)</formula>
    </cfRule>
  </conditionalFormatting>
  <conditionalFormatting sqref="C3:P150 R3:W150">
    <cfRule type="expression" priority="21" dxfId="8">
      <formula>IF($P3&lt;&gt;"",TRUE,FALSE)</formula>
    </cfRule>
  </conditionalFormatting>
  <conditionalFormatting sqref="P3:P150">
    <cfRule type="duplicateValues" priority="309" dxfId="7"/>
  </conditionalFormatting>
  <conditionalFormatting sqref="Q3:Q150">
    <cfRule type="cellIs" priority="322" operator="equal" dxfId="6" stopIfTrue="1">
      <formula>"Yes"</formula>
    </cfRule>
    <cfRule type="cellIs" priority="323" operator="equal" dxfId="5" stopIfTrue="1">
      <formula>"Alt"</formula>
    </cfRule>
  </conditionalFormatting>
  <dataValidations disablePrompts="1" count="2">
    <dataValidation sqref="P3:P150" showDropDown="0" showInputMessage="1" showErrorMessage="1" allowBlank="1" type="list">
      <formula1>Awards</formula1>
    </dataValidation>
    <dataValidation sqref="Q3:Q150"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355"/>
  <sheetViews>
    <sheetView zoomScaleNormal="100" workbookViewId="0">
      <pane ySplit="1" topLeftCell="A2" activePane="bottomLeft" state="frozen"/>
      <selection pane="bottomLeft" activeCell="A2" sqref="A2"/>
    </sheetView>
  </sheetViews>
  <sheetFormatPr baseColWidth="8" defaultColWidth="8.85546875" defaultRowHeight="30" customHeight="1" outlineLevelCol="0"/>
  <cols>
    <col width="16.7109375" customWidth="1" style="39" min="1" max="1"/>
    <col width="32.7109375" customWidth="1" style="39" min="2" max="2"/>
    <col width="7.42578125" customWidth="1" style="39" min="3" max="5"/>
    <col width="10.42578125" customWidth="1" style="43" min="6" max="6"/>
    <col width="8.85546875" customWidth="1" style="5" min="7" max="10"/>
    <col width="8.85546875" customWidth="1" style="5" min="11" max="16384"/>
  </cols>
  <sheetData>
    <row r="1" ht="150" customFormat="1" customHeight="1" s="41">
      <c r="A1" s="58" t="inlineStr">
        <is>
          <t>Team Number</t>
        </is>
      </c>
      <c r="B1" s="58" t="inlineStr">
        <is>
          <t>Team Name</t>
        </is>
      </c>
      <c r="C1" s="65" t="inlineStr">
        <is>
          <t>Robot Game 1 Score</t>
        </is>
      </c>
      <c r="D1" s="65" t="inlineStr">
        <is>
          <t>Robot Game 2 Score</t>
        </is>
      </c>
      <c r="E1" s="65" t="inlineStr">
        <is>
          <t>Robot Game 3 Score</t>
        </is>
      </c>
      <c r="F1" s="59" t="inlineStr">
        <is>
          <t>Highest Robot Game Score</t>
        </is>
      </c>
    </row>
    <row r="2" ht="21" customHeight="1">
      <c r="A2" s="69" t="n"/>
      <c r="B2" s="106">
        <f>INDEX(OfficialTeamList[Team Name],MATCH(RobotGameScores[[#This Row],[Team Number]], OfficialTeamList[Team '#],0))</f>
        <v/>
      </c>
      <c r="C2" s="70" t="n"/>
      <c r="D2" s="70" t="n"/>
      <c r="E2" s="70" t="n"/>
      <c r="F2" s="74">
        <f>MAX(C2:E2)</f>
        <v/>
      </c>
    </row>
    <row r="3" ht="21" customHeight="1">
      <c r="A3" s="69" t="n"/>
      <c r="B3" s="106">
        <f>INDEX(OfficialTeamList[Team Name],MATCH(RobotGameScores[[#This Row],[Team Number]], OfficialTeamList[Team '#],0))</f>
        <v/>
      </c>
      <c r="C3" s="70" t="n"/>
      <c r="D3" s="70" t="n"/>
      <c r="E3" s="70" t="n"/>
      <c r="F3" s="74">
        <f>MAX(C3:E3)</f>
        <v/>
      </c>
    </row>
    <row r="4" ht="21" customHeight="1">
      <c r="A4" s="69" t="n"/>
      <c r="B4" s="106">
        <f>INDEX(OfficialTeamList[Team Name],MATCH(RobotGameScores[[#This Row],[Team Number]], OfficialTeamList[Team '#],0))</f>
        <v/>
      </c>
      <c r="C4" s="70" t="n"/>
      <c r="D4" s="70" t="n"/>
      <c r="E4" s="70" t="n"/>
      <c r="F4" s="74">
        <f>MAX(C4:E4)</f>
        <v/>
      </c>
    </row>
    <row r="5" ht="21" customHeight="1">
      <c r="A5" s="69" t="n"/>
      <c r="B5" s="106">
        <f>INDEX(OfficialTeamList[Team Name],MATCH(RobotGameScores[[#This Row],[Team Number]], OfficialTeamList[Team '#],0))</f>
        <v/>
      </c>
      <c r="C5" s="70" t="n"/>
      <c r="D5" s="70" t="n"/>
      <c r="E5" s="70" t="n"/>
      <c r="F5" s="74">
        <f>MAX(C5:E5)</f>
        <v/>
      </c>
    </row>
    <row r="6" ht="21" customHeight="1">
      <c r="A6" s="69" t="n"/>
      <c r="B6" s="106">
        <f>INDEX(OfficialTeamList[Team Name],MATCH(RobotGameScores[[#This Row],[Team Number]], OfficialTeamList[Team '#],0))</f>
        <v/>
      </c>
      <c r="C6" s="70" t="n"/>
      <c r="D6" s="70" t="n"/>
      <c r="E6" s="70" t="n"/>
      <c r="F6" s="74">
        <f>MAX(C6:E6)</f>
        <v/>
      </c>
    </row>
    <row r="7" ht="21" customHeight="1">
      <c r="A7" s="69" t="n"/>
      <c r="B7" s="106">
        <f>INDEX(OfficialTeamList[Team Name],MATCH(RobotGameScores[[#This Row],[Team Number]], OfficialTeamList[Team '#],0))</f>
        <v/>
      </c>
      <c r="C7" s="70" t="n"/>
      <c r="D7" s="70" t="n"/>
      <c r="E7" s="70" t="n"/>
      <c r="F7" s="74">
        <f>MAX(C7:E7)</f>
        <v/>
      </c>
    </row>
    <row r="8" ht="21" customHeight="1">
      <c r="A8" s="69" t="n"/>
      <c r="B8" s="106">
        <f>INDEX(OfficialTeamList[Team Name],MATCH(RobotGameScores[[#This Row],[Team Number]], OfficialTeamList[Team '#],0))</f>
        <v/>
      </c>
      <c r="C8" s="70" t="n"/>
      <c r="D8" s="70" t="n"/>
      <c r="E8" s="70" t="n"/>
      <c r="F8" s="74">
        <f>MAX(C8:E8)</f>
        <v/>
      </c>
    </row>
    <row r="9" ht="21" customHeight="1">
      <c r="A9" s="69" t="n"/>
      <c r="B9" s="106">
        <f>INDEX(OfficialTeamList[Team Name],MATCH(RobotGameScores[[#This Row],[Team Number]], OfficialTeamList[Team '#],0))</f>
        <v/>
      </c>
      <c r="C9" s="70" t="n"/>
      <c r="D9" s="70" t="n"/>
      <c r="E9" s="70" t="n"/>
      <c r="F9" s="74">
        <f>MAX(C9:E9)</f>
        <v/>
      </c>
    </row>
    <row r="10" ht="21" customHeight="1">
      <c r="A10" s="69" t="n"/>
      <c r="B10" s="106">
        <f>INDEX(OfficialTeamList[Team Name],MATCH(RobotGameScores[[#This Row],[Team Number]], OfficialTeamList[Team '#],0))</f>
        <v/>
      </c>
      <c r="C10" s="70" t="n"/>
      <c r="D10" s="70" t="n"/>
      <c r="E10" s="70" t="n"/>
      <c r="F10" s="74">
        <f>MAX(C10:E10)</f>
        <v/>
      </c>
    </row>
    <row r="11" ht="21" customHeight="1">
      <c r="A11" s="69" t="n"/>
      <c r="B11" s="106">
        <f>INDEX(OfficialTeamList[Team Name],MATCH(RobotGameScores[[#This Row],[Team Number]], OfficialTeamList[Team '#],0))</f>
        <v/>
      </c>
      <c r="C11" s="70" t="n"/>
      <c r="D11" s="70" t="n"/>
      <c r="E11" s="70" t="n"/>
      <c r="F11" s="74">
        <f>MAX(C11:E11)</f>
        <v/>
      </c>
    </row>
    <row r="12" ht="21" customHeight="1">
      <c r="A12" s="69" t="n"/>
      <c r="B12" s="106">
        <f>INDEX(OfficialTeamList[Team Name],MATCH(RobotGameScores[[#This Row],[Team Number]], OfficialTeamList[Team '#],0))</f>
        <v/>
      </c>
      <c r="C12" s="70" t="n"/>
      <c r="D12" s="70" t="n"/>
      <c r="E12" s="70" t="n"/>
      <c r="F12" s="74">
        <f>MAX(C12:E12)</f>
        <v/>
      </c>
    </row>
    <row r="13" ht="21" customHeight="1">
      <c r="A13" s="69" t="n"/>
      <c r="B13" s="106">
        <f>INDEX(OfficialTeamList[Team Name],MATCH(RobotGameScores[[#This Row],[Team Number]], OfficialTeamList[Team '#],0))</f>
        <v/>
      </c>
      <c r="C13" s="70" t="n"/>
      <c r="D13" s="70" t="n"/>
      <c r="E13" s="70" t="n"/>
      <c r="F13" s="74">
        <f>MAX(C13:E13)</f>
        <v/>
      </c>
    </row>
    <row r="14" ht="21" customHeight="1">
      <c r="A14" s="69" t="n"/>
      <c r="B14" s="106">
        <f>INDEX(OfficialTeamList[Team Name],MATCH(RobotGameScores[[#This Row],[Team Number]], OfficialTeamList[Team '#],0))</f>
        <v/>
      </c>
      <c r="C14" s="70" t="n"/>
      <c r="D14" s="70" t="n"/>
      <c r="E14" s="70" t="n"/>
      <c r="F14" s="74">
        <f>MAX(C14:E14)</f>
        <v/>
      </c>
    </row>
    <row r="15" ht="21" customHeight="1">
      <c r="A15" s="69" t="n"/>
      <c r="B15" s="106">
        <f>INDEX(OfficialTeamList[Team Name],MATCH(RobotGameScores[[#This Row],[Team Number]], OfficialTeamList[Team '#],0))</f>
        <v/>
      </c>
      <c r="C15" s="70" t="n"/>
      <c r="D15" s="70" t="n"/>
      <c r="E15" s="70" t="n"/>
      <c r="F15" s="74">
        <f>MAX(C15:E15)</f>
        <v/>
      </c>
    </row>
    <row r="16" ht="21" customHeight="1">
      <c r="A16" s="69" t="n"/>
      <c r="B16" s="106">
        <f>INDEX(OfficialTeamList[Team Name],MATCH(RobotGameScores[[#This Row],[Team Number]], OfficialTeamList[Team '#],0))</f>
        <v/>
      </c>
      <c r="C16" s="70" t="n"/>
      <c r="D16" s="70" t="n"/>
      <c r="E16" s="70" t="n"/>
      <c r="F16" s="74">
        <f>MAX(C16:E16)</f>
        <v/>
      </c>
    </row>
    <row r="17" ht="21" customHeight="1">
      <c r="A17" s="69" t="n"/>
      <c r="B17" s="106">
        <f>INDEX(OfficialTeamList[Team Name],MATCH(RobotGameScores[[#This Row],[Team Number]], OfficialTeamList[Team '#],0))</f>
        <v/>
      </c>
      <c r="C17" s="70" t="n"/>
      <c r="D17" s="70" t="n"/>
      <c r="E17" s="70" t="n"/>
      <c r="F17" s="74">
        <f>MAX(C17:E17)</f>
        <v/>
      </c>
    </row>
    <row r="18" ht="21" customHeight="1">
      <c r="A18" s="69" t="n"/>
      <c r="B18" s="106">
        <f>INDEX(OfficialTeamList[Team Name],MATCH(RobotGameScores[[#This Row],[Team Number]], OfficialTeamList[Team '#],0))</f>
        <v/>
      </c>
      <c r="C18" s="70" t="n"/>
      <c r="D18" s="70" t="n"/>
      <c r="E18" s="70" t="n"/>
      <c r="F18" s="74">
        <f>MAX(C18:E18)</f>
        <v/>
      </c>
    </row>
    <row r="19" ht="21" customHeight="1">
      <c r="A19" s="69" t="n"/>
      <c r="B19" s="106">
        <f>INDEX(OfficialTeamList[Team Name],MATCH(RobotGameScores[[#This Row],[Team Number]], OfficialTeamList[Team '#],0))</f>
        <v/>
      </c>
      <c r="C19" s="70" t="n"/>
      <c r="D19" s="70" t="n"/>
      <c r="E19" s="70" t="n"/>
      <c r="F19" s="74">
        <f>MAX(C19:E19)</f>
        <v/>
      </c>
    </row>
    <row r="20" ht="21" customHeight="1">
      <c r="A20" s="69" t="n"/>
      <c r="B20" s="106">
        <f>INDEX(OfficialTeamList[Team Name],MATCH(RobotGameScores[[#This Row],[Team Number]], OfficialTeamList[Team '#],0))</f>
        <v/>
      </c>
      <c r="C20" s="70" t="n"/>
      <c r="D20" s="70" t="n"/>
      <c r="E20" s="70" t="n"/>
      <c r="F20" s="74">
        <f>MAX(C20:E20)</f>
        <v/>
      </c>
    </row>
    <row r="21" ht="21" customHeight="1">
      <c r="A21" s="69" t="n"/>
      <c r="B21" s="106">
        <f>INDEX(OfficialTeamList[Team Name],MATCH(RobotGameScores[[#This Row],[Team Number]], OfficialTeamList[Team '#],0))</f>
        <v/>
      </c>
      <c r="C21" s="70" t="n"/>
      <c r="D21" s="70" t="n"/>
      <c r="E21" s="70" t="n"/>
      <c r="F21" s="74">
        <f>MAX(C21:E21)</f>
        <v/>
      </c>
    </row>
    <row r="22" ht="21" customHeight="1">
      <c r="A22" s="69" t="n"/>
      <c r="B22" s="106">
        <f>INDEX(OfficialTeamList[Team Name],MATCH(RobotGameScores[[#This Row],[Team Number]], OfficialTeamList[Team '#],0))</f>
        <v/>
      </c>
      <c r="C22" s="70" t="n"/>
      <c r="D22" s="70" t="n"/>
      <c r="E22" s="70" t="n"/>
      <c r="F22" s="74">
        <f>MAX(C22:E22)</f>
        <v/>
      </c>
    </row>
    <row r="23" ht="21" customHeight="1">
      <c r="A23" s="69" t="n"/>
      <c r="B23" s="106">
        <f>INDEX(OfficialTeamList[Team Name],MATCH(RobotGameScores[[#This Row],[Team Number]], OfficialTeamList[Team '#],0))</f>
        <v/>
      </c>
      <c r="C23" s="70" t="n"/>
      <c r="D23" s="70" t="n"/>
      <c r="E23" s="70" t="n"/>
      <c r="F23" s="74">
        <f>MAX(C23:E23)</f>
        <v/>
      </c>
    </row>
    <row r="24" ht="21" customHeight="1">
      <c r="A24" s="69" t="n"/>
      <c r="B24" s="106">
        <f>INDEX(OfficialTeamList[Team Name],MATCH(RobotGameScores[[#This Row],[Team Number]], OfficialTeamList[Team '#],0))</f>
        <v/>
      </c>
      <c r="C24" s="70" t="n"/>
      <c r="D24" s="70" t="n"/>
      <c r="E24" s="70" t="n"/>
      <c r="F24" s="74">
        <f>MAX(C24:E24)</f>
        <v/>
      </c>
    </row>
    <row r="25" ht="21" customHeight="1">
      <c r="A25" s="69" t="n"/>
      <c r="B25" s="106">
        <f>INDEX(OfficialTeamList[Team Name],MATCH(RobotGameScores[[#This Row],[Team Number]], OfficialTeamList[Team '#],0))</f>
        <v/>
      </c>
      <c r="C25" s="70" t="n"/>
      <c r="D25" s="70" t="n"/>
      <c r="E25" s="70" t="n"/>
      <c r="F25" s="74">
        <f>MAX(C25:E25)</f>
        <v/>
      </c>
    </row>
    <row r="26" ht="21" customHeight="1">
      <c r="A26" s="69" t="n"/>
      <c r="B26" s="106">
        <f>INDEX(OfficialTeamList[Team Name],MATCH(RobotGameScores[[#This Row],[Team Number]], OfficialTeamList[Team '#],0))</f>
        <v/>
      </c>
      <c r="C26" s="70" t="n"/>
      <c r="D26" s="70" t="n"/>
      <c r="E26" s="70" t="n"/>
      <c r="F26" s="74">
        <f>MAX(C26:E26)</f>
        <v/>
      </c>
    </row>
    <row r="27" ht="21" customHeight="1">
      <c r="A27" s="69" t="n"/>
      <c r="B27" s="106">
        <f>INDEX(OfficialTeamList[Team Name],MATCH(RobotGameScores[[#This Row],[Team Number]], OfficialTeamList[Team '#],0))</f>
        <v/>
      </c>
      <c r="C27" s="70" t="n"/>
      <c r="D27" s="70" t="n"/>
      <c r="E27" s="70" t="n"/>
      <c r="F27" s="74">
        <f>MAX(C27:E27)</f>
        <v/>
      </c>
    </row>
    <row r="28" ht="21" customHeight="1">
      <c r="A28" s="69" t="n"/>
      <c r="B28" s="106">
        <f>INDEX(OfficialTeamList[Team Name],MATCH(RobotGameScores[[#This Row],[Team Number]], OfficialTeamList[Team '#],0))</f>
        <v/>
      </c>
      <c r="C28" s="70" t="n"/>
      <c r="D28" s="70" t="n"/>
      <c r="E28" s="70" t="n"/>
      <c r="F28" s="74">
        <f>MAX(C28:E28)</f>
        <v/>
      </c>
    </row>
    <row r="29" ht="21" customHeight="1">
      <c r="A29" s="69" t="n"/>
      <c r="B29" s="106">
        <f>INDEX(OfficialTeamList[Team Name],MATCH(RobotGameScores[[#This Row],[Team Number]], OfficialTeamList[Team '#],0))</f>
        <v/>
      </c>
      <c r="C29" s="70" t="n"/>
      <c r="D29" s="70" t="n"/>
      <c r="E29" s="70" t="n"/>
      <c r="F29" s="74">
        <f>MAX(C29:E29)</f>
        <v/>
      </c>
    </row>
    <row r="30" ht="21" customHeight="1">
      <c r="A30" s="69" t="n"/>
      <c r="B30" s="106">
        <f>INDEX(OfficialTeamList[Team Name],MATCH(RobotGameScores[[#This Row],[Team Number]], OfficialTeamList[Team '#],0))</f>
        <v/>
      </c>
      <c r="C30" s="70" t="n"/>
      <c r="D30" s="70" t="n"/>
      <c r="E30" s="70" t="n"/>
      <c r="F30" s="74">
        <f>MAX(C30:E30)</f>
        <v/>
      </c>
    </row>
    <row r="31" ht="21" customHeight="1">
      <c r="A31" s="69" t="n"/>
      <c r="B31" s="106">
        <f>INDEX(OfficialTeamList[Team Name],MATCH(RobotGameScores[[#This Row],[Team Number]], OfficialTeamList[Team '#],0))</f>
        <v/>
      </c>
      <c r="C31" s="70" t="n"/>
      <c r="D31" s="70" t="n"/>
      <c r="E31" s="70" t="n"/>
      <c r="F31" s="74">
        <f>MAX(C31:E31)</f>
        <v/>
      </c>
    </row>
    <row r="32" ht="21" customHeight="1">
      <c r="A32" s="69" t="n"/>
      <c r="B32" s="106">
        <f>INDEX(OfficialTeamList[Team Name],MATCH(RobotGameScores[[#This Row],[Team Number]], OfficialTeamList[Team '#],0))</f>
        <v/>
      </c>
      <c r="C32" s="70" t="n"/>
      <c r="D32" s="70" t="n"/>
      <c r="E32" s="70" t="n"/>
      <c r="F32" s="74">
        <f>MAX(C32:E32)</f>
        <v/>
      </c>
    </row>
    <row r="33" ht="21" customHeight="1">
      <c r="A33" s="69" t="n"/>
      <c r="B33" s="106">
        <f>INDEX(OfficialTeamList[Team Name],MATCH(RobotGameScores[[#This Row],[Team Number]], OfficialTeamList[Team '#],0))</f>
        <v/>
      </c>
      <c r="C33" s="70" t="n"/>
      <c r="D33" s="70" t="n"/>
      <c r="E33" s="70" t="n"/>
      <c r="F33" s="74">
        <f>MAX(C33:E33)</f>
        <v/>
      </c>
    </row>
    <row r="34" ht="21" customHeight="1">
      <c r="A34" s="69" t="n"/>
      <c r="B34" s="106">
        <f>INDEX(OfficialTeamList[Team Name],MATCH(RobotGameScores[[#This Row],[Team Number]], OfficialTeamList[Team '#],0))</f>
        <v/>
      </c>
      <c r="C34" s="70" t="n"/>
      <c r="D34" s="70" t="n"/>
      <c r="E34" s="70" t="n"/>
      <c r="F34" s="74">
        <f>MAX(C34:E34)</f>
        <v/>
      </c>
    </row>
    <row r="35" ht="21" customHeight="1">
      <c r="A35" s="69" t="n"/>
      <c r="B35" s="106">
        <f>INDEX(OfficialTeamList[Team Name],MATCH(RobotGameScores[[#This Row],[Team Number]], OfficialTeamList[Team '#],0))</f>
        <v/>
      </c>
      <c r="C35" s="70" t="n"/>
      <c r="D35" s="70" t="n"/>
      <c r="E35" s="70" t="n"/>
      <c r="F35" s="74">
        <f>MAX(C35:E35)</f>
        <v/>
      </c>
    </row>
    <row r="36" ht="21" customHeight="1">
      <c r="A36" s="69" t="n"/>
      <c r="B36" s="106">
        <f>INDEX(OfficialTeamList[Team Name],MATCH(RobotGameScores[[#This Row],[Team Number]], OfficialTeamList[Team '#],0))</f>
        <v/>
      </c>
      <c r="C36" s="70" t="n"/>
      <c r="D36" s="70" t="n"/>
      <c r="E36" s="70" t="n"/>
      <c r="F36" s="74">
        <f>MAX(C36:E36)</f>
        <v/>
      </c>
    </row>
    <row r="37" ht="21" customHeight="1">
      <c r="A37" s="69" t="n"/>
      <c r="B37" s="106">
        <f>INDEX(OfficialTeamList[Team Name],MATCH(RobotGameScores[[#This Row],[Team Number]], OfficialTeamList[Team '#],0))</f>
        <v/>
      </c>
      <c r="C37" s="70" t="n"/>
      <c r="D37" s="70" t="n"/>
      <c r="E37" s="70" t="n"/>
      <c r="F37" s="74">
        <f>MAX(C37:E37)</f>
        <v/>
      </c>
    </row>
    <row r="38" ht="21" customHeight="1">
      <c r="A38" s="69" t="n"/>
      <c r="B38" s="106">
        <f>INDEX(OfficialTeamList[Team Name],MATCH(RobotGameScores[[#This Row],[Team Number]], OfficialTeamList[Team '#],0))</f>
        <v/>
      </c>
      <c r="C38" s="70" t="n"/>
      <c r="D38" s="70" t="n"/>
      <c r="E38" s="70" t="n"/>
      <c r="F38" s="74">
        <f>MAX(C38:E38)</f>
        <v/>
      </c>
    </row>
    <row r="39" ht="21" customHeight="1">
      <c r="A39" s="69" t="n"/>
      <c r="B39" s="106">
        <f>INDEX(OfficialTeamList[Team Name],MATCH(RobotGameScores[[#This Row],[Team Number]], OfficialTeamList[Team '#],0))</f>
        <v/>
      </c>
      <c r="C39" s="70" t="n"/>
      <c r="D39" s="70" t="n"/>
      <c r="E39" s="70" t="n"/>
      <c r="F39" s="74">
        <f>MAX(C39:E39)</f>
        <v/>
      </c>
    </row>
    <row r="40" ht="21" customHeight="1">
      <c r="A40" s="69" t="n"/>
      <c r="B40" s="106">
        <f>INDEX(OfficialTeamList[Team Name],MATCH(RobotGameScores[[#This Row],[Team Number]], OfficialTeamList[Team '#],0))</f>
        <v/>
      </c>
      <c r="C40" s="70" t="n"/>
      <c r="D40" s="70" t="n"/>
      <c r="E40" s="70" t="n"/>
      <c r="F40" s="74">
        <f>MAX(C40:E40)</f>
        <v/>
      </c>
    </row>
    <row r="41" ht="21" customHeight="1">
      <c r="A41" s="69" t="n"/>
      <c r="B41" s="106">
        <f>INDEX(OfficialTeamList[Team Name],MATCH(RobotGameScores[[#This Row],[Team Number]], OfficialTeamList[Team '#],0))</f>
        <v/>
      </c>
      <c r="C41" s="70" t="n"/>
      <c r="D41" s="70" t="n"/>
      <c r="E41" s="70" t="n"/>
      <c r="F41" s="74">
        <f>MAX(C41:E41)</f>
        <v/>
      </c>
    </row>
    <row r="42" ht="21" customHeight="1">
      <c r="A42" s="69" t="n"/>
      <c r="B42" s="106">
        <f>INDEX(OfficialTeamList[Team Name],MATCH(RobotGameScores[[#This Row],[Team Number]], OfficialTeamList[Team '#],0))</f>
        <v/>
      </c>
      <c r="C42" s="70" t="n"/>
      <c r="D42" s="70" t="n"/>
      <c r="E42" s="70" t="n"/>
      <c r="F42" s="74">
        <f>MAX(C42:E42)</f>
        <v/>
      </c>
    </row>
    <row r="43" ht="21" customHeight="1">
      <c r="A43" s="69" t="n"/>
      <c r="B43" s="106">
        <f>INDEX(OfficialTeamList[Team Name],MATCH(RobotGameScores[[#This Row],[Team Number]], OfficialTeamList[Team '#],0))</f>
        <v/>
      </c>
      <c r="C43" s="70" t="n"/>
      <c r="D43" s="70" t="n"/>
      <c r="E43" s="70" t="n"/>
      <c r="F43" s="74">
        <f>MAX(C43:E43)</f>
        <v/>
      </c>
    </row>
    <row r="44" ht="21" customHeight="1">
      <c r="A44" s="69" t="n"/>
      <c r="B44" s="106">
        <f>INDEX(OfficialTeamList[Team Name],MATCH(RobotGameScores[[#This Row],[Team Number]], OfficialTeamList[Team '#],0))</f>
        <v/>
      </c>
      <c r="C44" s="70" t="n"/>
      <c r="D44" s="70" t="n"/>
      <c r="E44" s="70" t="n"/>
      <c r="F44" s="74">
        <f>MAX(C44:E44)</f>
        <v/>
      </c>
    </row>
    <row r="45" ht="21" customHeight="1">
      <c r="A45" s="69" t="n"/>
      <c r="B45" s="106">
        <f>INDEX(OfficialTeamList[Team Name],MATCH(RobotGameScores[[#This Row],[Team Number]], OfficialTeamList[Team '#],0))</f>
        <v/>
      </c>
      <c r="C45" s="70" t="n"/>
      <c r="D45" s="70" t="n"/>
      <c r="E45" s="70" t="n"/>
      <c r="F45" s="74">
        <f>MAX(C45:E45)</f>
        <v/>
      </c>
    </row>
    <row r="46" ht="21" customHeight="1">
      <c r="A46" s="69" t="n"/>
      <c r="B46" s="106">
        <f>INDEX(OfficialTeamList[Team Name],MATCH(RobotGameScores[[#This Row],[Team Number]], OfficialTeamList[Team '#],0))</f>
        <v/>
      </c>
      <c r="C46" s="70" t="n"/>
      <c r="D46" s="70" t="n"/>
      <c r="E46" s="70" t="n"/>
      <c r="F46" s="74">
        <f>MAX(C46:E46)</f>
        <v/>
      </c>
    </row>
    <row r="47" ht="21" customHeight="1">
      <c r="A47" s="69" t="n"/>
      <c r="B47" s="106">
        <f>INDEX(OfficialTeamList[Team Name],MATCH(RobotGameScores[[#This Row],[Team Number]], OfficialTeamList[Team '#],0))</f>
        <v/>
      </c>
      <c r="C47" s="70" t="n"/>
      <c r="D47" s="70" t="n"/>
      <c r="E47" s="70" t="n"/>
      <c r="F47" s="74">
        <f>MAX(C47:E47)</f>
        <v/>
      </c>
    </row>
    <row r="48" ht="21" customHeight="1">
      <c r="A48" s="69" t="n"/>
      <c r="B48" s="106">
        <f>INDEX(OfficialTeamList[Team Name],MATCH(RobotGameScores[[#This Row],[Team Number]], OfficialTeamList[Team '#],0))</f>
        <v/>
      </c>
      <c r="C48" s="70" t="n"/>
      <c r="D48" s="70" t="n"/>
      <c r="E48" s="70" t="n"/>
      <c r="F48" s="74">
        <f>MAX(C48:E48)</f>
        <v/>
      </c>
    </row>
    <row r="49" ht="21" customHeight="1">
      <c r="A49" s="69" t="n"/>
      <c r="B49" s="106">
        <f>INDEX(OfficialTeamList[Team Name],MATCH(RobotGameScores[[#This Row],[Team Number]], OfficialTeamList[Team '#],0))</f>
        <v/>
      </c>
      <c r="C49" s="70" t="n"/>
      <c r="D49" s="70" t="n"/>
      <c r="E49" s="70" t="n"/>
      <c r="F49" s="74">
        <f>MAX(C49:E49)</f>
        <v/>
      </c>
    </row>
    <row r="50" ht="21" customHeight="1">
      <c r="A50" s="69" t="n"/>
      <c r="B50" s="106">
        <f>INDEX(OfficialTeamList[Team Name],MATCH(RobotGameScores[[#This Row],[Team Number]], OfficialTeamList[Team '#],0))</f>
        <v/>
      </c>
      <c r="C50" s="70" t="n"/>
      <c r="D50" s="70" t="n"/>
      <c r="E50" s="70" t="n"/>
      <c r="F50" s="74">
        <f>MAX(C50:E50)</f>
        <v/>
      </c>
    </row>
    <row r="51" ht="21" customHeight="1">
      <c r="A51" s="69" t="n"/>
      <c r="B51" s="106">
        <f>INDEX(OfficialTeamList[Team Name],MATCH(RobotGameScores[[#This Row],[Team Number]], OfficialTeamList[Team '#],0))</f>
        <v/>
      </c>
      <c r="C51" s="70" t="n"/>
      <c r="D51" s="70" t="n"/>
      <c r="E51" s="70" t="n"/>
      <c r="F51" s="74">
        <f>MAX(C51:E51)</f>
        <v/>
      </c>
    </row>
    <row r="52" ht="21" customHeight="1">
      <c r="A52" s="69" t="n"/>
      <c r="B52" s="106">
        <f>INDEX(OfficialTeamList[Team Name],MATCH(RobotGameScores[[#This Row],[Team Number]], OfficialTeamList[Team '#],0))</f>
        <v/>
      </c>
      <c r="C52" s="70" t="n"/>
      <c r="D52" s="70" t="n"/>
      <c r="E52" s="70" t="n"/>
      <c r="F52" s="74">
        <f>MAX(C52:E52)</f>
        <v/>
      </c>
    </row>
    <row r="53" ht="21" customHeight="1">
      <c r="A53" s="69" t="n"/>
      <c r="B53" s="106">
        <f>INDEX(OfficialTeamList[Team Name],MATCH(RobotGameScores[[#This Row],[Team Number]], OfficialTeamList[Team '#],0))</f>
        <v/>
      </c>
      <c r="C53" s="70" t="n"/>
      <c r="D53" s="70" t="n"/>
      <c r="E53" s="70" t="n"/>
      <c r="F53" s="74">
        <f>MAX(C53:E53)</f>
        <v/>
      </c>
    </row>
    <row r="54" ht="21" customHeight="1">
      <c r="A54" s="69" t="n"/>
      <c r="B54" s="106">
        <f>INDEX(OfficialTeamList[Team Name],MATCH(RobotGameScores[[#This Row],[Team Number]], OfficialTeamList[Team '#],0))</f>
        <v/>
      </c>
      <c r="C54" s="70" t="n"/>
      <c r="D54" s="70" t="n"/>
      <c r="E54" s="70" t="n"/>
      <c r="F54" s="74">
        <f>MAX(C54:E54)</f>
        <v/>
      </c>
    </row>
    <row r="55" ht="21" customHeight="1">
      <c r="A55" s="69" t="n"/>
      <c r="B55" s="106">
        <f>INDEX(OfficialTeamList[Team Name],MATCH(RobotGameScores[[#This Row],[Team Number]], OfficialTeamList[Team '#],0))</f>
        <v/>
      </c>
      <c r="C55" s="70" t="n"/>
      <c r="D55" s="70" t="n"/>
      <c r="E55" s="70" t="n"/>
      <c r="F55" s="74">
        <f>MAX(C55:E55)</f>
        <v/>
      </c>
    </row>
    <row r="56" ht="21" customHeight="1">
      <c r="A56" s="69" t="n"/>
      <c r="B56" s="106">
        <f>INDEX(OfficialTeamList[Team Name],MATCH(RobotGameScores[[#This Row],[Team Number]], OfficialTeamList[Team '#],0))</f>
        <v/>
      </c>
      <c r="C56" s="70" t="n"/>
      <c r="D56" s="70" t="n"/>
      <c r="E56" s="70" t="n"/>
      <c r="F56" s="74">
        <f>MAX(C56:E56)</f>
        <v/>
      </c>
    </row>
    <row r="57" ht="21" customHeight="1">
      <c r="A57" s="69" t="n"/>
      <c r="B57" s="106">
        <f>INDEX(OfficialTeamList[Team Name],MATCH(RobotGameScores[[#This Row],[Team Number]], OfficialTeamList[Team '#],0))</f>
        <v/>
      </c>
      <c r="C57" s="70" t="n"/>
      <c r="D57" s="70" t="n"/>
      <c r="E57" s="70" t="n"/>
      <c r="F57" s="74">
        <f>MAX(C57:E57)</f>
        <v/>
      </c>
    </row>
    <row r="58" ht="21" customHeight="1">
      <c r="A58" s="69" t="n"/>
      <c r="B58" s="106">
        <f>INDEX(OfficialTeamList[Team Name],MATCH(RobotGameScores[[#This Row],[Team Number]], OfficialTeamList[Team '#],0))</f>
        <v/>
      </c>
      <c r="C58" s="70" t="n"/>
      <c r="D58" s="70" t="n"/>
      <c r="E58" s="70" t="n"/>
      <c r="F58" s="74">
        <f>MAX(C58:E58)</f>
        <v/>
      </c>
    </row>
    <row r="59" ht="21" customHeight="1">
      <c r="A59" s="69" t="n"/>
      <c r="B59" s="106">
        <f>INDEX(OfficialTeamList[Team Name],MATCH(RobotGameScores[[#This Row],[Team Number]], OfficialTeamList[Team '#],0))</f>
        <v/>
      </c>
      <c r="C59" s="70" t="n"/>
      <c r="D59" s="70" t="n"/>
      <c r="E59" s="70" t="n"/>
      <c r="F59" s="74">
        <f>MAX(C59:E59)</f>
        <v/>
      </c>
    </row>
    <row r="60" ht="21" customHeight="1">
      <c r="A60" s="69" t="n"/>
      <c r="B60" s="106">
        <f>INDEX(OfficialTeamList[Team Name],MATCH(RobotGameScores[[#This Row],[Team Number]], OfficialTeamList[Team '#],0))</f>
        <v/>
      </c>
      <c r="C60" s="70" t="n"/>
      <c r="D60" s="70" t="n"/>
      <c r="E60" s="70" t="n"/>
      <c r="F60" s="74">
        <f>MAX(C60:E60)</f>
        <v/>
      </c>
    </row>
    <row r="61" ht="21" customHeight="1">
      <c r="A61" s="69" t="n"/>
      <c r="B61" s="106">
        <f>INDEX(OfficialTeamList[Team Name],MATCH(RobotGameScores[[#This Row],[Team Number]], OfficialTeamList[Team '#],0))</f>
        <v/>
      </c>
      <c r="C61" s="70" t="n"/>
      <c r="D61" s="70" t="n"/>
      <c r="E61" s="70" t="n"/>
      <c r="F61" s="74">
        <f>MAX(C61:E61)</f>
        <v/>
      </c>
    </row>
    <row r="62" ht="21" customHeight="1">
      <c r="A62" s="69" t="n"/>
      <c r="B62" s="106">
        <f>INDEX(OfficialTeamList[Team Name],MATCH(RobotGameScores[[#This Row],[Team Number]], OfficialTeamList[Team '#],0))</f>
        <v/>
      </c>
      <c r="C62" s="70" t="n"/>
      <c r="D62" s="70" t="n"/>
      <c r="E62" s="70" t="n"/>
      <c r="F62" s="74">
        <f>MAX(C62:E62)</f>
        <v/>
      </c>
    </row>
    <row r="63" ht="21" customHeight="1">
      <c r="A63" s="69" t="n"/>
      <c r="B63" s="106">
        <f>INDEX(OfficialTeamList[Team Name],MATCH(RobotGameScores[[#This Row],[Team Number]], OfficialTeamList[Team '#],0))</f>
        <v/>
      </c>
      <c r="C63" s="70" t="n"/>
      <c r="D63" s="70" t="n"/>
      <c r="E63" s="70" t="n"/>
      <c r="F63" s="74">
        <f>MAX(C63:E63)</f>
        <v/>
      </c>
    </row>
    <row r="64" ht="21" customHeight="1">
      <c r="A64" s="69" t="n"/>
      <c r="B64" s="106">
        <f>INDEX(OfficialTeamList[Team Name],MATCH(RobotGameScores[[#This Row],[Team Number]], OfficialTeamList[Team '#],0))</f>
        <v/>
      </c>
      <c r="C64" s="70" t="n"/>
      <c r="D64" s="70" t="n"/>
      <c r="E64" s="70" t="n"/>
      <c r="F64" s="74">
        <f>MAX(C64:E64)</f>
        <v/>
      </c>
    </row>
    <row r="65" ht="21" customHeight="1">
      <c r="A65" s="69" t="n"/>
      <c r="B65" s="106">
        <f>INDEX(OfficialTeamList[Team Name],MATCH(RobotGameScores[[#This Row],[Team Number]], OfficialTeamList[Team '#],0))</f>
        <v/>
      </c>
      <c r="C65" s="70" t="n"/>
      <c r="D65" s="70" t="n"/>
      <c r="E65" s="70" t="n"/>
      <c r="F65" s="74">
        <f>MAX(C65:E65)</f>
        <v/>
      </c>
    </row>
    <row r="66" ht="21" customHeight="1">
      <c r="A66" s="69" t="n"/>
      <c r="B66" s="106">
        <f>INDEX(OfficialTeamList[Team Name],MATCH(RobotGameScores[[#This Row],[Team Number]], OfficialTeamList[Team '#],0))</f>
        <v/>
      </c>
      <c r="C66" s="70" t="n"/>
      <c r="D66" s="70" t="n"/>
      <c r="E66" s="70" t="n"/>
      <c r="F66" s="74">
        <f>MAX(C66:E66)</f>
        <v/>
      </c>
    </row>
    <row r="67" ht="21" customHeight="1">
      <c r="A67" s="69" t="n"/>
      <c r="B67" s="106">
        <f>INDEX(OfficialTeamList[Team Name],MATCH(RobotGameScores[[#This Row],[Team Number]], OfficialTeamList[Team '#],0))</f>
        <v/>
      </c>
      <c r="C67" s="70" t="n"/>
      <c r="D67" s="70" t="n"/>
      <c r="E67" s="70" t="n"/>
      <c r="F67" s="74">
        <f>MAX(C67:E67)</f>
        <v/>
      </c>
    </row>
    <row r="68" ht="21" customHeight="1">
      <c r="A68" s="69" t="n"/>
      <c r="B68" s="106">
        <f>INDEX(OfficialTeamList[Team Name],MATCH(RobotGameScores[[#This Row],[Team Number]], OfficialTeamList[Team '#],0))</f>
        <v/>
      </c>
      <c r="C68" s="70" t="n"/>
      <c r="D68" s="70" t="n"/>
      <c r="E68" s="70" t="n"/>
      <c r="F68" s="74">
        <f>MAX(C68:E68)</f>
        <v/>
      </c>
    </row>
    <row r="69" ht="21" customHeight="1">
      <c r="A69" s="69" t="n"/>
      <c r="B69" s="106">
        <f>INDEX(OfficialTeamList[Team Name],MATCH(RobotGameScores[[#This Row],[Team Number]], OfficialTeamList[Team '#],0))</f>
        <v/>
      </c>
      <c r="C69" s="70" t="n"/>
      <c r="D69" s="70" t="n"/>
      <c r="E69" s="70" t="n"/>
      <c r="F69" s="74">
        <f>MAX(C69:E69)</f>
        <v/>
      </c>
    </row>
    <row r="70" ht="21" customHeight="1">
      <c r="A70" s="69" t="n"/>
      <c r="B70" s="106">
        <f>INDEX(OfficialTeamList[Team Name],MATCH(RobotGameScores[[#This Row],[Team Number]], OfficialTeamList[Team '#],0))</f>
        <v/>
      </c>
      <c r="C70" s="70" t="n"/>
      <c r="D70" s="70" t="n"/>
      <c r="E70" s="70" t="n"/>
      <c r="F70" s="74">
        <f>MAX(C70:E70)</f>
        <v/>
      </c>
    </row>
    <row r="71" ht="21" customHeight="1">
      <c r="A71" s="69" t="n"/>
      <c r="B71" s="106">
        <f>INDEX(OfficialTeamList[Team Name],MATCH(RobotGameScores[[#This Row],[Team Number]], OfficialTeamList[Team '#],0))</f>
        <v/>
      </c>
      <c r="C71" s="70" t="n"/>
      <c r="D71" s="70" t="n"/>
      <c r="E71" s="70" t="n"/>
      <c r="F71" s="74">
        <f>MAX(C71:E71)</f>
        <v/>
      </c>
    </row>
    <row r="72" ht="21" customHeight="1">
      <c r="A72" s="69" t="n"/>
      <c r="B72" s="106">
        <f>INDEX(OfficialTeamList[Team Name],MATCH(RobotGameScores[[#This Row],[Team Number]], OfficialTeamList[Team '#],0))</f>
        <v/>
      </c>
      <c r="C72" s="70" t="n"/>
      <c r="D72" s="70" t="n"/>
      <c r="E72" s="70" t="n"/>
      <c r="F72" s="74">
        <f>MAX(C72:E72)</f>
        <v/>
      </c>
    </row>
    <row r="73" ht="21" customHeight="1">
      <c r="A73" s="69" t="n"/>
      <c r="B73" s="106">
        <f>INDEX(OfficialTeamList[Team Name],MATCH(RobotGameScores[[#This Row],[Team Number]], OfficialTeamList[Team '#],0))</f>
        <v/>
      </c>
      <c r="C73" s="70" t="n"/>
      <c r="D73" s="70" t="n"/>
      <c r="E73" s="70" t="n"/>
      <c r="F73" s="74">
        <f>MAX(C73:E73)</f>
        <v/>
      </c>
    </row>
    <row r="74" ht="21" customHeight="1">
      <c r="A74" s="69" t="n"/>
      <c r="B74" s="106">
        <f>INDEX(OfficialTeamList[Team Name],MATCH(RobotGameScores[[#This Row],[Team Number]], OfficialTeamList[Team '#],0))</f>
        <v/>
      </c>
      <c r="C74" s="70" t="n"/>
      <c r="D74" s="70" t="n"/>
      <c r="E74" s="70" t="n"/>
      <c r="F74" s="74">
        <f>MAX(C74:E74)</f>
        <v/>
      </c>
    </row>
    <row r="75" ht="21" customHeight="1">
      <c r="A75" s="69" t="n"/>
      <c r="B75" s="106">
        <f>INDEX(OfficialTeamList[Team Name],MATCH(RobotGameScores[[#This Row],[Team Number]], OfficialTeamList[Team '#],0))</f>
        <v/>
      </c>
      <c r="C75" s="70" t="n"/>
      <c r="D75" s="70" t="n"/>
      <c r="E75" s="70" t="n"/>
      <c r="F75" s="74">
        <f>MAX(C75:E75)</f>
        <v/>
      </c>
    </row>
    <row r="76" ht="21" customHeight="1">
      <c r="A76" s="69" t="n"/>
      <c r="B76" s="106">
        <f>INDEX(OfficialTeamList[Team Name],MATCH(RobotGameScores[[#This Row],[Team Number]], OfficialTeamList[Team '#],0))</f>
        <v/>
      </c>
      <c r="C76" s="70" t="n"/>
      <c r="D76" s="70" t="n"/>
      <c r="E76" s="70" t="n"/>
      <c r="F76" s="74">
        <f>MAX(C76:E76)</f>
        <v/>
      </c>
    </row>
    <row r="77" ht="21" customHeight="1">
      <c r="A77" s="69" t="n"/>
      <c r="B77" s="106">
        <f>INDEX(OfficialTeamList[Team Name],MATCH(RobotGameScores[[#This Row],[Team Number]], OfficialTeamList[Team '#],0))</f>
        <v/>
      </c>
      <c r="C77" s="70" t="n"/>
      <c r="D77" s="70" t="n"/>
      <c r="E77" s="70" t="n"/>
      <c r="F77" s="74">
        <f>MAX(C77:E77)</f>
        <v/>
      </c>
    </row>
    <row r="78" ht="21" customHeight="1">
      <c r="A78" s="69" t="n"/>
      <c r="B78" s="106">
        <f>INDEX(OfficialTeamList[Team Name],MATCH(RobotGameScores[[#This Row],[Team Number]], OfficialTeamList[Team '#],0))</f>
        <v/>
      </c>
      <c r="C78" s="70" t="n"/>
      <c r="D78" s="70" t="n"/>
      <c r="E78" s="70" t="n"/>
      <c r="F78" s="74">
        <f>MAX(C78:E78)</f>
        <v/>
      </c>
    </row>
    <row r="79" ht="21" customHeight="1">
      <c r="A79" s="69" t="n"/>
      <c r="B79" s="106">
        <f>INDEX(OfficialTeamList[Team Name],MATCH(RobotGameScores[[#This Row],[Team Number]], OfficialTeamList[Team '#],0))</f>
        <v/>
      </c>
      <c r="C79" s="70" t="n"/>
      <c r="D79" s="70" t="n"/>
      <c r="E79" s="70" t="n"/>
      <c r="F79" s="74">
        <f>MAX(C79:E79)</f>
        <v/>
      </c>
    </row>
    <row r="80" ht="21" customHeight="1">
      <c r="A80" s="69" t="n"/>
      <c r="B80" s="106">
        <f>INDEX(OfficialTeamList[Team Name],MATCH(RobotGameScores[[#This Row],[Team Number]], OfficialTeamList[Team '#],0))</f>
        <v/>
      </c>
      <c r="C80" s="70" t="n"/>
      <c r="D80" s="70" t="n"/>
      <c r="E80" s="70" t="n"/>
      <c r="F80" s="74">
        <f>MAX(C80:E80)</f>
        <v/>
      </c>
    </row>
    <row r="81" ht="21" customHeight="1">
      <c r="A81" s="69" t="n"/>
      <c r="B81" s="106">
        <f>INDEX(OfficialTeamList[Team Name],MATCH(RobotGameScores[[#This Row],[Team Number]], OfficialTeamList[Team '#],0))</f>
        <v/>
      </c>
      <c r="C81" s="70" t="n"/>
      <c r="D81" s="70" t="n"/>
      <c r="E81" s="70" t="n"/>
      <c r="F81" s="74">
        <f>MAX(C81:E81)</f>
        <v/>
      </c>
    </row>
    <row r="82" ht="21" customHeight="1">
      <c r="A82" s="69" t="n"/>
      <c r="B82" s="106">
        <f>INDEX(OfficialTeamList[Team Name],MATCH(RobotGameScores[[#This Row],[Team Number]], OfficialTeamList[Team '#],0))</f>
        <v/>
      </c>
      <c r="C82" s="70" t="n"/>
      <c r="D82" s="70" t="n"/>
      <c r="E82" s="70" t="n"/>
      <c r="F82" s="74">
        <f>MAX(C82:E82)</f>
        <v/>
      </c>
    </row>
    <row r="83" ht="21" customHeight="1">
      <c r="A83" s="69" t="n"/>
      <c r="B83" s="106">
        <f>INDEX(OfficialTeamList[Team Name],MATCH(RobotGameScores[[#This Row],[Team Number]], OfficialTeamList[Team '#],0))</f>
        <v/>
      </c>
      <c r="C83" s="70" t="n"/>
      <c r="D83" s="70" t="n"/>
      <c r="E83" s="70" t="n"/>
      <c r="F83" s="74">
        <f>MAX(C83:E83)</f>
        <v/>
      </c>
    </row>
    <row r="84" ht="21" customHeight="1">
      <c r="A84" s="69" t="n"/>
      <c r="B84" s="106">
        <f>INDEX(OfficialTeamList[Team Name],MATCH(RobotGameScores[[#This Row],[Team Number]], OfficialTeamList[Team '#],0))</f>
        <v/>
      </c>
      <c r="C84" s="70" t="n"/>
      <c r="D84" s="70" t="n"/>
      <c r="E84" s="70" t="n"/>
      <c r="F84" s="74">
        <f>MAX(C84:E84)</f>
        <v/>
      </c>
    </row>
    <row r="85" ht="21" customHeight="1">
      <c r="A85" s="69" t="n"/>
      <c r="B85" s="106">
        <f>INDEX(OfficialTeamList[Team Name],MATCH(RobotGameScores[[#This Row],[Team Number]], OfficialTeamList[Team '#],0))</f>
        <v/>
      </c>
      <c r="C85" s="70" t="n"/>
      <c r="D85" s="70" t="n"/>
      <c r="E85" s="70" t="n"/>
      <c r="F85" s="74">
        <f>MAX(C85:E85)</f>
        <v/>
      </c>
    </row>
    <row r="86" ht="21" customHeight="1">
      <c r="A86" s="69" t="n"/>
      <c r="B86" s="106">
        <f>INDEX(OfficialTeamList[Team Name],MATCH(RobotGameScores[[#This Row],[Team Number]], OfficialTeamList[Team '#],0))</f>
        <v/>
      </c>
      <c r="C86" s="70" t="n"/>
      <c r="D86" s="70" t="n"/>
      <c r="E86" s="70" t="n"/>
      <c r="F86" s="74">
        <f>MAX(C86:E86)</f>
        <v/>
      </c>
    </row>
    <row r="87" ht="21" customHeight="1">
      <c r="A87" s="69" t="n"/>
      <c r="B87" s="106">
        <f>INDEX(OfficialTeamList[Team Name],MATCH(RobotGameScores[[#This Row],[Team Number]], OfficialTeamList[Team '#],0))</f>
        <v/>
      </c>
      <c r="C87" s="70" t="n"/>
      <c r="D87" s="70" t="n"/>
      <c r="E87" s="70" t="n"/>
      <c r="F87" s="74">
        <f>MAX(C87:E87)</f>
        <v/>
      </c>
    </row>
    <row r="88" ht="21" customHeight="1">
      <c r="A88" s="69" t="n"/>
      <c r="B88" s="106">
        <f>INDEX(OfficialTeamList[Team Name],MATCH(RobotGameScores[[#This Row],[Team Number]], OfficialTeamList[Team '#],0))</f>
        <v/>
      </c>
      <c r="C88" s="70" t="n"/>
      <c r="D88" s="70" t="n"/>
      <c r="E88" s="70" t="n"/>
      <c r="F88" s="74">
        <f>MAX(C88:E88)</f>
        <v/>
      </c>
    </row>
    <row r="89" ht="21" customHeight="1">
      <c r="A89" s="69" t="n"/>
      <c r="B89" s="106">
        <f>INDEX(OfficialTeamList[Team Name],MATCH(RobotGameScores[[#This Row],[Team Number]], OfficialTeamList[Team '#],0))</f>
        <v/>
      </c>
      <c r="C89" s="70" t="n"/>
      <c r="D89" s="70" t="n"/>
      <c r="E89" s="70" t="n"/>
      <c r="F89" s="74">
        <f>MAX(C89:E89)</f>
        <v/>
      </c>
    </row>
    <row r="90" ht="21" customHeight="1">
      <c r="A90" s="69" t="n"/>
      <c r="B90" s="106">
        <f>INDEX(OfficialTeamList[Team Name],MATCH(RobotGameScores[[#This Row],[Team Number]], OfficialTeamList[Team '#],0))</f>
        <v/>
      </c>
      <c r="C90" s="70" t="n"/>
      <c r="D90" s="70" t="n"/>
      <c r="E90" s="70" t="n"/>
      <c r="F90" s="74">
        <f>MAX(C90:E90)</f>
        <v/>
      </c>
    </row>
    <row r="91" ht="21" customHeight="1">
      <c r="A91" s="69" t="n"/>
      <c r="B91" s="106">
        <f>INDEX(OfficialTeamList[Team Name],MATCH(RobotGameScores[[#This Row],[Team Number]], OfficialTeamList[Team '#],0))</f>
        <v/>
      </c>
      <c r="C91" s="70" t="n"/>
      <c r="D91" s="70" t="n"/>
      <c r="E91" s="70" t="n"/>
      <c r="F91" s="74">
        <f>MAX(C91:E91)</f>
        <v/>
      </c>
    </row>
    <row r="92" ht="21" customHeight="1">
      <c r="A92" s="69" t="n"/>
      <c r="B92" s="106">
        <f>INDEX(OfficialTeamList[Team Name],MATCH(RobotGameScores[[#This Row],[Team Number]], OfficialTeamList[Team '#],0))</f>
        <v/>
      </c>
      <c r="C92" s="70" t="n"/>
      <c r="D92" s="70" t="n"/>
      <c r="E92" s="70" t="n"/>
      <c r="F92" s="74">
        <f>MAX(C92:E92)</f>
        <v/>
      </c>
    </row>
    <row r="93" ht="21" customHeight="1">
      <c r="A93" s="69" t="n"/>
      <c r="B93" s="106">
        <f>INDEX(OfficialTeamList[Team Name],MATCH(RobotGameScores[[#This Row],[Team Number]], OfficialTeamList[Team '#],0))</f>
        <v/>
      </c>
      <c r="C93" s="70" t="n"/>
      <c r="D93" s="70" t="n"/>
      <c r="E93" s="70" t="n"/>
      <c r="F93" s="74">
        <f>MAX(C93:E93)</f>
        <v/>
      </c>
    </row>
    <row r="94" ht="21" customHeight="1">
      <c r="A94" s="69" t="n"/>
      <c r="B94" s="106">
        <f>INDEX(OfficialTeamList[Team Name],MATCH(RobotGameScores[[#This Row],[Team Number]], OfficialTeamList[Team '#],0))</f>
        <v/>
      </c>
      <c r="C94" s="70" t="n"/>
      <c r="D94" s="70" t="n"/>
      <c r="E94" s="70" t="n"/>
      <c r="F94" s="74">
        <f>MAX(C94:E94)</f>
        <v/>
      </c>
    </row>
    <row r="95" ht="21" customHeight="1">
      <c r="A95" s="69" t="n"/>
      <c r="B95" s="106">
        <f>INDEX(OfficialTeamList[Team Name],MATCH(RobotGameScores[[#This Row],[Team Number]], OfficialTeamList[Team '#],0))</f>
        <v/>
      </c>
      <c r="C95" s="70" t="n"/>
      <c r="D95" s="70" t="n"/>
      <c r="E95" s="70" t="n"/>
      <c r="F95" s="74">
        <f>MAX(C95:E95)</f>
        <v/>
      </c>
    </row>
    <row r="96" ht="21" customHeight="1">
      <c r="A96" s="69" t="n"/>
      <c r="B96" s="106">
        <f>INDEX(OfficialTeamList[Team Name],MATCH(RobotGameScores[[#This Row],[Team Number]], OfficialTeamList[Team '#],0))</f>
        <v/>
      </c>
      <c r="C96" s="70" t="n"/>
      <c r="D96" s="70" t="n"/>
      <c r="E96" s="70" t="n"/>
      <c r="F96" s="74">
        <f>MAX(C96:E96)</f>
        <v/>
      </c>
    </row>
    <row r="97" ht="21" customHeight="1">
      <c r="A97" s="69" t="n"/>
      <c r="B97" s="106">
        <f>INDEX(OfficialTeamList[Team Name],MATCH(RobotGameScores[[#This Row],[Team Number]], OfficialTeamList[Team '#],0))</f>
        <v/>
      </c>
      <c r="C97" s="70" t="n"/>
      <c r="D97" s="70" t="n"/>
      <c r="E97" s="70" t="n"/>
      <c r="F97" s="74">
        <f>MAX(C97:E97)</f>
        <v/>
      </c>
    </row>
    <row r="98" ht="21" customHeight="1">
      <c r="A98" s="69" t="n"/>
      <c r="B98" s="106">
        <f>INDEX(OfficialTeamList[Team Name],MATCH(RobotGameScores[[#This Row],[Team Number]], OfficialTeamList[Team '#],0))</f>
        <v/>
      </c>
      <c r="C98" s="70" t="n"/>
      <c r="D98" s="70" t="n"/>
      <c r="E98" s="70" t="n"/>
      <c r="F98" s="74">
        <f>MAX(C98:E98)</f>
        <v/>
      </c>
    </row>
    <row r="99" ht="21" customHeight="1">
      <c r="A99" s="69" t="n"/>
      <c r="B99" s="106">
        <f>INDEX(OfficialTeamList[Team Name],MATCH(RobotGameScores[[#This Row],[Team Number]], OfficialTeamList[Team '#],0))</f>
        <v/>
      </c>
      <c r="C99" s="70" t="n"/>
      <c r="D99" s="70" t="n"/>
      <c r="E99" s="70" t="n"/>
      <c r="F99" s="74">
        <f>MAX(C99:E99)</f>
        <v/>
      </c>
    </row>
    <row r="100" ht="21" customHeight="1">
      <c r="A100" s="69" t="n"/>
      <c r="B100" s="106">
        <f>INDEX(OfficialTeamList[Team Name],MATCH(RobotGameScores[[#This Row],[Team Number]], OfficialTeamList[Team '#],0))</f>
        <v/>
      </c>
      <c r="C100" s="70" t="n"/>
      <c r="D100" s="70" t="n"/>
      <c r="E100" s="70" t="n"/>
      <c r="F100" s="74">
        <f>MAX(C100:E100)</f>
        <v/>
      </c>
    </row>
    <row r="101" ht="21" customHeight="1">
      <c r="A101" s="69" t="n"/>
      <c r="B101" s="106">
        <f>INDEX(OfficialTeamList[Team Name],MATCH(RobotGameScores[[#This Row],[Team Number]], OfficialTeamList[Team '#],0))</f>
        <v/>
      </c>
      <c r="C101" s="70" t="n"/>
      <c r="D101" s="70" t="n"/>
      <c r="E101" s="70" t="n"/>
      <c r="F101" s="74">
        <f>MAX(C101:E101)</f>
        <v/>
      </c>
    </row>
    <row r="102" ht="21" customHeight="1">
      <c r="A102" s="69" t="n"/>
      <c r="B102" s="106">
        <f>INDEX(OfficialTeamList[Team Name],MATCH(RobotGameScores[[#This Row],[Team Number]], OfficialTeamList[Team '#],0))</f>
        <v/>
      </c>
      <c r="C102" s="70" t="n"/>
      <c r="D102" s="70" t="n"/>
      <c r="E102" s="70" t="n"/>
      <c r="F102" s="74">
        <f>MAX(C102:E102)</f>
        <v/>
      </c>
    </row>
    <row r="103" ht="21" customHeight="1">
      <c r="A103" s="69" t="n"/>
      <c r="B103" s="106">
        <f>INDEX(OfficialTeamList[Team Name],MATCH(RobotGameScores[[#This Row],[Team Number]], OfficialTeamList[Team '#],0))</f>
        <v/>
      </c>
      <c r="C103" s="70" t="n"/>
      <c r="D103" s="70" t="n"/>
      <c r="E103" s="70" t="n"/>
      <c r="F103" s="74">
        <f>MAX(C103:E103)</f>
        <v/>
      </c>
    </row>
    <row r="104" ht="21" customHeight="1">
      <c r="A104" s="69" t="n"/>
      <c r="B104" s="106">
        <f>INDEX(OfficialTeamList[Team Name],MATCH(RobotGameScores[[#This Row],[Team Number]], OfficialTeamList[Team '#],0))</f>
        <v/>
      </c>
      <c r="C104" s="70" t="n"/>
      <c r="D104" s="70" t="n"/>
      <c r="E104" s="70" t="n"/>
      <c r="F104" s="74">
        <f>MAX(C104:E104)</f>
        <v/>
      </c>
    </row>
    <row r="105" ht="21" customHeight="1">
      <c r="A105" s="69" t="n"/>
      <c r="B105" s="106">
        <f>INDEX(OfficialTeamList[Team Name],MATCH(RobotGameScores[[#This Row],[Team Number]], OfficialTeamList[Team '#],0))</f>
        <v/>
      </c>
      <c r="C105" s="70" t="n"/>
      <c r="D105" s="70" t="n"/>
      <c r="E105" s="70" t="n"/>
      <c r="F105" s="74">
        <f>MAX(C105:E105)</f>
        <v/>
      </c>
    </row>
    <row r="106" ht="21" customHeight="1">
      <c r="A106" s="69" t="n"/>
      <c r="B106" s="106">
        <f>INDEX(OfficialTeamList[Team Name],MATCH(RobotGameScores[[#This Row],[Team Number]], OfficialTeamList[Team '#],0))</f>
        <v/>
      </c>
      <c r="C106" s="70" t="n"/>
      <c r="D106" s="70" t="n"/>
      <c r="E106" s="70" t="n"/>
      <c r="F106" s="74">
        <f>MAX(C106:E106)</f>
        <v/>
      </c>
    </row>
    <row r="107" ht="21" customHeight="1">
      <c r="A107" s="69" t="n"/>
      <c r="B107" s="106">
        <f>INDEX(OfficialTeamList[Team Name],MATCH(RobotGameScores[[#This Row],[Team Number]], OfficialTeamList[Team '#],0))</f>
        <v/>
      </c>
      <c r="C107" s="70" t="n"/>
      <c r="D107" s="70" t="n"/>
      <c r="E107" s="70" t="n"/>
      <c r="F107" s="74">
        <f>MAX(C107:E107)</f>
        <v/>
      </c>
    </row>
    <row r="108" ht="21" customHeight="1">
      <c r="A108" s="69" t="n"/>
      <c r="B108" s="106">
        <f>INDEX(OfficialTeamList[Team Name],MATCH(RobotGameScores[[#This Row],[Team Number]], OfficialTeamList[Team '#],0))</f>
        <v/>
      </c>
      <c r="C108" s="70" t="n"/>
      <c r="D108" s="70" t="n"/>
      <c r="E108" s="70" t="n"/>
      <c r="F108" s="74">
        <f>MAX(C108:E108)</f>
        <v/>
      </c>
    </row>
    <row r="109" ht="21" customHeight="1">
      <c r="A109" s="69" t="n"/>
      <c r="B109" s="106">
        <f>INDEX(OfficialTeamList[Team Name],MATCH(RobotGameScores[[#This Row],[Team Number]], OfficialTeamList[Team '#],0))</f>
        <v/>
      </c>
      <c r="C109" s="70" t="n"/>
      <c r="D109" s="70" t="n"/>
      <c r="E109" s="70" t="n"/>
      <c r="F109" s="74">
        <f>MAX(C109:E109)</f>
        <v/>
      </c>
    </row>
    <row r="110" ht="21" customHeight="1">
      <c r="A110" s="69" t="n"/>
      <c r="B110" s="106">
        <f>INDEX(OfficialTeamList[Team Name],MATCH(RobotGameScores[[#This Row],[Team Number]], OfficialTeamList[Team '#],0))</f>
        <v/>
      </c>
      <c r="C110" s="70" t="n"/>
      <c r="D110" s="70" t="n"/>
      <c r="E110" s="70" t="n"/>
      <c r="F110" s="74">
        <f>MAX(C110:E110)</f>
        <v/>
      </c>
    </row>
    <row r="111" ht="21" customHeight="1">
      <c r="A111" s="69" t="n"/>
      <c r="B111" s="106">
        <f>INDEX(OfficialTeamList[Team Name],MATCH(RobotGameScores[[#This Row],[Team Number]], OfficialTeamList[Team '#],0))</f>
        <v/>
      </c>
      <c r="C111" s="70" t="n"/>
      <c r="D111" s="70" t="n"/>
      <c r="E111" s="70" t="n"/>
      <c r="F111" s="74">
        <f>MAX(C111:E111)</f>
        <v/>
      </c>
    </row>
    <row r="112" ht="21" customHeight="1">
      <c r="A112" s="69" t="n"/>
      <c r="B112" s="106">
        <f>INDEX(OfficialTeamList[Team Name],MATCH(RobotGameScores[[#This Row],[Team Number]], OfficialTeamList[Team '#],0))</f>
        <v/>
      </c>
      <c r="C112" s="70" t="n"/>
      <c r="D112" s="70" t="n"/>
      <c r="E112" s="70" t="n"/>
      <c r="F112" s="74">
        <f>MAX(C112:E112)</f>
        <v/>
      </c>
    </row>
    <row r="113" ht="21" customHeight="1">
      <c r="A113" s="69" t="n"/>
      <c r="B113" s="106">
        <f>INDEX(OfficialTeamList[Team Name],MATCH(RobotGameScores[[#This Row],[Team Number]], OfficialTeamList[Team '#],0))</f>
        <v/>
      </c>
      <c r="C113" s="70" t="n"/>
      <c r="D113" s="70" t="n"/>
      <c r="E113" s="70" t="n"/>
      <c r="F113" s="74">
        <f>MAX(C113:E113)</f>
        <v/>
      </c>
    </row>
    <row r="114" ht="21" customHeight="1">
      <c r="A114" s="69" t="n"/>
      <c r="B114" s="106">
        <f>INDEX(OfficialTeamList[Team Name],MATCH(RobotGameScores[[#This Row],[Team Number]], OfficialTeamList[Team '#],0))</f>
        <v/>
      </c>
      <c r="C114" s="70" t="n"/>
      <c r="D114" s="70" t="n"/>
      <c r="E114" s="70" t="n"/>
      <c r="F114" s="74">
        <f>MAX(C114:E114)</f>
        <v/>
      </c>
    </row>
    <row r="115" ht="21" customHeight="1">
      <c r="A115" s="69" t="n"/>
      <c r="B115" s="106">
        <f>INDEX(OfficialTeamList[Team Name],MATCH(RobotGameScores[[#This Row],[Team Number]], OfficialTeamList[Team '#],0))</f>
        <v/>
      </c>
      <c r="C115" s="70" t="n"/>
      <c r="D115" s="70" t="n"/>
      <c r="E115" s="70" t="n"/>
      <c r="F115" s="74">
        <f>MAX(C115:E115)</f>
        <v/>
      </c>
    </row>
    <row r="116" ht="21" customHeight="1">
      <c r="A116" s="69" t="n"/>
      <c r="B116" s="106">
        <f>INDEX(OfficialTeamList[Team Name],MATCH(RobotGameScores[[#This Row],[Team Number]], OfficialTeamList[Team '#],0))</f>
        <v/>
      </c>
      <c r="C116" s="70" t="n"/>
      <c r="D116" s="70" t="n"/>
      <c r="E116" s="70" t="n"/>
      <c r="F116" s="74">
        <f>MAX(C116:E116)</f>
        <v/>
      </c>
    </row>
    <row r="117" ht="21" customHeight="1">
      <c r="A117" s="69" t="n"/>
      <c r="B117" s="106">
        <f>INDEX(OfficialTeamList[Team Name],MATCH(RobotGameScores[[#This Row],[Team Number]], OfficialTeamList[Team '#],0))</f>
        <v/>
      </c>
      <c r="C117" s="70" t="n"/>
      <c r="D117" s="70" t="n"/>
      <c r="E117" s="70" t="n"/>
      <c r="F117" s="74">
        <f>MAX(C117:E117)</f>
        <v/>
      </c>
    </row>
    <row r="118" ht="21" customHeight="1">
      <c r="A118" s="69" t="n"/>
      <c r="B118" s="106">
        <f>INDEX(OfficialTeamList[Team Name],MATCH(RobotGameScores[[#This Row],[Team Number]], OfficialTeamList[Team '#],0))</f>
        <v/>
      </c>
      <c r="C118" s="70" t="n"/>
      <c r="D118" s="70" t="n"/>
      <c r="E118" s="70" t="n"/>
      <c r="F118" s="74">
        <f>MAX(C118:E118)</f>
        <v/>
      </c>
    </row>
    <row r="119" ht="21" customHeight="1">
      <c r="A119" s="69" t="n"/>
      <c r="B119" s="106">
        <f>INDEX(OfficialTeamList[Team Name],MATCH(RobotGameScores[[#This Row],[Team Number]], OfficialTeamList[Team '#],0))</f>
        <v/>
      </c>
      <c r="C119" s="70" t="n"/>
      <c r="D119" s="70" t="n"/>
      <c r="E119" s="70" t="n"/>
      <c r="F119" s="74">
        <f>MAX(C119:E119)</f>
        <v/>
      </c>
    </row>
    <row r="120" ht="21" customHeight="1">
      <c r="A120" s="69" t="n"/>
      <c r="B120" s="106">
        <f>INDEX(OfficialTeamList[Team Name],MATCH(RobotGameScores[[#This Row],[Team Number]], OfficialTeamList[Team '#],0))</f>
        <v/>
      </c>
      <c r="C120" s="70" t="n"/>
      <c r="D120" s="70" t="n"/>
      <c r="E120" s="70" t="n"/>
      <c r="F120" s="74">
        <f>MAX(C120:E120)</f>
        <v/>
      </c>
    </row>
    <row r="121" ht="21" customHeight="1">
      <c r="A121" s="69" t="n"/>
      <c r="B121" s="106">
        <f>INDEX(OfficialTeamList[Team Name],MATCH(RobotGameScores[[#This Row],[Team Number]], OfficialTeamList[Team '#],0))</f>
        <v/>
      </c>
      <c r="C121" s="70" t="n"/>
      <c r="D121" s="70" t="n"/>
      <c r="E121" s="70" t="n"/>
      <c r="F121" s="74">
        <f>MAX(C121:E121)</f>
        <v/>
      </c>
    </row>
    <row r="122" ht="21" customHeight="1">
      <c r="A122" s="69" t="n"/>
      <c r="B122" s="106">
        <f>INDEX(OfficialTeamList[Team Name],MATCH(RobotGameScores[[#This Row],[Team Number]], OfficialTeamList[Team '#],0))</f>
        <v/>
      </c>
      <c r="C122" s="70" t="n"/>
      <c r="D122" s="70" t="n"/>
      <c r="E122" s="70" t="n"/>
      <c r="F122" s="74">
        <f>MAX(C122:E122)</f>
        <v/>
      </c>
    </row>
    <row r="123" ht="21" customHeight="1">
      <c r="A123" s="69" t="n"/>
      <c r="B123" s="106">
        <f>INDEX(OfficialTeamList[Team Name],MATCH(RobotGameScores[[#This Row],[Team Number]], OfficialTeamList[Team '#],0))</f>
        <v/>
      </c>
      <c r="C123" s="70" t="n"/>
      <c r="D123" s="70" t="n"/>
      <c r="E123" s="70" t="n"/>
      <c r="F123" s="74">
        <f>MAX(C123:E123)</f>
        <v/>
      </c>
    </row>
    <row r="124" ht="21" customHeight="1">
      <c r="A124" s="69" t="n"/>
      <c r="B124" s="106">
        <f>INDEX(OfficialTeamList[Team Name],MATCH(RobotGameScores[[#This Row],[Team Number]], OfficialTeamList[Team '#],0))</f>
        <v/>
      </c>
      <c r="C124" s="70" t="n"/>
      <c r="D124" s="70" t="n"/>
      <c r="E124" s="70" t="n"/>
      <c r="F124" s="74">
        <f>MAX(C124:E124)</f>
        <v/>
      </c>
    </row>
    <row r="125" ht="21" customHeight="1">
      <c r="A125" s="69" t="n"/>
      <c r="B125" s="106">
        <f>INDEX(OfficialTeamList[Team Name],MATCH(RobotGameScores[[#This Row],[Team Number]], OfficialTeamList[Team '#],0))</f>
        <v/>
      </c>
      <c r="C125" s="70" t="n"/>
      <c r="D125" s="70" t="n"/>
      <c r="E125" s="70" t="n"/>
      <c r="F125" s="74">
        <f>MAX(C125:E125)</f>
        <v/>
      </c>
    </row>
    <row r="126" ht="21" customHeight="1">
      <c r="A126" s="69" t="n"/>
      <c r="B126" s="106">
        <f>INDEX(OfficialTeamList[Team Name],MATCH(RobotGameScores[[#This Row],[Team Number]], OfficialTeamList[Team '#],0))</f>
        <v/>
      </c>
      <c r="C126" s="70" t="n"/>
      <c r="D126" s="70" t="n"/>
      <c r="E126" s="70" t="n"/>
      <c r="F126" s="74">
        <f>MAX(C126:E126)</f>
        <v/>
      </c>
    </row>
    <row r="127" ht="21" customHeight="1">
      <c r="A127" s="69" t="n"/>
      <c r="B127" s="106">
        <f>INDEX(OfficialTeamList[Team Name],MATCH(RobotGameScores[[#This Row],[Team Number]], OfficialTeamList[Team '#],0))</f>
        <v/>
      </c>
      <c r="C127" s="70" t="n"/>
      <c r="D127" s="70" t="n"/>
      <c r="E127" s="70" t="n"/>
      <c r="F127" s="74">
        <f>MAX(C127:E127)</f>
        <v/>
      </c>
    </row>
    <row r="128" ht="21" customHeight="1">
      <c r="A128" s="69" t="n"/>
      <c r="B128" s="106">
        <f>INDEX(OfficialTeamList[Team Name],MATCH(RobotGameScores[[#This Row],[Team Number]], OfficialTeamList[Team '#],0))</f>
        <v/>
      </c>
      <c r="C128" s="70" t="n"/>
      <c r="D128" s="70" t="n"/>
      <c r="E128" s="70" t="n"/>
      <c r="F128" s="74">
        <f>MAX(C128:E128)</f>
        <v/>
      </c>
    </row>
    <row r="129" ht="21" customHeight="1">
      <c r="A129" s="69" t="n"/>
      <c r="B129" s="106">
        <f>INDEX(OfficialTeamList[Team Name],MATCH(RobotGameScores[[#This Row],[Team Number]], OfficialTeamList[Team '#],0))</f>
        <v/>
      </c>
      <c r="C129" s="70" t="n"/>
      <c r="D129" s="70" t="n"/>
      <c r="E129" s="70" t="n"/>
      <c r="F129" s="74">
        <f>MAX(C129:E129)</f>
        <v/>
      </c>
    </row>
    <row r="130" ht="21" customHeight="1">
      <c r="A130" s="69" t="n"/>
      <c r="B130" s="106">
        <f>INDEX(OfficialTeamList[Team Name],MATCH(RobotGameScores[[#This Row],[Team Number]], OfficialTeamList[Team '#],0))</f>
        <v/>
      </c>
      <c r="C130" s="70" t="n"/>
      <c r="D130" s="70" t="n"/>
      <c r="E130" s="70" t="n"/>
      <c r="F130" s="74">
        <f>MAX(C130:E130)</f>
        <v/>
      </c>
    </row>
    <row r="131" ht="21" customHeight="1">
      <c r="A131" s="69" t="n"/>
      <c r="B131" s="106">
        <f>INDEX(OfficialTeamList[Team Name],MATCH(RobotGameScores[[#This Row],[Team Number]], OfficialTeamList[Team '#],0))</f>
        <v/>
      </c>
      <c r="C131" s="70" t="n"/>
      <c r="D131" s="70" t="n"/>
      <c r="E131" s="70" t="n"/>
      <c r="F131" s="74">
        <f>MAX(C131:E131)</f>
        <v/>
      </c>
    </row>
    <row r="132" ht="21" customHeight="1">
      <c r="A132" s="69" t="n"/>
      <c r="B132" s="106">
        <f>INDEX(OfficialTeamList[Team Name],MATCH(RobotGameScores[[#This Row],[Team Number]], OfficialTeamList[Team '#],0))</f>
        <v/>
      </c>
      <c r="C132" s="70" t="n"/>
      <c r="D132" s="70" t="n"/>
      <c r="E132" s="70" t="n"/>
      <c r="F132" s="74">
        <f>MAX(C132:E132)</f>
        <v/>
      </c>
    </row>
    <row r="133" ht="21" customHeight="1">
      <c r="A133" s="69" t="n"/>
      <c r="B133" s="106">
        <f>INDEX(OfficialTeamList[Team Name],MATCH(RobotGameScores[[#This Row],[Team Number]], OfficialTeamList[Team '#],0))</f>
        <v/>
      </c>
      <c r="C133" s="70" t="n"/>
      <c r="D133" s="70" t="n"/>
      <c r="E133" s="70" t="n"/>
      <c r="F133" s="74">
        <f>MAX(C133:E133)</f>
        <v/>
      </c>
    </row>
    <row r="134" ht="21" customHeight="1">
      <c r="A134" s="69" t="n"/>
      <c r="B134" s="106">
        <f>INDEX(OfficialTeamList[Team Name],MATCH(RobotGameScores[[#This Row],[Team Number]], OfficialTeamList[Team '#],0))</f>
        <v/>
      </c>
      <c r="C134" s="70" t="n"/>
      <c r="D134" s="70" t="n"/>
      <c r="E134" s="70" t="n"/>
      <c r="F134" s="74">
        <f>MAX(C134:E134)</f>
        <v/>
      </c>
    </row>
    <row r="135" ht="21" customHeight="1">
      <c r="A135" s="69" t="n"/>
      <c r="B135" s="106">
        <f>INDEX(OfficialTeamList[Team Name],MATCH(RobotGameScores[[#This Row],[Team Number]], OfficialTeamList[Team '#],0))</f>
        <v/>
      </c>
      <c r="C135" s="70" t="n"/>
      <c r="D135" s="70" t="n"/>
      <c r="E135" s="70" t="n"/>
      <c r="F135" s="74">
        <f>MAX(C135:E135)</f>
        <v/>
      </c>
    </row>
    <row r="136" ht="21" customHeight="1">
      <c r="A136" s="69" t="n"/>
      <c r="B136" s="106">
        <f>INDEX(OfficialTeamList[Team Name],MATCH(RobotGameScores[[#This Row],[Team Number]], OfficialTeamList[Team '#],0))</f>
        <v/>
      </c>
      <c r="C136" s="70" t="n"/>
      <c r="D136" s="70" t="n"/>
      <c r="E136" s="70" t="n"/>
      <c r="F136" s="74">
        <f>MAX(C136:E136)</f>
        <v/>
      </c>
    </row>
    <row r="137" ht="21" customHeight="1">
      <c r="A137" s="69" t="n"/>
      <c r="B137" s="106">
        <f>INDEX(OfficialTeamList[Team Name],MATCH(RobotGameScores[[#This Row],[Team Number]], OfficialTeamList[Team '#],0))</f>
        <v/>
      </c>
      <c r="C137" s="70" t="n"/>
      <c r="D137" s="70" t="n"/>
      <c r="E137" s="70" t="n"/>
      <c r="F137" s="74">
        <f>MAX(C137:E137)</f>
        <v/>
      </c>
    </row>
    <row r="138" ht="21" customHeight="1">
      <c r="A138" s="69" t="n"/>
      <c r="B138" s="106">
        <f>INDEX(OfficialTeamList[Team Name],MATCH(RobotGameScores[[#This Row],[Team Number]], OfficialTeamList[Team '#],0))</f>
        <v/>
      </c>
      <c r="C138" s="70" t="n"/>
      <c r="D138" s="70" t="n"/>
      <c r="E138" s="70" t="n"/>
      <c r="F138" s="74">
        <f>MAX(C138:E138)</f>
        <v/>
      </c>
    </row>
    <row r="139" ht="21" customHeight="1">
      <c r="A139" s="69" t="n"/>
      <c r="B139" s="106">
        <f>INDEX(OfficialTeamList[Team Name],MATCH(RobotGameScores[[#This Row],[Team Number]], OfficialTeamList[Team '#],0))</f>
        <v/>
      </c>
      <c r="C139" s="70" t="n"/>
      <c r="D139" s="70" t="n"/>
      <c r="E139" s="70" t="n"/>
      <c r="F139" s="74">
        <f>MAX(C139:E139)</f>
        <v/>
      </c>
    </row>
    <row r="140" ht="21" customHeight="1">
      <c r="A140" s="69" t="n"/>
      <c r="B140" s="106">
        <f>INDEX(OfficialTeamList[Team Name],MATCH(RobotGameScores[[#This Row],[Team Number]], OfficialTeamList[Team '#],0))</f>
        <v/>
      </c>
      <c r="C140" s="70" t="n"/>
      <c r="D140" s="70" t="n"/>
      <c r="E140" s="70" t="n"/>
      <c r="F140" s="74">
        <f>MAX(C140:E140)</f>
        <v/>
      </c>
    </row>
    <row r="141" ht="21" customHeight="1">
      <c r="A141" s="69" t="n"/>
      <c r="B141" s="106">
        <f>INDEX(OfficialTeamList[Team Name],MATCH(RobotGameScores[[#This Row],[Team Number]], OfficialTeamList[Team '#],0))</f>
        <v/>
      </c>
      <c r="C141" s="70" t="n"/>
      <c r="D141" s="70" t="n"/>
      <c r="E141" s="70" t="n"/>
      <c r="F141" s="74">
        <f>MAX(C141:E141)</f>
        <v/>
      </c>
    </row>
    <row r="142" ht="21" customHeight="1">
      <c r="A142" s="69" t="n"/>
      <c r="B142" s="106">
        <f>INDEX(OfficialTeamList[Team Name],MATCH(RobotGameScores[[#This Row],[Team Number]], OfficialTeamList[Team '#],0))</f>
        <v/>
      </c>
      <c r="C142" s="70" t="n"/>
      <c r="D142" s="70" t="n"/>
      <c r="E142" s="70" t="n"/>
      <c r="F142" s="74">
        <f>MAX(C142:E142)</f>
        <v/>
      </c>
    </row>
    <row r="143" ht="21" customHeight="1">
      <c r="A143" s="69" t="n"/>
      <c r="B143" s="106">
        <f>INDEX(OfficialTeamList[Team Name],MATCH(RobotGameScores[[#This Row],[Team Number]], OfficialTeamList[Team '#],0))</f>
        <v/>
      </c>
      <c r="C143" s="70" t="n"/>
      <c r="D143" s="70" t="n"/>
      <c r="E143" s="70" t="n"/>
      <c r="F143" s="74">
        <f>MAX(C143:E143)</f>
        <v/>
      </c>
    </row>
    <row r="144" ht="21" customHeight="1">
      <c r="A144" s="69" t="n"/>
      <c r="B144" s="106">
        <f>INDEX(OfficialTeamList[Team Name],MATCH(RobotGameScores[[#This Row],[Team Number]], OfficialTeamList[Team '#],0))</f>
        <v/>
      </c>
      <c r="C144" s="70" t="n"/>
      <c r="D144" s="70" t="n"/>
      <c r="E144" s="70" t="n"/>
      <c r="F144" s="74">
        <f>MAX(C144:E144)</f>
        <v/>
      </c>
    </row>
    <row r="145" ht="21" customHeight="1">
      <c r="A145" s="69" t="n"/>
      <c r="B145" s="106">
        <f>INDEX(OfficialTeamList[Team Name],MATCH(RobotGameScores[[#This Row],[Team Number]], OfficialTeamList[Team '#],0))</f>
        <v/>
      </c>
      <c r="C145" s="70" t="n"/>
      <c r="D145" s="70" t="n"/>
      <c r="E145" s="70" t="n"/>
      <c r="F145" s="74">
        <f>MAX(C145:E145)</f>
        <v/>
      </c>
    </row>
    <row r="146" ht="21" customHeight="1">
      <c r="A146" s="69" t="n"/>
      <c r="B146" s="106">
        <f>INDEX(OfficialTeamList[Team Name],MATCH(RobotGameScores[[#This Row],[Team Number]], OfficialTeamList[Team '#],0))</f>
        <v/>
      </c>
      <c r="C146" s="70" t="n"/>
      <c r="D146" s="70" t="n"/>
      <c r="E146" s="70" t="n"/>
      <c r="F146" s="74">
        <f>MAX(C146:E146)</f>
        <v/>
      </c>
    </row>
    <row r="147" ht="21" customHeight="1">
      <c r="A147" s="69" t="n"/>
      <c r="B147" s="106">
        <f>INDEX(OfficialTeamList[Team Name],MATCH(RobotGameScores[[#This Row],[Team Number]], OfficialTeamList[Team '#],0))</f>
        <v/>
      </c>
      <c r="C147" s="70" t="n"/>
      <c r="D147" s="70" t="n"/>
      <c r="E147" s="70" t="n"/>
      <c r="F147" s="74">
        <f>MAX(C147:E147)</f>
        <v/>
      </c>
    </row>
    <row r="148" ht="21" customHeight="1">
      <c r="A148" s="69" t="n"/>
      <c r="B148" s="106">
        <f>INDEX(OfficialTeamList[Team Name],MATCH(RobotGameScores[[#This Row],[Team Number]], OfficialTeamList[Team '#],0))</f>
        <v/>
      </c>
      <c r="C148" s="70" t="n"/>
      <c r="D148" s="70" t="n"/>
      <c r="E148" s="70" t="n"/>
      <c r="F148" s="74">
        <f>MAX(C148:E148)</f>
        <v/>
      </c>
    </row>
    <row r="149" ht="21" customHeight="1">
      <c r="A149" s="69" t="n"/>
      <c r="B149" s="106">
        <f>INDEX(OfficialTeamList[Team Name],MATCH(RobotGameScores[[#This Row],[Team Number]], OfficialTeamList[Team '#],0))</f>
        <v/>
      </c>
      <c r="C149" s="70" t="n"/>
      <c r="D149" s="70" t="n"/>
      <c r="E149" s="70" t="n"/>
      <c r="F149" s="74">
        <f>MAX(C149:E149)</f>
        <v/>
      </c>
    </row>
    <row r="150" ht="21" customHeight="1">
      <c r="A150" s="69" t="n"/>
      <c r="B150" s="106">
        <f>INDEX(OfficialTeamList[Team Name],MATCH(RobotGameScores[[#This Row],[Team Number]], OfficialTeamList[Team '#],0))</f>
        <v/>
      </c>
      <c r="C150" s="70" t="n"/>
      <c r="D150" s="70" t="n"/>
      <c r="E150" s="70" t="n"/>
      <c r="F150" s="74">
        <f>MAX(C150:E150)</f>
        <v/>
      </c>
    </row>
    <row r="151" ht="21" customHeight="1">
      <c r="A151" s="69" t="n"/>
      <c r="B151" s="69" t="n"/>
      <c r="C151" s="69" t="n"/>
      <c r="D151" s="69" t="n"/>
      <c r="E151" s="69" t="n"/>
      <c r="F151" s="84" t="n"/>
    </row>
    <row r="152" ht="21" customHeight="1">
      <c r="A152" s="69" t="n"/>
      <c r="B152" s="69" t="n"/>
      <c r="C152" s="69" t="n"/>
      <c r="D152" s="69" t="n"/>
      <c r="E152" s="69" t="n"/>
      <c r="F152" s="84" t="n"/>
    </row>
    <row r="153" ht="21" customHeight="1">
      <c r="A153" s="69" t="n"/>
      <c r="B153" s="69" t="n"/>
      <c r="C153" s="69" t="n"/>
      <c r="D153" s="69" t="n"/>
      <c r="E153" s="69" t="n"/>
      <c r="F153" s="84" t="n"/>
    </row>
    <row r="154" ht="21" customHeight="1">
      <c r="A154" s="69" t="n"/>
      <c r="B154" s="69" t="n"/>
      <c r="C154" s="69" t="n"/>
      <c r="D154" s="69" t="n"/>
      <c r="E154" s="69" t="n"/>
      <c r="F154" s="84" t="n"/>
    </row>
    <row r="155" ht="21" customHeight="1">
      <c r="A155" s="69" t="n"/>
      <c r="B155" s="69" t="n"/>
      <c r="C155" s="69" t="n"/>
      <c r="D155" s="69" t="n"/>
      <c r="E155" s="69" t="n"/>
      <c r="F155" s="84" t="n"/>
    </row>
    <row r="156" ht="21" customHeight="1">
      <c r="A156" s="69" t="n"/>
      <c r="B156" s="69" t="n"/>
      <c r="C156" s="69" t="n"/>
      <c r="D156" s="69" t="n"/>
      <c r="E156" s="69" t="n"/>
      <c r="F156" s="84" t="n"/>
    </row>
    <row r="157" ht="21" customHeight="1">
      <c r="A157" s="69" t="n"/>
      <c r="B157" s="69" t="n"/>
      <c r="C157" s="69" t="n"/>
      <c r="D157" s="69" t="n"/>
      <c r="E157" s="69" t="n"/>
      <c r="F157" s="84" t="n"/>
    </row>
    <row r="158" ht="21" customHeight="1">
      <c r="A158" s="69" t="n"/>
      <c r="B158" s="69" t="n"/>
      <c r="C158" s="69" t="n"/>
      <c r="D158" s="69" t="n"/>
      <c r="E158" s="69" t="n"/>
      <c r="F158" s="84" t="n"/>
    </row>
    <row r="159" ht="21" customHeight="1">
      <c r="A159" s="69" t="n"/>
      <c r="B159" s="69" t="n"/>
      <c r="C159" s="69" t="n"/>
      <c r="D159" s="69" t="n"/>
      <c r="E159" s="69" t="n"/>
      <c r="F159" s="84" t="n"/>
    </row>
    <row r="160" ht="21" customHeight="1">
      <c r="A160" s="69" t="n"/>
      <c r="B160" s="69" t="n"/>
      <c r="C160" s="69" t="n"/>
      <c r="D160" s="69" t="n"/>
      <c r="E160" s="69" t="n"/>
      <c r="F160" s="84" t="n"/>
    </row>
    <row r="161" ht="21" customHeight="1">
      <c r="A161" s="69" t="n"/>
      <c r="B161" s="69" t="n"/>
      <c r="C161" s="69" t="n"/>
      <c r="D161" s="69" t="n"/>
      <c r="E161" s="69" t="n"/>
      <c r="F161" s="84" t="n"/>
    </row>
    <row r="162" ht="21" customHeight="1">
      <c r="A162" s="69" t="n"/>
      <c r="B162" s="69" t="n"/>
      <c r="C162" s="69" t="n"/>
      <c r="D162" s="69" t="n"/>
      <c r="E162" s="69" t="n"/>
      <c r="F162" s="84" t="n"/>
    </row>
    <row r="163" ht="21" customHeight="1">
      <c r="A163" s="69" t="n"/>
      <c r="B163" s="69" t="n"/>
      <c r="C163" s="69" t="n"/>
      <c r="D163" s="69" t="n"/>
      <c r="E163" s="69" t="n"/>
      <c r="F163" s="84" t="n"/>
    </row>
    <row r="164" ht="21" customHeight="1">
      <c r="A164" s="69" t="n"/>
      <c r="B164" s="69" t="n"/>
      <c r="C164" s="69" t="n"/>
      <c r="D164" s="69" t="n"/>
      <c r="E164" s="69" t="n"/>
      <c r="F164" s="84" t="n"/>
    </row>
    <row r="165" ht="21" customHeight="1">
      <c r="A165" s="69" t="n"/>
      <c r="B165" s="69" t="n"/>
      <c r="C165" s="69" t="n"/>
      <c r="D165" s="69" t="n"/>
      <c r="E165" s="69" t="n"/>
      <c r="F165" s="84" t="n"/>
    </row>
    <row r="166" ht="21" customHeight="1">
      <c r="A166" s="69" t="n"/>
      <c r="B166" s="69" t="n"/>
      <c r="C166" s="69" t="n"/>
      <c r="D166" s="69" t="n"/>
      <c r="E166" s="69" t="n"/>
      <c r="F166" s="84" t="n"/>
    </row>
    <row r="167" ht="21" customHeight="1">
      <c r="A167" s="69" t="n"/>
      <c r="B167" s="69" t="n"/>
      <c r="C167" s="69" t="n"/>
      <c r="D167" s="69" t="n"/>
      <c r="E167" s="69" t="n"/>
      <c r="F167" s="84" t="n"/>
    </row>
    <row r="168" ht="21" customHeight="1">
      <c r="A168" s="69" t="n"/>
      <c r="B168" s="69" t="n"/>
      <c r="C168" s="69" t="n"/>
      <c r="D168" s="69" t="n"/>
      <c r="E168" s="69" t="n"/>
      <c r="F168" s="84" t="n"/>
    </row>
    <row r="169" ht="21" customHeight="1">
      <c r="A169" s="69" t="n"/>
      <c r="B169" s="69" t="n"/>
      <c r="C169" s="69" t="n"/>
      <c r="D169" s="69" t="n"/>
      <c r="E169" s="69" t="n"/>
      <c r="F169" s="84" t="n"/>
    </row>
    <row r="170" ht="21" customHeight="1">
      <c r="A170" s="69" t="n"/>
      <c r="B170" s="69" t="n"/>
      <c r="C170" s="69" t="n"/>
      <c r="D170" s="69" t="n"/>
      <c r="E170" s="69" t="n"/>
      <c r="F170" s="84" t="n"/>
    </row>
    <row r="171" ht="21" customHeight="1">
      <c r="A171" s="69" t="n"/>
      <c r="B171" s="69" t="n"/>
      <c r="C171" s="69" t="n"/>
      <c r="D171" s="69" t="n"/>
      <c r="E171" s="69" t="n"/>
      <c r="F171" s="84" t="n"/>
    </row>
    <row r="172" ht="21" customHeight="1">
      <c r="A172" s="69" t="n"/>
      <c r="B172" s="69" t="n"/>
      <c r="C172" s="69" t="n"/>
      <c r="D172" s="69" t="n"/>
      <c r="E172" s="69" t="n"/>
      <c r="F172" s="84" t="n"/>
    </row>
    <row r="173" ht="21" customHeight="1">
      <c r="A173" s="69" t="n"/>
      <c r="B173" s="69" t="n"/>
      <c r="C173" s="69" t="n"/>
      <c r="D173" s="69" t="n"/>
      <c r="E173" s="69" t="n"/>
      <c r="F173" s="84" t="n"/>
    </row>
    <row r="174" ht="21" customHeight="1">
      <c r="A174" s="69" t="n"/>
      <c r="B174" s="69" t="n"/>
      <c r="C174" s="69" t="n"/>
      <c r="D174" s="69" t="n"/>
      <c r="E174" s="69" t="n"/>
      <c r="F174" s="84" t="n"/>
    </row>
    <row r="175" ht="21" customHeight="1">
      <c r="A175" s="69" t="n"/>
      <c r="B175" s="69" t="n"/>
      <c r="C175" s="69" t="n"/>
      <c r="D175" s="69" t="n"/>
      <c r="E175" s="69" t="n"/>
      <c r="F175" s="84" t="n"/>
    </row>
    <row r="176" ht="21" customHeight="1">
      <c r="A176" s="69" t="n"/>
      <c r="B176" s="69" t="n"/>
      <c r="C176" s="69" t="n"/>
      <c r="D176" s="69" t="n"/>
      <c r="E176" s="69" t="n"/>
      <c r="F176" s="84" t="n"/>
    </row>
    <row r="177" ht="21" customHeight="1">
      <c r="A177" s="69" t="n"/>
      <c r="B177" s="69" t="n"/>
      <c r="C177" s="69" t="n"/>
      <c r="D177" s="69" t="n"/>
      <c r="E177" s="69" t="n"/>
      <c r="F177" s="84" t="n"/>
    </row>
    <row r="178" ht="21" customHeight="1">
      <c r="A178" s="69" t="n"/>
      <c r="B178" s="69" t="n"/>
      <c r="C178" s="69" t="n"/>
      <c r="D178" s="69" t="n"/>
      <c r="E178" s="69" t="n"/>
      <c r="F178" s="84" t="n"/>
    </row>
    <row r="179" ht="21" customHeight="1">
      <c r="A179" s="69" t="n"/>
      <c r="B179" s="69" t="n"/>
      <c r="C179" s="69" t="n"/>
      <c r="D179" s="69" t="n"/>
      <c r="E179" s="69" t="n"/>
      <c r="F179" s="84" t="n"/>
    </row>
    <row r="180" ht="21" customHeight="1">
      <c r="A180" s="69" t="n"/>
      <c r="B180" s="69" t="n"/>
      <c r="C180" s="69" t="n"/>
      <c r="D180" s="69" t="n"/>
      <c r="E180" s="69" t="n"/>
      <c r="F180" s="84" t="n"/>
    </row>
    <row r="181" ht="21" customHeight="1">
      <c r="A181" s="69" t="n"/>
      <c r="B181" s="69" t="n"/>
      <c r="C181" s="69" t="n"/>
      <c r="D181" s="69" t="n"/>
      <c r="E181" s="69" t="n"/>
      <c r="F181" s="84" t="n"/>
    </row>
    <row r="182" ht="21" customHeight="1">
      <c r="A182" s="69" t="n"/>
      <c r="B182" s="69" t="n"/>
      <c r="C182" s="69" t="n"/>
      <c r="D182" s="69" t="n"/>
      <c r="E182" s="69" t="n"/>
      <c r="F182" s="84" t="n"/>
    </row>
    <row r="183" ht="21" customHeight="1">
      <c r="A183" s="69" t="n"/>
      <c r="B183" s="69" t="n"/>
      <c r="C183" s="69" t="n"/>
      <c r="D183" s="69" t="n"/>
      <c r="E183" s="69" t="n"/>
      <c r="F183" s="84" t="n"/>
    </row>
    <row r="184" ht="21" customHeight="1">
      <c r="A184" s="69" t="n"/>
      <c r="B184" s="69" t="n"/>
      <c r="C184" s="69" t="n"/>
      <c r="D184" s="69" t="n"/>
      <c r="E184" s="69" t="n"/>
      <c r="F184" s="84" t="n"/>
    </row>
    <row r="185" ht="21" customHeight="1">
      <c r="A185" s="69" t="n"/>
      <c r="B185" s="69" t="n"/>
      <c r="C185" s="69" t="n"/>
      <c r="D185" s="69" t="n"/>
      <c r="E185" s="69" t="n"/>
      <c r="F185" s="84" t="n"/>
    </row>
    <row r="186" ht="21" customHeight="1">
      <c r="A186" s="69" t="n"/>
      <c r="B186" s="69" t="n"/>
      <c r="C186" s="69" t="n"/>
      <c r="D186" s="69" t="n"/>
      <c r="E186" s="69" t="n"/>
      <c r="F186" s="84" t="n"/>
    </row>
    <row r="187" ht="21" customHeight="1">
      <c r="A187" s="69" t="n"/>
      <c r="B187" s="69" t="n"/>
      <c r="C187" s="69" t="n"/>
      <c r="D187" s="69" t="n"/>
      <c r="E187" s="69" t="n"/>
      <c r="F187" s="84" t="n"/>
    </row>
    <row r="188" ht="21" customHeight="1">
      <c r="A188" s="69" t="n"/>
      <c r="B188" s="69" t="n"/>
      <c r="C188" s="69" t="n"/>
      <c r="D188" s="69" t="n"/>
      <c r="E188" s="69" t="n"/>
      <c r="F188" s="84" t="n"/>
    </row>
    <row r="189" ht="21" customHeight="1">
      <c r="A189" s="69" t="n"/>
      <c r="B189" s="69" t="n"/>
      <c r="C189" s="69" t="n"/>
      <c r="D189" s="69" t="n"/>
      <c r="E189" s="69" t="n"/>
      <c r="F189" s="84" t="n"/>
    </row>
    <row r="190" ht="21" customHeight="1">
      <c r="A190" s="69" t="n"/>
      <c r="B190" s="69" t="n"/>
      <c r="C190" s="69" t="n"/>
      <c r="D190" s="69" t="n"/>
      <c r="E190" s="69" t="n"/>
      <c r="F190" s="84" t="n"/>
    </row>
    <row r="191" ht="21" customHeight="1">
      <c r="A191" s="69" t="n"/>
      <c r="B191" s="69" t="n"/>
      <c r="C191" s="69" t="n"/>
      <c r="D191" s="69" t="n"/>
      <c r="E191" s="69" t="n"/>
      <c r="F191" s="84" t="n"/>
    </row>
    <row r="192" ht="21" customHeight="1">
      <c r="A192" s="69" t="n"/>
      <c r="B192" s="69" t="n"/>
      <c r="C192" s="69" t="n"/>
      <c r="D192" s="69" t="n"/>
      <c r="E192" s="69" t="n"/>
      <c r="F192" s="84" t="n"/>
    </row>
    <row r="193" ht="21" customHeight="1">
      <c r="A193" s="69" t="n"/>
      <c r="B193" s="69" t="n"/>
      <c r="C193" s="69" t="n"/>
      <c r="D193" s="69" t="n"/>
      <c r="E193" s="69" t="n"/>
      <c r="F193" s="84" t="n"/>
    </row>
    <row r="194" ht="21" customHeight="1">
      <c r="A194" s="69" t="n"/>
      <c r="B194" s="69" t="n"/>
      <c r="C194" s="69" t="n"/>
      <c r="D194" s="69" t="n"/>
      <c r="E194" s="69" t="n"/>
      <c r="F194" s="84" t="n"/>
    </row>
    <row r="195" ht="21" customHeight="1">
      <c r="A195" s="69" t="n"/>
      <c r="B195" s="69" t="n"/>
      <c r="C195" s="69" t="n"/>
      <c r="D195" s="69" t="n"/>
      <c r="E195" s="69" t="n"/>
      <c r="F195" s="84" t="n"/>
    </row>
    <row r="196" ht="21" customHeight="1">
      <c r="A196" s="69" t="n"/>
      <c r="B196" s="69" t="n"/>
      <c r="C196" s="69" t="n"/>
      <c r="D196" s="69" t="n"/>
      <c r="E196" s="69" t="n"/>
      <c r="F196" s="84" t="n"/>
    </row>
    <row r="197" ht="21" customHeight="1">
      <c r="A197" s="69" t="n"/>
      <c r="B197" s="69" t="n"/>
      <c r="C197" s="69" t="n"/>
      <c r="D197" s="69" t="n"/>
      <c r="E197" s="69" t="n"/>
      <c r="F197" s="84" t="n"/>
    </row>
    <row r="198" ht="21" customHeight="1">
      <c r="A198" s="69" t="n"/>
      <c r="B198" s="69" t="n"/>
      <c r="C198" s="69" t="n"/>
      <c r="D198" s="69" t="n"/>
      <c r="E198" s="69" t="n"/>
      <c r="F198" s="84" t="n"/>
    </row>
    <row r="199" ht="21" customHeight="1">
      <c r="A199" s="69" t="n"/>
      <c r="B199" s="69" t="n"/>
      <c r="C199" s="69" t="n"/>
      <c r="D199" s="69" t="n"/>
      <c r="E199" s="69" t="n"/>
      <c r="F199" s="84" t="n"/>
    </row>
    <row r="200" ht="21" customHeight="1">
      <c r="A200" s="69" t="n"/>
      <c r="B200" s="69" t="n"/>
      <c r="C200" s="69" t="n"/>
      <c r="D200" s="69" t="n"/>
      <c r="E200" s="69" t="n"/>
      <c r="F200" s="84" t="n"/>
    </row>
    <row r="201" ht="21" customHeight="1">
      <c r="A201" s="69" t="n"/>
      <c r="B201" s="69" t="n"/>
      <c r="C201" s="69" t="n"/>
      <c r="D201" s="69" t="n"/>
      <c r="E201" s="69" t="n"/>
      <c r="F201" s="84" t="n"/>
    </row>
    <row r="202" ht="21" customHeight="1">
      <c r="A202" s="69" t="n"/>
      <c r="B202" s="69" t="n"/>
      <c r="C202" s="69" t="n"/>
      <c r="D202" s="69" t="n"/>
      <c r="E202" s="69" t="n"/>
      <c r="F202" s="84" t="n"/>
    </row>
    <row r="203" ht="21" customHeight="1">
      <c r="A203" s="69" t="n"/>
      <c r="B203" s="69" t="n"/>
      <c r="C203" s="69" t="n"/>
      <c r="D203" s="69" t="n"/>
      <c r="E203" s="69" t="n"/>
      <c r="F203" s="84" t="n"/>
    </row>
    <row r="204" ht="21" customHeight="1">
      <c r="A204" s="69" t="n"/>
      <c r="B204" s="69" t="n"/>
      <c r="C204" s="69" t="n"/>
      <c r="D204" s="69" t="n"/>
      <c r="E204" s="69" t="n"/>
      <c r="F204" s="84" t="n"/>
    </row>
    <row r="205" ht="21" customHeight="1">
      <c r="A205" s="69" t="n"/>
      <c r="B205" s="69" t="n"/>
      <c r="C205" s="69" t="n"/>
      <c r="D205" s="69" t="n"/>
      <c r="E205" s="69" t="n"/>
      <c r="F205" s="84" t="n"/>
    </row>
    <row r="206" ht="21" customHeight="1">
      <c r="A206" s="69" t="n"/>
      <c r="B206" s="69" t="n"/>
      <c r="C206" s="69" t="n"/>
      <c r="D206" s="69" t="n"/>
      <c r="E206" s="69" t="n"/>
      <c r="F206" s="84" t="n"/>
    </row>
    <row r="207" ht="21" customHeight="1">
      <c r="A207" s="69" t="n"/>
      <c r="B207" s="69" t="n"/>
      <c r="C207" s="69" t="n"/>
      <c r="D207" s="69" t="n"/>
      <c r="E207" s="69" t="n"/>
      <c r="F207" s="84" t="n"/>
    </row>
    <row r="208" ht="21" customHeight="1">
      <c r="A208" s="69" t="n"/>
      <c r="B208" s="69" t="n"/>
      <c r="C208" s="69" t="n"/>
      <c r="D208" s="69" t="n"/>
      <c r="E208" s="69" t="n"/>
      <c r="F208" s="84" t="n"/>
    </row>
    <row r="209" ht="21" customHeight="1">
      <c r="A209" s="69" t="n"/>
      <c r="B209" s="69" t="n"/>
      <c r="C209" s="69" t="n"/>
      <c r="D209" s="69" t="n"/>
      <c r="E209" s="69" t="n"/>
      <c r="F209" s="84" t="n"/>
    </row>
    <row r="210" ht="21" customHeight="1">
      <c r="A210" s="69" t="n"/>
      <c r="B210" s="69" t="n"/>
      <c r="C210" s="69" t="n"/>
      <c r="D210" s="69" t="n"/>
      <c r="E210" s="69" t="n"/>
      <c r="F210" s="84" t="n"/>
    </row>
    <row r="211" ht="21" customHeight="1">
      <c r="A211" s="69" t="n"/>
      <c r="B211" s="69" t="n"/>
      <c r="C211" s="69" t="n"/>
      <c r="D211" s="69" t="n"/>
      <c r="E211" s="69" t="n"/>
      <c r="F211" s="84" t="n"/>
    </row>
    <row r="212" ht="21" customHeight="1">
      <c r="A212" s="69" t="n"/>
      <c r="B212" s="69" t="n"/>
      <c r="C212" s="69" t="n"/>
      <c r="D212" s="69" t="n"/>
      <c r="E212" s="69" t="n"/>
      <c r="F212" s="84" t="n"/>
    </row>
    <row r="213" ht="21" customHeight="1">
      <c r="A213" s="69" t="n"/>
      <c r="B213" s="69" t="n"/>
      <c r="C213" s="69" t="n"/>
      <c r="D213" s="69" t="n"/>
      <c r="E213" s="69" t="n"/>
      <c r="F213" s="84" t="n"/>
    </row>
    <row r="214" ht="21" customHeight="1">
      <c r="A214" s="69" t="n"/>
      <c r="B214" s="69" t="n"/>
      <c r="C214" s="69" t="n"/>
      <c r="D214" s="69" t="n"/>
      <c r="E214" s="69" t="n"/>
      <c r="F214" s="84" t="n"/>
    </row>
    <row r="215" ht="21" customHeight="1">
      <c r="A215" s="69" t="n"/>
      <c r="B215" s="69" t="n"/>
      <c r="C215" s="69" t="n"/>
      <c r="D215" s="69" t="n"/>
      <c r="E215" s="69" t="n"/>
      <c r="F215" s="84" t="n"/>
    </row>
    <row r="216" ht="21" customHeight="1">
      <c r="A216" s="69" t="n"/>
      <c r="B216" s="69" t="n"/>
      <c r="C216" s="69" t="n"/>
      <c r="D216" s="69" t="n"/>
      <c r="E216" s="69" t="n"/>
      <c r="F216" s="84" t="n"/>
    </row>
    <row r="217" ht="21" customHeight="1">
      <c r="A217" s="69" t="n"/>
      <c r="B217" s="69" t="n"/>
      <c r="C217" s="69" t="n"/>
      <c r="D217" s="69" t="n"/>
      <c r="E217" s="69" t="n"/>
      <c r="F217" s="84" t="n"/>
    </row>
    <row r="218" ht="21" customHeight="1">
      <c r="A218" s="69" t="n"/>
      <c r="B218" s="69" t="n"/>
      <c r="C218" s="69" t="n"/>
      <c r="D218" s="69" t="n"/>
      <c r="E218" s="69" t="n"/>
      <c r="F218" s="84" t="n"/>
    </row>
    <row r="219" ht="21" customHeight="1">
      <c r="A219" s="69" t="n"/>
      <c r="B219" s="69" t="n"/>
      <c r="C219" s="69" t="n"/>
      <c r="D219" s="69" t="n"/>
      <c r="E219" s="69" t="n"/>
      <c r="F219" s="84" t="n"/>
    </row>
    <row r="220" ht="21" customHeight="1">
      <c r="A220" s="69" t="n"/>
      <c r="B220" s="69" t="n"/>
      <c r="C220" s="69" t="n"/>
      <c r="D220" s="69" t="n"/>
      <c r="E220" s="69" t="n"/>
      <c r="F220" s="84" t="n"/>
    </row>
    <row r="221" ht="21" customHeight="1">
      <c r="A221" s="69" t="n"/>
      <c r="B221" s="69" t="n"/>
      <c r="C221" s="69" t="n"/>
      <c r="D221" s="69" t="n"/>
      <c r="E221" s="69" t="n"/>
      <c r="F221" s="84" t="n"/>
    </row>
    <row r="222" ht="21" customHeight="1">
      <c r="A222" s="69" t="n"/>
      <c r="B222" s="69" t="n"/>
      <c r="C222" s="69" t="n"/>
      <c r="D222" s="69" t="n"/>
      <c r="E222" s="69" t="n"/>
      <c r="F222" s="84" t="n"/>
    </row>
    <row r="223" ht="21" customHeight="1">
      <c r="A223" s="69" t="n"/>
      <c r="B223" s="69" t="n"/>
      <c r="C223" s="69" t="n"/>
      <c r="D223" s="69" t="n"/>
      <c r="E223" s="69" t="n"/>
      <c r="F223" s="84" t="n"/>
    </row>
    <row r="224" ht="21" customHeight="1">
      <c r="A224" s="69" t="n"/>
      <c r="B224" s="69" t="n"/>
      <c r="C224" s="69" t="n"/>
      <c r="D224" s="69" t="n"/>
      <c r="E224" s="69" t="n"/>
      <c r="F224" s="84" t="n"/>
    </row>
    <row r="225" ht="21" customHeight="1">
      <c r="A225" s="69" t="n"/>
      <c r="B225" s="69" t="n"/>
      <c r="C225" s="69" t="n"/>
      <c r="D225" s="69" t="n"/>
      <c r="E225" s="69" t="n"/>
      <c r="F225" s="84" t="n"/>
    </row>
    <row r="226" ht="21" customHeight="1">
      <c r="A226" s="69" t="n"/>
      <c r="B226" s="69" t="n"/>
      <c r="C226" s="69" t="n"/>
      <c r="D226" s="69" t="n"/>
      <c r="E226" s="69" t="n"/>
      <c r="F226" s="84" t="n"/>
    </row>
    <row r="227" ht="21" customHeight="1">
      <c r="A227" s="69" t="n"/>
      <c r="B227" s="69" t="n"/>
      <c r="C227" s="69" t="n"/>
      <c r="D227" s="69" t="n"/>
      <c r="E227" s="69" t="n"/>
      <c r="F227" s="84" t="n"/>
    </row>
    <row r="228" ht="21" customHeight="1">
      <c r="A228" s="69" t="n"/>
      <c r="B228" s="69" t="n"/>
      <c r="C228" s="69" t="n"/>
      <c r="D228" s="69" t="n"/>
      <c r="E228" s="69" t="n"/>
      <c r="F228" s="84" t="n"/>
    </row>
    <row r="229" ht="21" customHeight="1">
      <c r="A229" s="69" t="n"/>
      <c r="B229" s="69" t="n"/>
      <c r="C229" s="69" t="n"/>
      <c r="D229" s="69" t="n"/>
      <c r="E229" s="69" t="n"/>
      <c r="F229" s="84" t="n"/>
    </row>
    <row r="230" ht="21" customHeight="1">
      <c r="A230" s="69" t="n"/>
      <c r="B230" s="69" t="n"/>
      <c r="C230" s="69" t="n"/>
      <c r="D230" s="69" t="n"/>
      <c r="E230" s="69" t="n"/>
      <c r="F230" s="84" t="n"/>
    </row>
    <row r="231" ht="21" customHeight="1">
      <c r="A231" s="69" t="n"/>
      <c r="B231" s="69" t="n"/>
      <c r="C231" s="69" t="n"/>
      <c r="D231" s="69" t="n"/>
      <c r="E231" s="69" t="n"/>
      <c r="F231" s="84" t="n"/>
    </row>
    <row r="232" ht="21" customHeight="1">
      <c r="A232" s="69" t="n"/>
      <c r="B232" s="69" t="n"/>
      <c r="C232" s="69" t="n"/>
      <c r="D232" s="69" t="n"/>
      <c r="E232" s="69" t="n"/>
      <c r="F232" s="84" t="n"/>
    </row>
    <row r="233" ht="21" customHeight="1">
      <c r="A233" s="69" t="n"/>
      <c r="B233" s="69" t="n"/>
      <c r="C233" s="69" t="n"/>
      <c r="D233" s="69" t="n"/>
      <c r="E233" s="69" t="n"/>
      <c r="F233" s="84" t="n"/>
    </row>
    <row r="234" ht="21" customHeight="1">
      <c r="A234" s="69" t="n"/>
      <c r="B234" s="69" t="n"/>
      <c r="C234" s="69" t="n"/>
      <c r="D234" s="69" t="n"/>
      <c r="E234" s="69" t="n"/>
      <c r="F234" s="84" t="n"/>
    </row>
    <row r="235" ht="21" customHeight="1">
      <c r="A235" s="69" t="n"/>
      <c r="B235" s="69" t="n"/>
      <c r="C235" s="69" t="n"/>
      <c r="D235" s="69" t="n"/>
      <c r="E235" s="69" t="n"/>
      <c r="F235" s="84" t="n"/>
    </row>
    <row r="236" ht="21" customHeight="1">
      <c r="A236" s="69" t="n"/>
      <c r="B236" s="69" t="n"/>
      <c r="C236" s="69" t="n"/>
      <c r="D236" s="69" t="n"/>
      <c r="E236" s="69" t="n"/>
      <c r="F236" s="84" t="n"/>
    </row>
    <row r="237" ht="21" customHeight="1">
      <c r="F237" s="85" t="n"/>
    </row>
    <row r="238" ht="21" customHeight="1">
      <c r="F238" s="85" t="n"/>
    </row>
    <row r="239" ht="21" customHeight="1">
      <c r="F239" s="85" t="n"/>
    </row>
    <row r="240" ht="21" customHeight="1">
      <c r="F240" s="85" t="n"/>
    </row>
    <row r="241" ht="21" customHeight="1">
      <c r="F241" s="85" t="n"/>
    </row>
    <row r="242" ht="30" customHeight="1">
      <c r="F242" s="85" t="n"/>
    </row>
    <row r="243" ht="30" customHeight="1">
      <c r="A243" s="75" t="n"/>
      <c r="B243" s="75" t="n"/>
      <c r="C243" s="75" t="n"/>
      <c r="D243" s="75" t="n"/>
      <c r="E243" s="75" t="n"/>
      <c r="F243" s="76" t="n"/>
    </row>
    <row r="244" ht="30" customHeight="1">
      <c r="A244" s="75" t="n"/>
      <c r="B244" s="75" t="n"/>
      <c r="C244" s="75" t="n"/>
      <c r="D244" s="75" t="n"/>
      <c r="E244" s="75" t="n"/>
      <c r="F244" s="76" t="n"/>
    </row>
    <row r="245" ht="30" customHeight="1">
      <c r="A245" s="75" t="n"/>
      <c r="B245" s="75" t="n"/>
      <c r="C245" s="75" t="n"/>
      <c r="D245" s="75" t="n"/>
      <c r="E245" s="75" t="n"/>
      <c r="F245" s="76" t="n"/>
    </row>
    <row r="246" ht="30" customHeight="1">
      <c r="A246" s="75" t="n"/>
      <c r="B246" s="75" t="n"/>
      <c r="C246" s="75" t="n"/>
      <c r="D246" s="75" t="n"/>
      <c r="E246" s="75" t="n"/>
      <c r="F246" s="76" t="n"/>
    </row>
    <row r="247" ht="30" customHeight="1">
      <c r="A247" s="75" t="n"/>
      <c r="B247" s="75" t="n"/>
      <c r="C247" s="75" t="n"/>
      <c r="D247" s="75" t="n"/>
      <c r="E247" s="75" t="n"/>
      <c r="F247" s="76" t="n"/>
    </row>
    <row r="248" ht="30" customHeight="1">
      <c r="A248" s="75" t="n"/>
      <c r="B248" s="75" t="n"/>
      <c r="C248" s="75" t="n"/>
      <c r="D248" s="75" t="n"/>
      <c r="E248" s="75" t="n"/>
      <c r="F248" s="76" t="n"/>
    </row>
    <row r="249" ht="30" customHeight="1">
      <c r="A249" s="75" t="n"/>
      <c r="B249" s="75" t="n"/>
      <c r="C249" s="75" t="n"/>
      <c r="D249" s="75" t="n"/>
      <c r="E249" s="75" t="n"/>
      <c r="F249" s="76" t="n"/>
    </row>
    <row r="250" ht="30" customHeight="1">
      <c r="A250" s="75" t="n"/>
      <c r="B250" s="75" t="n"/>
      <c r="C250" s="75" t="n"/>
      <c r="D250" s="75" t="n"/>
      <c r="E250" s="75" t="n"/>
      <c r="F250" s="76" t="n"/>
    </row>
    <row r="251" ht="30" customHeight="1">
      <c r="A251" s="75" t="n"/>
      <c r="B251" s="75" t="n"/>
      <c r="C251" s="75" t="n"/>
      <c r="D251" s="75" t="n"/>
      <c r="E251" s="75" t="n"/>
      <c r="F251" s="76" t="n"/>
    </row>
    <row r="252" ht="30" customHeight="1">
      <c r="A252" s="75" t="n"/>
      <c r="B252" s="75" t="n"/>
      <c r="C252" s="75" t="n"/>
      <c r="D252" s="75" t="n"/>
      <c r="E252" s="75" t="n"/>
      <c r="F252" s="76" t="n"/>
    </row>
    <row r="253" ht="30" customHeight="1">
      <c r="A253" s="75" t="n"/>
      <c r="B253" s="75" t="n"/>
      <c r="C253" s="75" t="n"/>
      <c r="D253" s="75" t="n"/>
      <c r="E253" s="75" t="n"/>
      <c r="F253" s="76" t="n"/>
    </row>
    <row r="254" ht="30" customHeight="1">
      <c r="A254" s="75" t="n"/>
      <c r="B254" s="75" t="n"/>
      <c r="C254" s="75" t="n"/>
      <c r="D254" s="75" t="n"/>
      <c r="E254" s="75" t="n"/>
      <c r="F254" s="76" t="n"/>
    </row>
    <row r="255" ht="30" customHeight="1">
      <c r="A255" s="75" t="n"/>
      <c r="B255" s="75" t="n"/>
      <c r="C255" s="75" t="n"/>
      <c r="D255" s="75" t="n"/>
      <c r="E255" s="75" t="n"/>
      <c r="F255" s="76" t="n"/>
    </row>
    <row r="256" ht="30" customHeight="1">
      <c r="A256" s="75" t="n"/>
      <c r="B256" s="75" t="n"/>
      <c r="C256" s="75" t="n"/>
      <c r="D256" s="75" t="n"/>
      <c r="E256" s="75" t="n"/>
      <c r="F256" s="76" t="n"/>
    </row>
    <row r="257" ht="30" customHeight="1">
      <c r="A257" s="75" t="n"/>
      <c r="B257" s="75" t="n"/>
      <c r="C257" s="75" t="n"/>
      <c r="D257" s="75" t="n"/>
      <c r="E257" s="75" t="n"/>
      <c r="F257" s="76" t="n"/>
    </row>
    <row r="258" ht="30" customHeight="1">
      <c r="A258" s="75" t="n"/>
      <c r="B258" s="75" t="n"/>
      <c r="C258" s="75" t="n"/>
      <c r="D258" s="75" t="n"/>
      <c r="E258" s="75" t="n"/>
      <c r="F258" s="76" t="n"/>
    </row>
    <row r="259" ht="30" customHeight="1">
      <c r="A259" s="75" t="n"/>
      <c r="B259" s="75" t="n"/>
      <c r="C259" s="75" t="n"/>
      <c r="D259" s="75" t="n"/>
      <c r="E259" s="75" t="n"/>
      <c r="F259" s="76" t="n"/>
    </row>
    <row r="260" ht="30" customHeight="1">
      <c r="A260" s="75" t="n"/>
      <c r="B260" s="75" t="n"/>
      <c r="C260" s="75" t="n"/>
      <c r="D260" s="75" t="n"/>
      <c r="E260" s="75" t="n"/>
      <c r="F260" s="76" t="n"/>
    </row>
    <row r="261" ht="30" customHeight="1">
      <c r="A261" s="75" t="n"/>
      <c r="B261" s="75" t="n"/>
      <c r="C261" s="75" t="n"/>
      <c r="D261" s="75" t="n"/>
      <c r="E261" s="75" t="n"/>
      <c r="F261" s="76" t="n"/>
    </row>
    <row r="262" ht="30" customHeight="1">
      <c r="A262" s="75" t="n"/>
      <c r="B262" s="75" t="n"/>
      <c r="C262" s="75" t="n"/>
      <c r="D262" s="75" t="n"/>
      <c r="E262" s="75" t="n"/>
      <c r="F262" s="76" t="n"/>
    </row>
    <row r="263" ht="30" customHeight="1">
      <c r="A263" s="75" t="n"/>
      <c r="B263" s="75" t="n"/>
      <c r="C263" s="75" t="n"/>
      <c r="D263" s="75" t="n"/>
      <c r="E263" s="75" t="n"/>
      <c r="F263" s="76" t="n"/>
    </row>
    <row r="264" ht="30" customHeight="1">
      <c r="A264" s="75" t="n"/>
      <c r="B264" s="75" t="n"/>
      <c r="C264" s="75" t="n"/>
      <c r="D264" s="75" t="n"/>
      <c r="E264" s="75" t="n"/>
      <c r="F264" s="76" t="n"/>
    </row>
    <row r="265" ht="30" customHeight="1">
      <c r="A265" s="75" t="n"/>
      <c r="B265" s="75" t="n"/>
      <c r="C265" s="75" t="n"/>
      <c r="D265" s="75" t="n"/>
      <c r="E265" s="75" t="n"/>
      <c r="F265" s="76" t="n"/>
    </row>
    <row r="266" ht="30" customHeight="1">
      <c r="A266" s="75" t="n"/>
      <c r="B266" s="75" t="n"/>
      <c r="C266" s="75" t="n"/>
      <c r="D266" s="75" t="n"/>
      <c r="E266" s="75" t="n"/>
      <c r="F266" s="76" t="n"/>
    </row>
    <row r="267" ht="30" customHeight="1">
      <c r="A267" s="75" t="n"/>
      <c r="B267" s="75" t="n"/>
      <c r="C267" s="75" t="n"/>
      <c r="D267" s="75" t="n"/>
      <c r="E267" s="75" t="n"/>
      <c r="F267" s="76" t="n"/>
    </row>
    <row r="268" ht="30" customHeight="1">
      <c r="A268" s="75" t="n"/>
      <c r="B268" s="75" t="n"/>
      <c r="C268" s="75" t="n"/>
      <c r="D268" s="75" t="n"/>
      <c r="E268" s="75" t="n"/>
      <c r="F268" s="76" t="n"/>
    </row>
    <row r="269" ht="30" customHeight="1">
      <c r="A269" s="75" t="n"/>
      <c r="B269" s="75" t="n"/>
      <c r="C269" s="75" t="n"/>
      <c r="D269" s="75" t="n"/>
      <c r="E269" s="75" t="n"/>
      <c r="F269" s="76" t="n"/>
    </row>
    <row r="270" ht="30" customHeight="1">
      <c r="A270" s="75" t="n"/>
      <c r="B270" s="75" t="n"/>
      <c r="C270" s="75" t="n"/>
      <c r="D270" s="75" t="n"/>
      <c r="E270" s="75" t="n"/>
      <c r="F270" s="76" t="n"/>
    </row>
    <row r="271" ht="30" customHeight="1">
      <c r="A271" s="75" t="n"/>
      <c r="B271" s="75" t="n"/>
      <c r="C271" s="75" t="n"/>
      <c r="D271" s="75" t="n"/>
      <c r="E271" s="75" t="n"/>
      <c r="F271" s="76" t="n"/>
    </row>
    <row r="272" ht="30" customHeight="1">
      <c r="A272" s="75" t="n"/>
      <c r="B272" s="75" t="n"/>
      <c r="C272" s="75" t="n"/>
      <c r="D272" s="75" t="n"/>
      <c r="E272" s="75" t="n"/>
      <c r="F272" s="76" t="n"/>
    </row>
    <row r="273" ht="30" customHeight="1">
      <c r="A273" s="75" t="n"/>
      <c r="B273" s="75" t="n"/>
      <c r="C273" s="75" t="n"/>
      <c r="D273" s="75" t="n"/>
      <c r="E273" s="75" t="n"/>
      <c r="F273" s="76" t="n"/>
    </row>
    <row r="274" ht="30" customHeight="1">
      <c r="A274" s="75" t="n"/>
      <c r="B274" s="75" t="n"/>
      <c r="C274" s="75" t="n"/>
      <c r="D274" s="75" t="n"/>
      <c r="E274" s="75" t="n"/>
      <c r="F274" s="76" t="n"/>
    </row>
    <row r="275" ht="30" customHeight="1">
      <c r="A275" s="75" t="n"/>
      <c r="B275" s="75" t="n"/>
      <c r="C275" s="75" t="n"/>
      <c r="D275" s="75" t="n"/>
      <c r="E275" s="75" t="n"/>
      <c r="F275" s="76" t="n"/>
    </row>
    <row r="276" ht="30" customHeight="1">
      <c r="A276" s="75" t="n"/>
      <c r="B276" s="75" t="n"/>
      <c r="C276" s="75" t="n"/>
      <c r="D276" s="75" t="n"/>
      <c r="E276" s="75" t="n"/>
      <c r="F276" s="76" t="n"/>
    </row>
    <row r="277" ht="30" customHeight="1">
      <c r="A277" s="75" t="n"/>
      <c r="B277" s="75" t="n"/>
      <c r="C277" s="75" t="n"/>
      <c r="D277" s="75" t="n"/>
      <c r="E277" s="75" t="n"/>
      <c r="F277" s="76" t="n"/>
    </row>
    <row r="278" ht="30" customHeight="1">
      <c r="A278" s="75" t="n"/>
      <c r="B278" s="75" t="n"/>
      <c r="C278" s="75" t="n"/>
      <c r="D278" s="75" t="n"/>
      <c r="E278" s="75" t="n"/>
      <c r="F278" s="76" t="n"/>
    </row>
    <row r="279" ht="30" customHeight="1">
      <c r="A279" s="75" t="n"/>
      <c r="B279" s="75" t="n"/>
      <c r="C279" s="75" t="n"/>
      <c r="D279" s="75" t="n"/>
      <c r="E279" s="75" t="n"/>
      <c r="F279" s="76" t="n"/>
    </row>
    <row r="280" ht="30" customHeight="1">
      <c r="A280" s="75" t="n"/>
      <c r="B280" s="75" t="n"/>
      <c r="C280" s="75" t="n"/>
      <c r="D280" s="75" t="n"/>
      <c r="E280" s="75" t="n"/>
      <c r="F280" s="76" t="n"/>
    </row>
    <row r="281" ht="30" customHeight="1">
      <c r="A281" s="75" t="n"/>
      <c r="B281" s="75" t="n"/>
      <c r="C281" s="75" t="n"/>
      <c r="D281" s="75" t="n"/>
      <c r="E281" s="75" t="n"/>
      <c r="F281" s="76" t="n"/>
    </row>
    <row r="282" ht="30" customHeight="1">
      <c r="A282" s="75" t="n"/>
      <c r="B282" s="75" t="n"/>
      <c r="C282" s="75" t="n"/>
      <c r="D282" s="75" t="n"/>
      <c r="E282" s="75" t="n"/>
      <c r="F282" s="76" t="n"/>
    </row>
    <row r="283" ht="30" customHeight="1">
      <c r="A283" s="75" t="n"/>
      <c r="B283" s="75" t="n"/>
      <c r="C283" s="75" t="n"/>
      <c r="D283" s="75" t="n"/>
      <c r="E283" s="75" t="n"/>
      <c r="F283" s="76" t="n"/>
    </row>
    <row r="284" ht="30" customHeight="1">
      <c r="A284" s="75" t="n"/>
      <c r="B284" s="75" t="n"/>
      <c r="C284" s="75" t="n"/>
      <c r="D284" s="75" t="n"/>
      <c r="E284" s="75" t="n"/>
      <c r="F284" s="76" t="n"/>
    </row>
    <row r="285" ht="30" customHeight="1">
      <c r="A285" s="75" t="n"/>
      <c r="B285" s="75" t="n"/>
      <c r="C285" s="75" t="n"/>
      <c r="D285" s="75" t="n"/>
      <c r="E285" s="75" t="n"/>
      <c r="F285" s="76" t="n"/>
    </row>
    <row r="286" ht="30" customHeight="1">
      <c r="A286" s="75" t="n"/>
      <c r="B286" s="75" t="n"/>
      <c r="C286" s="75" t="n"/>
      <c r="D286" s="75" t="n"/>
      <c r="E286" s="75" t="n"/>
      <c r="F286" s="76" t="n"/>
    </row>
    <row r="287" ht="30" customHeight="1">
      <c r="A287" s="75" t="n"/>
      <c r="B287" s="75" t="n"/>
      <c r="C287" s="75" t="n"/>
      <c r="D287" s="75" t="n"/>
      <c r="E287" s="75" t="n"/>
      <c r="F287" s="76" t="n"/>
    </row>
    <row r="288" ht="30" customHeight="1">
      <c r="A288" s="75" t="n"/>
      <c r="B288" s="75" t="n"/>
      <c r="C288" s="75" t="n"/>
      <c r="D288" s="75" t="n"/>
      <c r="E288" s="75" t="n"/>
      <c r="F288" s="76" t="n"/>
    </row>
    <row r="289" ht="30" customHeight="1">
      <c r="A289" s="75" t="n"/>
      <c r="B289" s="75" t="n"/>
      <c r="C289" s="75" t="n"/>
      <c r="D289" s="75" t="n"/>
      <c r="E289" s="75" t="n"/>
      <c r="F289" s="76" t="n"/>
    </row>
    <row r="290" ht="30" customHeight="1">
      <c r="A290" s="75" t="n"/>
      <c r="B290" s="75" t="n"/>
      <c r="C290" s="75" t="n"/>
      <c r="D290" s="75" t="n"/>
      <c r="E290" s="75" t="n"/>
      <c r="F290" s="76" t="n"/>
    </row>
    <row r="291" ht="30" customHeight="1">
      <c r="A291" s="75" t="n"/>
      <c r="B291" s="75" t="n"/>
      <c r="C291" s="75" t="n"/>
      <c r="D291" s="75" t="n"/>
      <c r="E291" s="75" t="n"/>
      <c r="F291" s="76" t="n"/>
    </row>
    <row r="292" ht="30" customHeight="1">
      <c r="A292" s="75" t="n"/>
      <c r="B292" s="75" t="n"/>
      <c r="C292" s="75" t="n"/>
      <c r="D292" s="75" t="n"/>
      <c r="E292" s="75" t="n"/>
      <c r="F292" s="76" t="n"/>
    </row>
    <row r="293" ht="30" customHeight="1">
      <c r="A293" s="75" t="n"/>
      <c r="B293" s="75" t="n"/>
      <c r="C293" s="75" t="n"/>
      <c r="D293" s="75" t="n"/>
      <c r="E293" s="75" t="n"/>
      <c r="F293" s="76" t="n"/>
    </row>
    <row r="294" ht="30" customHeight="1">
      <c r="A294" s="75" t="n"/>
      <c r="B294" s="75" t="n"/>
      <c r="C294" s="75" t="n"/>
      <c r="D294" s="75" t="n"/>
      <c r="E294" s="75" t="n"/>
      <c r="F294" s="76" t="n"/>
    </row>
    <row r="295" ht="30" customHeight="1">
      <c r="A295" s="75" t="n"/>
      <c r="B295" s="75" t="n"/>
      <c r="C295" s="75" t="n"/>
      <c r="D295" s="75" t="n"/>
      <c r="E295" s="75" t="n"/>
      <c r="F295" s="76" t="n"/>
    </row>
    <row r="296" ht="30" customHeight="1">
      <c r="A296" s="75" t="n"/>
      <c r="B296" s="75" t="n"/>
      <c r="C296" s="75" t="n"/>
      <c r="D296" s="75" t="n"/>
      <c r="E296" s="75" t="n"/>
      <c r="F296" s="76" t="n"/>
    </row>
    <row r="297" ht="30" customHeight="1">
      <c r="A297" s="75" t="n"/>
      <c r="B297" s="75" t="n"/>
      <c r="C297" s="75" t="n"/>
      <c r="D297" s="75" t="n"/>
      <c r="E297" s="75" t="n"/>
      <c r="F297" s="76" t="n"/>
    </row>
    <row r="298" ht="30" customHeight="1">
      <c r="A298" s="75" t="n"/>
      <c r="B298" s="75" t="n"/>
      <c r="C298" s="75" t="n"/>
      <c r="D298" s="75" t="n"/>
      <c r="E298" s="75" t="n"/>
      <c r="F298" s="76" t="n"/>
    </row>
    <row r="299" ht="30" customHeight="1">
      <c r="A299" s="75" t="n"/>
      <c r="B299" s="75" t="n"/>
      <c r="C299" s="75" t="n"/>
      <c r="D299" s="75" t="n"/>
      <c r="E299" s="75" t="n"/>
      <c r="F299" s="76" t="n"/>
    </row>
    <row r="300" ht="30" customHeight="1">
      <c r="A300" s="75" t="n"/>
      <c r="B300" s="75" t="n"/>
      <c r="C300" s="75" t="n"/>
      <c r="D300" s="75" t="n"/>
      <c r="E300" s="75" t="n"/>
      <c r="F300" s="76" t="n"/>
    </row>
    <row r="301" ht="30" customHeight="1">
      <c r="A301" s="75" t="n"/>
      <c r="B301" s="75" t="n"/>
      <c r="C301" s="75" t="n"/>
      <c r="D301" s="75" t="n"/>
      <c r="E301" s="75" t="n"/>
      <c r="F301" s="76" t="n"/>
    </row>
    <row r="302" ht="30" customHeight="1">
      <c r="A302" s="75" t="n"/>
      <c r="B302" s="75" t="n"/>
      <c r="C302" s="75" t="n"/>
      <c r="D302" s="75" t="n"/>
      <c r="E302" s="75" t="n"/>
      <c r="F302" s="76" t="n"/>
    </row>
    <row r="303" ht="30" customHeight="1">
      <c r="A303" s="75" t="n"/>
      <c r="B303" s="75" t="n"/>
      <c r="C303" s="75" t="n"/>
      <c r="D303" s="75" t="n"/>
      <c r="E303" s="75" t="n"/>
      <c r="F303" s="76" t="n"/>
    </row>
    <row r="304" ht="30" customHeight="1">
      <c r="A304" s="75" t="n"/>
      <c r="B304" s="75" t="n"/>
      <c r="C304" s="75" t="n"/>
      <c r="D304" s="75" t="n"/>
      <c r="E304" s="75" t="n"/>
      <c r="F304" s="76" t="n"/>
    </row>
    <row r="305" ht="30" customHeight="1">
      <c r="A305" s="75" t="n"/>
      <c r="B305" s="75" t="n"/>
      <c r="C305" s="75" t="n"/>
      <c r="D305" s="75" t="n"/>
      <c r="E305" s="75" t="n"/>
      <c r="F305" s="76" t="n"/>
    </row>
    <row r="306" ht="30" customHeight="1">
      <c r="A306" s="75" t="n"/>
      <c r="B306" s="75" t="n"/>
      <c r="C306" s="75" t="n"/>
      <c r="D306" s="75" t="n"/>
      <c r="E306" s="75" t="n"/>
      <c r="F306" s="76" t="n"/>
    </row>
    <row r="307" ht="30" customHeight="1">
      <c r="A307" s="75" t="n"/>
      <c r="B307" s="75" t="n"/>
      <c r="C307" s="75" t="n"/>
      <c r="D307" s="75" t="n"/>
      <c r="E307" s="75" t="n"/>
      <c r="F307" s="76" t="n"/>
    </row>
    <row r="308" ht="30" customHeight="1">
      <c r="A308" s="75" t="n"/>
      <c r="B308" s="75" t="n"/>
      <c r="C308" s="75" t="n"/>
      <c r="D308" s="75" t="n"/>
      <c r="E308" s="75" t="n"/>
      <c r="F308" s="76" t="n"/>
    </row>
    <row r="309" ht="30" customHeight="1">
      <c r="A309" s="75" t="n"/>
      <c r="B309" s="75" t="n"/>
      <c r="C309" s="75" t="n"/>
      <c r="D309" s="75" t="n"/>
      <c r="E309" s="75" t="n"/>
      <c r="F309" s="76" t="n"/>
    </row>
    <row r="310" ht="30" customHeight="1">
      <c r="A310" s="75" t="n"/>
      <c r="B310" s="75" t="n"/>
      <c r="C310" s="75" t="n"/>
      <c r="D310" s="75" t="n"/>
      <c r="E310" s="75" t="n"/>
      <c r="F310" s="76" t="n"/>
    </row>
    <row r="311" ht="30" customHeight="1">
      <c r="A311" s="75" t="n"/>
      <c r="B311" s="75" t="n"/>
      <c r="C311" s="75" t="n"/>
      <c r="D311" s="75" t="n"/>
      <c r="E311" s="75" t="n"/>
      <c r="F311" s="76" t="n"/>
    </row>
    <row r="312" ht="30" customHeight="1">
      <c r="A312" s="75" t="n"/>
      <c r="B312" s="75" t="n"/>
      <c r="C312" s="75" t="n"/>
      <c r="D312" s="75" t="n"/>
      <c r="E312" s="75" t="n"/>
      <c r="F312" s="76" t="n"/>
    </row>
    <row r="313" ht="30" customHeight="1">
      <c r="A313" s="75" t="n"/>
      <c r="B313" s="75" t="n"/>
      <c r="C313" s="75" t="n"/>
      <c r="D313" s="75" t="n"/>
      <c r="E313" s="75" t="n"/>
      <c r="F313" s="76" t="n"/>
    </row>
    <row r="314" ht="30" customHeight="1">
      <c r="A314" s="75" t="n"/>
      <c r="B314" s="75" t="n"/>
      <c r="C314" s="75" t="n"/>
      <c r="D314" s="75" t="n"/>
      <c r="E314" s="75" t="n"/>
      <c r="F314" s="76" t="n"/>
    </row>
    <row r="315" ht="30" customHeight="1">
      <c r="A315" s="75" t="n"/>
      <c r="B315" s="75" t="n"/>
      <c r="C315" s="75" t="n"/>
      <c r="D315" s="75" t="n"/>
      <c r="E315" s="75" t="n"/>
      <c r="F315" s="76" t="n"/>
    </row>
    <row r="316" ht="30" customHeight="1">
      <c r="A316" s="75" t="n"/>
      <c r="B316" s="75" t="n"/>
      <c r="C316" s="75" t="n"/>
      <c r="D316" s="75" t="n"/>
      <c r="E316" s="75" t="n"/>
      <c r="F316" s="76" t="n"/>
    </row>
    <row r="317" ht="30" customHeight="1">
      <c r="A317" s="75" t="n"/>
      <c r="B317" s="75" t="n"/>
      <c r="C317" s="75" t="n"/>
      <c r="D317" s="75" t="n"/>
      <c r="E317" s="75" t="n"/>
      <c r="F317" s="76" t="n"/>
    </row>
    <row r="318" ht="30" customHeight="1">
      <c r="A318" s="75" t="n"/>
      <c r="B318" s="75" t="n"/>
      <c r="C318" s="75" t="n"/>
      <c r="D318" s="75" t="n"/>
      <c r="E318" s="75" t="n"/>
      <c r="F318" s="76" t="n"/>
    </row>
    <row r="319" ht="30" customHeight="1">
      <c r="A319" s="75" t="n"/>
      <c r="B319" s="75" t="n"/>
      <c r="C319" s="75" t="n"/>
      <c r="D319" s="75" t="n"/>
      <c r="E319" s="75" t="n"/>
      <c r="F319" s="76" t="n"/>
    </row>
    <row r="320" ht="30" customHeight="1">
      <c r="A320" s="75" t="n"/>
      <c r="B320" s="75" t="n"/>
      <c r="C320" s="75" t="n"/>
      <c r="D320" s="75" t="n"/>
      <c r="E320" s="75" t="n"/>
      <c r="F320" s="76" t="n"/>
    </row>
    <row r="321" ht="30" customHeight="1">
      <c r="A321" s="75" t="n"/>
      <c r="B321" s="75" t="n"/>
      <c r="C321" s="75" t="n"/>
      <c r="D321" s="75" t="n"/>
      <c r="E321" s="75" t="n"/>
      <c r="F321" s="76" t="n"/>
    </row>
    <row r="322" ht="30" customHeight="1">
      <c r="A322" s="75" t="n"/>
      <c r="B322" s="75" t="n"/>
      <c r="C322" s="75" t="n"/>
      <c r="D322" s="75" t="n"/>
      <c r="E322" s="75" t="n"/>
      <c r="F322" s="76" t="n"/>
    </row>
    <row r="323" ht="30" customHeight="1">
      <c r="A323" s="75" t="n"/>
      <c r="B323" s="75" t="n"/>
      <c r="C323" s="75" t="n"/>
      <c r="D323" s="75" t="n"/>
      <c r="E323" s="75" t="n"/>
      <c r="F323" s="76" t="n"/>
    </row>
    <row r="324" ht="30" customHeight="1">
      <c r="A324" s="75" t="n"/>
      <c r="B324" s="75" t="n"/>
      <c r="C324" s="75" t="n"/>
      <c r="D324" s="75" t="n"/>
      <c r="E324" s="75" t="n"/>
      <c r="F324" s="76" t="n"/>
    </row>
    <row r="325" ht="30" customHeight="1">
      <c r="A325" s="75" t="n"/>
      <c r="B325" s="75" t="n"/>
      <c r="C325" s="75" t="n"/>
      <c r="D325" s="75" t="n"/>
      <c r="E325" s="75" t="n"/>
      <c r="F325" s="76" t="n"/>
    </row>
    <row r="326" ht="30" customHeight="1">
      <c r="A326" s="75" t="n"/>
      <c r="B326" s="75" t="n"/>
      <c r="C326" s="75" t="n"/>
      <c r="D326" s="75" t="n"/>
      <c r="E326" s="75" t="n"/>
      <c r="F326" s="76" t="n"/>
    </row>
    <row r="327" ht="30" customHeight="1">
      <c r="A327" s="75" t="n"/>
      <c r="B327" s="75" t="n"/>
      <c r="C327" s="75" t="n"/>
      <c r="D327" s="75" t="n"/>
      <c r="E327" s="75" t="n"/>
      <c r="F327" s="76" t="n"/>
    </row>
    <row r="328" ht="30" customHeight="1">
      <c r="A328" s="75" t="n"/>
      <c r="B328" s="75" t="n"/>
      <c r="C328" s="75" t="n"/>
      <c r="D328" s="75" t="n"/>
      <c r="E328" s="75" t="n"/>
      <c r="F328" s="76" t="n"/>
    </row>
    <row r="329" ht="30" customHeight="1">
      <c r="A329" s="75" t="n"/>
      <c r="B329" s="75" t="n"/>
      <c r="C329" s="75" t="n"/>
      <c r="D329" s="75" t="n"/>
      <c r="E329" s="75" t="n"/>
      <c r="F329" s="76" t="n"/>
    </row>
    <row r="330" ht="30" customHeight="1">
      <c r="A330" s="75" t="n"/>
      <c r="B330" s="75" t="n"/>
      <c r="C330" s="75" t="n"/>
      <c r="D330" s="75" t="n"/>
      <c r="E330" s="75" t="n"/>
      <c r="F330" s="76" t="n"/>
    </row>
    <row r="331" ht="30" customHeight="1">
      <c r="A331" s="75" t="n"/>
      <c r="B331" s="75" t="n"/>
      <c r="C331" s="75" t="n"/>
      <c r="D331" s="75" t="n"/>
      <c r="E331" s="75" t="n"/>
      <c r="F331" s="76" t="n"/>
    </row>
    <row r="332" ht="30" customHeight="1">
      <c r="A332" s="75" t="n"/>
      <c r="B332" s="75" t="n"/>
      <c r="C332" s="75" t="n"/>
      <c r="D332" s="75" t="n"/>
      <c r="E332" s="75" t="n"/>
      <c r="F332" s="76" t="n"/>
    </row>
    <row r="333" ht="30" customHeight="1">
      <c r="A333" s="75" t="n"/>
      <c r="B333" s="75" t="n"/>
      <c r="C333" s="75" t="n"/>
      <c r="D333" s="75" t="n"/>
      <c r="E333" s="75" t="n"/>
      <c r="F333" s="76" t="n"/>
    </row>
    <row r="334" ht="30" customHeight="1">
      <c r="A334" s="75" t="n"/>
      <c r="B334" s="75" t="n"/>
      <c r="C334" s="75" t="n"/>
      <c r="D334" s="75" t="n"/>
      <c r="E334" s="75" t="n"/>
      <c r="F334" s="76" t="n"/>
    </row>
    <row r="335" ht="30" customHeight="1">
      <c r="A335" s="75" t="n"/>
      <c r="B335" s="75" t="n"/>
      <c r="C335" s="75" t="n"/>
      <c r="D335" s="75" t="n"/>
      <c r="E335" s="75" t="n"/>
      <c r="F335" s="76" t="n"/>
    </row>
    <row r="336" ht="30" customHeight="1">
      <c r="A336" s="75" t="n"/>
      <c r="B336" s="75" t="n"/>
      <c r="C336" s="75" t="n"/>
      <c r="D336" s="75" t="n"/>
      <c r="E336" s="75" t="n"/>
      <c r="F336" s="76" t="n"/>
    </row>
    <row r="337" ht="30" customHeight="1">
      <c r="A337" s="75" t="n"/>
      <c r="B337" s="75" t="n"/>
      <c r="C337" s="75" t="n"/>
      <c r="D337" s="75" t="n"/>
      <c r="E337" s="75" t="n"/>
      <c r="F337" s="76" t="n"/>
    </row>
    <row r="338" ht="30" customHeight="1">
      <c r="A338" s="75" t="n"/>
      <c r="B338" s="75" t="n"/>
      <c r="C338" s="75" t="n"/>
      <c r="D338" s="75" t="n"/>
      <c r="E338" s="75" t="n"/>
      <c r="F338" s="76" t="n"/>
    </row>
    <row r="339" ht="30" customHeight="1">
      <c r="A339" s="75" t="n"/>
      <c r="B339" s="75" t="n"/>
      <c r="C339" s="75" t="n"/>
      <c r="D339" s="75" t="n"/>
      <c r="E339" s="75" t="n"/>
      <c r="F339" s="76" t="n"/>
    </row>
    <row r="340" ht="30" customHeight="1">
      <c r="A340" s="75" t="n"/>
      <c r="B340" s="75" t="n"/>
      <c r="C340" s="75" t="n"/>
      <c r="D340" s="75" t="n"/>
      <c r="E340" s="75" t="n"/>
      <c r="F340" s="76" t="n"/>
    </row>
    <row r="341" ht="30" customHeight="1">
      <c r="A341" s="75" t="n"/>
      <c r="B341" s="75" t="n"/>
      <c r="C341" s="75" t="n"/>
      <c r="D341" s="75" t="n"/>
      <c r="E341" s="75" t="n"/>
      <c r="F341" s="76" t="n"/>
    </row>
    <row r="342" ht="30" customHeight="1">
      <c r="A342" s="75" t="n"/>
      <c r="B342" s="75" t="n"/>
      <c r="C342" s="75" t="n"/>
      <c r="D342" s="75" t="n"/>
      <c r="E342" s="75" t="n"/>
      <c r="F342" s="76" t="n"/>
    </row>
    <row r="343" ht="30" customHeight="1">
      <c r="A343" s="75" t="n"/>
      <c r="B343" s="75" t="n"/>
      <c r="C343" s="75" t="n"/>
      <c r="D343" s="75" t="n"/>
      <c r="E343" s="75" t="n"/>
      <c r="F343" s="76" t="n"/>
    </row>
    <row r="344" ht="30" customHeight="1">
      <c r="A344" s="75" t="n"/>
      <c r="B344" s="75" t="n"/>
      <c r="C344" s="75" t="n"/>
      <c r="D344" s="75" t="n"/>
      <c r="E344" s="75" t="n"/>
      <c r="F344" s="76" t="n"/>
    </row>
    <row r="345" ht="30" customHeight="1">
      <c r="A345" s="75" t="n"/>
      <c r="B345" s="75" t="n"/>
      <c r="C345" s="75" t="n"/>
      <c r="D345" s="75" t="n"/>
      <c r="E345" s="75" t="n"/>
      <c r="F345" s="76" t="n"/>
    </row>
    <row r="346" ht="30" customHeight="1">
      <c r="A346" s="75" t="n"/>
      <c r="B346" s="75" t="n"/>
      <c r="C346" s="75" t="n"/>
      <c r="D346" s="75" t="n"/>
      <c r="E346" s="75" t="n"/>
      <c r="F346" s="76" t="n"/>
    </row>
    <row r="347" ht="30" customHeight="1">
      <c r="A347" s="75" t="n"/>
      <c r="B347" s="75" t="n"/>
      <c r="C347" s="75" t="n"/>
      <c r="D347" s="75" t="n"/>
      <c r="E347" s="75" t="n"/>
      <c r="F347" s="76" t="n"/>
    </row>
    <row r="348" ht="30" customHeight="1">
      <c r="A348" s="75" t="n"/>
      <c r="B348" s="75" t="n"/>
      <c r="C348" s="75" t="n"/>
      <c r="D348" s="75" t="n"/>
      <c r="E348" s="75" t="n"/>
      <c r="F348" s="76" t="n"/>
    </row>
    <row r="349" ht="30" customHeight="1">
      <c r="A349" s="75" t="n"/>
      <c r="B349" s="75" t="n"/>
      <c r="C349" s="75" t="n"/>
      <c r="D349" s="75" t="n"/>
      <c r="E349" s="75" t="n"/>
      <c r="F349" s="76" t="n"/>
    </row>
    <row r="350" ht="30" customHeight="1">
      <c r="A350" s="75" t="n"/>
      <c r="B350" s="75" t="n"/>
      <c r="C350" s="75" t="n"/>
      <c r="D350" s="75" t="n"/>
      <c r="E350" s="75" t="n"/>
      <c r="F350" s="76" t="n"/>
    </row>
    <row r="351" ht="30" customHeight="1">
      <c r="A351" s="75" t="n"/>
      <c r="B351" s="75" t="n"/>
      <c r="C351" s="75" t="n"/>
      <c r="D351" s="75" t="n"/>
      <c r="E351" s="75" t="n"/>
      <c r="F351" s="76" t="n"/>
    </row>
    <row r="352" ht="30" customHeight="1">
      <c r="A352" s="75" t="n"/>
      <c r="B352" s="75" t="n"/>
      <c r="C352" s="75" t="n"/>
      <c r="D352" s="75" t="n"/>
      <c r="E352" s="75" t="n"/>
      <c r="F352" s="76" t="n"/>
    </row>
    <row r="353" ht="30" customHeight="1">
      <c r="A353" s="75" t="n"/>
      <c r="B353" s="75" t="n"/>
      <c r="C353" s="75" t="n"/>
      <c r="D353" s="75" t="n"/>
      <c r="E353" s="75" t="n"/>
      <c r="F353" s="76" t="n"/>
    </row>
    <row r="354" ht="30" customHeight="1">
      <c r="A354" s="75" t="n"/>
      <c r="B354" s="75" t="n"/>
      <c r="C354" s="75" t="n"/>
      <c r="D354" s="75" t="n"/>
      <c r="E354" s="75" t="n"/>
      <c r="F354" s="76" t="n"/>
    </row>
    <row r="355" ht="30" customHeight="1">
      <c r="A355" s="75" t="n"/>
      <c r="B355" s="75" t="n"/>
      <c r="C355" s="75" t="n"/>
      <c r="D355" s="75" t="n"/>
      <c r="E355" s="75" t="n"/>
      <c r="F355" s="76" t="n"/>
    </row>
  </sheetData>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50"/>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outlineLevelCol="0"/>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4" t="inlineStr">
        <is>
          <t>Identify - Define</t>
        </is>
      </c>
      <c r="E1" s="64" t="inlineStr">
        <is>
          <t>Identify - Research (CV)</t>
        </is>
      </c>
      <c r="F1" s="64" t="inlineStr">
        <is>
          <t>Design - Plan</t>
        </is>
      </c>
      <c r="G1" s="64" t="inlineStr">
        <is>
          <t>Design - Teamwork (CV)</t>
        </is>
      </c>
      <c r="H1" s="64" t="inlineStr">
        <is>
          <t>Create - Innovation (CV)</t>
        </is>
      </c>
      <c r="I1" s="64" t="inlineStr">
        <is>
          <t>Create - Model</t>
        </is>
      </c>
      <c r="J1" s="64" t="inlineStr">
        <is>
          <t>Iterate - Sharing</t>
        </is>
      </c>
      <c r="K1" s="64" t="inlineStr">
        <is>
          <t>Iterate - Improvement</t>
        </is>
      </c>
      <c r="L1" s="64" t="inlineStr">
        <is>
          <t>Communicate - Impact (CV)</t>
        </is>
      </c>
      <c r="M1" s="64" t="inlineStr">
        <is>
          <t>Communicate - Fun (CV)</t>
        </is>
      </c>
      <c r="N1" s="103" t="inlineStr">
        <is>
          <t>Innovation Project Score</t>
        </is>
      </c>
      <c r="O1" s="104" t="inlineStr">
        <is>
          <t>Innovation Project Rank</t>
        </is>
      </c>
    </row>
    <row r="2" ht="21" customHeight="1">
      <c r="A2" s="69" t="n"/>
      <c r="B2" s="69">
        <f>INDEX(OfficialTeamList[Pod Number],MATCH(InnovationProjectResults[[#This Row],[Team Number]], OfficialTeamList[Team '#],0))</f>
        <v/>
      </c>
      <c r="C2" s="106">
        <f>INDEX(OfficialTeamList[Team Name],MATCH(InnovationProjectResults[[#This Row],[Team Number]], OfficialTeamList[Team '#],0))</f>
        <v/>
      </c>
      <c r="D2" s="70" t="n"/>
      <c r="E2" s="70" t="n"/>
      <c r="F2" s="70" t="n"/>
      <c r="G2" s="70" t="n"/>
      <c r="H2" s="70" t="n"/>
      <c r="I2" s="70" t="n"/>
      <c r="J2" s="70" t="n"/>
      <c r="K2" s="70" t="n"/>
      <c r="L2" s="70" t="n"/>
      <c r="M2" s="70" t="n"/>
      <c r="N2" s="83">
        <f>SUM(InnovationProjectResults[[#This Row],[Identify - Define]:[Communicate - Fun (CV)]])</f>
        <v/>
      </c>
      <c r="O2" s="73">
        <f>_xlfn.RANK.EQ(InnovationProjectResults[[#This Row],[Innovation Project Score]],InnovationProjectResults[Innovation Project Score],0)</f>
        <v/>
      </c>
    </row>
    <row r="3" ht="21" customHeight="1">
      <c r="A3" s="69" t="n"/>
      <c r="B3" s="69">
        <f>INDEX(OfficialTeamList[Pod Number],MATCH(InnovationProjectResults[[#This Row],[Team Number]], OfficialTeamList[Team '#],0))</f>
        <v/>
      </c>
      <c r="C3" s="106">
        <f>INDEX(OfficialTeamList[Team Name],MATCH(InnovationProjectResults[[#This Row],[Team Number]], OfficialTeamList[Team '#],0))</f>
        <v/>
      </c>
      <c r="D3" s="70" t="n"/>
      <c r="E3" s="70" t="n"/>
      <c r="F3" s="70" t="n"/>
      <c r="G3" s="70" t="n"/>
      <c r="H3" s="70" t="n"/>
      <c r="I3" s="70" t="n"/>
      <c r="J3" s="70" t="n"/>
      <c r="K3" s="70" t="n"/>
      <c r="L3" s="70" t="n"/>
      <c r="M3" s="70" t="n"/>
      <c r="N3" s="83">
        <f>SUM(InnovationProjectResults[[#This Row],[Identify - Define]:[Communicate - Fun (CV)]])</f>
        <v/>
      </c>
      <c r="O3" s="73">
        <f>_xlfn.RANK.EQ(InnovationProjectResults[[#This Row],[Innovation Project Score]],InnovationProjectResults[Innovation Project Score],0)</f>
        <v/>
      </c>
    </row>
    <row r="4" ht="21" customHeight="1">
      <c r="A4" s="69" t="n"/>
      <c r="B4" s="69">
        <f>INDEX(OfficialTeamList[Pod Number],MATCH(InnovationProjectResults[[#This Row],[Team Number]], OfficialTeamList[Team '#],0))</f>
        <v/>
      </c>
      <c r="C4" s="106">
        <f>INDEX(OfficialTeamList[Team Name],MATCH(InnovationProjectResults[[#This Row],[Team Number]], OfficialTeamList[Team '#],0))</f>
        <v/>
      </c>
      <c r="D4" s="70" t="n"/>
      <c r="E4" s="70" t="n"/>
      <c r="F4" s="70" t="n"/>
      <c r="G4" s="70" t="n"/>
      <c r="H4" s="70" t="n"/>
      <c r="I4" s="70" t="n"/>
      <c r="J4" s="70" t="n"/>
      <c r="K4" s="70" t="n"/>
      <c r="L4" s="70" t="n"/>
      <c r="M4" s="70" t="n"/>
      <c r="N4" s="83">
        <f>SUM(InnovationProjectResults[[#This Row],[Identify - Define]:[Communicate - Fun (CV)]])</f>
        <v/>
      </c>
      <c r="O4" s="73">
        <f>_xlfn.RANK.EQ(InnovationProjectResults[[#This Row],[Innovation Project Score]],InnovationProjectResults[Innovation Project Score],0)</f>
        <v/>
      </c>
    </row>
    <row r="5" ht="21" customHeight="1">
      <c r="A5" s="69" t="n"/>
      <c r="B5" s="69">
        <f>INDEX(OfficialTeamList[Pod Number],MATCH(InnovationProjectResults[[#This Row],[Team Number]], OfficialTeamList[Team '#],0))</f>
        <v/>
      </c>
      <c r="C5" s="106">
        <f>INDEX(OfficialTeamList[Team Name],MATCH(InnovationProjectResults[[#This Row],[Team Number]], OfficialTeamList[Team '#],0))</f>
        <v/>
      </c>
      <c r="D5" s="70" t="n"/>
      <c r="E5" s="70" t="n"/>
      <c r="F5" s="70" t="n"/>
      <c r="G5" s="70" t="n"/>
      <c r="H5" s="70" t="n"/>
      <c r="I5" s="70" t="n"/>
      <c r="J5" s="70" t="n"/>
      <c r="K5" s="70" t="n"/>
      <c r="L5" s="70" t="n"/>
      <c r="M5" s="70" t="n"/>
      <c r="N5" s="83">
        <f>SUM(InnovationProjectResults[[#This Row],[Identify - Define]:[Communicate - Fun (CV)]])</f>
        <v/>
      </c>
      <c r="O5" s="73">
        <f>_xlfn.RANK.EQ(InnovationProjectResults[[#This Row],[Innovation Project Score]],InnovationProjectResults[Innovation Project Score],0)</f>
        <v/>
      </c>
    </row>
    <row r="6" ht="21" customHeight="1">
      <c r="A6" s="69" t="n"/>
      <c r="B6" s="69">
        <f>INDEX(OfficialTeamList[Pod Number],MATCH(InnovationProjectResults[[#This Row],[Team Number]], OfficialTeamList[Team '#],0))</f>
        <v/>
      </c>
      <c r="C6" s="106">
        <f>INDEX(OfficialTeamList[Team Name],MATCH(InnovationProjectResults[[#This Row],[Team Number]], OfficialTeamList[Team '#],0))</f>
        <v/>
      </c>
      <c r="D6" s="70" t="n"/>
      <c r="E6" s="70" t="n"/>
      <c r="F6" s="70" t="n"/>
      <c r="G6" s="70" t="n"/>
      <c r="H6" s="70" t="n"/>
      <c r="I6" s="70" t="n"/>
      <c r="J6" s="70" t="n"/>
      <c r="K6" s="70" t="n"/>
      <c r="L6" s="70" t="n"/>
      <c r="M6" s="70" t="n"/>
      <c r="N6" s="83">
        <f>SUM(InnovationProjectResults[[#This Row],[Identify - Define]:[Communicate - Fun (CV)]])</f>
        <v/>
      </c>
      <c r="O6" s="73">
        <f>_xlfn.RANK.EQ(InnovationProjectResults[[#This Row],[Innovation Project Score]],InnovationProjectResults[Innovation Project Score],0)</f>
        <v/>
      </c>
    </row>
    <row r="7" ht="21" customHeight="1">
      <c r="A7" s="69" t="n"/>
      <c r="B7" s="69">
        <f>INDEX(OfficialTeamList[Pod Number],MATCH(InnovationProjectResults[[#This Row],[Team Number]], OfficialTeamList[Team '#],0))</f>
        <v/>
      </c>
      <c r="C7" s="106">
        <f>INDEX(OfficialTeamList[Team Name],MATCH(InnovationProjectResults[[#This Row],[Team Number]], OfficialTeamList[Team '#],0))</f>
        <v/>
      </c>
      <c r="D7" s="70" t="n"/>
      <c r="E7" s="70" t="n"/>
      <c r="F7" s="70" t="n"/>
      <c r="G7" s="70" t="n"/>
      <c r="H7" s="70" t="n"/>
      <c r="I7" s="70" t="n"/>
      <c r="J7" s="70" t="n"/>
      <c r="K7" s="70" t="n"/>
      <c r="L7" s="70" t="n"/>
      <c r="M7" s="70" t="n"/>
      <c r="N7" s="83">
        <f>SUM(InnovationProjectResults[[#This Row],[Identify - Define]:[Communicate - Fun (CV)]])</f>
        <v/>
      </c>
      <c r="O7" s="73">
        <f>_xlfn.RANK.EQ(InnovationProjectResults[[#This Row],[Innovation Project Score]],InnovationProjectResults[Innovation Project Score],0)</f>
        <v/>
      </c>
    </row>
    <row r="8" ht="21" customHeight="1">
      <c r="A8" s="69" t="n"/>
      <c r="B8" s="69">
        <f>INDEX(OfficialTeamList[Pod Number],MATCH(InnovationProjectResults[[#This Row],[Team Number]], OfficialTeamList[Team '#],0))</f>
        <v/>
      </c>
      <c r="C8" s="106">
        <f>INDEX(OfficialTeamList[Team Name],MATCH(InnovationProjectResults[[#This Row],[Team Number]], OfficialTeamList[Team '#],0))</f>
        <v/>
      </c>
      <c r="D8" s="70" t="n"/>
      <c r="E8" s="70" t="n"/>
      <c r="F8" s="70" t="n"/>
      <c r="G8" s="70" t="n"/>
      <c r="H8" s="70" t="n"/>
      <c r="I8" s="70" t="n"/>
      <c r="J8" s="70" t="n"/>
      <c r="K8" s="70" t="n"/>
      <c r="L8" s="70" t="n"/>
      <c r="M8" s="70" t="n"/>
      <c r="N8" s="83">
        <f>SUM(InnovationProjectResults[[#This Row],[Identify - Define]:[Communicate - Fun (CV)]])</f>
        <v/>
      </c>
      <c r="O8" s="73">
        <f>_xlfn.RANK.EQ(InnovationProjectResults[[#This Row],[Innovation Project Score]],InnovationProjectResults[Innovation Project Score],0)</f>
        <v/>
      </c>
    </row>
    <row r="9" ht="21" customHeight="1">
      <c r="A9" s="69" t="n"/>
      <c r="B9" s="69">
        <f>INDEX(OfficialTeamList[Pod Number],MATCH(InnovationProjectResults[[#This Row],[Team Number]], OfficialTeamList[Team '#],0))</f>
        <v/>
      </c>
      <c r="C9" s="106">
        <f>INDEX(OfficialTeamList[Team Name],MATCH(InnovationProjectResults[[#This Row],[Team Number]], OfficialTeamList[Team '#],0))</f>
        <v/>
      </c>
      <c r="D9" s="70" t="n"/>
      <c r="E9" s="70" t="n"/>
      <c r="F9" s="70" t="n"/>
      <c r="G9" s="70" t="n"/>
      <c r="H9" s="70" t="n"/>
      <c r="I9" s="70" t="n"/>
      <c r="J9" s="70" t="n"/>
      <c r="K9" s="70" t="n"/>
      <c r="L9" s="70" t="n"/>
      <c r="M9" s="70" t="n"/>
      <c r="N9" s="83">
        <f>SUM(InnovationProjectResults[[#This Row],[Identify - Define]:[Communicate - Fun (CV)]])</f>
        <v/>
      </c>
      <c r="O9" s="73">
        <f>_xlfn.RANK.EQ(InnovationProjectResults[[#This Row],[Innovation Project Score]],InnovationProjectResults[Innovation Project Score],0)</f>
        <v/>
      </c>
    </row>
    <row r="10" ht="21" customHeight="1">
      <c r="A10" s="69" t="n"/>
      <c r="B10" s="69">
        <f>INDEX(OfficialTeamList[Pod Number],MATCH(InnovationProjectResults[[#This Row],[Team Number]], OfficialTeamList[Team '#],0))</f>
        <v/>
      </c>
      <c r="C10" s="106">
        <f>INDEX(OfficialTeamList[Team Name],MATCH(InnovationProjectResults[[#This Row],[Team Number]], OfficialTeamList[Team '#],0))</f>
        <v/>
      </c>
      <c r="D10" s="70" t="n"/>
      <c r="E10" s="70" t="n"/>
      <c r="F10" s="70" t="n"/>
      <c r="G10" s="70" t="n"/>
      <c r="H10" s="70" t="n"/>
      <c r="I10" s="70" t="n"/>
      <c r="J10" s="70" t="n"/>
      <c r="K10" s="70" t="n"/>
      <c r="L10" s="70" t="n"/>
      <c r="M10" s="70" t="n"/>
      <c r="N10" s="83">
        <f>SUM(InnovationProjectResults[[#This Row],[Identify - Define]:[Communicate - Fun (CV)]])</f>
        <v/>
      </c>
      <c r="O10" s="73">
        <f>_xlfn.RANK.EQ(InnovationProjectResults[[#This Row],[Innovation Project Score]],InnovationProjectResults[Innovation Project Score],0)</f>
        <v/>
      </c>
    </row>
    <row r="11" ht="21" customHeight="1">
      <c r="A11" s="69" t="n"/>
      <c r="B11" s="69">
        <f>INDEX(OfficialTeamList[Pod Number],MATCH(InnovationProjectResults[[#This Row],[Team Number]], OfficialTeamList[Team '#],0))</f>
        <v/>
      </c>
      <c r="C11" s="106">
        <f>INDEX(OfficialTeamList[Team Name],MATCH(InnovationProjectResults[[#This Row],[Team Number]], OfficialTeamList[Team '#],0))</f>
        <v/>
      </c>
      <c r="D11" s="70" t="n"/>
      <c r="E11" s="70" t="n"/>
      <c r="F11" s="70" t="n"/>
      <c r="G11" s="70" t="n"/>
      <c r="H11" s="70" t="n"/>
      <c r="I11" s="70" t="n"/>
      <c r="J11" s="70" t="n"/>
      <c r="K11" s="70" t="n"/>
      <c r="L11" s="70" t="n"/>
      <c r="M11" s="70" t="n"/>
      <c r="N11" s="83">
        <f>SUM(InnovationProjectResults[[#This Row],[Identify - Define]:[Communicate - Fun (CV)]])</f>
        <v/>
      </c>
      <c r="O11" s="73">
        <f>_xlfn.RANK.EQ(InnovationProjectResults[[#This Row],[Innovation Project Score]],InnovationProjectResults[Innovation Project Score],0)</f>
        <v/>
      </c>
    </row>
    <row r="12" ht="21" customHeight="1">
      <c r="A12" s="69" t="n"/>
      <c r="B12" s="69">
        <f>INDEX(OfficialTeamList[Pod Number],MATCH(InnovationProjectResults[[#This Row],[Team Number]], OfficialTeamList[Team '#],0))</f>
        <v/>
      </c>
      <c r="C12" s="106">
        <f>INDEX(OfficialTeamList[Team Name],MATCH(InnovationProjectResults[[#This Row],[Team Number]], OfficialTeamList[Team '#],0))</f>
        <v/>
      </c>
      <c r="D12" s="70" t="n"/>
      <c r="E12" s="70" t="n"/>
      <c r="F12" s="70" t="n"/>
      <c r="G12" s="70" t="n"/>
      <c r="H12" s="70" t="n"/>
      <c r="I12" s="70" t="n"/>
      <c r="J12" s="70" t="n"/>
      <c r="K12" s="70" t="n"/>
      <c r="L12" s="70" t="n"/>
      <c r="M12" s="70" t="n"/>
      <c r="N12" s="83">
        <f>SUM(InnovationProjectResults[[#This Row],[Identify - Define]:[Communicate - Fun (CV)]])</f>
        <v/>
      </c>
      <c r="O12" s="73">
        <f>_xlfn.RANK.EQ(InnovationProjectResults[[#This Row],[Innovation Project Score]],InnovationProjectResults[Innovation Project Score],0)</f>
        <v/>
      </c>
    </row>
    <row r="13" ht="21" customHeight="1">
      <c r="A13" s="69" t="n"/>
      <c r="B13" s="69">
        <f>INDEX(OfficialTeamList[Pod Number],MATCH(InnovationProjectResults[[#This Row],[Team Number]], OfficialTeamList[Team '#],0))</f>
        <v/>
      </c>
      <c r="C13" s="106">
        <f>INDEX(OfficialTeamList[Team Name],MATCH(InnovationProjectResults[[#This Row],[Team Number]], OfficialTeamList[Team '#],0))</f>
        <v/>
      </c>
      <c r="D13" s="70" t="n"/>
      <c r="E13" s="70" t="n"/>
      <c r="F13" s="70" t="n"/>
      <c r="G13" s="70" t="n"/>
      <c r="H13" s="70" t="n"/>
      <c r="I13" s="70" t="n"/>
      <c r="J13" s="70" t="n"/>
      <c r="K13" s="70" t="n"/>
      <c r="L13" s="70" t="n"/>
      <c r="M13" s="70" t="n"/>
      <c r="N13" s="83">
        <f>SUM(InnovationProjectResults[[#This Row],[Identify - Define]:[Communicate - Fun (CV)]])</f>
        <v/>
      </c>
      <c r="O13" s="73">
        <f>_xlfn.RANK.EQ(InnovationProjectResults[[#This Row],[Innovation Project Score]],InnovationProjectResults[Innovation Project Score],0)</f>
        <v/>
      </c>
    </row>
    <row r="14" ht="21" customHeight="1">
      <c r="A14" s="69" t="n"/>
      <c r="B14" s="69">
        <f>INDEX(OfficialTeamList[Pod Number],MATCH(InnovationProjectResults[[#This Row],[Team Number]], OfficialTeamList[Team '#],0))</f>
        <v/>
      </c>
      <c r="C14" s="106">
        <f>INDEX(OfficialTeamList[Team Name],MATCH(InnovationProjectResults[[#This Row],[Team Number]], OfficialTeamList[Team '#],0))</f>
        <v/>
      </c>
      <c r="D14" s="70" t="n"/>
      <c r="E14" s="70" t="n"/>
      <c r="F14" s="70" t="n"/>
      <c r="G14" s="70" t="n"/>
      <c r="H14" s="70" t="n"/>
      <c r="I14" s="70" t="n"/>
      <c r="J14" s="70" t="n"/>
      <c r="K14" s="70" t="n"/>
      <c r="L14" s="70" t="n"/>
      <c r="M14" s="70" t="n"/>
      <c r="N14" s="83">
        <f>SUM(InnovationProjectResults[[#This Row],[Identify - Define]:[Communicate - Fun (CV)]])</f>
        <v/>
      </c>
      <c r="O14" s="73">
        <f>_xlfn.RANK.EQ(InnovationProjectResults[[#This Row],[Innovation Project Score]],InnovationProjectResults[Innovation Project Score],0)</f>
        <v/>
      </c>
    </row>
    <row r="15" ht="21" customHeight="1">
      <c r="A15" s="69" t="n"/>
      <c r="B15" s="69">
        <f>INDEX(OfficialTeamList[Pod Number],MATCH(InnovationProjectResults[[#This Row],[Team Number]], OfficialTeamList[Team '#],0))</f>
        <v/>
      </c>
      <c r="C15" s="106">
        <f>INDEX(OfficialTeamList[Team Name],MATCH(InnovationProjectResults[[#This Row],[Team Number]], OfficialTeamList[Team '#],0))</f>
        <v/>
      </c>
      <c r="D15" s="70" t="n"/>
      <c r="E15" s="70" t="n"/>
      <c r="F15" s="70" t="n"/>
      <c r="G15" s="70" t="n"/>
      <c r="H15" s="70" t="n"/>
      <c r="I15" s="70" t="n"/>
      <c r="J15" s="70" t="n"/>
      <c r="K15" s="70" t="n"/>
      <c r="L15" s="70" t="n"/>
      <c r="M15" s="70" t="n"/>
      <c r="N15" s="83">
        <f>SUM(InnovationProjectResults[[#This Row],[Identify - Define]:[Communicate - Fun (CV)]])</f>
        <v/>
      </c>
      <c r="O15" s="73">
        <f>_xlfn.RANK.EQ(InnovationProjectResults[[#This Row],[Innovation Project Score]],InnovationProjectResults[Innovation Project Score],0)</f>
        <v/>
      </c>
    </row>
    <row r="16" ht="21" customHeight="1">
      <c r="A16" s="69" t="n"/>
      <c r="B16" s="69">
        <f>INDEX(OfficialTeamList[Pod Number],MATCH(InnovationProjectResults[[#This Row],[Team Number]], OfficialTeamList[Team '#],0))</f>
        <v/>
      </c>
      <c r="C16" s="106">
        <f>INDEX(OfficialTeamList[Team Name],MATCH(InnovationProjectResults[[#This Row],[Team Number]], OfficialTeamList[Team '#],0))</f>
        <v/>
      </c>
      <c r="D16" s="70" t="n"/>
      <c r="E16" s="70" t="n"/>
      <c r="F16" s="70" t="n"/>
      <c r="G16" s="70" t="n"/>
      <c r="H16" s="70" t="n"/>
      <c r="I16" s="70" t="n"/>
      <c r="J16" s="70" t="n"/>
      <c r="K16" s="70" t="n"/>
      <c r="L16" s="70" t="n"/>
      <c r="M16" s="70" t="n"/>
      <c r="N16" s="83">
        <f>SUM(InnovationProjectResults[[#This Row],[Identify - Define]:[Communicate - Fun (CV)]])</f>
        <v/>
      </c>
      <c r="O16" s="73">
        <f>_xlfn.RANK.EQ(InnovationProjectResults[[#This Row],[Innovation Project Score]],InnovationProjectResults[Innovation Project Score],0)</f>
        <v/>
      </c>
    </row>
    <row r="17" ht="21" customHeight="1">
      <c r="A17" s="69" t="n"/>
      <c r="B17" s="69">
        <f>INDEX(OfficialTeamList[Pod Number],MATCH(InnovationProjectResults[[#This Row],[Team Number]], OfficialTeamList[Team '#],0))</f>
        <v/>
      </c>
      <c r="C17" s="106">
        <f>INDEX(OfficialTeamList[Team Name],MATCH(InnovationProjectResults[[#This Row],[Team Number]], OfficialTeamList[Team '#],0))</f>
        <v/>
      </c>
      <c r="D17" s="70" t="n"/>
      <c r="E17" s="70" t="n"/>
      <c r="F17" s="70" t="n"/>
      <c r="G17" s="70" t="n"/>
      <c r="H17" s="70" t="n"/>
      <c r="I17" s="70" t="n"/>
      <c r="J17" s="70" t="n"/>
      <c r="K17" s="70" t="n"/>
      <c r="L17" s="70" t="n"/>
      <c r="M17" s="70" t="n"/>
      <c r="N17" s="83">
        <f>SUM(InnovationProjectResults[[#This Row],[Identify - Define]:[Communicate - Fun (CV)]])</f>
        <v/>
      </c>
      <c r="O17" s="73">
        <f>_xlfn.RANK.EQ(InnovationProjectResults[[#This Row],[Innovation Project Score]],InnovationProjectResults[Innovation Project Score],0)</f>
        <v/>
      </c>
    </row>
    <row r="18" ht="21" customHeight="1">
      <c r="A18" s="69" t="n"/>
      <c r="B18" s="69">
        <f>INDEX(OfficialTeamList[Pod Number],MATCH(InnovationProjectResults[[#This Row],[Team Number]], OfficialTeamList[Team '#],0))</f>
        <v/>
      </c>
      <c r="C18" s="106">
        <f>INDEX(OfficialTeamList[Team Name],MATCH(InnovationProjectResults[[#This Row],[Team Number]], OfficialTeamList[Team '#],0))</f>
        <v/>
      </c>
      <c r="D18" s="70" t="n"/>
      <c r="E18" s="70" t="n"/>
      <c r="F18" s="70" t="n"/>
      <c r="G18" s="70" t="n"/>
      <c r="H18" s="70" t="n"/>
      <c r="I18" s="70" t="n"/>
      <c r="J18" s="70" t="n"/>
      <c r="K18" s="70" t="n"/>
      <c r="L18" s="70" t="n"/>
      <c r="M18" s="70" t="n"/>
      <c r="N18" s="83">
        <f>SUM(InnovationProjectResults[[#This Row],[Identify - Define]:[Communicate - Fun (CV)]])</f>
        <v/>
      </c>
      <c r="O18" s="73">
        <f>_xlfn.RANK.EQ(InnovationProjectResults[[#This Row],[Innovation Project Score]],InnovationProjectResults[Innovation Project Score],0)</f>
        <v/>
      </c>
    </row>
    <row r="19" ht="21" customHeight="1">
      <c r="A19" s="69" t="n"/>
      <c r="B19" s="69">
        <f>INDEX(OfficialTeamList[Pod Number],MATCH(InnovationProjectResults[[#This Row],[Team Number]], OfficialTeamList[Team '#],0))</f>
        <v/>
      </c>
      <c r="C19" s="106">
        <f>INDEX(OfficialTeamList[Team Name],MATCH(InnovationProjectResults[[#This Row],[Team Number]], OfficialTeamList[Team '#],0))</f>
        <v/>
      </c>
      <c r="D19" s="70" t="n"/>
      <c r="E19" s="70" t="n"/>
      <c r="F19" s="70" t="n"/>
      <c r="G19" s="70" t="n"/>
      <c r="H19" s="70" t="n"/>
      <c r="I19" s="70" t="n"/>
      <c r="J19" s="70" t="n"/>
      <c r="K19" s="70" t="n"/>
      <c r="L19" s="70" t="n"/>
      <c r="M19" s="70" t="n"/>
      <c r="N19" s="83">
        <f>SUM(InnovationProjectResults[[#This Row],[Identify - Define]:[Communicate - Fun (CV)]])</f>
        <v/>
      </c>
      <c r="O19" s="73">
        <f>_xlfn.RANK.EQ(InnovationProjectResults[[#This Row],[Innovation Project Score]],InnovationProjectResults[Innovation Project Score],0)</f>
        <v/>
      </c>
    </row>
    <row r="20" ht="21" customHeight="1">
      <c r="A20" s="69" t="n"/>
      <c r="B20" s="69">
        <f>INDEX(OfficialTeamList[Pod Number],MATCH(InnovationProjectResults[[#This Row],[Team Number]], OfficialTeamList[Team '#],0))</f>
        <v/>
      </c>
      <c r="C20" s="106">
        <f>INDEX(OfficialTeamList[Team Name],MATCH(InnovationProjectResults[[#This Row],[Team Number]], OfficialTeamList[Team '#],0))</f>
        <v/>
      </c>
      <c r="D20" s="70" t="n"/>
      <c r="E20" s="70" t="n"/>
      <c r="F20" s="70" t="n"/>
      <c r="G20" s="70" t="n"/>
      <c r="H20" s="70" t="n"/>
      <c r="I20" s="70" t="n"/>
      <c r="J20" s="70" t="n"/>
      <c r="K20" s="70" t="n"/>
      <c r="L20" s="70" t="n"/>
      <c r="M20" s="70" t="n"/>
      <c r="N20" s="83">
        <f>SUM(InnovationProjectResults[[#This Row],[Identify - Define]:[Communicate - Fun (CV)]])</f>
        <v/>
      </c>
      <c r="O20" s="73">
        <f>_xlfn.RANK.EQ(InnovationProjectResults[[#This Row],[Innovation Project Score]],InnovationProjectResults[Innovation Project Score],0)</f>
        <v/>
      </c>
    </row>
    <row r="21" ht="21" customHeight="1">
      <c r="A21" s="69" t="n"/>
      <c r="B21" s="69">
        <f>INDEX(OfficialTeamList[Pod Number],MATCH(InnovationProjectResults[[#This Row],[Team Number]], OfficialTeamList[Team '#],0))</f>
        <v/>
      </c>
      <c r="C21" s="106">
        <f>INDEX(OfficialTeamList[Team Name],MATCH(InnovationProjectResults[[#This Row],[Team Number]], OfficialTeamList[Team '#],0))</f>
        <v/>
      </c>
      <c r="D21" s="70" t="n"/>
      <c r="E21" s="70" t="n"/>
      <c r="F21" s="70" t="n"/>
      <c r="G21" s="70" t="n"/>
      <c r="H21" s="70" t="n"/>
      <c r="I21" s="70" t="n"/>
      <c r="J21" s="70" t="n"/>
      <c r="K21" s="70" t="n"/>
      <c r="L21" s="70" t="n"/>
      <c r="M21" s="70" t="n"/>
      <c r="N21" s="83">
        <f>SUM(InnovationProjectResults[[#This Row],[Identify - Define]:[Communicate - Fun (CV)]])</f>
        <v/>
      </c>
      <c r="O21" s="73">
        <f>_xlfn.RANK.EQ(InnovationProjectResults[[#This Row],[Innovation Project Score]],InnovationProjectResults[Innovation Project Score],0)</f>
        <v/>
      </c>
    </row>
    <row r="22" ht="21" customHeight="1">
      <c r="A22" s="69" t="n"/>
      <c r="B22" s="69">
        <f>INDEX(OfficialTeamList[Pod Number],MATCH(InnovationProjectResults[[#This Row],[Team Number]], OfficialTeamList[Team '#],0))</f>
        <v/>
      </c>
      <c r="C22" s="106">
        <f>INDEX(OfficialTeamList[Team Name],MATCH(InnovationProjectResults[[#This Row],[Team Number]], OfficialTeamList[Team '#],0))</f>
        <v/>
      </c>
      <c r="D22" s="70" t="n"/>
      <c r="E22" s="70" t="n"/>
      <c r="F22" s="70" t="n"/>
      <c r="G22" s="70" t="n"/>
      <c r="H22" s="70" t="n"/>
      <c r="I22" s="70" t="n"/>
      <c r="J22" s="70" t="n"/>
      <c r="K22" s="70" t="n"/>
      <c r="L22" s="70" t="n"/>
      <c r="M22" s="70" t="n"/>
      <c r="N22" s="83">
        <f>SUM(InnovationProjectResults[[#This Row],[Identify - Define]:[Communicate - Fun (CV)]])</f>
        <v/>
      </c>
      <c r="O22" s="73">
        <f>_xlfn.RANK.EQ(InnovationProjectResults[[#This Row],[Innovation Project Score]],InnovationProjectResults[Innovation Project Score],0)</f>
        <v/>
      </c>
    </row>
    <row r="23" ht="21" customHeight="1">
      <c r="A23" s="69" t="n"/>
      <c r="B23" s="69">
        <f>INDEX(OfficialTeamList[Pod Number],MATCH(InnovationProjectResults[[#This Row],[Team Number]], OfficialTeamList[Team '#],0))</f>
        <v/>
      </c>
      <c r="C23" s="106">
        <f>INDEX(OfficialTeamList[Team Name],MATCH(InnovationProjectResults[[#This Row],[Team Number]], OfficialTeamList[Team '#],0))</f>
        <v/>
      </c>
      <c r="D23" s="70" t="n"/>
      <c r="E23" s="70" t="n"/>
      <c r="F23" s="70" t="n"/>
      <c r="G23" s="70" t="n"/>
      <c r="H23" s="70" t="n"/>
      <c r="I23" s="70" t="n"/>
      <c r="J23" s="70" t="n"/>
      <c r="K23" s="70" t="n"/>
      <c r="L23" s="70" t="n"/>
      <c r="M23" s="70" t="n"/>
      <c r="N23" s="83">
        <f>SUM(InnovationProjectResults[[#This Row],[Identify - Define]:[Communicate - Fun (CV)]])</f>
        <v/>
      </c>
      <c r="O23" s="73">
        <f>_xlfn.RANK.EQ(InnovationProjectResults[[#This Row],[Innovation Project Score]],InnovationProjectResults[Innovation Project Score],0)</f>
        <v/>
      </c>
    </row>
    <row r="24" ht="21" customHeight="1">
      <c r="A24" s="69" t="n"/>
      <c r="B24" s="69">
        <f>INDEX(OfficialTeamList[Pod Number],MATCH(InnovationProjectResults[[#This Row],[Team Number]], OfficialTeamList[Team '#],0))</f>
        <v/>
      </c>
      <c r="C24" s="106">
        <f>INDEX(OfficialTeamList[Team Name],MATCH(InnovationProjectResults[[#This Row],[Team Number]], OfficialTeamList[Team '#],0))</f>
        <v/>
      </c>
      <c r="D24" s="70" t="n"/>
      <c r="E24" s="70" t="n"/>
      <c r="F24" s="70" t="n"/>
      <c r="G24" s="70" t="n"/>
      <c r="H24" s="70" t="n"/>
      <c r="I24" s="70" t="n"/>
      <c r="J24" s="70" t="n"/>
      <c r="K24" s="70" t="n"/>
      <c r="L24" s="70" t="n"/>
      <c r="M24" s="70" t="n"/>
      <c r="N24" s="83">
        <f>SUM(InnovationProjectResults[[#This Row],[Identify - Define]:[Communicate - Fun (CV)]])</f>
        <v/>
      </c>
      <c r="O24" s="73">
        <f>_xlfn.RANK.EQ(InnovationProjectResults[[#This Row],[Innovation Project Score]],InnovationProjectResults[Innovation Project Score],0)</f>
        <v/>
      </c>
    </row>
    <row r="25" ht="21" customHeight="1">
      <c r="A25" s="69" t="n"/>
      <c r="B25" s="69">
        <f>INDEX(OfficialTeamList[Pod Number],MATCH(InnovationProjectResults[[#This Row],[Team Number]], OfficialTeamList[Team '#],0))</f>
        <v/>
      </c>
      <c r="C25" s="106">
        <f>INDEX(OfficialTeamList[Team Name],MATCH(InnovationProjectResults[[#This Row],[Team Number]], OfficialTeamList[Team '#],0))</f>
        <v/>
      </c>
      <c r="D25" s="70" t="n"/>
      <c r="E25" s="70" t="n"/>
      <c r="F25" s="70" t="n"/>
      <c r="G25" s="70" t="n"/>
      <c r="H25" s="70" t="n"/>
      <c r="I25" s="70" t="n"/>
      <c r="J25" s="70" t="n"/>
      <c r="K25" s="70" t="n"/>
      <c r="L25" s="70" t="n"/>
      <c r="M25" s="70" t="n"/>
      <c r="N25" s="83">
        <f>SUM(InnovationProjectResults[[#This Row],[Identify - Define]:[Communicate - Fun (CV)]])</f>
        <v/>
      </c>
      <c r="O25" s="73">
        <f>_xlfn.RANK.EQ(InnovationProjectResults[[#This Row],[Innovation Project Score]],InnovationProjectResults[Innovation Project Score],0)</f>
        <v/>
      </c>
    </row>
    <row r="26" ht="21" customHeight="1">
      <c r="A26" s="69" t="n"/>
      <c r="B26" s="69">
        <f>INDEX(OfficialTeamList[Pod Number],MATCH(InnovationProjectResults[[#This Row],[Team Number]], OfficialTeamList[Team '#],0))</f>
        <v/>
      </c>
      <c r="C26" s="106">
        <f>INDEX(OfficialTeamList[Team Name],MATCH(InnovationProjectResults[[#This Row],[Team Number]], OfficialTeamList[Team '#],0))</f>
        <v/>
      </c>
      <c r="D26" s="70" t="n"/>
      <c r="E26" s="70" t="n"/>
      <c r="F26" s="70" t="n"/>
      <c r="G26" s="70" t="n"/>
      <c r="H26" s="70" t="n"/>
      <c r="I26" s="70" t="n"/>
      <c r="J26" s="70" t="n"/>
      <c r="K26" s="70" t="n"/>
      <c r="L26" s="70" t="n"/>
      <c r="M26" s="70" t="n"/>
      <c r="N26" s="83">
        <f>SUM(InnovationProjectResults[[#This Row],[Identify - Define]:[Communicate - Fun (CV)]])</f>
        <v/>
      </c>
      <c r="O26" s="73">
        <f>_xlfn.RANK.EQ(InnovationProjectResults[[#This Row],[Innovation Project Score]],InnovationProjectResults[Innovation Project Score],0)</f>
        <v/>
      </c>
    </row>
    <row r="27" ht="21" customHeight="1">
      <c r="A27" s="69" t="n"/>
      <c r="B27" s="69">
        <f>INDEX(OfficialTeamList[Pod Number],MATCH(InnovationProjectResults[[#This Row],[Team Number]], OfficialTeamList[Team '#],0))</f>
        <v/>
      </c>
      <c r="C27" s="106">
        <f>INDEX(OfficialTeamList[Team Name],MATCH(InnovationProjectResults[[#This Row],[Team Number]], OfficialTeamList[Team '#],0))</f>
        <v/>
      </c>
      <c r="D27" s="70" t="n"/>
      <c r="E27" s="70" t="n"/>
      <c r="F27" s="70" t="n"/>
      <c r="G27" s="70" t="n"/>
      <c r="H27" s="70" t="n"/>
      <c r="I27" s="70" t="n"/>
      <c r="J27" s="70" t="n"/>
      <c r="K27" s="70" t="n"/>
      <c r="L27" s="70" t="n"/>
      <c r="M27" s="70" t="n"/>
      <c r="N27" s="83">
        <f>SUM(InnovationProjectResults[[#This Row],[Identify - Define]:[Communicate - Fun (CV)]])</f>
        <v/>
      </c>
      <c r="O27" s="73">
        <f>_xlfn.RANK.EQ(InnovationProjectResults[[#This Row],[Innovation Project Score]],InnovationProjectResults[Innovation Project Score],0)</f>
        <v/>
      </c>
    </row>
    <row r="28" ht="21" customHeight="1">
      <c r="A28" s="69" t="n"/>
      <c r="B28" s="69">
        <f>INDEX(OfficialTeamList[Pod Number],MATCH(InnovationProjectResults[[#This Row],[Team Number]], OfficialTeamList[Team '#],0))</f>
        <v/>
      </c>
      <c r="C28" s="106">
        <f>INDEX(OfficialTeamList[Team Name],MATCH(InnovationProjectResults[[#This Row],[Team Number]], OfficialTeamList[Team '#],0))</f>
        <v/>
      </c>
      <c r="D28" s="70" t="n"/>
      <c r="E28" s="70" t="n"/>
      <c r="F28" s="70" t="n"/>
      <c r="G28" s="70" t="n"/>
      <c r="H28" s="70" t="n"/>
      <c r="I28" s="70" t="n"/>
      <c r="J28" s="70" t="n"/>
      <c r="K28" s="70" t="n"/>
      <c r="L28" s="70" t="n"/>
      <c r="M28" s="70" t="n"/>
      <c r="N28" s="83">
        <f>SUM(InnovationProjectResults[[#This Row],[Identify - Define]:[Communicate - Fun (CV)]])</f>
        <v/>
      </c>
      <c r="O28" s="73">
        <f>_xlfn.RANK.EQ(InnovationProjectResults[[#This Row],[Innovation Project Score]],InnovationProjectResults[Innovation Project Score],0)</f>
        <v/>
      </c>
    </row>
    <row r="29" ht="21" customHeight="1">
      <c r="A29" s="69" t="n"/>
      <c r="B29" s="69">
        <f>INDEX(OfficialTeamList[Pod Number],MATCH(InnovationProjectResults[[#This Row],[Team Number]], OfficialTeamList[Team '#],0))</f>
        <v/>
      </c>
      <c r="C29" s="106">
        <f>INDEX(OfficialTeamList[Team Name],MATCH(InnovationProjectResults[[#This Row],[Team Number]], OfficialTeamList[Team '#],0))</f>
        <v/>
      </c>
      <c r="D29" s="70" t="n"/>
      <c r="E29" s="70" t="n"/>
      <c r="F29" s="70" t="n"/>
      <c r="G29" s="70" t="n"/>
      <c r="H29" s="70" t="n"/>
      <c r="I29" s="70" t="n"/>
      <c r="J29" s="70" t="n"/>
      <c r="K29" s="70" t="n"/>
      <c r="L29" s="70" t="n"/>
      <c r="M29" s="70" t="n"/>
      <c r="N29" s="83">
        <f>SUM(InnovationProjectResults[[#This Row],[Identify - Define]:[Communicate - Fun (CV)]])</f>
        <v/>
      </c>
      <c r="O29" s="73">
        <f>_xlfn.RANK.EQ(InnovationProjectResults[[#This Row],[Innovation Project Score]],InnovationProjectResults[Innovation Project Score],0)</f>
        <v/>
      </c>
    </row>
    <row r="30" ht="21" customHeight="1">
      <c r="A30" s="69" t="n"/>
      <c r="B30" s="69">
        <f>INDEX(OfficialTeamList[Pod Number],MATCH(InnovationProjectResults[[#This Row],[Team Number]], OfficialTeamList[Team '#],0))</f>
        <v/>
      </c>
      <c r="C30" s="106">
        <f>INDEX(OfficialTeamList[Team Name],MATCH(InnovationProjectResults[[#This Row],[Team Number]], OfficialTeamList[Team '#],0))</f>
        <v/>
      </c>
      <c r="D30" s="70" t="n"/>
      <c r="E30" s="70" t="n"/>
      <c r="F30" s="70" t="n"/>
      <c r="G30" s="70" t="n"/>
      <c r="H30" s="70" t="n"/>
      <c r="I30" s="70" t="n"/>
      <c r="J30" s="70" t="n"/>
      <c r="K30" s="70" t="n"/>
      <c r="L30" s="70" t="n"/>
      <c r="M30" s="70" t="n"/>
      <c r="N30" s="83">
        <f>SUM(InnovationProjectResults[[#This Row],[Identify - Define]:[Communicate - Fun (CV)]])</f>
        <v/>
      </c>
      <c r="O30" s="73">
        <f>_xlfn.RANK.EQ(InnovationProjectResults[[#This Row],[Innovation Project Score]],InnovationProjectResults[Innovation Project Score],0)</f>
        <v/>
      </c>
    </row>
    <row r="31" ht="21" customHeight="1">
      <c r="A31" s="69" t="n"/>
      <c r="B31" s="69">
        <f>INDEX(OfficialTeamList[Pod Number],MATCH(InnovationProjectResults[[#This Row],[Team Number]], OfficialTeamList[Team '#],0))</f>
        <v/>
      </c>
      <c r="C31" s="106">
        <f>INDEX(OfficialTeamList[Team Name],MATCH(InnovationProjectResults[[#This Row],[Team Number]], OfficialTeamList[Team '#],0))</f>
        <v/>
      </c>
      <c r="D31" s="70" t="n"/>
      <c r="E31" s="70" t="n"/>
      <c r="F31" s="70" t="n"/>
      <c r="G31" s="70" t="n"/>
      <c r="H31" s="70" t="n"/>
      <c r="I31" s="70" t="n"/>
      <c r="J31" s="70" t="n"/>
      <c r="K31" s="70" t="n"/>
      <c r="L31" s="70" t="n"/>
      <c r="M31" s="70" t="n"/>
      <c r="N31" s="83">
        <f>SUM(InnovationProjectResults[[#This Row],[Identify - Define]:[Communicate - Fun (CV)]])</f>
        <v/>
      </c>
      <c r="O31" s="73">
        <f>_xlfn.RANK.EQ(InnovationProjectResults[[#This Row],[Innovation Project Score]],InnovationProjectResults[Innovation Project Score],0)</f>
        <v/>
      </c>
    </row>
    <row r="32" ht="21" customHeight="1">
      <c r="A32" s="69" t="n"/>
      <c r="B32" s="69">
        <f>INDEX(OfficialTeamList[Pod Number],MATCH(InnovationProjectResults[[#This Row],[Team Number]], OfficialTeamList[Team '#],0))</f>
        <v/>
      </c>
      <c r="C32" s="106">
        <f>INDEX(OfficialTeamList[Team Name],MATCH(InnovationProjectResults[[#This Row],[Team Number]], OfficialTeamList[Team '#],0))</f>
        <v/>
      </c>
      <c r="D32" s="70" t="n"/>
      <c r="E32" s="70" t="n"/>
      <c r="F32" s="70" t="n"/>
      <c r="G32" s="70" t="n"/>
      <c r="H32" s="70" t="n"/>
      <c r="I32" s="70" t="n"/>
      <c r="J32" s="70" t="n"/>
      <c r="K32" s="70" t="n"/>
      <c r="L32" s="70" t="n"/>
      <c r="M32" s="70" t="n"/>
      <c r="N32" s="83">
        <f>SUM(InnovationProjectResults[[#This Row],[Identify - Define]:[Communicate - Fun (CV)]])</f>
        <v/>
      </c>
      <c r="O32" s="73">
        <f>_xlfn.RANK.EQ(InnovationProjectResults[[#This Row],[Innovation Project Score]],InnovationProjectResults[Innovation Project Score],0)</f>
        <v/>
      </c>
    </row>
    <row r="33" ht="21" customHeight="1">
      <c r="A33" s="69" t="n"/>
      <c r="B33" s="69">
        <f>INDEX(OfficialTeamList[Pod Number],MATCH(InnovationProjectResults[[#This Row],[Team Number]], OfficialTeamList[Team '#],0))</f>
        <v/>
      </c>
      <c r="C33" s="106">
        <f>INDEX(OfficialTeamList[Team Name],MATCH(InnovationProjectResults[[#This Row],[Team Number]], OfficialTeamList[Team '#],0))</f>
        <v/>
      </c>
      <c r="D33" s="70" t="n"/>
      <c r="E33" s="70" t="n"/>
      <c r="F33" s="70" t="n"/>
      <c r="G33" s="70" t="n"/>
      <c r="H33" s="70" t="n"/>
      <c r="I33" s="70" t="n"/>
      <c r="J33" s="70" t="n"/>
      <c r="K33" s="70" t="n"/>
      <c r="L33" s="70" t="n"/>
      <c r="M33" s="70" t="n"/>
      <c r="N33" s="83">
        <f>SUM(InnovationProjectResults[[#This Row],[Identify - Define]:[Communicate - Fun (CV)]])</f>
        <v/>
      </c>
      <c r="O33" s="73">
        <f>_xlfn.RANK.EQ(InnovationProjectResults[[#This Row],[Innovation Project Score]],InnovationProjectResults[Innovation Project Score],0)</f>
        <v/>
      </c>
    </row>
    <row r="34" ht="21" customHeight="1">
      <c r="A34" s="69" t="n"/>
      <c r="B34" s="69">
        <f>INDEX(OfficialTeamList[Pod Number],MATCH(InnovationProjectResults[[#This Row],[Team Number]], OfficialTeamList[Team '#],0))</f>
        <v/>
      </c>
      <c r="C34" s="106">
        <f>INDEX(OfficialTeamList[Team Name],MATCH(InnovationProjectResults[[#This Row],[Team Number]], OfficialTeamList[Team '#],0))</f>
        <v/>
      </c>
      <c r="D34" s="70" t="n"/>
      <c r="E34" s="70" t="n"/>
      <c r="F34" s="70" t="n"/>
      <c r="G34" s="70" t="n"/>
      <c r="H34" s="70" t="n"/>
      <c r="I34" s="70" t="n"/>
      <c r="J34" s="70" t="n"/>
      <c r="K34" s="70" t="n"/>
      <c r="L34" s="70" t="n"/>
      <c r="M34" s="70" t="n"/>
      <c r="N34" s="83">
        <f>SUM(InnovationProjectResults[[#This Row],[Identify - Define]:[Communicate - Fun (CV)]])</f>
        <v/>
      </c>
      <c r="O34" s="73">
        <f>_xlfn.RANK.EQ(InnovationProjectResults[[#This Row],[Innovation Project Score]],InnovationProjectResults[Innovation Project Score],0)</f>
        <v/>
      </c>
    </row>
    <row r="35" ht="21" customHeight="1">
      <c r="A35" s="69" t="n"/>
      <c r="B35" s="69">
        <f>INDEX(OfficialTeamList[Pod Number],MATCH(InnovationProjectResults[[#This Row],[Team Number]], OfficialTeamList[Team '#],0))</f>
        <v/>
      </c>
      <c r="C35" s="106">
        <f>INDEX(OfficialTeamList[Team Name],MATCH(InnovationProjectResults[[#This Row],[Team Number]], OfficialTeamList[Team '#],0))</f>
        <v/>
      </c>
      <c r="D35" s="70" t="n"/>
      <c r="E35" s="70" t="n"/>
      <c r="F35" s="70" t="n"/>
      <c r="G35" s="70" t="n"/>
      <c r="H35" s="70" t="n"/>
      <c r="I35" s="70" t="n"/>
      <c r="J35" s="70" t="n"/>
      <c r="K35" s="70" t="n"/>
      <c r="L35" s="70" t="n"/>
      <c r="M35" s="70" t="n"/>
      <c r="N35" s="83">
        <f>SUM(InnovationProjectResults[[#This Row],[Identify - Define]:[Communicate - Fun (CV)]])</f>
        <v/>
      </c>
      <c r="O35" s="73">
        <f>_xlfn.RANK.EQ(InnovationProjectResults[[#This Row],[Innovation Project Score]],InnovationProjectResults[Innovation Project Score],0)</f>
        <v/>
      </c>
    </row>
    <row r="36" ht="21" customHeight="1">
      <c r="A36" s="69" t="n"/>
      <c r="B36" s="69">
        <f>INDEX(OfficialTeamList[Pod Number],MATCH(InnovationProjectResults[[#This Row],[Team Number]], OfficialTeamList[Team '#],0))</f>
        <v/>
      </c>
      <c r="C36" s="106">
        <f>INDEX(OfficialTeamList[Team Name],MATCH(InnovationProjectResults[[#This Row],[Team Number]], OfficialTeamList[Team '#],0))</f>
        <v/>
      </c>
      <c r="D36" s="70" t="n"/>
      <c r="E36" s="70" t="n"/>
      <c r="F36" s="70" t="n"/>
      <c r="G36" s="70" t="n"/>
      <c r="H36" s="70" t="n"/>
      <c r="I36" s="70" t="n"/>
      <c r="J36" s="70" t="n"/>
      <c r="K36" s="70" t="n"/>
      <c r="L36" s="70" t="n"/>
      <c r="M36" s="70" t="n"/>
      <c r="N36" s="83">
        <f>SUM(InnovationProjectResults[[#This Row],[Identify - Define]:[Communicate - Fun (CV)]])</f>
        <v/>
      </c>
      <c r="O36" s="73">
        <f>_xlfn.RANK.EQ(InnovationProjectResults[[#This Row],[Innovation Project Score]],InnovationProjectResults[Innovation Project Score],0)</f>
        <v/>
      </c>
    </row>
    <row r="37" ht="21" customHeight="1">
      <c r="A37" s="69" t="n"/>
      <c r="B37" s="69">
        <f>INDEX(OfficialTeamList[Pod Number],MATCH(InnovationProjectResults[[#This Row],[Team Number]], OfficialTeamList[Team '#],0))</f>
        <v/>
      </c>
      <c r="C37" s="106">
        <f>INDEX(OfficialTeamList[Team Name],MATCH(InnovationProjectResults[[#This Row],[Team Number]], OfficialTeamList[Team '#],0))</f>
        <v/>
      </c>
      <c r="D37" s="70" t="n"/>
      <c r="E37" s="70" t="n"/>
      <c r="F37" s="70" t="n"/>
      <c r="G37" s="70" t="n"/>
      <c r="H37" s="70" t="n"/>
      <c r="I37" s="70" t="n"/>
      <c r="J37" s="70" t="n"/>
      <c r="K37" s="70" t="n"/>
      <c r="L37" s="70" t="n"/>
      <c r="M37" s="70" t="n"/>
      <c r="N37" s="83">
        <f>SUM(InnovationProjectResults[[#This Row],[Identify - Define]:[Communicate - Fun (CV)]])</f>
        <v/>
      </c>
      <c r="O37" s="73">
        <f>_xlfn.RANK.EQ(InnovationProjectResults[[#This Row],[Innovation Project Score]],InnovationProjectResults[Innovation Project Score],0)</f>
        <v/>
      </c>
    </row>
    <row r="38" ht="21" customHeight="1">
      <c r="A38" s="69" t="n"/>
      <c r="B38" s="69">
        <f>INDEX(OfficialTeamList[Pod Number],MATCH(InnovationProjectResults[[#This Row],[Team Number]], OfficialTeamList[Team '#],0))</f>
        <v/>
      </c>
      <c r="C38" s="106">
        <f>INDEX(OfficialTeamList[Team Name],MATCH(InnovationProjectResults[[#This Row],[Team Number]], OfficialTeamList[Team '#],0))</f>
        <v/>
      </c>
      <c r="D38" s="70" t="n"/>
      <c r="E38" s="70" t="n"/>
      <c r="F38" s="70" t="n"/>
      <c r="G38" s="70" t="n"/>
      <c r="H38" s="70" t="n"/>
      <c r="I38" s="70" t="n"/>
      <c r="J38" s="70" t="n"/>
      <c r="K38" s="70" t="n"/>
      <c r="L38" s="70" t="n"/>
      <c r="M38" s="70" t="n"/>
      <c r="N38" s="83">
        <f>SUM(InnovationProjectResults[[#This Row],[Identify - Define]:[Communicate - Fun (CV)]])</f>
        <v/>
      </c>
      <c r="O38" s="73">
        <f>_xlfn.RANK.EQ(InnovationProjectResults[[#This Row],[Innovation Project Score]],InnovationProjectResults[Innovation Project Score],0)</f>
        <v/>
      </c>
    </row>
    <row r="39" ht="21" customHeight="1">
      <c r="A39" s="69" t="n"/>
      <c r="B39" s="69">
        <f>INDEX(OfficialTeamList[Pod Number],MATCH(InnovationProjectResults[[#This Row],[Team Number]], OfficialTeamList[Team '#],0))</f>
        <v/>
      </c>
      <c r="C39" s="106">
        <f>INDEX(OfficialTeamList[Team Name],MATCH(InnovationProjectResults[[#This Row],[Team Number]], OfficialTeamList[Team '#],0))</f>
        <v/>
      </c>
      <c r="D39" s="70" t="n"/>
      <c r="E39" s="70" t="n"/>
      <c r="F39" s="70" t="n"/>
      <c r="G39" s="70" t="n"/>
      <c r="H39" s="70" t="n"/>
      <c r="I39" s="70" t="n"/>
      <c r="J39" s="70" t="n"/>
      <c r="K39" s="70" t="n"/>
      <c r="L39" s="70" t="n"/>
      <c r="M39" s="70" t="n"/>
      <c r="N39" s="83">
        <f>SUM(InnovationProjectResults[[#This Row],[Identify - Define]:[Communicate - Fun (CV)]])</f>
        <v/>
      </c>
      <c r="O39" s="73">
        <f>_xlfn.RANK.EQ(InnovationProjectResults[[#This Row],[Innovation Project Score]],InnovationProjectResults[Innovation Project Score],0)</f>
        <v/>
      </c>
    </row>
    <row r="40" ht="21" customHeight="1">
      <c r="A40" s="69" t="n"/>
      <c r="B40" s="69">
        <f>INDEX(OfficialTeamList[Pod Number],MATCH(InnovationProjectResults[[#This Row],[Team Number]], OfficialTeamList[Team '#],0))</f>
        <v/>
      </c>
      <c r="C40" s="106">
        <f>INDEX(OfficialTeamList[Team Name],MATCH(InnovationProjectResults[[#This Row],[Team Number]], OfficialTeamList[Team '#],0))</f>
        <v/>
      </c>
      <c r="D40" s="70" t="n"/>
      <c r="E40" s="70" t="n"/>
      <c r="F40" s="70" t="n"/>
      <c r="G40" s="70" t="n"/>
      <c r="H40" s="70" t="n"/>
      <c r="I40" s="70" t="n"/>
      <c r="J40" s="70" t="n"/>
      <c r="K40" s="70" t="n"/>
      <c r="L40" s="70" t="n"/>
      <c r="M40" s="70" t="n"/>
      <c r="N40" s="83">
        <f>SUM(InnovationProjectResults[[#This Row],[Identify - Define]:[Communicate - Fun (CV)]])</f>
        <v/>
      </c>
      <c r="O40" s="73">
        <f>_xlfn.RANK.EQ(InnovationProjectResults[[#This Row],[Innovation Project Score]],InnovationProjectResults[Innovation Project Score],0)</f>
        <v/>
      </c>
    </row>
    <row r="41" ht="21" customHeight="1">
      <c r="A41" s="69" t="n"/>
      <c r="B41" s="69">
        <f>INDEX(OfficialTeamList[Pod Number],MATCH(InnovationProjectResults[[#This Row],[Team Number]], OfficialTeamList[Team '#],0))</f>
        <v/>
      </c>
      <c r="C41" s="106">
        <f>INDEX(OfficialTeamList[Team Name],MATCH(InnovationProjectResults[[#This Row],[Team Number]], OfficialTeamList[Team '#],0))</f>
        <v/>
      </c>
      <c r="D41" s="70" t="n"/>
      <c r="E41" s="70" t="n"/>
      <c r="F41" s="70" t="n"/>
      <c r="G41" s="70" t="n"/>
      <c r="H41" s="70" t="n"/>
      <c r="I41" s="70" t="n"/>
      <c r="J41" s="70" t="n"/>
      <c r="K41" s="70" t="n"/>
      <c r="L41" s="70" t="n"/>
      <c r="M41" s="70" t="n"/>
      <c r="N41" s="83">
        <f>SUM(InnovationProjectResults[[#This Row],[Identify - Define]:[Communicate - Fun (CV)]])</f>
        <v/>
      </c>
      <c r="O41" s="73">
        <f>_xlfn.RANK.EQ(InnovationProjectResults[[#This Row],[Innovation Project Score]],InnovationProjectResults[Innovation Project Score],0)</f>
        <v/>
      </c>
    </row>
    <row r="42" ht="21" customHeight="1">
      <c r="A42" s="69" t="n"/>
      <c r="B42" s="69">
        <f>INDEX(OfficialTeamList[Pod Number],MATCH(InnovationProjectResults[[#This Row],[Team Number]], OfficialTeamList[Team '#],0))</f>
        <v/>
      </c>
      <c r="C42" s="106">
        <f>INDEX(OfficialTeamList[Team Name],MATCH(InnovationProjectResults[[#This Row],[Team Number]], OfficialTeamList[Team '#],0))</f>
        <v/>
      </c>
      <c r="D42" s="70" t="n"/>
      <c r="E42" s="70" t="n"/>
      <c r="F42" s="70" t="n"/>
      <c r="G42" s="70" t="n"/>
      <c r="H42" s="70" t="n"/>
      <c r="I42" s="70" t="n"/>
      <c r="J42" s="70" t="n"/>
      <c r="K42" s="70" t="n"/>
      <c r="L42" s="70" t="n"/>
      <c r="M42" s="70" t="n"/>
      <c r="N42" s="83">
        <f>SUM(InnovationProjectResults[[#This Row],[Identify - Define]:[Communicate - Fun (CV)]])</f>
        <v/>
      </c>
      <c r="O42" s="73">
        <f>_xlfn.RANK.EQ(InnovationProjectResults[[#This Row],[Innovation Project Score]],InnovationProjectResults[Innovation Project Score],0)</f>
        <v/>
      </c>
    </row>
    <row r="43" ht="21" customHeight="1">
      <c r="A43" s="69" t="n"/>
      <c r="B43" s="69">
        <f>INDEX(OfficialTeamList[Pod Number],MATCH(InnovationProjectResults[[#This Row],[Team Number]], OfficialTeamList[Team '#],0))</f>
        <v/>
      </c>
      <c r="C43" s="106">
        <f>INDEX(OfficialTeamList[Team Name],MATCH(InnovationProjectResults[[#This Row],[Team Number]], OfficialTeamList[Team '#],0))</f>
        <v/>
      </c>
      <c r="D43" s="70" t="n"/>
      <c r="E43" s="70" t="n"/>
      <c r="F43" s="70" t="n"/>
      <c r="G43" s="70" t="n"/>
      <c r="H43" s="70" t="n"/>
      <c r="I43" s="70" t="n"/>
      <c r="J43" s="70" t="n"/>
      <c r="K43" s="70" t="n"/>
      <c r="L43" s="70" t="n"/>
      <c r="M43" s="70" t="n"/>
      <c r="N43" s="83">
        <f>SUM(InnovationProjectResults[[#This Row],[Identify - Define]:[Communicate - Fun (CV)]])</f>
        <v/>
      </c>
      <c r="O43" s="73">
        <f>_xlfn.RANK.EQ(InnovationProjectResults[[#This Row],[Innovation Project Score]],InnovationProjectResults[Innovation Project Score],0)</f>
        <v/>
      </c>
    </row>
    <row r="44" ht="21" customHeight="1">
      <c r="A44" s="69" t="n"/>
      <c r="B44" s="69">
        <f>INDEX(OfficialTeamList[Pod Number],MATCH(InnovationProjectResults[[#This Row],[Team Number]], OfficialTeamList[Team '#],0))</f>
        <v/>
      </c>
      <c r="C44" s="106">
        <f>INDEX(OfficialTeamList[Team Name],MATCH(InnovationProjectResults[[#This Row],[Team Number]], OfficialTeamList[Team '#],0))</f>
        <v/>
      </c>
      <c r="D44" s="70" t="n"/>
      <c r="E44" s="70" t="n"/>
      <c r="F44" s="70" t="n"/>
      <c r="G44" s="70" t="n"/>
      <c r="H44" s="70" t="n"/>
      <c r="I44" s="70" t="n"/>
      <c r="J44" s="70" t="n"/>
      <c r="K44" s="70" t="n"/>
      <c r="L44" s="70" t="n"/>
      <c r="M44" s="70" t="n"/>
      <c r="N44" s="83">
        <f>SUM(InnovationProjectResults[[#This Row],[Identify - Define]:[Communicate - Fun (CV)]])</f>
        <v/>
      </c>
      <c r="O44" s="73">
        <f>_xlfn.RANK.EQ(InnovationProjectResults[[#This Row],[Innovation Project Score]],InnovationProjectResults[Innovation Project Score],0)</f>
        <v/>
      </c>
    </row>
    <row r="45" ht="21" customHeight="1">
      <c r="A45" s="69" t="n"/>
      <c r="B45" s="69">
        <f>INDEX(OfficialTeamList[Pod Number],MATCH(InnovationProjectResults[[#This Row],[Team Number]], OfficialTeamList[Team '#],0))</f>
        <v/>
      </c>
      <c r="C45" s="106">
        <f>INDEX(OfficialTeamList[Team Name],MATCH(InnovationProjectResults[[#This Row],[Team Number]], OfficialTeamList[Team '#],0))</f>
        <v/>
      </c>
      <c r="D45" s="70" t="n"/>
      <c r="E45" s="70" t="n"/>
      <c r="F45" s="70" t="n"/>
      <c r="G45" s="70" t="n"/>
      <c r="H45" s="70" t="n"/>
      <c r="I45" s="70" t="n"/>
      <c r="J45" s="70" t="n"/>
      <c r="K45" s="70" t="n"/>
      <c r="L45" s="70" t="n"/>
      <c r="M45" s="70" t="n"/>
      <c r="N45" s="83">
        <f>SUM(InnovationProjectResults[[#This Row],[Identify - Define]:[Communicate - Fun (CV)]])</f>
        <v/>
      </c>
      <c r="O45" s="73">
        <f>_xlfn.RANK.EQ(InnovationProjectResults[[#This Row],[Innovation Project Score]],InnovationProjectResults[Innovation Project Score],0)</f>
        <v/>
      </c>
    </row>
    <row r="46" ht="21" customHeight="1">
      <c r="A46" s="69" t="n"/>
      <c r="B46" s="69">
        <f>INDEX(OfficialTeamList[Pod Number],MATCH(InnovationProjectResults[[#This Row],[Team Number]], OfficialTeamList[Team '#],0))</f>
        <v/>
      </c>
      <c r="C46" s="106">
        <f>INDEX(OfficialTeamList[Team Name],MATCH(InnovationProjectResults[[#This Row],[Team Number]], OfficialTeamList[Team '#],0))</f>
        <v/>
      </c>
      <c r="D46" s="70" t="n"/>
      <c r="E46" s="70" t="n"/>
      <c r="F46" s="70" t="n"/>
      <c r="G46" s="70" t="n"/>
      <c r="H46" s="70" t="n"/>
      <c r="I46" s="70" t="n"/>
      <c r="J46" s="70" t="n"/>
      <c r="K46" s="70" t="n"/>
      <c r="L46" s="70" t="n"/>
      <c r="M46" s="70" t="n"/>
      <c r="N46" s="83">
        <f>SUM(InnovationProjectResults[[#This Row],[Identify - Define]:[Communicate - Fun (CV)]])</f>
        <v/>
      </c>
      <c r="O46" s="73">
        <f>_xlfn.RANK.EQ(InnovationProjectResults[[#This Row],[Innovation Project Score]],InnovationProjectResults[Innovation Project Score],0)</f>
        <v/>
      </c>
    </row>
    <row r="47" ht="21" customHeight="1">
      <c r="A47" s="69" t="n"/>
      <c r="B47" s="69">
        <f>INDEX(OfficialTeamList[Pod Number],MATCH(InnovationProjectResults[[#This Row],[Team Number]], OfficialTeamList[Team '#],0))</f>
        <v/>
      </c>
      <c r="C47" s="106">
        <f>INDEX(OfficialTeamList[Team Name],MATCH(InnovationProjectResults[[#This Row],[Team Number]], OfficialTeamList[Team '#],0))</f>
        <v/>
      </c>
      <c r="D47" s="70" t="n"/>
      <c r="E47" s="70" t="n"/>
      <c r="F47" s="70" t="n"/>
      <c r="G47" s="70" t="n"/>
      <c r="H47" s="70" t="n"/>
      <c r="I47" s="70" t="n"/>
      <c r="J47" s="70" t="n"/>
      <c r="K47" s="70" t="n"/>
      <c r="L47" s="70" t="n"/>
      <c r="M47" s="70" t="n"/>
      <c r="N47" s="83">
        <f>SUM(InnovationProjectResults[[#This Row],[Identify - Define]:[Communicate - Fun (CV)]])</f>
        <v/>
      </c>
      <c r="O47" s="73">
        <f>_xlfn.RANK.EQ(InnovationProjectResults[[#This Row],[Innovation Project Score]],InnovationProjectResults[Innovation Project Score],0)</f>
        <v/>
      </c>
    </row>
    <row r="48" ht="21" customHeight="1">
      <c r="A48" s="69" t="n"/>
      <c r="B48" s="69">
        <f>INDEX(OfficialTeamList[Pod Number],MATCH(InnovationProjectResults[[#This Row],[Team Number]], OfficialTeamList[Team '#],0))</f>
        <v/>
      </c>
      <c r="C48" s="106">
        <f>INDEX(OfficialTeamList[Team Name],MATCH(InnovationProjectResults[[#This Row],[Team Number]], OfficialTeamList[Team '#],0))</f>
        <v/>
      </c>
      <c r="D48" s="70" t="n"/>
      <c r="E48" s="70" t="n"/>
      <c r="F48" s="70" t="n"/>
      <c r="G48" s="70" t="n"/>
      <c r="H48" s="70" t="n"/>
      <c r="I48" s="70" t="n"/>
      <c r="J48" s="70" t="n"/>
      <c r="K48" s="70" t="n"/>
      <c r="L48" s="70" t="n"/>
      <c r="M48" s="70" t="n"/>
      <c r="N48" s="83">
        <f>SUM(InnovationProjectResults[[#This Row],[Identify - Define]:[Communicate - Fun (CV)]])</f>
        <v/>
      </c>
      <c r="O48" s="73">
        <f>_xlfn.RANK.EQ(InnovationProjectResults[[#This Row],[Innovation Project Score]],InnovationProjectResults[Innovation Project Score],0)</f>
        <v/>
      </c>
    </row>
    <row r="49" ht="21" customHeight="1">
      <c r="A49" s="69" t="n"/>
      <c r="B49" s="69">
        <f>INDEX(OfficialTeamList[Pod Number],MATCH(InnovationProjectResults[[#This Row],[Team Number]], OfficialTeamList[Team '#],0))</f>
        <v/>
      </c>
      <c r="C49" s="106">
        <f>INDEX(OfficialTeamList[Team Name],MATCH(InnovationProjectResults[[#This Row],[Team Number]], OfficialTeamList[Team '#],0))</f>
        <v/>
      </c>
      <c r="D49" s="70" t="n"/>
      <c r="E49" s="70" t="n"/>
      <c r="F49" s="70" t="n"/>
      <c r="G49" s="70" t="n"/>
      <c r="H49" s="70" t="n"/>
      <c r="I49" s="70" t="n"/>
      <c r="J49" s="70" t="n"/>
      <c r="K49" s="70" t="n"/>
      <c r="L49" s="70" t="n"/>
      <c r="M49" s="70" t="n"/>
      <c r="N49" s="83">
        <f>SUM(InnovationProjectResults[[#This Row],[Identify - Define]:[Communicate - Fun (CV)]])</f>
        <v/>
      </c>
      <c r="O49" s="73">
        <f>_xlfn.RANK.EQ(InnovationProjectResults[[#This Row],[Innovation Project Score]],InnovationProjectResults[Innovation Project Score],0)</f>
        <v/>
      </c>
    </row>
    <row r="50" ht="21" customHeight="1">
      <c r="A50" s="69" t="n"/>
      <c r="B50" s="69">
        <f>INDEX(OfficialTeamList[Pod Number],MATCH(InnovationProjectResults[[#This Row],[Team Number]], OfficialTeamList[Team '#],0))</f>
        <v/>
      </c>
      <c r="C50" s="106">
        <f>INDEX(OfficialTeamList[Team Name],MATCH(InnovationProjectResults[[#This Row],[Team Number]], OfficialTeamList[Team '#],0))</f>
        <v/>
      </c>
      <c r="D50" s="70" t="n"/>
      <c r="E50" s="70" t="n"/>
      <c r="F50" s="70" t="n"/>
      <c r="G50" s="70" t="n"/>
      <c r="H50" s="70" t="n"/>
      <c r="I50" s="70" t="n"/>
      <c r="J50" s="70" t="n"/>
      <c r="K50" s="70" t="n"/>
      <c r="L50" s="70" t="n"/>
      <c r="M50" s="70" t="n"/>
      <c r="N50" s="83">
        <f>SUM(InnovationProjectResults[[#This Row],[Identify - Define]:[Communicate - Fun (CV)]])</f>
        <v/>
      </c>
      <c r="O50" s="73">
        <f>_xlfn.RANK.EQ(InnovationProjectResults[[#This Row],[Innovation Project Score]],InnovationProjectResults[Innovation Project Score],0)</f>
        <v/>
      </c>
    </row>
    <row r="51" ht="21" customHeight="1">
      <c r="A51" s="69" t="n"/>
      <c r="B51" s="69">
        <f>INDEX(OfficialTeamList[Pod Number],MATCH(InnovationProjectResults[[#This Row],[Team Number]], OfficialTeamList[Team '#],0))</f>
        <v/>
      </c>
      <c r="C51" s="106">
        <f>INDEX(OfficialTeamList[Team Name],MATCH(InnovationProjectResults[[#This Row],[Team Number]], OfficialTeamList[Team '#],0))</f>
        <v/>
      </c>
      <c r="D51" s="70" t="n"/>
      <c r="E51" s="70" t="n"/>
      <c r="F51" s="70" t="n"/>
      <c r="G51" s="70" t="n"/>
      <c r="H51" s="70" t="n"/>
      <c r="I51" s="70" t="n"/>
      <c r="J51" s="70" t="n"/>
      <c r="K51" s="70" t="n"/>
      <c r="L51" s="70" t="n"/>
      <c r="M51" s="70" t="n"/>
      <c r="N51" s="83">
        <f>SUM(InnovationProjectResults[[#This Row],[Identify - Define]:[Communicate - Fun (CV)]])</f>
        <v/>
      </c>
      <c r="O51" s="73">
        <f>_xlfn.RANK.EQ(InnovationProjectResults[[#This Row],[Innovation Project Score]],InnovationProjectResults[Innovation Project Score],0)</f>
        <v/>
      </c>
    </row>
    <row r="52" ht="21" customHeight="1">
      <c r="A52" s="69" t="n"/>
      <c r="B52" s="69">
        <f>INDEX(OfficialTeamList[Pod Number],MATCH(InnovationProjectResults[[#This Row],[Team Number]], OfficialTeamList[Team '#],0))</f>
        <v/>
      </c>
      <c r="C52" s="106">
        <f>INDEX(OfficialTeamList[Team Name],MATCH(InnovationProjectResults[[#This Row],[Team Number]], OfficialTeamList[Team '#],0))</f>
        <v/>
      </c>
      <c r="D52" s="70" t="n"/>
      <c r="E52" s="70" t="n"/>
      <c r="F52" s="70" t="n"/>
      <c r="G52" s="70" t="n"/>
      <c r="H52" s="70" t="n"/>
      <c r="I52" s="70" t="n"/>
      <c r="J52" s="70" t="n"/>
      <c r="K52" s="70" t="n"/>
      <c r="L52" s="70" t="n"/>
      <c r="M52" s="70" t="n"/>
      <c r="N52" s="83">
        <f>SUM(InnovationProjectResults[[#This Row],[Identify - Define]:[Communicate - Fun (CV)]])</f>
        <v/>
      </c>
      <c r="O52" s="73">
        <f>_xlfn.RANK.EQ(InnovationProjectResults[[#This Row],[Innovation Project Score]],InnovationProjectResults[Innovation Project Score],0)</f>
        <v/>
      </c>
    </row>
    <row r="53" ht="21" customHeight="1">
      <c r="A53" s="69" t="n"/>
      <c r="B53" s="69">
        <f>INDEX(OfficialTeamList[Pod Number],MATCH(InnovationProjectResults[[#This Row],[Team Number]], OfficialTeamList[Team '#],0))</f>
        <v/>
      </c>
      <c r="C53" s="106">
        <f>INDEX(OfficialTeamList[Team Name],MATCH(InnovationProjectResults[[#This Row],[Team Number]], OfficialTeamList[Team '#],0))</f>
        <v/>
      </c>
      <c r="D53" s="70" t="n"/>
      <c r="E53" s="70" t="n"/>
      <c r="F53" s="70" t="n"/>
      <c r="G53" s="70" t="n"/>
      <c r="H53" s="70" t="n"/>
      <c r="I53" s="70" t="n"/>
      <c r="J53" s="70" t="n"/>
      <c r="K53" s="70" t="n"/>
      <c r="L53" s="70" t="n"/>
      <c r="M53" s="70" t="n"/>
      <c r="N53" s="83">
        <f>SUM(InnovationProjectResults[[#This Row],[Identify - Define]:[Communicate - Fun (CV)]])</f>
        <v/>
      </c>
      <c r="O53" s="73">
        <f>_xlfn.RANK.EQ(InnovationProjectResults[[#This Row],[Innovation Project Score]],InnovationProjectResults[Innovation Project Score],0)</f>
        <v/>
      </c>
    </row>
    <row r="54" ht="21" customHeight="1">
      <c r="A54" s="69" t="n"/>
      <c r="B54" s="69">
        <f>INDEX(OfficialTeamList[Pod Number],MATCH(InnovationProjectResults[[#This Row],[Team Number]], OfficialTeamList[Team '#],0))</f>
        <v/>
      </c>
      <c r="C54" s="106">
        <f>INDEX(OfficialTeamList[Team Name],MATCH(InnovationProjectResults[[#This Row],[Team Number]], OfficialTeamList[Team '#],0))</f>
        <v/>
      </c>
      <c r="D54" s="70" t="n"/>
      <c r="E54" s="70" t="n"/>
      <c r="F54" s="70" t="n"/>
      <c r="G54" s="70" t="n"/>
      <c r="H54" s="70" t="n"/>
      <c r="I54" s="70" t="n"/>
      <c r="J54" s="70" t="n"/>
      <c r="K54" s="70" t="n"/>
      <c r="L54" s="70" t="n"/>
      <c r="M54" s="70" t="n"/>
      <c r="N54" s="83">
        <f>SUM(InnovationProjectResults[[#This Row],[Identify - Define]:[Communicate - Fun (CV)]])</f>
        <v/>
      </c>
      <c r="O54" s="73">
        <f>_xlfn.RANK.EQ(InnovationProjectResults[[#This Row],[Innovation Project Score]],InnovationProjectResults[Innovation Project Score],0)</f>
        <v/>
      </c>
    </row>
    <row r="55" ht="21" customHeight="1">
      <c r="A55" s="69" t="n"/>
      <c r="B55" s="69">
        <f>INDEX(OfficialTeamList[Pod Number],MATCH(InnovationProjectResults[[#This Row],[Team Number]], OfficialTeamList[Team '#],0))</f>
        <v/>
      </c>
      <c r="C55" s="106">
        <f>INDEX(OfficialTeamList[Team Name],MATCH(InnovationProjectResults[[#This Row],[Team Number]], OfficialTeamList[Team '#],0))</f>
        <v/>
      </c>
      <c r="D55" s="70" t="n"/>
      <c r="E55" s="70" t="n"/>
      <c r="F55" s="70" t="n"/>
      <c r="G55" s="70" t="n"/>
      <c r="H55" s="70" t="n"/>
      <c r="I55" s="70" t="n"/>
      <c r="J55" s="70" t="n"/>
      <c r="K55" s="70" t="n"/>
      <c r="L55" s="70" t="n"/>
      <c r="M55" s="70" t="n"/>
      <c r="N55" s="83">
        <f>SUM(InnovationProjectResults[[#This Row],[Identify - Define]:[Communicate - Fun (CV)]])</f>
        <v/>
      </c>
      <c r="O55" s="73">
        <f>_xlfn.RANK.EQ(InnovationProjectResults[[#This Row],[Innovation Project Score]],InnovationProjectResults[Innovation Project Score],0)</f>
        <v/>
      </c>
    </row>
    <row r="56" ht="21" customHeight="1">
      <c r="A56" s="69" t="n"/>
      <c r="B56" s="69">
        <f>INDEX(OfficialTeamList[Pod Number],MATCH(InnovationProjectResults[[#This Row],[Team Number]], OfficialTeamList[Team '#],0))</f>
        <v/>
      </c>
      <c r="C56" s="106">
        <f>INDEX(OfficialTeamList[Team Name],MATCH(InnovationProjectResults[[#This Row],[Team Number]], OfficialTeamList[Team '#],0))</f>
        <v/>
      </c>
      <c r="D56" s="70" t="n"/>
      <c r="E56" s="70" t="n"/>
      <c r="F56" s="70" t="n"/>
      <c r="G56" s="70" t="n"/>
      <c r="H56" s="70" t="n"/>
      <c r="I56" s="70" t="n"/>
      <c r="J56" s="70" t="n"/>
      <c r="K56" s="70" t="n"/>
      <c r="L56" s="70" t="n"/>
      <c r="M56" s="70" t="n"/>
      <c r="N56" s="83">
        <f>SUM(InnovationProjectResults[[#This Row],[Identify - Define]:[Communicate - Fun (CV)]])</f>
        <v/>
      </c>
      <c r="O56" s="73">
        <f>_xlfn.RANK.EQ(InnovationProjectResults[[#This Row],[Innovation Project Score]],InnovationProjectResults[Innovation Project Score],0)</f>
        <v/>
      </c>
    </row>
    <row r="57" ht="21" customHeight="1">
      <c r="A57" s="69" t="n"/>
      <c r="B57" s="69">
        <f>INDEX(OfficialTeamList[Pod Number],MATCH(InnovationProjectResults[[#This Row],[Team Number]], OfficialTeamList[Team '#],0))</f>
        <v/>
      </c>
      <c r="C57" s="106">
        <f>INDEX(OfficialTeamList[Team Name],MATCH(InnovationProjectResults[[#This Row],[Team Number]], OfficialTeamList[Team '#],0))</f>
        <v/>
      </c>
      <c r="D57" s="70" t="n"/>
      <c r="E57" s="70" t="n"/>
      <c r="F57" s="70" t="n"/>
      <c r="G57" s="70" t="n"/>
      <c r="H57" s="70" t="n"/>
      <c r="I57" s="70" t="n"/>
      <c r="J57" s="70" t="n"/>
      <c r="K57" s="70" t="n"/>
      <c r="L57" s="70" t="n"/>
      <c r="M57" s="70" t="n"/>
      <c r="N57" s="83">
        <f>SUM(InnovationProjectResults[[#This Row],[Identify - Define]:[Communicate - Fun (CV)]])</f>
        <v/>
      </c>
      <c r="O57" s="73">
        <f>_xlfn.RANK.EQ(InnovationProjectResults[[#This Row],[Innovation Project Score]],InnovationProjectResults[Innovation Project Score],0)</f>
        <v/>
      </c>
    </row>
    <row r="58" ht="21" customHeight="1">
      <c r="A58" s="69" t="n"/>
      <c r="B58" s="69">
        <f>INDEX(OfficialTeamList[Pod Number],MATCH(InnovationProjectResults[[#This Row],[Team Number]], OfficialTeamList[Team '#],0))</f>
        <v/>
      </c>
      <c r="C58" s="106">
        <f>INDEX(OfficialTeamList[Team Name],MATCH(InnovationProjectResults[[#This Row],[Team Number]], OfficialTeamList[Team '#],0))</f>
        <v/>
      </c>
      <c r="D58" s="70" t="n"/>
      <c r="E58" s="70" t="n"/>
      <c r="F58" s="70" t="n"/>
      <c r="G58" s="70" t="n"/>
      <c r="H58" s="70" t="n"/>
      <c r="I58" s="70" t="n"/>
      <c r="J58" s="70" t="n"/>
      <c r="K58" s="70" t="n"/>
      <c r="L58" s="70" t="n"/>
      <c r="M58" s="70" t="n"/>
      <c r="N58" s="83">
        <f>SUM(InnovationProjectResults[[#This Row],[Identify - Define]:[Communicate - Fun (CV)]])</f>
        <v/>
      </c>
      <c r="O58" s="73">
        <f>_xlfn.RANK.EQ(InnovationProjectResults[[#This Row],[Innovation Project Score]],InnovationProjectResults[Innovation Project Score],0)</f>
        <v/>
      </c>
    </row>
    <row r="59" ht="21" customHeight="1">
      <c r="A59" s="69" t="n"/>
      <c r="B59" s="69">
        <f>INDEX(OfficialTeamList[Pod Number],MATCH(InnovationProjectResults[[#This Row],[Team Number]], OfficialTeamList[Team '#],0))</f>
        <v/>
      </c>
      <c r="C59" s="106">
        <f>INDEX(OfficialTeamList[Team Name],MATCH(InnovationProjectResults[[#This Row],[Team Number]], OfficialTeamList[Team '#],0))</f>
        <v/>
      </c>
      <c r="D59" s="70" t="n"/>
      <c r="E59" s="70" t="n"/>
      <c r="F59" s="70" t="n"/>
      <c r="G59" s="70" t="n"/>
      <c r="H59" s="70" t="n"/>
      <c r="I59" s="70" t="n"/>
      <c r="J59" s="70" t="n"/>
      <c r="K59" s="70" t="n"/>
      <c r="L59" s="70" t="n"/>
      <c r="M59" s="70" t="n"/>
      <c r="N59" s="83">
        <f>SUM(InnovationProjectResults[[#This Row],[Identify - Define]:[Communicate - Fun (CV)]])</f>
        <v/>
      </c>
      <c r="O59" s="73">
        <f>_xlfn.RANK.EQ(InnovationProjectResults[[#This Row],[Innovation Project Score]],InnovationProjectResults[Innovation Project Score],0)</f>
        <v/>
      </c>
    </row>
    <row r="60" ht="21" customHeight="1">
      <c r="A60" s="69" t="n"/>
      <c r="B60" s="69">
        <f>INDEX(OfficialTeamList[Pod Number],MATCH(InnovationProjectResults[[#This Row],[Team Number]], OfficialTeamList[Team '#],0))</f>
        <v/>
      </c>
      <c r="C60" s="106">
        <f>INDEX(OfficialTeamList[Team Name],MATCH(InnovationProjectResults[[#This Row],[Team Number]], OfficialTeamList[Team '#],0))</f>
        <v/>
      </c>
      <c r="D60" s="70" t="n"/>
      <c r="E60" s="70" t="n"/>
      <c r="F60" s="70" t="n"/>
      <c r="G60" s="70" t="n"/>
      <c r="H60" s="70" t="n"/>
      <c r="I60" s="70" t="n"/>
      <c r="J60" s="70" t="n"/>
      <c r="K60" s="70" t="n"/>
      <c r="L60" s="70" t="n"/>
      <c r="M60" s="70" t="n"/>
      <c r="N60" s="83">
        <f>SUM(InnovationProjectResults[[#This Row],[Identify - Define]:[Communicate - Fun (CV)]])</f>
        <v/>
      </c>
      <c r="O60" s="73">
        <f>_xlfn.RANK.EQ(InnovationProjectResults[[#This Row],[Innovation Project Score]],InnovationProjectResults[Innovation Project Score],0)</f>
        <v/>
      </c>
    </row>
    <row r="61" ht="21" customHeight="1">
      <c r="A61" s="69" t="n"/>
      <c r="B61" s="69">
        <f>INDEX(OfficialTeamList[Pod Number],MATCH(InnovationProjectResults[[#This Row],[Team Number]], OfficialTeamList[Team '#],0))</f>
        <v/>
      </c>
      <c r="C61" s="106">
        <f>INDEX(OfficialTeamList[Team Name],MATCH(InnovationProjectResults[[#This Row],[Team Number]], OfficialTeamList[Team '#],0))</f>
        <v/>
      </c>
      <c r="D61" s="70" t="n"/>
      <c r="E61" s="70" t="n"/>
      <c r="F61" s="70" t="n"/>
      <c r="G61" s="70" t="n"/>
      <c r="H61" s="70" t="n"/>
      <c r="I61" s="70" t="n"/>
      <c r="J61" s="70" t="n"/>
      <c r="K61" s="70" t="n"/>
      <c r="L61" s="70" t="n"/>
      <c r="M61" s="70" t="n"/>
      <c r="N61" s="83">
        <f>SUM(InnovationProjectResults[[#This Row],[Identify - Define]:[Communicate - Fun (CV)]])</f>
        <v/>
      </c>
      <c r="O61" s="73">
        <f>_xlfn.RANK.EQ(InnovationProjectResults[[#This Row],[Innovation Project Score]],InnovationProjectResults[Innovation Project Score],0)</f>
        <v/>
      </c>
    </row>
    <row r="62" ht="21" customHeight="1">
      <c r="A62" s="69" t="n"/>
      <c r="B62" s="69">
        <f>INDEX(OfficialTeamList[Pod Number],MATCH(InnovationProjectResults[[#This Row],[Team Number]], OfficialTeamList[Team '#],0))</f>
        <v/>
      </c>
      <c r="C62" s="106">
        <f>INDEX(OfficialTeamList[Team Name],MATCH(InnovationProjectResults[[#This Row],[Team Number]], OfficialTeamList[Team '#],0))</f>
        <v/>
      </c>
      <c r="D62" s="70" t="n"/>
      <c r="E62" s="70" t="n"/>
      <c r="F62" s="70" t="n"/>
      <c r="G62" s="70" t="n"/>
      <c r="H62" s="70" t="n"/>
      <c r="I62" s="70" t="n"/>
      <c r="J62" s="70" t="n"/>
      <c r="K62" s="70" t="n"/>
      <c r="L62" s="70" t="n"/>
      <c r="M62" s="70" t="n"/>
      <c r="N62" s="83">
        <f>SUM(InnovationProjectResults[[#This Row],[Identify - Define]:[Communicate - Fun (CV)]])</f>
        <v/>
      </c>
      <c r="O62" s="73">
        <f>_xlfn.RANK.EQ(InnovationProjectResults[[#This Row],[Innovation Project Score]],InnovationProjectResults[Innovation Project Score],0)</f>
        <v/>
      </c>
    </row>
    <row r="63" ht="21" customHeight="1">
      <c r="A63" s="69" t="n"/>
      <c r="B63" s="69">
        <f>INDEX(OfficialTeamList[Pod Number],MATCH(InnovationProjectResults[[#This Row],[Team Number]], OfficialTeamList[Team '#],0))</f>
        <v/>
      </c>
      <c r="C63" s="106">
        <f>INDEX(OfficialTeamList[Team Name],MATCH(InnovationProjectResults[[#This Row],[Team Number]], OfficialTeamList[Team '#],0))</f>
        <v/>
      </c>
      <c r="D63" s="70" t="n"/>
      <c r="E63" s="70" t="n"/>
      <c r="F63" s="70" t="n"/>
      <c r="G63" s="70" t="n"/>
      <c r="H63" s="70" t="n"/>
      <c r="I63" s="70" t="n"/>
      <c r="J63" s="70" t="n"/>
      <c r="K63" s="70" t="n"/>
      <c r="L63" s="70" t="n"/>
      <c r="M63" s="70" t="n"/>
      <c r="N63" s="83">
        <f>SUM(InnovationProjectResults[[#This Row],[Identify - Define]:[Communicate - Fun (CV)]])</f>
        <v/>
      </c>
      <c r="O63" s="73">
        <f>_xlfn.RANK.EQ(InnovationProjectResults[[#This Row],[Innovation Project Score]],InnovationProjectResults[Innovation Project Score],0)</f>
        <v/>
      </c>
    </row>
    <row r="64" ht="21" customHeight="1">
      <c r="A64" s="69" t="n"/>
      <c r="B64" s="69">
        <f>INDEX(OfficialTeamList[Pod Number],MATCH(InnovationProjectResults[[#This Row],[Team Number]], OfficialTeamList[Team '#],0))</f>
        <v/>
      </c>
      <c r="C64" s="106">
        <f>INDEX(OfficialTeamList[Team Name],MATCH(InnovationProjectResults[[#This Row],[Team Number]], OfficialTeamList[Team '#],0))</f>
        <v/>
      </c>
      <c r="D64" s="70" t="n"/>
      <c r="E64" s="70" t="n"/>
      <c r="F64" s="70" t="n"/>
      <c r="G64" s="70" t="n"/>
      <c r="H64" s="70" t="n"/>
      <c r="I64" s="70" t="n"/>
      <c r="J64" s="70" t="n"/>
      <c r="K64" s="70" t="n"/>
      <c r="L64" s="70" t="n"/>
      <c r="M64" s="70" t="n"/>
      <c r="N64" s="83">
        <f>SUM(InnovationProjectResults[[#This Row],[Identify - Define]:[Communicate - Fun (CV)]])</f>
        <v/>
      </c>
      <c r="O64" s="73">
        <f>_xlfn.RANK.EQ(InnovationProjectResults[[#This Row],[Innovation Project Score]],InnovationProjectResults[Innovation Project Score],0)</f>
        <v/>
      </c>
    </row>
    <row r="65" ht="21" customHeight="1">
      <c r="A65" s="69" t="n"/>
      <c r="B65" s="69">
        <f>INDEX(OfficialTeamList[Pod Number],MATCH(InnovationProjectResults[[#This Row],[Team Number]], OfficialTeamList[Team '#],0))</f>
        <v/>
      </c>
      <c r="C65" s="106">
        <f>INDEX(OfficialTeamList[Team Name],MATCH(InnovationProjectResults[[#This Row],[Team Number]], OfficialTeamList[Team '#],0))</f>
        <v/>
      </c>
      <c r="D65" s="70" t="n"/>
      <c r="E65" s="70" t="n"/>
      <c r="F65" s="70" t="n"/>
      <c r="G65" s="70" t="n"/>
      <c r="H65" s="70" t="n"/>
      <c r="I65" s="70" t="n"/>
      <c r="J65" s="70" t="n"/>
      <c r="K65" s="70" t="n"/>
      <c r="L65" s="70" t="n"/>
      <c r="M65" s="70" t="n"/>
      <c r="N65" s="83">
        <f>SUM(InnovationProjectResults[[#This Row],[Identify - Define]:[Communicate - Fun (CV)]])</f>
        <v/>
      </c>
      <c r="O65" s="73">
        <f>_xlfn.RANK.EQ(InnovationProjectResults[[#This Row],[Innovation Project Score]],InnovationProjectResults[Innovation Project Score],0)</f>
        <v/>
      </c>
    </row>
    <row r="66" ht="21" customHeight="1">
      <c r="A66" s="69" t="n"/>
      <c r="B66" s="69">
        <f>INDEX(OfficialTeamList[Pod Number],MATCH(InnovationProjectResults[[#This Row],[Team Number]], OfficialTeamList[Team '#],0))</f>
        <v/>
      </c>
      <c r="C66" s="106">
        <f>INDEX(OfficialTeamList[Team Name],MATCH(InnovationProjectResults[[#This Row],[Team Number]], OfficialTeamList[Team '#],0))</f>
        <v/>
      </c>
      <c r="D66" s="70" t="n"/>
      <c r="E66" s="70" t="n"/>
      <c r="F66" s="70" t="n"/>
      <c r="G66" s="70" t="n"/>
      <c r="H66" s="70" t="n"/>
      <c r="I66" s="70" t="n"/>
      <c r="J66" s="70" t="n"/>
      <c r="K66" s="70" t="n"/>
      <c r="L66" s="70" t="n"/>
      <c r="M66" s="70" t="n"/>
      <c r="N66" s="83">
        <f>SUM(InnovationProjectResults[[#This Row],[Identify - Define]:[Communicate - Fun (CV)]])</f>
        <v/>
      </c>
      <c r="O66" s="73">
        <f>_xlfn.RANK.EQ(InnovationProjectResults[[#This Row],[Innovation Project Score]],InnovationProjectResults[Innovation Project Score],0)</f>
        <v/>
      </c>
    </row>
    <row r="67" ht="21" customHeight="1">
      <c r="A67" s="69" t="n"/>
      <c r="B67" s="69">
        <f>INDEX(OfficialTeamList[Pod Number],MATCH(InnovationProjectResults[[#This Row],[Team Number]], OfficialTeamList[Team '#],0))</f>
        <v/>
      </c>
      <c r="C67" s="106">
        <f>INDEX(OfficialTeamList[Team Name],MATCH(InnovationProjectResults[[#This Row],[Team Number]], OfficialTeamList[Team '#],0))</f>
        <v/>
      </c>
      <c r="D67" s="70" t="n"/>
      <c r="E67" s="70" t="n"/>
      <c r="F67" s="70" t="n"/>
      <c r="G67" s="70" t="n"/>
      <c r="H67" s="70" t="n"/>
      <c r="I67" s="70" t="n"/>
      <c r="J67" s="70" t="n"/>
      <c r="K67" s="70" t="n"/>
      <c r="L67" s="70" t="n"/>
      <c r="M67" s="70" t="n"/>
      <c r="N67" s="83">
        <f>SUM(InnovationProjectResults[[#This Row],[Identify - Define]:[Communicate - Fun (CV)]])</f>
        <v/>
      </c>
      <c r="O67" s="73">
        <f>_xlfn.RANK.EQ(InnovationProjectResults[[#This Row],[Innovation Project Score]],InnovationProjectResults[Innovation Project Score],0)</f>
        <v/>
      </c>
    </row>
    <row r="68" ht="21" customHeight="1">
      <c r="A68" s="69" t="n"/>
      <c r="B68" s="69">
        <f>INDEX(OfficialTeamList[Pod Number],MATCH(InnovationProjectResults[[#This Row],[Team Number]], OfficialTeamList[Team '#],0))</f>
        <v/>
      </c>
      <c r="C68" s="106">
        <f>INDEX(OfficialTeamList[Team Name],MATCH(InnovationProjectResults[[#This Row],[Team Number]], OfficialTeamList[Team '#],0))</f>
        <v/>
      </c>
      <c r="D68" s="70" t="n"/>
      <c r="E68" s="70" t="n"/>
      <c r="F68" s="70" t="n"/>
      <c r="G68" s="70" t="n"/>
      <c r="H68" s="70" t="n"/>
      <c r="I68" s="70" t="n"/>
      <c r="J68" s="70" t="n"/>
      <c r="K68" s="70" t="n"/>
      <c r="L68" s="70" t="n"/>
      <c r="M68" s="70" t="n"/>
      <c r="N68" s="83">
        <f>SUM(InnovationProjectResults[[#This Row],[Identify - Define]:[Communicate - Fun (CV)]])</f>
        <v/>
      </c>
      <c r="O68" s="73">
        <f>_xlfn.RANK.EQ(InnovationProjectResults[[#This Row],[Innovation Project Score]],InnovationProjectResults[Innovation Project Score],0)</f>
        <v/>
      </c>
    </row>
    <row r="69" ht="21" customHeight="1">
      <c r="A69" s="69" t="n"/>
      <c r="B69" s="69">
        <f>INDEX(OfficialTeamList[Pod Number],MATCH(InnovationProjectResults[[#This Row],[Team Number]], OfficialTeamList[Team '#],0))</f>
        <v/>
      </c>
      <c r="C69" s="106">
        <f>INDEX(OfficialTeamList[Team Name],MATCH(InnovationProjectResults[[#This Row],[Team Number]], OfficialTeamList[Team '#],0))</f>
        <v/>
      </c>
      <c r="D69" s="70" t="n"/>
      <c r="E69" s="70" t="n"/>
      <c r="F69" s="70" t="n"/>
      <c r="G69" s="70" t="n"/>
      <c r="H69" s="70" t="n"/>
      <c r="I69" s="70" t="n"/>
      <c r="J69" s="70" t="n"/>
      <c r="K69" s="70" t="n"/>
      <c r="L69" s="70" t="n"/>
      <c r="M69" s="70" t="n"/>
      <c r="N69" s="83">
        <f>SUM(InnovationProjectResults[[#This Row],[Identify - Define]:[Communicate - Fun (CV)]])</f>
        <v/>
      </c>
      <c r="O69" s="73">
        <f>_xlfn.RANK.EQ(InnovationProjectResults[[#This Row],[Innovation Project Score]],InnovationProjectResults[Innovation Project Score],0)</f>
        <v/>
      </c>
    </row>
    <row r="70" ht="21" customHeight="1">
      <c r="A70" s="69" t="n"/>
      <c r="B70" s="69">
        <f>INDEX(OfficialTeamList[Pod Number],MATCH(InnovationProjectResults[[#This Row],[Team Number]], OfficialTeamList[Team '#],0))</f>
        <v/>
      </c>
      <c r="C70" s="106">
        <f>INDEX(OfficialTeamList[Team Name],MATCH(InnovationProjectResults[[#This Row],[Team Number]], OfficialTeamList[Team '#],0))</f>
        <v/>
      </c>
      <c r="D70" s="70" t="n"/>
      <c r="E70" s="70" t="n"/>
      <c r="F70" s="70" t="n"/>
      <c r="G70" s="70" t="n"/>
      <c r="H70" s="70" t="n"/>
      <c r="I70" s="70" t="n"/>
      <c r="J70" s="70" t="n"/>
      <c r="K70" s="70" t="n"/>
      <c r="L70" s="70" t="n"/>
      <c r="M70" s="70" t="n"/>
      <c r="N70" s="83">
        <f>SUM(InnovationProjectResults[[#This Row],[Identify - Define]:[Communicate - Fun (CV)]])</f>
        <v/>
      </c>
      <c r="O70" s="73">
        <f>_xlfn.RANK.EQ(InnovationProjectResults[[#This Row],[Innovation Project Score]],InnovationProjectResults[Innovation Project Score],0)</f>
        <v/>
      </c>
    </row>
    <row r="71" ht="21" customHeight="1">
      <c r="A71" s="69" t="n"/>
      <c r="B71" s="69">
        <f>INDEX(OfficialTeamList[Pod Number],MATCH(InnovationProjectResults[[#This Row],[Team Number]], OfficialTeamList[Team '#],0))</f>
        <v/>
      </c>
      <c r="C71" s="106">
        <f>INDEX(OfficialTeamList[Team Name],MATCH(InnovationProjectResults[[#This Row],[Team Number]], OfficialTeamList[Team '#],0))</f>
        <v/>
      </c>
      <c r="D71" s="70" t="n"/>
      <c r="E71" s="70" t="n"/>
      <c r="F71" s="70" t="n"/>
      <c r="G71" s="70" t="n"/>
      <c r="H71" s="70" t="n"/>
      <c r="I71" s="70" t="n"/>
      <c r="J71" s="70" t="n"/>
      <c r="K71" s="70" t="n"/>
      <c r="L71" s="70" t="n"/>
      <c r="M71" s="70" t="n"/>
      <c r="N71" s="83">
        <f>SUM(InnovationProjectResults[[#This Row],[Identify - Define]:[Communicate - Fun (CV)]])</f>
        <v/>
      </c>
      <c r="O71" s="73">
        <f>_xlfn.RANK.EQ(InnovationProjectResults[[#This Row],[Innovation Project Score]],InnovationProjectResults[Innovation Project Score],0)</f>
        <v/>
      </c>
    </row>
    <row r="72" ht="21" customHeight="1">
      <c r="A72" s="69" t="n"/>
      <c r="B72" s="69">
        <f>INDEX(OfficialTeamList[Pod Number],MATCH(InnovationProjectResults[[#This Row],[Team Number]], OfficialTeamList[Team '#],0))</f>
        <v/>
      </c>
      <c r="C72" s="106">
        <f>INDEX(OfficialTeamList[Team Name],MATCH(InnovationProjectResults[[#This Row],[Team Number]], OfficialTeamList[Team '#],0))</f>
        <v/>
      </c>
      <c r="D72" s="70" t="n"/>
      <c r="E72" s="70" t="n"/>
      <c r="F72" s="70" t="n"/>
      <c r="G72" s="70" t="n"/>
      <c r="H72" s="70" t="n"/>
      <c r="I72" s="70" t="n"/>
      <c r="J72" s="70" t="n"/>
      <c r="K72" s="70" t="n"/>
      <c r="L72" s="70" t="n"/>
      <c r="M72" s="70" t="n"/>
      <c r="N72" s="83">
        <f>SUM(InnovationProjectResults[[#This Row],[Identify - Define]:[Communicate - Fun (CV)]])</f>
        <v/>
      </c>
      <c r="O72" s="73">
        <f>_xlfn.RANK.EQ(InnovationProjectResults[[#This Row],[Innovation Project Score]],InnovationProjectResults[Innovation Project Score],0)</f>
        <v/>
      </c>
    </row>
    <row r="73" ht="21" customHeight="1">
      <c r="A73" s="69" t="n"/>
      <c r="B73" s="69">
        <f>INDEX(OfficialTeamList[Pod Number],MATCH(InnovationProjectResults[[#This Row],[Team Number]], OfficialTeamList[Team '#],0))</f>
        <v/>
      </c>
      <c r="C73" s="106">
        <f>INDEX(OfficialTeamList[Team Name],MATCH(InnovationProjectResults[[#This Row],[Team Number]], OfficialTeamList[Team '#],0))</f>
        <v/>
      </c>
      <c r="D73" s="70" t="n"/>
      <c r="E73" s="70" t="n"/>
      <c r="F73" s="70" t="n"/>
      <c r="G73" s="70" t="n"/>
      <c r="H73" s="70" t="n"/>
      <c r="I73" s="70" t="n"/>
      <c r="J73" s="70" t="n"/>
      <c r="K73" s="70" t="n"/>
      <c r="L73" s="70" t="n"/>
      <c r="M73" s="70" t="n"/>
      <c r="N73" s="83">
        <f>SUM(InnovationProjectResults[[#This Row],[Identify - Define]:[Communicate - Fun (CV)]])</f>
        <v/>
      </c>
      <c r="O73" s="73">
        <f>_xlfn.RANK.EQ(InnovationProjectResults[[#This Row],[Innovation Project Score]],InnovationProjectResults[Innovation Project Score],0)</f>
        <v/>
      </c>
    </row>
    <row r="74" ht="21" customHeight="1">
      <c r="A74" s="69" t="n"/>
      <c r="B74" s="69">
        <f>INDEX(OfficialTeamList[Pod Number],MATCH(InnovationProjectResults[[#This Row],[Team Number]], OfficialTeamList[Team '#],0))</f>
        <v/>
      </c>
      <c r="C74" s="106">
        <f>INDEX(OfficialTeamList[Team Name],MATCH(InnovationProjectResults[[#This Row],[Team Number]], OfficialTeamList[Team '#],0))</f>
        <v/>
      </c>
      <c r="D74" s="70" t="n"/>
      <c r="E74" s="70" t="n"/>
      <c r="F74" s="70" t="n"/>
      <c r="G74" s="70" t="n"/>
      <c r="H74" s="70" t="n"/>
      <c r="I74" s="70" t="n"/>
      <c r="J74" s="70" t="n"/>
      <c r="K74" s="70" t="n"/>
      <c r="L74" s="70" t="n"/>
      <c r="M74" s="70" t="n"/>
      <c r="N74" s="83">
        <f>SUM(InnovationProjectResults[[#This Row],[Identify - Define]:[Communicate - Fun (CV)]])</f>
        <v/>
      </c>
      <c r="O74" s="73">
        <f>_xlfn.RANK.EQ(InnovationProjectResults[[#This Row],[Innovation Project Score]],InnovationProjectResults[Innovation Project Score],0)</f>
        <v/>
      </c>
    </row>
    <row r="75" ht="21" customHeight="1">
      <c r="A75" s="69" t="n"/>
      <c r="B75" s="69">
        <f>INDEX(OfficialTeamList[Pod Number],MATCH(InnovationProjectResults[[#This Row],[Team Number]], OfficialTeamList[Team '#],0))</f>
        <v/>
      </c>
      <c r="C75" s="106">
        <f>INDEX(OfficialTeamList[Team Name],MATCH(InnovationProjectResults[[#This Row],[Team Number]], OfficialTeamList[Team '#],0))</f>
        <v/>
      </c>
      <c r="D75" s="70" t="n"/>
      <c r="E75" s="70" t="n"/>
      <c r="F75" s="70" t="n"/>
      <c r="G75" s="70" t="n"/>
      <c r="H75" s="70" t="n"/>
      <c r="I75" s="70" t="n"/>
      <c r="J75" s="70" t="n"/>
      <c r="K75" s="70" t="n"/>
      <c r="L75" s="70" t="n"/>
      <c r="M75" s="70" t="n"/>
      <c r="N75" s="83">
        <f>SUM(InnovationProjectResults[[#This Row],[Identify - Define]:[Communicate - Fun (CV)]])</f>
        <v/>
      </c>
      <c r="O75" s="73">
        <f>_xlfn.RANK.EQ(InnovationProjectResults[[#This Row],[Innovation Project Score]],InnovationProjectResults[Innovation Project Score],0)</f>
        <v/>
      </c>
    </row>
    <row r="76" ht="21" customHeight="1">
      <c r="A76" s="69" t="n"/>
      <c r="B76" s="69">
        <f>INDEX(OfficialTeamList[Pod Number],MATCH(InnovationProjectResults[[#This Row],[Team Number]], OfficialTeamList[Team '#],0))</f>
        <v/>
      </c>
      <c r="C76" s="106">
        <f>INDEX(OfficialTeamList[Team Name],MATCH(InnovationProjectResults[[#This Row],[Team Number]], OfficialTeamList[Team '#],0))</f>
        <v/>
      </c>
      <c r="D76" s="70" t="n"/>
      <c r="E76" s="70" t="n"/>
      <c r="F76" s="70" t="n"/>
      <c r="G76" s="70" t="n"/>
      <c r="H76" s="70" t="n"/>
      <c r="I76" s="70" t="n"/>
      <c r="J76" s="70" t="n"/>
      <c r="K76" s="70" t="n"/>
      <c r="L76" s="70" t="n"/>
      <c r="M76" s="70" t="n"/>
      <c r="N76" s="83">
        <f>SUM(InnovationProjectResults[[#This Row],[Identify - Define]:[Communicate - Fun (CV)]])</f>
        <v/>
      </c>
      <c r="O76" s="73">
        <f>_xlfn.RANK.EQ(InnovationProjectResults[[#This Row],[Innovation Project Score]],InnovationProjectResults[Innovation Project Score],0)</f>
        <v/>
      </c>
    </row>
    <row r="77" ht="21" customHeight="1">
      <c r="A77" s="69" t="n"/>
      <c r="B77" s="69">
        <f>INDEX(OfficialTeamList[Pod Number],MATCH(InnovationProjectResults[[#This Row],[Team Number]], OfficialTeamList[Team '#],0))</f>
        <v/>
      </c>
      <c r="C77" s="106">
        <f>INDEX(OfficialTeamList[Team Name],MATCH(InnovationProjectResults[[#This Row],[Team Number]], OfficialTeamList[Team '#],0))</f>
        <v/>
      </c>
      <c r="D77" s="70" t="n"/>
      <c r="E77" s="70" t="n"/>
      <c r="F77" s="70" t="n"/>
      <c r="G77" s="70" t="n"/>
      <c r="H77" s="70" t="n"/>
      <c r="I77" s="70" t="n"/>
      <c r="J77" s="70" t="n"/>
      <c r="K77" s="70" t="n"/>
      <c r="L77" s="70" t="n"/>
      <c r="M77" s="70" t="n"/>
      <c r="N77" s="83">
        <f>SUM(InnovationProjectResults[[#This Row],[Identify - Define]:[Communicate - Fun (CV)]])</f>
        <v/>
      </c>
      <c r="O77" s="73">
        <f>_xlfn.RANK.EQ(InnovationProjectResults[[#This Row],[Innovation Project Score]],InnovationProjectResults[Innovation Project Score],0)</f>
        <v/>
      </c>
    </row>
    <row r="78" ht="21" customHeight="1">
      <c r="A78" s="69" t="n"/>
      <c r="B78" s="69">
        <f>INDEX(OfficialTeamList[Pod Number],MATCH(InnovationProjectResults[[#This Row],[Team Number]], OfficialTeamList[Team '#],0))</f>
        <v/>
      </c>
      <c r="C78" s="106">
        <f>INDEX(OfficialTeamList[Team Name],MATCH(InnovationProjectResults[[#This Row],[Team Number]], OfficialTeamList[Team '#],0))</f>
        <v/>
      </c>
      <c r="D78" s="70" t="n"/>
      <c r="E78" s="70" t="n"/>
      <c r="F78" s="70" t="n"/>
      <c r="G78" s="70" t="n"/>
      <c r="H78" s="70" t="n"/>
      <c r="I78" s="70" t="n"/>
      <c r="J78" s="70" t="n"/>
      <c r="K78" s="70" t="n"/>
      <c r="L78" s="70" t="n"/>
      <c r="M78" s="70" t="n"/>
      <c r="N78" s="83">
        <f>SUM(InnovationProjectResults[[#This Row],[Identify - Define]:[Communicate - Fun (CV)]])</f>
        <v/>
      </c>
      <c r="O78" s="73">
        <f>_xlfn.RANK.EQ(InnovationProjectResults[[#This Row],[Innovation Project Score]],InnovationProjectResults[Innovation Project Score],0)</f>
        <v/>
      </c>
    </row>
    <row r="79" ht="21" customHeight="1">
      <c r="A79" s="69" t="n"/>
      <c r="B79" s="69">
        <f>INDEX(OfficialTeamList[Pod Number],MATCH(InnovationProjectResults[[#This Row],[Team Number]], OfficialTeamList[Team '#],0))</f>
        <v/>
      </c>
      <c r="C79" s="106">
        <f>INDEX(OfficialTeamList[Team Name],MATCH(InnovationProjectResults[[#This Row],[Team Number]], OfficialTeamList[Team '#],0))</f>
        <v/>
      </c>
      <c r="D79" s="70" t="n"/>
      <c r="E79" s="70" t="n"/>
      <c r="F79" s="70" t="n"/>
      <c r="G79" s="70" t="n"/>
      <c r="H79" s="70" t="n"/>
      <c r="I79" s="70" t="n"/>
      <c r="J79" s="70" t="n"/>
      <c r="K79" s="70" t="n"/>
      <c r="L79" s="70" t="n"/>
      <c r="M79" s="70" t="n"/>
      <c r="N79" s="83">
        <f>SUM(InnovationProjectResults[[#This Row],[Identify - Define]:[Communicate - Fun (CV)]])</f>
        <v/>
      </c>
      <c r="O79" s="73">
        <f>_xlfn.RANK.EQ(InnovationProjectResults[[#This Row],[Innovation Project Score]],InnovationProjectResults[Innovation Project Score],0)</f>
        <v/>
      </c>
    </row>
    <row r="80" ht="21" customHeight="1">
      <c r="A80" s="69" t="n"/>
      <c r="B80" s="69">
        <f>INDEX(OfficialTeamList[Pod Number],MATCH(InnovationProjectResults[[#This Row],[Team Number]], OfficialTeamList[Team '#],0))</f>
        <v/>
      </c>
      <c r="C80" s="106">
        <f>INDEX(OfficialTeamList[Team Name],MATCH(InnovationProjectResults[[#This Row],[Team Number]], OfficialTeamList[Team '#],0))</f>
        <v/>
      </c>
      <c r="D80" s="70" t="n"/>
      <c r="E80" s="70" t="n"/>
      <c r="F80" s="70" t="n"/>
      <c r="G80" s="70" t="n"/>
      <c r="H80" s="70" t="n"/>
      <c r="I80" s="70" t="n"/>
      <c r="J80" s="70" t="n"/>
      <c r="K80" s="70" t="n"/>
      <c r="L80" s="70" t="n"/>
      <c r="M80" s="70" t="n"/>
      <c r="N80" s="83">
        <f>SUM(InnovationProjectResults[[#This Row],[Identify - Define]:[Communicate - Fun (CV)]])</f>
        <v/>
      </c>
      <c r="O80" s="73">
        <f>_xlfn.RANK.EQ(InnovationProjectResults[[#This Row],[Innovation Project Score]],InnovationProjectResults[Innovation Project Score],0)</f>
        <v/>
      </c>
    </row>
    <row r="81" ht="21" customHeight="1">
      <c r="A81" s="69" t="n"/>
      <c r="B81" s="69">
        <f>INDEX(OfficialTeamList[Pod Number],MATCH(InnovationProjectResults[[#This Row],[Team Number]], OfficialTeamList[Team '#],0))</f>
        <v/>
      </c>
      <c r="C81" s="106">
        <f>INDEX(OfficialTeamList[Team Name],MATCH(InnovationProjectResults[[#This Row],[Team Number]], OfficialTeamList[Team '#],0))</f>
        <v/>
      </c>
      <c r="D81" s="70" t="n"/>
      <c r="E81" s="70" t="n"/>
      <c r="F81" s="70" t="n"/>
      <c r="G81" s="70" t="n"/>
      <c r="H81" s="70" t="n"/>
      <c r="I81" s="70" t="n"/>
      <c r="J81" s="70" t="n"/>
      <c r="K81" s="70" t="n"/>
      <c r="L81" s="70" t="n"/>
      <c r="M81" s="70" t="n"/>
      <c r="N81" s="83">
        <f>SUM(InnovationProjectResults[[#This Row],[Identify - Define]:[Communicate - Fun (CV)]])</f>
        <v/>
      </c>
      <c r="O81" s="73">
        <f>_xlfn.RANK.EQ(InnovationProjectResults[[#This Row],[Innovation Project Score]],InnovationProjectResults[Innovation Project Score],0)</f>
        <v/>
      </c>
    </row>
    <row r="82" ht="21" customHeight="1">
      <c r="A82" s="69" t="n"/>
      <c r="B82" s="69">
        <f>INDEX(OfficialTeamList[Pod Number],MATCH(InnovationProjectResults[[#This Row],[Team Number]], OfficialTeamList[Team '#],0))</f>
        <v/>
      </c>
      <c r="C82" s="106">
        <f>INDEX(OfficialTeamList[Team Name],MATCH(InnovationProjectResults[[#This Row],[Team Number]], OfficialTeamList[Team '#],0))</f>
        <v/>
      </c>
      <c r="D82" s="70" t="n"/>
      <c r="E82" s="70" t="n"/>
      <c r="F82" s="70" t="n"/>
      <c r="G82" s="70" t="n"/>
      <c r="H82" s="70" t="n"/>
      <c r="I82" s="70" t="n"/>
      <c r="J82" s="70" t="n"/>
      <c r="K82" s="70" t="n"/>
      <c r="L82" s="70" t="n"/>
      <c r="M82" s="70" t="n"/>
      <c r="N82" s="83">
        <f>SUM(InnovationProjectResults[[#This Row],[Identify - Define]:[Communicate - Fun (CV)]])</f>
        <v/>
      </c>
      <c r="O82" s="73">
        <f>_xlfn.RANK.EQ(InnovationProjectResults[[#This Row],[Innovation Project Score]],InnovationProjectResults[Innovation Project Score],0)</f>
        <v/>
      </c>
    </row>
    <row r="83" ht="21" customHeight="1">
      <c r="A83" s="69" t="n"/>
      <c r="B83" s="69">
        <f>INDEX(OfficialTeamList[Pod Number],MATCH(InnovationProjectResults[[#This Row],[Team Number]], OfficialTeamList[Team '#],0))</f>
        <v/>
      </c>
      <c r="C83" s="106">
        <f>INDEX(OfficialTeamList[Team Name],MATCH(InnovationProjectResults[[#This Row],[Team Number]], OfficialTeamList[Team '#],0))</f>
        <v/>
      </c>
      <c r="D83" s="70" t="n"/>
      <c r="E83" s="70" t="n"/>
      <c r="F83" s="70" t="n"/>
      <c r="G83" s="70" t="n"/>
      <c r="H83" s="70" t="n"/>
      <c r="I83" s="70" t="n"/>
      <c r="J83" s="70" t="n"/>
      <c r="K83" s="70" t="n"/>
      <c r="L83" s="70" t="n"/>
      <c r="M83" s="70" t="n"/>
      <c r="N83" s="83">
        <f>SUM(InnovationProjectResults[[#This Row],[Identify - Define]:[Communicate - Fun (CV)]])</f>
        <v/>
      </c>
      <c r="O83" s="73">
        <f>_xlfn.RANK.EQ(InnovationProjectResults[[#This Row],[Innovation Project Score]],InnovationProjectResults[Innovation Project Score],0)</f>
        <v/>
      </c>
    </row>
    <row r="84" ht="21" customHeight="1">
      <c r="A84" s="69" t="n"/>
      <c r="B84" s="69">
        <f>INDEX(OfficialTeamList[Pod Number],MATCH(InnovationProjectResults[[#This Row],[Team Number]], OfficialTeamList[Team '#],0))</f>
        <v/>
      </c>
      <c r="C84" s="106">
        <f>INDEX(OfficialTeamList[Team Name],MATCH(InnovationProjectResults[[#This Row],[Team Number]], OfficialTeamList[Team '#],0))</f>
        <v/>
      </c>
      <c r="D84" s="70" t="n"/>
      <c r="E84" s="70" t="n"/>
      <c r="F84" s="70" t="n"/>
      <c r="G84" s="70" t="n"/>
      <c r="H84" s="70" t="n"/>
      <c r="I84" s="70" t="n"/>
      <c r="J84" s="70" t="n"/>
      <c r="K84" s="70" t="n"/>
      <c r="L84" s="70" t="n"/>
      <c r="M84" s="70" t="n"/>
      <c r="N84" s="83">
        <f>SUM(InnovationProjectResults[[#This Row],[Identify - Define]:[Communicate - Fun (CV)]])</f>
        <v/>
      </c>
      <c r="O84" s="73">
        <f>_xlfn.RANK.EQ(InnovationProjectResults[[#This Row],[Innovation Project Score]],InnovationProjectResults[Innovation Project Score],0)</f>
        <v/>
      </c>
    </row>
    <row r="85" ht="21" customHeight="1">
      <c r="A85" s="69" t="n"/>
      <c r="B85" s="69">
        <f>INDEX(OfficialTeamList[Pod Number],MATCH(InnovationProjectResults[[#This Row],[Team Number]], OfficialTeamList[Team '#],0))</f>
        <v/>
      </c>
      <c r="C85" s="106">
        <f>INDEX(OfficialTeamList[Team Name],MATCH(InnovationProjectResults[[#This Row],[Team Number]], OfficialTeamList[Team '#],0))</f>
        <v/>
      </c>
      <c r="D85" s="70" t="n"/>
      <c r="E85" s="70" t="n"/>
      <c r="F85" s="70" t="n"/>
      <c r="G85" s="70" t="n"/>
      <c r="H85" s="70" t="n"/>
      <c r="I85" s="70" t="n"/>
      <c r="J85" s="70" t="n"/>
      <c r="K85" s="70" t="n"/>
      <c r="L85" s="70" t="n"/>
      <c r="M85" s="70" t="n"/>
      <c r="N85" s="83">
        <f>SUM(InnovationProjectResults[[#This Row],[Identify - Define]:[Communicate - Fun (CV)]])</f>
        <v/>
      </c>
      <c r="O85" s="73">
        <f>_xlfn.RANK.EQ(InnovationProjectResults[[#This Row],[Innovation Project Score]],InnovationProjectResults[Innovation Project Score],0)</f>
        <v/>
      </c>
    </row>
    <row r="86" ht="21" customHeight="1">
      <c r="A86" s="69" t="n"/>
      <c r="B86" s="69">
        <f>INDEX(OfficialTeamList[Pod Number],MATCH(InnovationProjectResults[[#This Row],[Team Number]], OfficialTeamList[Team '#],0))</f>
        <v/>
      </c>
      <c r="C86" s="106">
        <f>INDEX(OfficialTeamList[Team Name],MATCH(InnovationProjectResults[[#This Row],[Team Number]], OfficialTeamList[Team '#],0))</f>
        <v/>
      </c>
      <c r="D86" s="70" t="n"/>
      <c r="E86" s="70" t="n"/>
      <c r="F86" s="70" t="n"/>
      <c r="G86" s="70" t="n"/>
      <c r="H86" s="70" t="n"/>
      <c r="I86" s="70" t="n"/>
      <c r="J86" s="70" t="n"/>
      <c r="K86" s="70" t="n"/>
      <c r="L86" s="70" t="n"/>
      <c r="M86" s="70" t="n"/>
      <c r="N86" s="83">
        <f>SUM(InnovationProjectResults[[#This Row],[Identify - Define]:[Communicate - Fun (CV)]])</f>
        <v/>
      </c>
      <c r="O86" s="73">
        <f>_xlfn.RANK.EQ(InnovationProjectResults[[#This Row],[Innovation Project Score]],InnovationProjectResults[Innovation Project Score],0)</f>
        <v/>
      </c>
    </row>
    <row r="87" ht="21" customHeight="1">
      <c r="A87" s="69" t="n"/>
      <c r="B87" s="69">
        <f>INDEX(OfficialTeamList[Pod Number],MATCH(InnovationProjectResults[[#This Row],[Team Number]], OfficialTeamList[Team '#],0))</f>
        <v/>
      </c>
      <c r="C87" s="106">
        <f>INDEX(OfficialTeamList[Team Name],MATCH(InnovationProjectResults[[#This Row],[Team Number]], OfficialTeamList[Team '#],0))</f>
        <v/>
      </c>
      <c r="D87" s="70" t="n"/>
      <c r="E87" s="70" t="n"/>
      <c r="F87" s="70" t="n"/>
      <c r="G87" s="70" t="n"/>
      <c r="H87" s="70" t="n"/>
      <c r="I87" s="70" t="n"/>
      <c r="J87" s="70" t="n"/>
      <c r="K87" s="70" t="n"/>
      <c r="L87" s="70" t="n"/>
      <c r="M87" s="70" t="n"/>
      <c r="N87" s="83">
        <f>SUM(InnovationProjectResults[[#This Row],[Identify - Define]:[Communicate - Fun (CV)]])</f>
        <v/>
      </c>
      <c r="O87" s="73">
        <f>_xlfn.RANK.EQ(InnovationProjectResults[[#This Row],[Innovation Project Score]],InnovationProjectResults[Innovation Project Score],0)</f>
        <v/>
      </c>
    </row>
    <row r="88" ht="21" customHeight="1">
      <c r="A88" s="69" t="n"/>
      <c r="B88" s="69">
        <f>INDEX(OfficialTeamList[Pod Number],MATCH(InnovationProjectResults[[#This Row],[Team Number]], OfficialTeamList[Team '#],0))</f>
        <v/>
      </c>
      <c r="C88" s="106">
        <f>INDEX(OfficialTeamList[Team Name],MATCH(InnovationProjectResults[[#This Row],[Team Number]], OfficialTeamList[Team '#],0))</f>
        <v/>
      </c>
      <c r="D88" s="70" t="n"/>
      <c r="E88" s="70" t="n"/>
      <c r="F88" s="70" t="n"/>
      <c r="G88" s="70" t="n"/>
      <c r="H88" s="70" t="n"/>
      <c r="I88" s="70" t="n"/>
      <c r="J88" s="70" t="n"/>
      <c r="K88" s="70" t="n"/>
      <c r="L88" s="70" t="n"/>
      <c r="M88" s="70" t="n"/>
      <c r="N88" s="83">
        <f>SUM(InnovationProjectResults[[#This Row],[Identify - Define]:[Communicate - Fun (CV)]])</f>
        <v/>
      </c>
      <c r="O88" s="73">
        <f>_xlfn.RANK.EQ(InnovationProjectResults[[#This Row],[Innovation Project Score]],InnovationProjectResults[Innovation Project Score],0)</f>
        <v/>
      </c>
    </row>
    <row r="89" ht="21" customHeight="1">
      <c r="A89" s="69" t="n"/>
      <c r="B89" s="69">
        <f>INDEX(OfficialTeamList[Pod Number],MATCH(InnovationProjectResults[[#This Row],[Team Number]], OfficialTeamList[Team '#],0))</f>
        <v/>
      </c>
      <c r="C89" s="106">
        <f>INDEX(OfficialTeamList[Team Name],MATCH(InnovationProjectResults[[#This Row],[Team Number]], OfficialTeamList[Team '#],0))</f>
        <v/>
      </c>
      <c r="D89" s="70" t="n"/>
      <c r="E89" s="70" t="n"/>
      <c r="F89" s="70" t="n"/>
      <c r="G89" s="70" t="n"/>
      <c r="H89" s="70" t="n"/>
      <c r="I89" s="70" t="n"/>
      <c r="J89" s="70" t="n"/>
      <c r="K89" s="70" t="n"/>
      <c r="L89" s="70" t="n"/>
      <c r="M89" s="70" t="n"/>
      <c r="N89" s="83">
        <f>SUM(InnovationProjectResults[[#This Row],[Identify - Define]:[Communicate - Fun (CV)]])</f>
        <v/>
      </c>
      <c r="O89" s="73">
        <f>_xlfn.RANK.EQ(InnovationProjectResults[[#This Row],[Innovation Project Score]],InnovationProjectResults[Innovation Project Score],0)</f>
        <v/>
      </c>
    </row>
    <row r="90" ht="21" customHeight="1">
      <c r="A90" s="69" t="n"/>
      <c r="B90" s="69">
        <f>INDEX(OfficialTeamList[Pod Number],MATCH(InnovationProjectResults[[#This Row],[Team Number]], OfficialTeamList[Team '#],0))</f>
        <v/>
      </c>
      <c r="C90" s="106">
        <f>INDEX(OfficialTeamList[Team Name],MATCH(InnovationProjectResults[[#This Row],[Team Number]], OfficialTeamList[Team '#],0))</f>
        <v/>
      </c>
      <c r="D90" s="70" t="n"/>
      <c r="E90" s="70" t="n"/>
      <c r="F90" s="70" t="n"/>
      <c r="G90" s="70" t="n"/>
      <c r="H90" s="70" t="n"/>
      <c r="I90" s="70" t="n"/>
      <c r="J90" s="70" t="n"/>
      <c r="K90" s="70" t="n"/>
      <c r="L90" s="70" t="n"/>
      <c r="M90" s="70" t="n"/>
      <c r="N90" s="83">
        <f>SUM(InnovationProjectResults[[#This Row],[Identify - Define]:[Communicate - Fun (CV)]])</f>
        <v/>
      </c>
      <c r="O90" s="73">
        <f>_xlfn.RANK.EQ(InnovationProjectResults[[#This Row],[Innovation Project Score]],InnovationProjectResults[Innovation Project Score],0)</f>
        <v/>
      </c>
    </row>
    <row r="91" ht="21" customHeight="1">
      <c r="A91" s="69" t="n"/>
      <c r="B91" s="69">
        <f>INDEX(OfficialTeamList[Pod Number],MATCH(InnovationProjectResults[[#This Row],[Team Number]], OfficialTeamList[Team '#],0))</f>
        <v/>
      </c>
      <c r="C91" s="106">
        <f>INDEX(OfficialTeamList[Team Name],MATCH(InnovationProjectResults[[#This Row],[Team Number]], OfficialTeamList[Team '#],0))</f>
        <v/>
      </c>
      <c r="D91" s="70" t="n"/>
      <c r="E91" s="70" t="n"/>
      <c r="F91" s="70" t="n"/>
      <c r="G91" s="70" t="n"/>
      <c r="H91" s="70" t="n"/>
      <c r="I91" s="70" t="n"/>
      <c r="J91" s="70" t="n"/>
      <c r="K91" s="70" t="n"/>
      <c r="L91" s="70" t="n"/>
      <c r="M91" s="70" t="n"/>
      <c r="N91" s="83">
        <f>SUM(InnovationProjectResults[[#This Row],[Identify - Define]:[Communicate - Fun (CV)]])</f>
        <v/>
      </c>
      <c r="O91" s="73">
        <f>_xlfn.RANK.EQ(InnovationProjectResults[[#This Row],[Innovation Project Score]],InnovationProjectResults[Innovation Project Score],0)</f>
        <v/>
      </c>
    </row>
    <row r="92" ht="21" customHeight="1">
      <c r="A92" s="69" t="n"/>
      <c r="B92" s="69">
        <f>INDEX(OfficialTeamList[Pod Number],MATCH(InnovationProjectResults[[#This Row],[Team Number]], OfficialTeamList[Team '#],0))</f>
        <v/>
      </c>
      <c r="C92" s="106">
        <f>INDEX(OfficialTeamList[Team Name],MATCH(InnovationProjectResults[[#This Row],[Team Number]], OfficialTeamList[Team '#],0))</f>
        <v/>
      </c>
      <c r="D92" s="70" t="n"/>
      <c r="E92" s="70" t="n"/>
      <c r="F92" s="70" t="n"/>
      <c r="G92" s="70" t="n"/>
      <c r="H92" s="70" t="n"/>
      <c r="I92" s="70" t="n"/>
      <c r="J92" s="70" t="n"/>
      <c r="K92" s="70" t="n"/>
      <c r="L92" s="70" t="n"/>
      <c r="M92" s="70" t="n"/>
      <c r="N92" s="83">
        <f>SUM(InnovationProjectResults[[#This Row],[Identify - Define]:[Communicate - Fun (CV)]])</f>
        <v/>
      </c>
      <c r="O92" s="73">
        <f>_xlfn.RANK.EQ(InnovationProjectResults[[#This Row],[Innovation Project Score]],InnovationProjectResults[Innovation Project Score],0)</f>
        <v/>
      </c>
    </row>
    <row r="93" ht="21" customHeight="1">
      <c r="A93" s="69" t="n"/>
      <c r="B93" s="69">
        <f>INDEX(OfficialTeamList[Pod Number],MATCH(InnovationProjectResults[[#This Row],[Team Number]], OfficialTeamList[Team '#],0))</f>
        <v/>
      </c>
      <c r="C93" s="106">
        <f>INDEX(OfficialTeamList[Team Name],MATCH(InnovationProjectResults[[#This Row],[Team Number]], OfficialTeamList[Team '#],0))</f>
        <v/>
      </c>
      <c r="D93" s="70" t="n"/>
      <c r="E93" s="70" t="n"/>
      <c r="F93" s="70" t="n"/>
      <c r="G93" s="70" t="n"/>
      <c r="H93" s="70" t="n"/>
      <c r="I93" s="70" t="n"/>
      <c r="J93" s="70" t="n"/>
      <c r="K93" s="70" t="n"/>
      <c r="L93" s="70" t="n"/>
      <c r="M93" s="70" t="n"/>
      <c r="N93" s="83">
        <f>SUM(InnovationProjectResults[[#This Row],[Identify - Define]:[Communicate - Fun (CV)]])</f>
        <v/>
      </c>
      <c r="O93" s="73">
        <f>_xlfn.RANK.EQ(InnovationProjectResults[[#This Row],[Innovation Project Score]],InnovationProjectResults[Innovation Project Score],0)</f>
        <v/>
      </c>
    </row>
    <row r="94" ht="21" customHeight="1">
      <c r="A94" s="69" t="n"/>
      <c r="B94" s="69">
        <f>INDEX(OfficialTeamList[Pod Number],MATCH(InnovationProjectResults[[#This Row],[Team Number]], OfficialTeamList[Team '#],0))</f>
        <v/>
      </c>
      <c r="C94" s="106">
        <f>INDEX(OfficialTeamList[Team Name],MATCH(InnovationProjectResults[[#This Row],[Team Number]], OfficialTeamList[Team '#],0))</f>
        <v/>
      </c>
      <c r="D94" s="70" t="n"/>
      <c r="E94" s="70" t="n"/>
      <c r="F94" s="70" t="n"/>
      <c r="G94" s="70" t="n"/>
      <c r="H94" s="70" t="n"/>
      <c r="I94" s="70" t="n"/>
      <c r="J94" s="70" t="n"/>
      <c r="K94" s="70" t="n"/>
      <c r="L94" s="70" t="n"/>
      <c r="M94" s="70" t="n"/>
      <c r="N94" s="83">
        <f>SUM(InnovationProjectResults[[#This Row],[Identify - Define]:[Communicate - Fun (CV)]])</f>
        <v/>
      </c>
      <c r="O94" s="73">
        <f>_xlfn.RANK.EQ(InnovationProjectResults[[#This Row],[Innovation Project Score]],InnovationProjectResults[Innovation Project Score],0)</f>
        <v/>
      </c>
    </row>
    <row r="95" ht="21" customHeight="1">
      <c r="A95" s="69" t="n"/>
      <c r="B95" s="69">
        <f>INDEX(OfficialTeamList[Pod Number],MATCH(InnovationProjectResults[[#This Row],[Team Number]], OfficialTeamList[Team '#],0))</f>
        <v/>
      </c>
      <c r="C95" s="106">
        <f>INDEX(OfficialTeamList[Team Name],MATCH(InnovationProjectResults[[#This Row],[Team Number]], OfficialTeamList[Team '#],0))</f>
        <v/>
      </c>
      <c r="D95" s="70" t="n"/>
      <c r="E95" s="70" t="n"/>
      <c r="F95" s="70" t="n"/>
      <c r="G95" s="70" t="n"/>
      <c r="H95" s="70" t="n"/>
      <c r="I95" s="70" t="n"/>
      <c r="J95" s="70" t="n"/>
      <c r="K95" s="70" t="n"/>
      <c r="L95" s="70" t="n"/>
      <c r="M95" s="70" t="n"/>
      <c r="N95" s="83">
        <f>SUM(InnovationProjectResults[[#This Row],[Identify - Define]:[Communicate - Fun (CV)]])</f>
        <v/>
      </c>
      <c r="O95" s="73">
        <f>_xlfn.RANK.EQ(InnovationProjectResults[[#This Row],[Innovation Project Score]],InnovationProjectResults[Innovation Project Score],0)</f>
        <v/>
      </c>
    </row>
    <row r="96" ht="21" customHeight="1">
      <c r="A96" s="69" t="n"/>
      <c r="B96" s="69">
        <f>INDEX(OfficialTeamList[Pod Number],MATCH(InnovationProjectResults[[#This Row],[Team Number]], OfficialTeamList[Team '#],0))</f>
        <v/>
      </c>
      <c r="C96" s="106">
        <f>INDEX(OfficialTeamList[Team Name],MATCH(InnovationProjectResults[[#This Row],[Team Number]], OfficialTeamList[Team '#],0))</f>
        <v/>
      </c>
      <c r="D96" s="70" t="n"/>
      <c r="E96" s="70" t="n"/>
      <c r="F96" s="70" t="n"/>
      <c r="G96" s="70" t="n"/>
      <c r="H96" s="70" t="n"/>
      <c r="I96" s="70" t="n"/>
      <c r="J96" s="70" t="n"/>
      <c r="K96" s="70" t="n"/>
      <c r="L96" s="70" t="n"/>
      <c r="M96" s="70" t="n"/>
      <c r="N96" s="83">
        <f>SUM(InnovationProjectResults[[#This Row],[Identify - Define]:[Communicate - Fun (CV)]])</f>
        <v/>
      </c>
      <c r="O96" s="73">
        <f>_xlfn.RANK.EQ(InnovationProjectResults[[#This Row],[Innovation Project Score]],InnovationProjectResults[Innovation Project Score],0)</f>
        <v/>
      </c>
    </row>
    <row r="97" ht="21" customHeight="1">
      <c r="A97" s="69" t="n"/>
      <c r="B97" s="69">
        <f>INDEX(OfficialTeamList[Pod Number],MATCH(InnovationProjectResults[[#This Row],[Team Number]], OfficialTeamList[Team '#],0))</f>
        <v/>
      </c>
      <c r="C97" s="106">
        <f>INDEX(OfficialTeamList[Team Name],MATCH(InnovationProjectResults[[#This Row],[Team Number]], OfficialTeamList[Team '#],0))</f>
        <v/>
      </c>
      <c r="D97" s="70" t="n"/>
      <c r="E97" s="70" t="n"/>
      <c r="F97" s="70" t="n"/>
      <c r="G97" s="70" t="n"/>
      <c r="H97" s="70" t="n"/>
      <c r="I97" s="70" t="n"/>
      <c r="J97" s="70" t="n"/>
      <c r="K97" s="70" t="n"/>
      <c r="L97" s="70" t="n"/>
      <c r="M97" s="70" t="n"/>
      <c r="N97" s="83">
        <f>SUM(InnovationProjectResults[[#This Row],[Identify - Define]:[Communicate - Fun (CV)]])</f>
        <v/>
      </c>
      <c r="O97" s="73">
        <f>_xlfn.RANK.EQ(InnovationProjectResults[[#This Row],[Innovation Project Score]],InnovationProjectResults[Innovation Project Score],0)</f>
        <v/>
      </c>
    </row>
    <row r="98" ht="21" customHeight="1">
      <c r="A98" s="69" t="n"/>
      <c r="B98" s="69">
        <f>INDEX(OfficialTeamList[Pod Number],MATCH(InnovationProjectResults[[#This Row],[Team Number]], OfficialTeamList[Team '#],0))</f>
        <v/>
      </c>
      <c r="C98" s="106">
        <f>INDEX(OfficialTeamList[Team Name],MATCH(InnovationProjectResults[[#This Row],[Team Number]], OfficialTeamList[Team '#],0))</f>
        <v/>
      </c>
      <c r="D98" s="70" t="n"/>
      <c r="E98" s="70" t="n"/>
      <c r="F98" s="70" t="n"/>
      <c r="G98" s="70" t="n"/>
      <c r="H98" s="70" t="n"/>
      <c r="I98" s="70" t="n"/>
      <c r="J98" s="70" t="n"/>
      <c r="K98" s="70" t="n"/>
      <c r="L98" s="70" t="n"/>
      <c r="M98" s="70" t="n"/>
      <c r="N98" s="83">
        <f>SUM(InnovationProjectResults[[#This Row],[Identify - Define]:[Communicate - Fun (CV)]])</f>
        <v/>
      </c>
      <c r="O98" s="73">
        <f>_xlfn.RANK.EQ(InnovationProjectResults[[#This Row],[Innovation Project Score]],InnovationProjectResults[Innovation Project Score],0)</f>
        <v/>
      </c>
    </row>
    <row r="99" ht="21" customHeight="1">
      <c r="A99" s="69" t="n"/>
      <c r="B99" s="69">
        <f>INDEX(OfficialTeamList[Pod Number],MATCH(InnovationProjectResults[[#This Row],[Team Number]], OfficialTeamList[Team '#],0))</f>
        <v/>
      </c>
      <c r="C99" s="106">
        <f>INDEX(OfficialTeamList[Team Name],MATCH(InnovationProjectResults[[#This Row],[Team Number]], OfficialTeamList[Team '#],0))</f>
        <v/>
      </c>
      <c r="D99" s="70" t="n"/>
      <c r="E99" s="70" t="n"/>
      <c r="F99" s="70" t="n"/>
      <c r="G99" s="70" t="n"/>
      <c r="H99" s="70" t="n"/>
      <c r="I99" s="70" t="n"/>
      <c r="J99" s="70" t="n"/>
      <c r="K99" s="70" t="n"/>
      <c r="L99" s="70" t="n"/>
      <c r="M99" s="70" t="n"/>
      <c r="N99" s="83">
        <f>SUM(InnovationProjectResults[[#This Row],[Identify - Define]:[Communicate - Fun (CV)]])</f>
        <v/>
      </c>
      <c r="O99" s="73">
        <f>_xlfn.RANK.EQ(InnovationProjectResults[[#This Row],[Innovation Project Score]],InnovationProjectResults[Innovation Project Score],0)</f>
        <v/>
      </c>
    </row>
    <row r="100" ht="21" customHeight="1">
      <c r="A100" s="69" t="n"/>
      <c r="B100" s="69">
        <f>INDEX(OfficialTeamList[Pod Number],MATCH(InnovationProjectResults[[#This Row],[Team Number]], OfficialTeamList[Team '#],0))</f>
        <v/>
      </c>
      <c r="C100" s="106">
        <f>INDEX(OfficialTeamList[Team Name],MATCH(InnovationProjectResults[[#This Row],[Team Number]], OfficialTeamList[Team '#],0))</f>
        <v/>
      </c>
      <c r="D100" s="70" t="n"/>
      <c r="E100" s="70" t="n"/>
      <c r="F100" s="70" t="n"/>
      <c r="G100" s="70" t="n"/>
      <c r="H100" s="70" t="n"/>
      <c r="I100" s="70" t="n"/>
      <c r="J100" s="70" t="n"/>
      <c r="K100" s="70" t="n"/>
      <c r="L100" s="70" t="n"/>
      <c r="M100" s="70" t="n"/>
      <c r="N100" s="83">
        <f>SUM(InnovationProjectResults[[#This Row],[Identify - Define]:[Communicate - Fun (CV)]])</f>
        <v/>
      </c>
      <c r="O100" s="73">
        <f>_xlfn.RANK.EQ(InnovationProjectResults[[#This Row],[Innovation Project Score]],InnovationProjectResults[Innovation Project Score],0)</f>
        <v/>
      </c>
    </row>
    <row r="101" ht="21" customHeight="1">
      <c r="A101" s="69" t="n"/>
      <c r="B101" s="69">
        <f>INDEX(OfficialTeamList[Pod Number],MATCH(InnovationProjectResults[[#This Row],[Team Number]], OfficialTeamList[Team '#],0))</f>
        <v/>
      </c>
      <c r="C101" s="106">
        <f>INDEX(OfficialTeamList[Team Name],MATCH(InnovationProjectResults[[#This Row],[Team Number]], OfficialTeamList[Team '#],0))</f>
        <v/>
      </c>
      <c r="D101" s="70" t="n"/>
      <c r="E101" s="70" t="n"/>
      <c r="F101" s="70" t="n"/>
      <c r="G101" s="70" t="n"/>
      <c r="H101" s="70" t="n"/>
      <c r="I101" s="70" t="n"/>
      <c r="J101" s="70" t="n"/>
      <c r="K101" s="70" t="n"/>
      <c r="L101" s="70" t="n"/>
      <c r="M101" s="70" t="n"/>
      <c r="N101" s="83">
        <f>SUM(InnovationProjectResults[[#This Row],[Identify - Define]:[Communicate - Fun (CV)]])</f>
        <v/>
      </c>
      <c r="O101" s="73">
        <f>_xlfn.RANK.EQ(InnovationProjectResults[[#This Row],[Innovation Project Score]],InnovationProjectResults[Innovation Project Score],0)</f>
        <v/>
      </c>
    </row>
    <row r="102" ht="21" customHeight="1">
      <c r="A102" s="69" t="n"/>
      <c r="B102" s="69">
        <f>INDEX(OfficialTeamList[Pod Number],MATCH(InnovationProjectResults[[#This Row],[Team Number]], OfficialTeamList[Team '#],0))</f>
        <v/>
      </c>
      <c r="C102" s="106">
        <f>INDEX(OfficialTeamList[Team Name],MATCH(InnovationProjectResults[[#This Row],[Team Number]], OfficialTeamList[Team '#],0))</f>
        <v/>
      </c>
      <c r="D102" s="70" t="n"/>
      <c r="E102" s="70" t="n"/>
      <c r="F102" s="70" t="n"/>
      <c r="G102" s="70" t="n"/>
      <c r="H102" s="70" t="n"/>
      <c r="I102" s="70" t="n"/>
      <c r="J102" s="70" t="n"/>
      <c r="K102" s="70" t="n"/>
      <c r="L102" s="70" t="n"/>
      <c r="M102" s="70" t="n"/>
      <c r="N102" s="83">
        <f>SUM(InnovationProjectResults[[#This Row],[Identify - Define]:[Communicate - Fun (CV)]])</f>
        <v/>
      </c>
      <c r="O102" s="73">
        <f>_xlfn.RANK.EQ(InnovationProjectResults[[#This Row],[Innovation Project Score]],InnovationProjectResults[Innovation Project Score],0)</f>
        <v/>
      </c>
    </row>
    <row r="103" ht="21" customHeight="1">
      <c r="A103" s="69" t="n"/>
      <c r="B103" s="69">
        <f>INDEX(OfficialTeamList[Pod Number],MATCH(InnovationProjectResults[[#This Row],[Team Number]], OfficialTeamList[Team '#],0))</f>
        <v/>
      </c>
      <c r="C103" s="106">
        <f>INDEX(OfficialTeamList[Team Name],MATCH(InnovationProjectResults[[#This Row],[Team Number]], OfficialTeamList[Team '#],0))</f>
        <v/>
      </c>
      <c r="D103" s="70" t="n"/>
      <c r="E103" s="70" t="n"/>
      <c r="F103" s="70" t="n"/>
      <c r="G103" s="70" t="n"/>
      <c r="H103" s="70" t="n"/>
      <c r="I103" s="70" t="n"/>
      <c r="J103" s="70" t="n"/>
      <c r="K103" s="70" t="n"/>
      <c r="L103" s="70" t="n"/>
      <c r="M103" s="70" t="n"/>
      <c r="N103" s="83">
        <f>SUM(InnovationProjectResults[[#This Row],[Identify - Define]:[Communicate - Fun (CV)]])</f>
        <v/>
      </c>
      <c r="O103" s="73">
        <f>_xlfn.RANK.EQ(InnovationProjectResults[[#This Row],[Innovation Project Score]],InnovationProjectResults[Innovation Project Score],0)</f>
        <v/>
      </c>
    </row>
    <row r="104" ht="21" customHeight="1">
      <c r="A104" s="69" t="n"/>
      <c r="B104" s="69">
        <f>INDEX(OfficialTeamList[Pod Number],MATCH(InnovationProjectResults[[#This Row],[Team Number]], OfficialTeamList[Team '#],0))</f>
        <v/>
      </c>
      <c r="C104" s="106">
        <f>INDEX(OfficialTeamList[Team Name],MATCH(InnovationProjectResults[[#This Row],[Team Number]], OfficialTeamList[Team '#],0))</f>
        <v/>
      </c>
      <c r="D104" s="70" t="n"/>
      <c r="E104" s="70" t="n"/>
      <c r="F104" s="70" t="n"/>
      <c r="G104" s="70" t="n"/>
      <c r="H104" s="70" t="n"/>
      <c r="I104" s="70" t="n"/>
      <c r="J104" s="70" t="n"/>
      <c r="K104" s="70" t="n"/>
      <c r="L104" s="70" t="n"/>
      <c r="M104" s="70" t="n"/>
      <c r="N104" s="83">
        <f>SUM(InnovationProjectResults[[#This Row],[Identify - Define]:[Communicate - Fun (CV)]])</f>
        <v/>
      </c>
      <c r="O104" s="73">
        <f>_xlfn.RANK.EQ(InnovationProjectResults[[#This Row],[Innovation Project Score]],InnovationProjectResults[Innovation Project Score],0)</f>
        <v/>
      </c>
    </row>
    <row r="105" ht="21" customHeight="1">
      <c r="A105" s="69" t="n"/>
      <c r="B105" s="69">
        <f>INDEX(OfficialTeamList[Pod Number],MATCH(InnovationProjectResults[[#This Row],[Team Number]], OfficialTeamList[Team '#],0))</f>
        <v/>
      </c>
      <c r="C105" s="106">
        <f>INDEX(OfficialTeamList[Team Name],MATCH(InnovationProjectResults[[#This Row],[Team Number]], OfficialTeamList[Team '#],0))</f>
        <v/>
      </c>
      <c r="D105" s="70" t="n"/>
      <c r="E105" s="70" t="n"/>
      <c r="F105" s="70" t="n"/>
      <c r="G105" s="70" t="n"/>
      <c r="H105" s="70" t="n"/>
      <c r="I105" s="70" t="n"/>
      <c r="J105" s="70" t="n"/>
      <c r="K105" s="70" t="n"/>
      <c r="L105" s="70" t="n"/>
      <c r="M105" s="70" t="n"/>
      <c r="N105" s="83">
        <f>SUM(InnovationProjectResults[[#This Row],[Identify - Define]:[Communicate - Fun (CV)]])</f>
        <v/>
      </c>
      <c r="O105" s="73">
        <f>_xlfn.RANK.EQ(InnovationProjectResults[[#This Row],[Innovation Project Score]],InnovationProjectResults[Innovation Project Score],0)</f>
        <v/>
      </c>
    </row>
    <row r="106" ht="21" customHeight="1">
      <c r="A106" s="69" t="n"/>
      <c r="B106" s="69">
        <f>INDEX(OfficialTeamList[Pod Number],MATCH(InnovationProjectResults[[#This Row],[Team Number]], OfficialTeamList[Team '#],0))</f>
        <v/>
      </c>
      <c r="C106" s="106">
        <f>INDEX(OfficialTeamList[Team Name],MATCH(InnovationProjectResults[[#This Row],[Team Number]], OfficialTeamList[Team '#],0))</f>
        <v/>
      </c>
      <c r="D106" s="70" t="n"/>
      <c r="E106" s="70" t="n"/>
      <c r="F106" s="70" t="n"/>
      <c r="G106" s="70" t="n"/>
      <c r="H106" s="70" t="n"/>
      <c r="I106" s="70" t="n"/>
      <c r="J106" s="70" t="n"/>
      <c r="K106" s="70" t="n"/>
      <c r="L106" s="70" t="n"/>
      <c r="M106" s="70" t="n"/>
      <c r="N106" s="83">
        <f>SUM(InnovationProjectResults[[#This Row],[Identify - Define]:[Communicate - Fun (CV)]])</f>
        <v/>
      </c>
      <c r="O106" s="73">
        <f>_xlfn.RANK.EQ(InnovationProjectResults[[#This Row],[Innovation Project Score]],InnovationProjectResults[Innovation Project Score],0)</f>
        <v/>
      </c>
    </row>
    <row r="107" ht="21" customHeight="1">
      <c r="A107" s="69" t="n"/>
      <c r="B107" s="69">
        <f>INDEX(OfficialTeamList[Pod Number],MATCH(InnovationProjectResults[[#This Row],[Team Number]], OfficialTeamList[Team '#],0))</f>
        <v/>
      </c>
      <c r="C107" s="106">
        <f>INDEX(OfficialTeamList[Team Name],MATCH(InnovationProjectResults[[#This Row],[Team Number]], OfficialTeamList[Team '#],0))</f>
        <v/>
      </c>
      <c r="D107" s="70" t="n"/>
      <c r="E107" s="70" t="n"/>
      <c r="F107" s="70" t="n"/>
      <c r="G107" s="70" t="n"/>
      <c r="H107" s="70" t="n"/>
      <c r="I107" s="70" t="n"/>
      <c r="J107" s="70" t="n"/>
      <c r="K107" s="70" t="n"/>
      <c r="L107" s="70" t="n"/>
      <c r="M107" s="70" t="n"/>
      <c r="N107" s="83">
        <f>SUM(InnovationProjectResults[[#This Row],[Identify - Define]:[Communicate - Fun (CV)]])</f>
        <v/>
      </c>
      <c r="O107" s="73">
        <f>_xlfn.RANK.EQ(InnovationProjectResults[[#This Row],[Innovation Project Score]],InnovationProjectResults[Innovation Project Score],0)</f>
        <v/>
      </c>
    </row>
    <row r="108" ht="21" customHeight="1">
      <c r="A108" s="69" t="n"/>
      <c r="B108" s="69">
        <f>INDEX(OfficialTeamList[Pod Number],MATCH(InnovationProjectResults[[#This Row],[Team Number]], OfficialTeamList[Team '#],0))</f>
        <v/>
      </c>
      <c r="C108" s="106">
        <f>INDEX(OfficialTeamList[Team Name],MATCH(InnovationProjectResults[[#This Row],[Team Number]], OfficialTeamList[Team '#],0))</f>
        <v/>
      </c>
      <c r="D108" s="70" t="n"/>
      <c r="E108" s="70" t="n"/>
      <c r="F108" s="70" t="n"/>
      <c r="G108" s="70" t="n"/>
      <c r="H108" s="70" t="n"/>
      <c r="I108" s="70" t="n"/>
      <c r="J108" s="70" t="n"/>
      <c r="K108" s="70" t="n"/>
      <c r="L108" s="70" t="n"/>
      <c r="M108" s="70" t="n"/>
      <c r="N108" s="83">
        <f>SUM(InnovationProjectResults[[#This Row],[Identify - Define]:[Communicate - Fun (CV)]])</f>
        <v/>
      </c>
      <c r="O108" s="73">
        <f>_xlfn.RANK.EQ(InnovationProjectResults[[#This Row],[Innovation Project Score]],InnovationProjectResults[Innovation Project Score],0)</f>
        <v/>
      </c>
    </row>
    <row r="109" ht="21" customHeight="1">
      <c r="A109" s="69" t="n"/>
      <c r="B109" s="69">
        <f>INDEX(OfficialTeamList[Pod Number],MATCH(InnovationProjectResults[[#This Row],[Team Number]], OfficialTeamList[Team '#],0))</f>
        <v/>
      </c>
      <c r="C109" s="106">
        <f>INDEX(OfficialTeamList[Team Name],MATCH(InnovationProjectResults[[#This Row],[Team Number]], OfficialTeamList[Team '#],0))</f>
        <v/>
      </c>
      <c r="D109" s="70" t="n"/>
      <c r="E109" s="70" t="n"/>
      <c r="F109" s="70" t="n"/>
      <c r="G109" s="70" t="n"/>
      <c r="H109" s="70" t="n"/>
      <c r="I109" s="70" t="n"/>
      <c r="J109" s="70" t="n"/>
      <c r="K109" s="70" t="n"/>
      <c r="L109" s="70" t="n"/>
      <c r="M109" s="70" t="n"/>
      <c r="N109" s="83">
        <f>SUM(InnovationProjectResults[[#This Row],[Identify - Define]:[Communicate - Fun (CV)]])</f>
        <v/>
      </c>
      <c r="O109" s="73">
        <f>_xlfn.RANK.EQ(InnovationProjectResults[[#This Row],[Innovation Project Score]],InnovationProjectResults[Innovation Project Score],0)</f>
        <v/>
      </c>
    </row>
    <row r="110" ht="21" customHeight="1">
      <c r="A110" s="69" t="n"/>
      <c r="B110" s="69">
        <f>INDEX(OfficialTeamList[Pod Number],MATCH(InnovationProjectResults[[#This Row],[Team Number]], OfficialTeamList[Team '#],0))</f>
        <v/>
      </c>
      <c r="C110" s="106">
        <f>INDEX(OfficialTeamList[Team Name],MATCH(InnovationProjectResults[[#This Row],[Team Number]], OfficialTeamList[Team '#],0))</f>
        <v/>
      </c>
      <c r="D110" s="70" t="n"/>
      <c r="E110" s="70" t="n"/>
      <c r="F110" s="70" t="n"/>
      <c r="G110" s="70" t="n"/>
      <c r="H110" s="70" t="n"/>
      <c r="I110" s="70" t="n"/>
      <c r="J110" s="70" t="n"/>
      <c r="K110" s="70" t="n"/>
      <c r="L110" s="70" t="n"/>
      <c r="M110" s="70" t="n"/>
      <c r="N110" s="83">
        <f>SUM(InnovationProjectResults[[#This Row],[Identify - Define]:[Communicate - Fun (CV)]])</f>
        <v/>
      </c>
      <c r="O110" s="73">
        <f>_xlfn.RANK.EQ(InnovationProjectResults[[#This Row],[Innovation Project Score]],InnovationProjectResults[Innovation Project Score],0)</f>
        <v/>
      </c>
    </row>
    <row r="111" ht="21" customHeight="1">
      <c r="A111" s="69" t="n"/>
      <c r="B111" s="69">
        <f>INDEX(OfficialTeamList[Pod Number],MATCH(InnovationProjectResults[[#This Row],[Team Number]], OfficialTeamList[Team '#],0))</f>
        <v/>
      </c>
      <c r="C111" s="106">
        <f>INDEX(OfficialTeamList[Team Name],MATCH(InnovationProjectResults[[#This Row],[Team Number]], OfficialTeamList[Team '#],0))</f>
        <v/>
      </c>
      <c r="D111" s="70" t="n"/>
      <c r="E111" s="70" t="n"/>
      <c r="F111" s="70" t="n"/>
      <c r="G111" s="70" t="n"/>
      <c r="H111" s="70" t="n"/>
      <c r="I111" s="70" t="n"/>
      <c r="J111" s="70" t="n"/>
      <c r="K111" s="70" t="n"/>
      <c r="L111" s="70" t="n"/>
      <c r="M111" s="70" t="n"/>
      <c r="N111" s="83">
        <f>SUM(InnovationProjectResults[[#This Row],[Identify - Define]:[Communicate - Fun (CV)]])</f>
        <v/>
      </c>
      <c r="O111" s="73">
        <f>_xlfn.RANK.EQ(InnovationProjectResults[[#This Row],[Innovation Project Score]],InnovationProjectResults[Innovation Project Score],0)</f>
        <v/>
      </c>
    </row>
    <row r="112" ht="21" customHeight="1">
      <c r="A112" s="69" t="n"/>
      <c r="B112" s="69">
        <f>INDEX(OfficialTeamList[Pod Number],MATCH(InnovationProjectResults[[#This Row],[Team Number]], OfficialTeamList[Team '#],0))</f>
        <v/>
      </c>
      <c r="C112" s="106">
        <f>INDEX(OfficialTeamList[Team Name],MATCH(InnovationProjectResults[[#This Row],[Team Number]], OfficialTeamList[Team '#],0))</f>
        <v/>
      </c>
      <c r="D112" s="70" t="n"/>
      <c r="E112" s="70" t="n"/>
      <c r="F112" s="70" t="n"/>
      <c r="G112" s="70" t="n"/>
      <c r="H112" s="70" t="n"/>
      <c r="I112" s="70" t="n"/>
      <c r="J112" s="70" t="n"/>
      <c r="K112" s="70" t="n"/>
      <c r="L112" s="70" t="n"/>
      <c r="M112" s="70" t="n"/>
      <c r="N112" s="83">
        <f>SUM(InnovationProjectResults[[#This Row],[Identify - Define]:[Communicate - Fun (CV)]])</f>
        <v/>
      </c>
      <c r="O112" s="73">
        <f>_xlfn.RANK.EQ(InnovationProjectResults[[#This Row],[Innovation Project Score]],InnovationProjectResults[Innovation Project Score],0)</f>
        <v/>
      </c>
    </row>
    <row r="113" ht="21" customHeight="1">
      <c r="A113" s="69" t="n"/>
      <c r="B113" s="69">
        <f>INDEX(OfficialTeamList[Pod Number],MATCH(InnovationProjectResults[[#This Row],[Team Number]], OfficialTeamList[Team '#],0))</f>
        <v/>
      </c>
      <c r="C113" s="106">
        <f>INDEX(OfficialTeamList[Team Name],MATCH(InnovationProjectResults[[#This Row],[Team Number]], OfficialTeamList[Team '#],0))</f>
        <v/>
      </c>
      <c r="D113" s="70" t="n"/>
      <c r="E113" s="70" t="n"/>
      <c r="F113" s="70" t="n"/>
      <c r="G113" s="70" t="n"/>
      <c r="H113" s="70" t="n"/>
      <c r="I113" s="70" t="n"/>
      <c r="J113" s="70" t="n"/>
      <c r="K113" s="70" t="n"/>
      <c r="L113" s="70" t="n"/>
      <c r="M113" s="70" t="n"/>
      <c r="N113" s="83">
        <f>SUM(InnovationProjectResults[[#This Row],[Identify - Define]:[Communicate - Fun (CV)]])</f>
        <v/>
      </c>
      <c r="O113" s="73">
        <f>_xlfn.RANK.EQ(InnovationProjectResults[[#This Row],[Innovation Project Score]],InnovationProjectResults[Innovation Project Score],0)</f>
        <v/>
      </c>
    </row>
    <row r="114" ht="21" customHeight="1">
      <c r="A114" s="69" t="n"/>
      <c r="B114" s="69">
        <f>INDEX(OfficialTeamList[Pod Number],MATCH(InnovationProjectResults[[#This Row],[Team Number]], OfficialTeamList[Team '#],0))</f>
        <v/>
      </c>
      <c r="C114" s="106">
        <f>INDEX(OfficialTeamList[Team Name],MATCH(InnovationProjectResults[[#This Row],[Team Number]], OfficialTeamList[Team '#],0))</f>
        <v/>
      </c>
      <c r="D114" s="70" t="n"/>
      <c r="E114" s="70" t="n"/>
      <c r="F114" s="70" t="n"/>
      <c r="G114" s="70" t="n"/>
      <c r="H114" s="70" t="n"/>
      <c r="I114" s="70" t="n"/>
      <c r="J114" s="70" t="n"/>
      <c r="K114" s="70" t="n"/>
      <c r="L114" s="70" t="n"/>
      <c r="M114" s="70" t="n"/>
      <c r="N114" s="83">
        <f>SUM(InnovationProjectResults[[#This Row],[Identify - Define]:[Communicate - Fun (CV)]])</f>
        <v/>
      </c>
      <c r="O114" s="73">
        <f>_xlfn.RANK.EQ(InnovationProjectResults[[#This Row],[Innovation Project Score]],InnovationProjectResults[Innovation Project Score],0)</f>
        <v/>
      </c>
    </row>
    <row r="115" ht="21" customHeight="1">
      <c r="A115" s="69" t="n"/>
      <c r="B115" s="69">
        <f>INDEX(OfficialTeamList[Pod Number],MATCH(InnovationProjectResults[[#This Row],[Team Number]], OfficialTeamList[Team '#],0))</f>
        <v/>
      </c>
      <c r="C115" s="106">
        <f>INDEX(OfficialTeamList[Team Name],MATCH(InnovationProjectResults[[#This Row],[Team Number]], OfficialTeamList[Team '#],0))</f>
        <v/>
      </c>
      <c r="D115" s="70" t="n"/>
      <c r="E115" s="70" t="n"/>
      <c r="F115" s="70" t="n"/>
      <c r="G115" s="70" t="n"/>
      <c r="H115" s="70" t="n"/>
      <c r="I115" s="70" t="n"/>
      <c r="J115" s="70" t="n"/>
      <c r="K115" s="70" t="n"/>
      <c r="L115" s="70" t="n"/>
      <c r="M115" s="70" t="n"/>
      <c r="N115" s="83">
        <f>SUM(InnovationProjectResults[[#This Row],[Identify - Define]:[Communicate - Fun (CV)]])</f>
        <v/>
      </c>
      <c r="O115" s="73">
        <f>_xlfn.RANK.EQ(InnovationProjectResults[[#This Row],[Innovation Project Score]],InnovationProjectResults[Innovation Project Score],0)</f>
        <v/>
      </c>
    </row>
    <row r="116" ht="21" customHeight="1">
      <c r="A116" s="69" t="n"/>
      <c r="B116" s="69">
        <f>INDEX(OfficialTeamList[Pod Number],MATCH(InnovationProjectResults[[#This Row],[Team Number]], OfficialTeamList[Team '#],0))</f>
        <v/>
      </c>
      <c r="C116" s="106">
        <f>INDEX(OfficialTeamList[Team Name],MATCH(InnovationProjectResults[[#This Row],[Team Number]], OfficialTeamList[Team '#],0))</f>
        <v/>
      </c>
      <c r="D116" s="70" t="n"/>
      <c r="E116" s="70" t="n"/>
      <c r="F116" s="70" t="n"/>
      <c r="G116" s="70" t="n"/>
      <c r="H116" s="70" t="n"/>
      <c r="I116" s="70" t="n"/>
      <c r="J116" s="70" t="n"/>
      <c r="K116" s="70" t="n"/>
      <c r="L116" s="70" t="n"/>
      <c r="M116" s="70" t="n"/>
      <c r="N116" s="83">
        <f>SUM(InnovationProjectResults[[#This Row],[Identify - Define]:[Communicate - Fun (CV)]])</f>
        <v/>
      </c>
      <c r="O116" s="73">
        <f>_xlfn.RANK.EQ(InnovationProjectResults[[#This Row],[Innovation Project Score]],InnovationProjectResults[Innovation Project Score],0)</f>
        <v/>
      </c>
    </row>
    <row r="117" ht="21" customHeight="1">
      <c r="A117" s="69" t="n"/>
      <c r="B117" s="69">
        <f>INDEX(OfficialTeamList[Pod Number],MATCH(InnovationProjectResults[[#This Row],[Team Number]], OfficialTeamList[Team '#],0))</f>
        <v/>
      </c>
      <c r="C117" s="106">
        <f>INDEX(OfficialTeamList[Team Name],MATCH(InnovationProjectResults[[#This Row],[Team Number]], OfficialTeamList[Team '#],0))</f>
        <v/>
      </c>
      <c r="D117" s="70" t="n"/>
      <c r="E117" s="70" t="n"/>
      <c r="F117" s="70" t="n"/>
      <c r="G117" s="70" t="n"/>
      <c r="H117" s="70" t="n"/>
      <c r="I117" s="70" t="n"/>
      <c r="J117" s="70" t="n"/>
      <c r="K117" s="70" t="n"/>
      <c r="L117" s="70" t="n"/>
      <c r="M117" s="70" t="n"/>
      <c r="N117" s="83">
        <f>SUM(InnovationProjectResults[[#This Row],[Identify - Define]:[Communicate - Fun (CV)]])</f>
        <v/>
      </c>
      <c r="O117" s="73">
        <f>_xlfn.RANK.EQ(InnovationProjectResults[[#This Row],[Innovation Project Score]],InnovationProjectResults[Innovation Project Score],0)</f>
        <v/>
      </c>
    </row>
    <row r="118" ht="21" customHeight="1">
      <c r="A118" s="69" t="n"/>
      <c r="B118" s="69">
        <f>INDEX(OfficialTeamList[Pod Number],MATCH(InnovationProjectResults[[#This Row],[Team Number]], OfficialTeamList[Team '#],0))</f>
        <v/>
      </c>
      <c r="C118" s="106">
        <f>INDEX(OfficialTeamList[Team Name],MATCH(InnovationProjectResults[[#This Row],[Team Number]], OfficialTeamList[Team '#],0))</f>
        <v/>
      </c>
      <c r="D118" s="70" t="n"/>
      <c r="E118" s="70" t="n"/>
      <c r="F118" s="70" t="n"/>
      <c r="G118" s="70" t="n"/>
      <c r="H118" s="70" t="n"/>
      <c r="I118" s="70" t="n"/>
      <c r="J118" s="70" t="n"/>
      <c r="K118" s="70" t="n"/>
      <c r="L118" s="70" t="n"/>
      <c r="M118" s="70" t="n"/>
      <c r="N118" s="83">
        <f>SUM(InnovationProjectResults[[#This Row],[Identify - Define]:[Communicate - Fun (CV)]])</f>
        <v/>
      </c>
      <c r="O118" s="73">
        <f>_xlfn.RANK.EQ(InnovationProjectResults[[#This Row],[Innovation Project Score]],InnovationProjectResults[Innovation Project Score],0)</f>
        <v/>
      </c>
    </row>
    <row r="119" ht="21" customHeight="1">
      <c r="A119" s="69" t="n"/>
      <c r="B119" s="69">
        <f>INDEX(OfficialTeamList[Pod Number],MATCH(InnovationProjectResults[[#This Row],[Team Number]], OfficialTeamList[Team '#],0))</f>
        <v/>
      </c>
      <c r="C119" s="106">
        <f>INDEX(OfficialTeamList[Team Name],MATCH(InnovationProjectResults[[#This Row],[Team Number]], OfficialTeamList[Team '#],0))</f>
        <v/>
      </c>
      <c r="D119" s="70" t="n"/>
      <c r="E119" s="70" t="n"/>
      <c r="F119" s="70" t="n"/>
      <c r="G119" s="70" t="n"/>
      <c r="H119" s="70" t="n"/>
      <c r="I119" s="70" t="n"/>
      <c r="J119" s="70" t="n"/>
      <c r="K119" s="70" t="n"/>
      <c r="L119" s="70" t="n"/>
      <c r="M119" s="70" t="n"/>
      <c r="N119" s="83">
        <f>SUM(InnovationProjectResults[[#This Row],[Identify - Define]:[Communicate - Fun (CV)]])</f>
        <v/>
      </c>
      <c r="O119" s="73">
        <f>_xlfn.RANK.EQ(InnovationProjectResults[[#This Row],[Innovation Project Score]],InnovationProjectResults[Innovation Project Score],0)</f>
        <v/>
      </c>
    </row>
    <row r="120" ht="21" customHeight="1">
      <c r="A120" s="69" t="n"/>
      <c r="B120" s="69">
        <f>INDEX(OfficialTeamList[Pod Number],MATCH(InnovationProjectResults[[#This Row],[Team Number]], OfficialTeamList[Team '#],0))</f>
        <v/>
      </c>
      <c r="C120" s="106">
        <f>INDEX(OfficialTeamList[Team Name],MATCH(InnovationProjectResults[[#This Row],[Team Number]], OfficialTeamList[Team '#],0))</f>
        <v/>
      </c>
      <c r="D120" s="70" t="n"/>
      <c r="E120" s="70" t="n"/>
      <c r="F120" s="70" t="n"/>
      <c r="G120" s="70" t="n"/>
      <c r="H120" s="70" t="n"/>
      <c r="I120" s="70" t="n"/>
      <c r="J120" s="70" t="n"/>
      <c r="K120" s="70" t="n"/>
      <c r="L120" s="70" t="n"/>
      <c r="M120" s="70" t="n"/>
      <c r="N120" s="83">
        <f>SUM(InnovationProjectResults[[#This Row],[Identify - Define]:[Communicate - Fun (CV)]])</f>
        <v/>
      </c>
      <c r="O120" s="73">
        <f>_xlfn.RANK.EQ(InnovationProjectResults[[#This Row],[Innovation Project Score]],InnovationProjectResults[Innovation Project Score],0)</f>
        <v/>
      </c>
    </row>
    <row r="121" ht="21" customHeight="1">
      <c r="A121" s="69" t="n"/>
      <c r="B121" s="69">
        <f>INDEX(OfficialTeamList[Pod Number],MATCH(InnovationProjectResults[[#This Row],[Team Number]], OfficialTeamList[Team '#],0))</f>
        <v/>
      </c>
      <c r="C121" s="106">
        <f>INDEX(OfficialTeamList[Team Name],MATCH(InnovationProjectResults[[#This Row],[Team Number]], OfficialTeamList[Team '#],0))</f>
        <v/>
      </c>
      <c r="D121" s="70" t="n"/>
      <c r="E121" s="70" t="n"/>
      <c r="F121" s="70" t="n"/>
      <c r="G121" s="70" t="n"/>
      <c r="H121" s="70" t="n"/>
      <c r="I121" s="70" t="n"/>
      <c r="J121" s="70" t="n"/>
      <c r="K121" s="70" t="n"/>
      <c r="L121" s="70" t="n"/>
      <c r="M121" s="70" t="n"/>
      <c r="N121" s="83">
        <f>SUM(InnovationProjectResults[[#This Row],[Identify - Define]:[Communicate - Fun (CV)]])</f>
        <v/>
      </c>
      <c r="O121" s="73">
        <f>_xlfn.RANK.EQ(InnovationProjectResults[[#This Row],[Innovation Project Score]],InnovationProjectResults[Innovation Project Score],0)</f>
        <v/>
      </c>
    </row>
    <row r="122" ht="21" customHeight="1">
      <c r="A122" s="69" t="n"/>
      <c r="B122" s="69">
        <f>INDEX(OfficialTeamList[Pod Number],MATCH(InnovationProjectResults[[#This Row],[Team Number]], OfficialTeamList[Team '#],0))</f>
        <v/>
      </c>
      <c r="C122" s="106">
        <f>INDEX(OfficialTeamList[Team Name],MATCH(InnovationProjectResults[[#This Row],[Team Number]], OfficialTeamList[Team '#],0))</f>
        <v/>
      </c>
      <c r="D122" s="70" t="n"/>
      <c r="E122" s="70" t="n"/>
      <c r="F122" s="70" t="n"/>
      <c r="G122" s="70" t="n"/>
      <c r="H122" s="70" t="n"/>
      <c r="I122" s="70" t="n"/>
      <c r="J122" s="70" t="n"/>
      <c r="K122" s="70" t="n"/>
      <c r="L122" s="70" t="n"/>
      <c r="M122" s="70" t="n"/>
      <c r="N122" s="83">
        <f>SUM(InnovationProjectResults[[#This Row],[Identify - Define]:[Communicate - Fun (CV)]])</f>
        <v/>
      </c>
      <c r="O122" s="73">
        <f>_xlfn.RANK.EQ(InnovationProjectResults[[#This Row],[Innovation Project Score]],InnovationProjectResults[Innovation Project Score],0)</f>
        <v/>
      </c>
    </row>
    <row r="123" ht="21" customHeight="1">
      <c r="A123" s="69" t="n"/>
      <c r="B123" s="69">
        <f>INDEX(OfficialTeamList[Pod Number],MATCH(InnovationProjectResults[[#This Row],[Team Number]], OfficialTeamList[Team '#],0))</f>
        <v/>
      </c>
      <c r="C123" s="106">
        <f>INDEX(OfficialTeamList[Team Name],MATCH(InnovationProjectResults[[#This Row],[Team Number]], OfficialTeamList[Team '#],0))</f>
        <v/>
      </c>
      <c r="D123" s="70" t="n"/>
      <c r="E123" s="70" t="n"/>
      <c r="F123" s="70" t="n"/>
      <c r="G123" s="70" t="n"/>
      <c r="H123" s="70" t="n"/>
      <c r="I123" s="70" t="n"/>
      <c r="J123" s="70" t="n"/>
      <c r="K123" s="70" t="n"/>
      <c r="L123" s="70" t="n"/>
      <c r="M123" s="70" t="n"/>
      <c r="N123" s="83">
        <f>SUM(InnovationProjectResults[[#This Row],[Identify - Define]:[Communicate - Fun (CV)]])</f>
        <v/>
      </c>
      <c r="O123" s="73">
        <f>_xlfn.RANK.EQ(InnovationProjectResults[[#This Row],[Innovation Project Score]],InnovationProjectResults[Innovation Project Score],0)</f>
        <v/>
      </c>
    </row>
    <row r="124" ht="21" customHeight="1">
      <c r="A124" s="69" t="n"/>
      <c r="B124" s="69">
        <f>INDEX(OfficialTeamList[Pod Number],MATCH(InnovationProjectResults[[#This Row],[Team Number]], OfficialTeamList[Team '#],0))</f>
        <v/>
      </c>
      <c r="C124" s="106">
        <f>INDEX(OfficialTeamList[Team Name],MATCH(InnovationProjectResults[[#This Row],[Team Number]], OfficialTeamList[Team '#],0))</f>
        <v/>
      </c>
      <c r="D124" s="70" t="n"/>
      <c r="E124" s="70" t="n"/>
      <c r="F124" s="70" t="n"/>
      <c r="G124" s="70" t="n"/>
      <c r="H124" s="70" t="n"/>
      <c r="I124" s="70" t="n"/>
      <c r="J124" s="70" t="n"/>
      <c r="K124" s="70" t="n"/>
      <c r="L124" s="70" t="n"/>
      <c r="M124" s="70" t="n"/>
      <c r="N124" s="83">
        <f>SUM(InnovationProjectResults[[#This Row],[Identify - Define]:[Communicate - Fun (CV)]])</f>
        <v/>
      </c>
      <c r="O124" s="73">
        <f>_xlfn.RANK.EQ(InnovationProjectResults[[#This Row],[Innovation Project Score]],InnovationProjectResults[Innovation Project Score],0)</f>
        <v/>
      </c>
    </row>
    <row r="125" ht="21" customHeight="1">
      <c r="A125" s="69" t="n"/>
      <c r="B125" s="69">
        <f>INDEX(OfficialTeamList[Pod Number],MATCH(InnovationProjectResults[[#This Row],[Team Number]], OfficialTeamList[Team '#],0))</f>
        <v/>
      </c>
      <c r="C125" s="106">
        <f>INDEX(OfficialTeamList[Team Name],MATCH(InnovationProjectResults[[#This Row],[Team Number]], OfficialTeamList[Team '#],0))</f>
        <v/>
      </c>
      <c r="D125" s="70" t="n"/>
      <c r="E125" s="70" t="n"/>
      <c r="F125" s="70" t="n"/>
      <c r="G125" s="70" t="n"/>
      <c r="H125" s="70" t="n"/>
      <c r="I125" s="70" t="n"/>
      <c r="J125" s="70" t="n"/>
      <c r="K125" s="70" t="n"/>
      <c r="L125" s="70" t="n"/>
      <c r="M125" s="70" t="n"/>
      <c r="N125" s="83">
        <f>SUM(InnovationProjectResults[[#This Row],[Identify - Define]:[Communicate - Fun (CV)]])</f>
        <v/>
      </c>
      <c r="O125" s="73">
        <f>_xlfn.RANK.EQ(InnovationProjectResults[[#This Row],[Innovation Project Score]],InnovationProjectResults[Innovation Project Score],0)</f>
        <v/>
      </c>
    </row>
    <row r="126" ht="21" customHeight="1">
      <c r="A126" s="69" t="n"/>
      <c r="B126" s="69">
        <f>INDEX(OfficialTeamList[Pod Number],MATCH(InnovationProjectResults[[#This Row],[Team Number]], OfficialTeamList[Team '#],0))</f>
        <v/>
      </c>
      <c r="C126" s="106">
        <f>INDEX(OfficialTeamList[Team Name],MATCH(InnovationProjectResults[[#This Row],[Team Number]], OfficialTeamList[Team '#],0))</f>
        <v/>
      </c>
      <c r="D126" s="70" t="n"/>
      <c r="E126" s="70" t="n"/>
      <c r="F126" s="70" t="n"/>
      <c r="G126" s="70" t="n"/>
      <c r="H126" s="70" t="n"/>
      <c r="I126" s="70" t="n"/>
      <c r="J126" s="70" t="n"/>
      <c r="K126" s="70" t="n"/>
      <c r="L126" s="70" t="n"/>
      <c r="M126" s="70" t="n"/>
      <c r="N126" s="83">
        <f>SUM(InnovationProjectResults[[#This Row],[Identify - Define]:[Communicate - Fun (CV)]])</f>
        <v/>
      </c>
      <c r="O126" s="73">
        <f>_xlfn.RANK.EQ(InnovationProjectResults[[#This Row],[Innovation Project Score]],InnovationProjectResults[Innovation Project Score],0)</f>
        <v/>
      </c>
    </row>
    <row r="127" ht="21" customHeight="1">
      <c r="A127" s="69" t="n"/>
      <c r="B127" s="69">
        <f>INDEX(OfficialTeamList[Pod Number],MATCH(InnovationProjectResults[[#This Row],[Team Number]], OfficialTeamList[Team '#],0))</f>
        <v/>
      </c>
      <c r="C127" s="106">
        <f>INDEX(OfficialTeamList[Team Name],MATCH(InnovationProjectResults[[#This Row],[Team Number]], OfficialTeamList[Team '#],0))</f>
        <v/>
      </c>
      <c r="D127" s="70" t="n"/>
      <c r="E127" s="70" t="n"/>
      <c r="F127" s="70" t="n"/>
      <c r="G127" s="70" t="n"/>
      <c r="H127" s="70" t="n"/>
      <c r="I127" s="70" t="n"/>
      <c r="J127" s="70" t="n"/>
      <c r="K127" s="70" t="n"/>
      <c r="L127" s="70" t="n"/>
      <c r="M127" s="70" t="n"/>
      <c r="N127" s="83">
        <f>SUM(InnovationProjectResults[[#This Row],[Identify - Define]:[Communicate - Fun (CV)]])</f>
        <v/>
      </c>
      <c r="O127" s="73">
        <f>_xlfn.RANK.EQ(InnovationProjectResults[[#This Row],[Innovation Project Score]],InnovationProjectResults[Innovation Project Score],0)</f>
        <v/>
      </c>
    </row>
    <row r="128" ht="21" customHeight="1">
      <c r="A128" s="69" t="n"/>
      <c r="B128" s="69">
        <f>INDEX(OfficialTeamList[Pod Number],MATCH(InnovationProjectResults[[#This Row],[Team Number]], OfficialTeamList[Team '#],0))</f>
        <v/>
      </c>
      <c r="C128" s="106">
        <f>INDEX(OfficialTeamList[Team Name],MATCH(InnovationProjectResults[[#This Row],[Team Number]], OfficialTeamList[Team '#],0))</f>
        <v/>
      </c>
      <c r="D128" s="70" t="n"/>
      <c r="E128" s="70" t="n"/>
      <c r="F128" s="70" t="n"/>
      <c r="G128" s="70" t="n"/>
      <c r="H128" s="70" t="n"/>
      <c r="I128" s="70" t="n"/>
      <c r="J128" s="70" t="n"/>
      <c r="K128" s="70" t="n"/>
      <c r="L128" s="70" t="n"/>
      <c r="M128" s="70" t="n"/>
      <c r="N128" s="83">
        <f>SUM(InnovationProjectResults[[#This Row],[Identify - Define]:[Communicate - Fun (CV)]])</f>
        <v/>
      </c>
      <c r="O128" s="73">
        <f>_xlfn.RANK.EQ(InnovationProjectResults[[#This Row],[Innovation Project Score]],InnovationProjectResults[Innovation Project Score],0)</f>
        <v/>
      </c>
    </row>
    <row r="129" ht="21" customHeight="1">
      <c r="A129" s="69" t="n"/>
      <c r="B129" s="69">
        <f>INDEX(OfficialTeamList[Pod Number],MATCH(InnovationProjectResults[[#This Row],[Team Number]], OfficialTeamList[Team '#],0))</f>
        <v/>
      </c>
      <c r="C129" s="106">
        <f>INDEX(OfficialTeamList[Team Name],MATCH(InnovationProjectResults[[#This Row],[Team Number]], OfficialTeamList[Team '#],0))</f>
        <v/>
      </c>
      <c r="D129" s="70" t="n"/>
      <c r="E129" s="70" t="n"/>
      <c r="F129" s="70" t="n"/>
      <c r="G129" s="70" t="n"/>
      <c r="H129" s="70" t="n"/>
      <c r="I129" s="70" t="n"/>
      <c r="J129" s="70" t="n"/>
      <c r="K129" s="70" t="n"/>
      <c r="L129" s="70" t="n"/>
      <c r="M129" s="70" t="n"/>
      <c r="N129" s="83">
        <f>SUM(InnovationProjectResults[[#This Row],[Identify - Define]:[Communicate - Fun (CV)]])</f>
        <v/>
      </c>
      <c r="O129" s="73">
        <f>_xlfn.RANK.EQ(InnovationProjectResults[[#This Row],[Innovation Project Score]],InnovationProjectResults[Innovation Project Score],0)</f>
        <v/>
      </c>
    </row>
    <row r="130" ht="21" customHeight="1">
      <c r="A130" s="69" t="n"/>
      <c r="B130" s="69">
        <f>INDEX(OfficialTeamList[Pod Number],MATCH(InnovationProjectResults[[#This Row],[Team Number]], OfficialTeamList[Team '#],0))</f>
        <v/>
      </c>
      <c r="C130" s="106">
        <f>INDEX(OfficialTeamList[Team Name],MATCH(InnovationProjectResults[[#This Row],[Team Number]], OfficialTeamList[Team '#],0))</f>
        <v/>
      </c>
      <c r="D130" s="70" t="n"/>
      <c r="E130" s="70" t="n"/>
      <c r="F130" s="70" t="n"/>
      <c r="G130" s="70" t="n"/>
      <c r="H130" s="70" t="n"/>
      <c r="I130" s="70" t="n"/>
      <c r="J130" s="70" t="n"/>
      <c r="K130" s="70" t="n"/>
      <c r="L130" s="70" t="n"/>
      <c r="M130" s="70" t="n"/>
      <c r="N130" s="83">
        <f>SUM(InnovationProjectResults[[#This Row],[Identify - Define]:[Communicate - Fun (CV)]])</f>
        <v/>
      </c>
      <c r="O130" s="73">
        <f>_xlfn.RANK.EQ(InnovationProjectResults[[#This Row],[Innovation Project Score]],InnovationProjectResults[Innovation Project Score],0)</f>
        <v/>
      </c>
    </row>
    <row r="131" ht="21" customHeight="1">
      <c r="A131" s="69" t="n"/>
      <c r="B131" s="69">
        <f>INDEX(OfficialTeamList[Pod Number],MATCH(InnovationProjectResults[[#This Row],[Team Number]], OfficialTeamList[Team '#],0))</f>
        <v/>
      </c>
      <c r="C131" s="106">
        <f>INDEX(OfficialTeamList[Team Name],MATCH(InnovationProjectResults[[#This Row],[Team Number]], OfficialTeamList[Team '#],0))</f>
        <v/>
      </c>
      <c r="D131" s="70" t="n"/>
      <c r="E131" s="70" t="n"/>
      <c r="F131" s="70" t="n"/>
      <c r="G131" s="70" t="n"/>
      <c r="H131" s="70" t="n"/>
      <c r="I131" s="70" t="n"/>
      <c r="J131" s="70" t="n"/>
      <c r="K131" s="70" t="n"/>
      <c r="L131" s="70" t="n"/>
      <c r="M131" s="70" t="n"/>
      <c r="N131" s="83">
        <f>SUM(InnovationProjectResults[[#This Row],[Identify - Define]:[Communicate - Fun (CV)]])</f>
        <v/>
      </c>
      <c r="O131" s="73">
        <f>_xlfn.RANK.EQ(InnovationProjectResults[[#This Row],[Innovation Project Score]],InnovationProjectResults[Innovation Project Score],0)</f>
        <v/>
      </c>
    </row>
    <row r="132" ht="21" customHeight="1">
      <c r="A132" s="69" t="n"/>
      <c r="B132" s="69">
        <f>INDEX(OfficialTeamList[Pod Number],MATCH(InnovationProjectResults[[#This Row],[Team Number]], OfficialTeamList[Team '#],0))</f>
        <v/>
      </c>
      <c r="C132" s="106">
        <f>INDEX(OfficialTeamList[Team Name],MATCH(InnovationProjectResults[[#This Row],[Team Number]], OfficialTeamList[Team '#],0))</f>
        <v/>
      </c>
      <c r="D132" s="70" t="n"/>
      <c r="E132" s="70" t="n"/>
      <c r="F132" s="70" t="n"/>
      <c r="G132" s="70" t="n"/>
      <c r="H132" s="70" t="n"/>
      <c r="I132" s="70" t="n"/>
      <c r="J132" s="70" t="n"/>
      <c r="K132" s="70" t="n"/>
      <c r="L132" s="70" t="n"/>
      <c r="M132" s="70" t="n"/>
      <c r="N132" s="83">
        <f>SUM(InnovationProjectResults[[#This Row],[Identify - Define]:[Communicate - Fun (CV)]])</f>
        <v/>
      </c>
      <c r="O132" s="73">
        <f>_xlfn.RANK.EQ(InnovationProjectResults[[#This Row],[Innovation Project Score]],InnovationProjectResults[Innovation Project Score],0)</f>
        <v/>
      </c>
    </row>
    <row r="133" ht="21" customHeight="1">
      <c r="A133" s="69" t="n"/>
      <c r="B133" s="69">
        <f>INDEX(OfficialTeamList[Pod Number],MATCH(InnovationProjectResults[[#This Row],[Team Number]], OfficialTeamList[Team '#],0))</f>
        <v/>
      </c>
      <c r="C133" s="106">
        <f>INDEX(OfficialTeamList[Team Name],MATCH(InnovationProjectResults[[#This Row],[Team Number]], OfficialTeamList[Team '#],0))</f>
        <v/>
      </c>
      <c r="D133" s="70" t="n"/>
      <c r="E133" s="70" t="n"/>
      <c r="F133" s="70" t="n"/>
      <c r="G133" s="70" t="n"/>
      <c r="H133" s="70" t="n"/>
      <c r="I133" s="70" t="n"/>
      <c r="J133" s="70" t="n"/>
      <c r="K133" s="70" t="n"/>
      <c r="L133" s="70" t="n"/>
      <c r="M133" s="70" t="n"/>
      <c r="N133" s="83">
        <f>SUM(InnovationProjectResults[[#This Row],[Identify - Define]:[Communicate - Fun (CV)]])</f>
        <v/>
      </c>
      <c r="O133" s="73">
        <f>_xlfn.RANK.EQ(InnovationProjectResults[[#This Row],[Innovation Project Score]],InnovationProjectResults[Innovation Project Score],0)</f>
        <v/>
      </c>
    </row>
    <row r="134" ht="21" customHeight="1">
      <c r="A134" s="69" t="n"/>
      <c r="B134" s="69">
        <f>INDEX(OfficialTeamList[Pod Number],MATCH(InnovationProjectResults[[#This Row],[Team Number]], OfficialTeamList[Team '#],0))</f>
        <v/>
      </c>
      <c r="C134" s="106">
        <f>INDEX(OfficialTeamList[Team Name],MATCH(InnovationProjectResults[[#This Row],[Team Number]], OfficialTeamList[Team '#],0))</f>
        <v/>
      </c>
      <c r="D134" s="70" t="n"/>
      <c r="E134" s="70" t="n"/>
      <c r="F134" s="70" t="n"/>
      <c r="G134" s="70" t="n"/>
      <c r="H134" s="70" t="n"/>
      <c r="I134" s="70" t="n"/>
      <c r="J134" s="70" t="n"/>
      <c r="K134" s="70" t="n"/>
      <c r="L134" s="70" t="n"/>
      <c r="M134" s="70" t="n"/>
      <c r="N134" s="83">
        <f>SUM(InnovationProjectResults[[#This Row],[Identify - Define]:[Communicate - Fun (CV)]])</f>
        <v/>
      </c>
      <c r="O134" s="73">
        <f>_xlfn.RANK.EQ(InnovationProjectResults[[#This Row],[Innovation Project Score]],InnovationProjectResults[Innovation Project Score],0)</f>
        <v/>
      </c>
    </row>
    <row r="135" ht="21" customHeight="1">
      <c r="A135" s="69" t="n"/>
      <c r="B135" s="69">
        <f>INDEX(OfficialTeamList[Pod Number],MATCH(InnovationProjectResults[[#This Row],[Team Number]], OfficialTeamList[Team '#],0))</f>
        <v/>
      </c>
      <c r="C135" s="106">
        <f>INDEX(OfficialTeamList[Team Name],MATCH(InnovationProjectResults[[#This Row],[Team Number]], OfficialTeamList[Team '#],0))</f>
        <v/>
      </c>
      <c r="D135" s="70" t="n"/>
      <c r="E135" s="70" t="n"/>
      <c r="F135" s="70" t="n"/>
      <c r="G135" s="70" t="n"/>
      <c r="H135" s="70" t="n"/>
      <c r="I135" s="70" t="n"/>
      <c r="J135" s="70" t="n"/>
      <c r="K135" s="70" t="n"/>
      <c r="L135" s="70" t="n"/>
      <c r="M135" s="70" t="n"/>
      <c r="N135" s="83">
        <f>SUM(InnovationProjectResults[[#This Row],[Identify - Define]:[Communicate - Fun (CV)]])</f>
        <v/>
      </c>
      <c r="O135" s="73">
        <f>_xlfn.RANK.EQ(InnovationProjectResults[[#This Row],[Innovation Project Score]],InnovationProjectResults[Innovation Project Score],0)</f>
        <v/>
      </c>
    </row>
    <row r="136" ht="21" customHeight="1">
      <c r="A136" s="69" t="n"/>
      <c r="B136" s="69">
        <f>INDEX(OfficialTeamList[Pod Number],MATCH(InnovationProjectResults[[#This Row],[Team Number]], OfficialTeamList[Team '#],0))</f>
        <v/>
      </c>
      <c r="C136" s="106">
        <f>INDEX(OfficialTeamList[Team Name],MATCH(InnovationProjectResults[[#This Row],[Team Number]], OfficialTeamList[Team '#],0))</f>
        <v/>
      </c>
      <c r="D136" s="70" t="n"/>
      <c r="E136" s="70" t="n"/>
      <c r="F136" s="70" t="n"/>
      <c r="G136" s="70" t="n"/>
      <c r="H136" s="70" t="n"/>
      <c r="I136" s="70" t="n"/>
      <c r="J136" s="70" t="n"/>
      <c r="K136" s="70" t="n"/>
      <c r="L136" s="70" t="n"/>
      <c r="M136" s="70" t="n"/>
      <c r="N136" s="83">
        <f>SUM(InnovationProjectResults[[#This Row],[Identify - Define]:[Communicate - Fun (CV)]])</f>
        <v/>
      </c>
      <c r="O136" s="73">
        <f>_xlfn.RANK.EQ(InnovationProjectResults[[#This Row],[Innovation Project Score]],InnovationProjectResults[Innovation Project Score],0)</f>
        <v/>
      </c>
    </row>
    <row r="137" ht="21" customHeight="1">
      <c r="A137" s="69" t="n"/>
      <c r="B137" s="69">
        <f>INDEX(OfficialTeamList[Pod Number],MATCH(InnovationProjectResults[[#This Row],[Team Number]], OfficialTeamList[Team '#],0))</f>
        <v/>
      </c>
      <c r="C137" s="106">
        <f>INDEX(OfficialTeamList[Team Name],MATCH(InnovationProjectResults[[#This Row],[Team Number]], OfficialTeamList[Team '#],0))</f>
        <v/>
      </c>
      <c r="D137" s="70" t="n"/>
      <c r="E137" s="70" t="n"/>
      <c r="F137" s="70" t="n"/>
      <c r="G137" s="70" t="n"/>
      <c r="H137" s="70" t="n"/>
      <c r="I137" s="70" t="n"/>
      <c r="J137" s="70" t="n"/>
      <c r="K137" s="70" t="n"/>
      <c r="L137" s="70" t="n"/>
      <c r="M137" s="70" t="n"/>
      <c r="N137" s="83">
        <f>SUM(InnovationProjectResults[[#This Row],[Identify - Define]:[Communicate - Fun (CV)]])</f>
        <v/>
      </c>
      <c r="O137" s="73">
        <f>_xlfn.RANK.EQ(InnovationProjectResults[[#This Row],[Innovation Project Score]],InnovationProjectResults[Innovation Project Score],0)</f>
        <v/>
      </c>
    </row>
    <row r="138" ht="21" customHeight="1">
      <c r="A138" s="69" t="n"/>
      <c r="B138" s="69">
        <f>INDEX(OfficialTeamList[Pod Number],MATCH(InnovationProjectResults[[#This Row],[Team Number]], OfficialTeamList[Team '#],0))</f>
        <v/>
      </c>
      <c r="C138" s="106">
        <f>INDEX(OfficialTeamList[Team Name],MATCH(InnovationProjectResults[[#This Row],[Team Number]], OfficialTeamList[Team '#],0))</f>
        <v/>
      </c>
      <c r="D138" s="70" t="n"/>
      <c r="E138" s="70" t="n"/>
      <c r="F138" s="70" t="n"/>
      <c r="G138" s="70" t="n"/>
      <c r="H138" s="70" t="n"/>
      <c r="I138" s="70" t="n"/>
      <c r="J138" s="70" t="n"/>
      <c r="K138" s="70" t="n"/>
      <c r="L138" s="70" t="n"/>
      <c r="M138" s="70" t="n"/>
      <c r="N138" s="83">
        <f>SUM(InnovationProjectResults[[#This Row],[Identify - Define]:[Communicate - Fun (CV)]])</f>
        <v/>
      </c>
      <c r="O138" s="73">
        <f>_xlfn.RANK.EQ(InnovationProjectResults[[#This Row],[Innovation Project Score]],InnovationProjectResults[Innovation Project Score],0)</f>
        <v/>
      </c>
    </row>
    <row r="139" ht="21" customHeight="1">
      <c r="A139" s="69" t="n"/>
      <c r="B139" s="69">
        <f>INDEX(OfficialTeamList[Pod Number],MATCH(InnovationProjectResults[[#This Row],[Team Number]], OfficialTeamList[Team '#],0))</f>
        <v/>
      </c>
      <c r="C139" s="106">
        <f>INDEX(OfficialTeamList[Team Name],MATCH(InnovationProjectResults[[#This Row],[Team Number]], OfficialTeamList[Team '#],0))</f>
        <v/>
      </c>
      <c r="D139" s="70" t="n"/>
      <c r="E139" s="70" t="n"/>
      <c r="F139" s="70" t="n"/>
      <c r="G139" s="70" t="n"/>
      <c r="H139" s="70" t="n"/>
      <c r="I139" s="70" t="n"/>
      <c r="J139" s="70" t="n"/>
      <c r="K139" s="70" t="n"/>
      <c r="L139" s="70" t="n"/>
      <c r="M139" s="70" t="n"/>
      <c r="N139" s="83">
        <f>SUM(InnovationProjectResults[[#This Row],[Identify - Define]:[Communicate - Fun (CV)]])</f>
        <v/>
      </c>
      <c r="O139" s="73">
        <f>_xlfn.RANK.EQ(InnovationProjectResults[[#This Row],[Innovation Project Score]],InnovationProjectResults[Innovation Project Score],0)</f>
        <v/>
      </c>
    </row>
    <row r="140" ht="21" customHeight="1">
      <c r="A140" s="69" t="n"/>
      <c r="B140" s="69">
        <f>INDEX(OfficialTeamList[Pod Number],MATCH(InnovationProjectResults[[#This Row],[Team Number]], OfficialTeamList[Team '#],0))</f>
        <v/>
      </c>
      <c r="C140" s="106">
        <f>INDEX(OfficialTeamList[Team Name],MATCH(InnovationProjectResults[[#This Row],[Team Number]], OfficialTeamList[Team '#],0))</f>
        <v/>
      </c>
      <c r="D140" s="70" t="n"/>
      <c r="E140" s="70" t="n"/>
      <c r="F140" s="70" t="n"/>
      <c r="G140" s="70" t="n"/>
      <c r="H140" s="70" t="n"/>
      <c r="I140" s="70" t="n"/>
      <c r="J140" s="70" t="n"/>
      <c r="K140" s="70" t="n"/>
      <c r="L140" s="70" t="n"/>
      <c r="M140" s="70" t="n"/>
      <c r="N140" s="83">
        <f>SUM(InnovationProjectResults[[#This Row],[Identify - Define]:[Communicate - Fun (CV)]])</f>
        <v/>
      </c>
      <c r="O140" s="73">
        <f>_xlfn.RANK.EQ(InnovationProjectResults[[#This Row],[Innovation Project Score]],InnovationProjectResults[Innovation Project Score],0)</f>
        <v/>
      </c>
    </row>
    <row r="141" ht="21" customHeight="1">
      <c r="A141" s="69" t="n"/>
      <c r="B141" s="69">
        <f>INDEX(OfficialTeamList[Pod Number],MATCH(InnovationProjectResults[[#This Row],[Team Number]], OfficialTeamList[Team '#],0))</f>
        <v/>
      </c>
      <c r="C141" s="106">
        <f>INDEX(OfficialTeamList[Team Name],MATCH(InnovationProjectResults[[#This Row],[Team Number]], OfficialTeamList[Team '#],0))</f>
        <v/>
      </c>
      <c r="D141" s="70" t="n"/>
      <c r="E141" s="70" t="n"/>
      <c r="F141" s="70" t="n"/>
      <c r="G141" s="70" t="n"/>
      <c r="H141" s="70" t="n"/>
      <c r="I141" s="70" t="n"/>
      <c r="J141" s="70" t="n"/>
      <c r="K141" s="70" t="n"/>
      <c r="L141" s="70" t="n"/>
      <c r="M141" s="70" t="n"/>
      <c r="N141" s="83">
        <f>SUM(InnovationProjectResults[[#This Row],[Identify - Define]:[Communicate - Fun (CV)]])</f>
        <v/>
      </c>
      <c r="O141" s="73">
        <f>_xlfn.RANK.EQ(InnovationProjectResults[[#This Row],[Innovation Project Score]],InnovationProjectResults[Innovation Project Score],0)</f>
        <v/>
      </c>
    </row>
    <row r="142" ht="21" customHeight="1">
      <c r="A142" s="69" t="n"/>
      <c r="B142" s="69">
        <f>INDEX(OfficialTeamList[Pod Number],MATCH(InnovationProjectResults[[#This Row],[Team Number]], OfficialTeamList[Team '#],0))</f>
        <v/>
      </c>
      <c r="C142" s="106">
        <f>INDEX(OfficialTeamList[Team Name],MATCH(InnovationProjectResults[[#This Row],[Team Number]], OfficialTeamList[Team '#],0))</f>
        <v/>
      </c>
      <c r="D142" s="70" t="n"/>
      <c r="E142" s="70" t="n"/>
      <c r="F142" s="70" t="n"/>
      <c r="G142" s="70" t="n"/>
      <c r="H142" s="70" t="n"/>
      <c r="I142" s="70" t="n"/>
      <c r="J142" s="70" t="n"/>
      <c r="K142" s="70" t="n"/>
      <c r="L142" s="70" t="n"/>
      <c r="M142" s="70" t="n"/>
      <c r="N142" s="83">
        <f>SUM(InnovationProjectResults[[#This Row],[Identify - Define]:[Communicate - Fun (CV)]])</f>
        <v/>
      </c>
      <c r="O142" s="73">
        <f>_xlfn.RANK.EQ(InnovationProjectResults[[#This Row],[Innovation Project Score]],InnovationProjectResults[Innovation Project Score],0)</f>
        <v/>
      </c>
    </row>
    <row r="143" ht="21" customHeight="1">
      <c r="A143" s="69" t="n"/>
      <c r="B143" s="69">
        <f>INDEX(OfficialTeamList[Pod Number],MATCH(InnovationProjectResults[[#This Row],[Team Number]], OfficialTeamList[Team '#],0))</f>
        <v/>
      </c>
      <c r="C143" s="106">
        <f>INDEX(OfficialTeamList[Team Name],MATCH(InnovationProjectResults[[#This Row],[Team Number]], OfficialTeamList[Team '#],0))</f>
        <v/>
      </c>
      <c r="D143" s="70" t="n"/>
      <c r="E143" s="70" t="n"/>
      <c r="F143" s="70" t="n"/>
      <c r="G143" s="70" t="n"/>
      <c r="H143" s="70" t="n"/>
      <c r="I143" s="70" t="n"/>
      <c r="J143" s="70" t="n"/>
      <c r="K143" s="70" t="n"/>
      <c r="L143" s="70" t="n"/>
      <c r="M143" s="70" t="n"/>
      <c r="N143" s="83">
        <f>SUM(InnovationProjectResults[[#This Row],[Identify - Define]:[Communicate - Fun (CV)]])</f>
        <v/>
      </c>
      <c r="O143" s="73">
        <f>_xlfn.RANK.EQ(InnovationProjectResults[[#This Row],[Innovation Project Score]],InnovationProjectResults[Innovation Project Score],0)</f>
        <v/>
      </c>
    </row>
    <row r="144" ht="21" customHeight="1">
      <c r="A144" s="69" t="n"/>
      <c r="B144" s="69">
        <f>INDEX(OfficialTeamList[Pod Number],MATCH(InnovationProjectResults[[#This Row],[Team Number]], OfficialTeamList[Team '#],0))</f>
        <v/>
      </c>
      <c r="C144" s="106">
        <f>INDEX(OfficialTeamList[Team Name],MATCH(InnovationProjectResults[[#This Row],[Team Number]], OfficialTeamList[Team '#],0))</f>
        <v/>
      </c>
      <c r="D144" s="70" t="n"/>
      <c r="E144" s="70" t="n"/>
      <c r="F144" s="70" t="n"/>
      <c r="G144" s="70" t="n"/>
      <c r="H144" s="70" t="n"/>
      <c r="I144" s="70" t="n"/>
      <c r="J144" s="70" t="n"/>
      <c r="K144" s="70" t="n"/>
      <c r="L144" s="70" t="n"/>
      <c r="M144" s="70" t="n"/>
      <c r="N144" s="83">
        <f>SUM(InnovationProjectResults[[#This Row],[Identify - Define]:[Communicate - Fun (CV)]])</f>
        <v/>
      </c>
      <c r="O144" s="73">
        <f>_xlfn.RANK.EQ(InnovationProjectResults[[#This Row],[Innovation Project Score]],InnovationProjectResults[Innovation Project Score],0)</f>
        <v/>
      </c>
    </row>
    <row r="145" ht="21" customHeight="1">
      <c r="A145" s="69" t="n"/>
      <c r="B145" s="69">
        <f>INDEX(OfficialTeamList[Pod Number],MATCH(InnovationProjectResults[[#This Row],[Team Number]], OfficialTeamList[Team '#],0))</f>
        <v/>
      </c>
      <c r="C145" s="106">
        <f>INDEX(OfficialTeamList[Team Name],MATCH(InnovationProjectResults[[#This Row],[Team Number]], OfficialTeamList[Team '#],0))</f>
        <v/>
      </c>
      <c r="D145" s="70" t="n"/>
      <c r="E145" s="70" t="n"/>
      <c r="F145" s="70" t="n"/>
      <c r="G145" s="70" t="n"/>
      <c r="H145" s="70" t="n"/>
      <c r="I145" s="70" t="n"/>
      <c r="J145" s="70" t="n"/>
      <c r="K145" s="70" t="n"/>
      <c r="L145" s="70" t="n"/>
      <c r="M145" s="70" t="n"/>
      <c r="N145" s="83">
        <f>SUM(InnovationProjectResults[[#This Row],[Identify - Define]:[Communicate - Fun (CV)]])</f>
        <v/>
      </c>
      <c r="O145" s="73">
        <f>_xlfn.RANK.EQ(InnovationProjectResults[[#This Row],[Innovation Project Score]],InnovationProjectResults[Innovation Project Score],0)</f>
        <v/>
      </c>
    </row>
    <row r="146" ht="21" customHeight="1">
      <c r="A146" s="69" t="n"/>
      <c r="B146" s="69">
        <f>INDEX(OfficialTeamList[Pod Number],MATCH(InnovationProjectResults[[#This Row],[Team Number]], OfficialTeamList[Team '#],0))</f>
        <v/>
      </c>
      <c r="C146" s="106">
        <f>INDEX(OfficialTeamList[Team Name],MATCH(InnovationProjectResults[[#This Row],[Team Number]], OfficialTeamList[Team '#],0))</f>
        <v/>
      </c>
      <c r="D146" s="70" t="n"/>
      <c r="E146" s="70" t="n"/>
      <c r="F146" s="70" t="n"/>
      <c r="G146" s="70" t="n"/>
      <c r="H146" s="70" t="n"/>
      <c r="I146" s="70" t="n"/>
      <c r="J146" s="70" t="n"/>
      <c r="K146" s="70" t="n"/>
      <c r="L146" s="70" t="n"/>
      <c r="M146" s="70" t="n"/>
      <c r="N146" s="83">
        <f>SUM(InnovationProjectResults[[#This Row],[Identify - Define]:[Communicate - Fun (CV)]])</f>
        <v/>
      </c>
      <c r="O146" s="73">
        <f>_xlfn.RANK.EQ(InnovationProjectResults[[#This Row],[Innovation Project Score]],InnovationProjectResults[Innovation Project Score],0)</f>
        <v/>
      </c>
    </row>
    <row r="147" ht="21" customHeight="1">
      <c r="A147" s="69" t="n"/>
      <c r="B147" s="69">
        <f>INDEX(OfficialTeamList[Pod Number],MATCH(InnovationProjectResults[[#This Row],[Team Number]], OfficialTeamList[Team '#],0))</f>
        <v/>
      </c>
      <c r="C147" s="106">
        <f>INDEX(OfficialTeamList[Team Name],MATCH(InnovationProjectResults[[#This Row],[Team Number]], OfficialTeamList[Team '#],0))</f>
        <v/>
      </c>
      <c r="D147" s="70" t="n"/>
      <c r="E147" s="70" t="n"/>
      <c r="F147" s="70" t="n"/>
      <c r="G147" s="70" t="n"/>
      <c r="H147" s="70" t="n"/>
      <c r="I147" s="70" t="n"/>
      <c r="J147" s="70" t="n"/>
      <c r="K147" s="70" t="n"/>
      <c r="L147" s="70" t="n"/>
      <c r="M147" s="70" t="n"/>
      <c r="N147" s="83">
        <f>SUM(InnovationProjectResults[[#This Row],[Identify - Define]:[Communicate - Fun (CV)]])</f>
        <v/>
      </c>
      <c r="O147" s="73">
        <f>_xlfn.RANK.EQ(InnovationProjectResults[[#This Row],[Innovation Project Score]],InnovationProjectResults[Innovation Project Score],0)</f>
        <v/>
      </c>
    </row>
    <row r="148" ht="21" customHeight="1">
      <c r="A148" s="69" t="n"/>
      <c r="B148" s="69">
        <f>INDEX(OfficialTeamList[Pod Number],MATCH(InnovationProjectResults[[#This Row],[Team Number]], OfficialTeamList[Team '#],0))</f>
        <v/>
      </c>
      <c r="C148" s="106">
        <f>INDEX(OfficialTeamList[Team Name],MATCH(InnovationProjectResults[[#This Row],[Team Number]], OfficialTeamList[Team '#],0))</f>
        <v/>
      </c>
      <c r="D148" s="70" t="n"/>
      <c r="E148" s="70" t="n"/>
      <c r="F148" s="70" t="n"/>
      <c r="G148" s="70" t="n"/>
      <c r="H148" s="70" t="n"/>
      <c r="I148" s="70" t="n"/>
      <c r="J148" s="70" t="n"/>
      <c r="K148" s="70" t="n"/>
      <c r="L148" s="70" t="n"/>
      <c r="M148" s="70" t="n"/>
      <c r="N148" s="83">
        <f>SUM(InnovationProjectResults[[#This Row],[Identify - Define]:[Communicate - Fun (CV)]])</f>
        <v/>
      </c>
      <c r="O148" s="73">
        <f>_xlfn.RANK.EQ(InnovationProjectResults[[#This Row],[Innovation Project Score]],InnovationProjectResults[Innovation Project Score],0)</f>
        <v/>
      </c>
    </row>
    <row r="149" ht="21" customHeight="1">
      <c r="A149" s="69" t="n"/>
      <c r="B149" s="69">
        <f>INDEX(OfficialTeamList[Pod Number],MATCH(InnovationProjectResults[[#This Row],[Team Number]], OfficialTeamList[Team '#],0))</f>
        <v/>
      </c>
      <c r="C149" s="106">
        <f>INDEX(OfficialTeamList[Team Name],MATCH(InnovationProjectResults[[#This Row],[Team Number]], OfficialTeamList[Team '#],0))</f>
        <v/>
      </c>
      <c r="D149" s="70" t="n"/>
      <c r="E149" s="70" t="n"/>
      <c r="F149" s="70" t="n"/>
      <c r="G149" s="70" t="n"/>
      <c r="H149" s="70" t="n"/>
      <c r="I149" s="70" t="n"/>
      <c r="J149" s="70" t="n"/>
      <c r="K149" s="70" t="n"/>
      <c r="L149" s="70" t="n"/>
      <c r="M149" s="70" t="n"/>
      <c r="N149" s="83">
        <f>SUM(InnovationProjectResults[[#This Row],[Identify - Define]:[Communicate - Fun (CV)]])</f>
        <v/>
      </c>
      <c r="O149" s="73">
        <f>_xlfn.RANK.EQ(InnovationProjectResults[[#This Row],[Innovation Project Score]],InnovationProjectResults[Innovation Project Score],0)</f>
        <v/>
      </c>
    </row>
    <row r="150" ht="21" customHeight="1">
      <c r="A150" s="69" t="n"/>
      <c r="B150" s="69">
        <f>INDEX(OfficialTeamList[Pod Number],MATCH(InnovationProjectResults[[#This Row],[Team Number]], OfficialTeamList[Team '#],0))</f>
        <v/>
      </c>
      <c r="C150" s="106">
        <f>INDEX(OfficialTeamList[Team Name],MATCH(InnovationProjectResults[[#This Row],[Team Number]], OfficialTeamList[Team '#],0))</f>
        <v/>
      </c>
      <c r="D150" s="70" t="n"/>
      <c r="E150" s="70" t="n"/>
      <c r="F150" s="70" t="n"/>
      <c r="G150" s="70" t="n"/>
      <c r="H150" s="70" t="n"/>
      <c r="I150" s="70" t="n"/>
      <c r="J150" s="70" t="n"/>
      <c r="K150" s="70" t="n"/>
      <c r="L150" s="70" t="n"/>
      <c r="M150" s="70" t="n"/>
      <c r="N150" s="83">
        <f>SUM(InnovationProjectResults[[#This Row],[Identify - Define]:[Communicate - Fun (CV)]])</f>
        <v/>
      </c>
      <c r="O150" s="73">
        <f>_xlfn.RANK.EQ(InnovationProjectResults[[#This Row],[Innovation Project Score]],InnovationProjectResults[Innovation Project Score],0)</f>
        <v/>
      </c>
    </row>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sheetData>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50"/>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outlineLevelCol="0"/>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3" t="inlineStr">
        <is>
          <t>Identify - Strategy</t>
        </is>
      </c>
      <c r="E1" s="63" t="inlineStr">
        <is>
          <t>Identify - Research (CV)</t>
        </is>
      </c>
      <c r="F1" s="63" t="inlineStr">
        <is>
          <t>Design - Ideas (CV)</t>
        </is>
      </c>
      <c r="G1" s="63" t="inlineStr">
        <is>
          <t>Design - Building/Coding</t>
        </is>
      </c>
      <c r="H1" s="63" t="inlineStr">
        <is>
          <t>Create - Attachments</t>
        </is>
      </c>
      <c r="I1" s="63" t="inlineStr">
        <is>
          <t>Create - Code/ Sensors</t>
        </is>
      </c>
      <c r="J1" s="63" t="inlineStr">
        <is>
          <t>Iterate - Testing</t>
        </is>
      </c>
      <c r="K1" s="63" t="inlineStr">
        <is>
          <t>Iterate - Improvements (CV)</t>
        </is>
      </c>
      <c r="L1" s="63" t="inlineStr">
        <is>
          <t>Communicate - Impact (CV)</t>
        </is>
      </c>
      <c r="M1" s="63" t="inlineStr">
        <is>
          <t>Communicate - Fun (CV)</t>
        </is>
      </c>
      <c r="N1" s="61" t="inlineStr">
        <is>
          <t>Robot Design Score</t>
        </is>
      </c>
      <c r="O1" s="62" t="inlineStr">
        <is>
          <t>Robot Design Rank</t>
        </is>
      </c>
    </row>
    <row r="2" ht="21" customHeight="1">
      <c r="A2" s="69" t="n"/>
      <c r="B2" s="69">
        <f>INDEX(OfficialTeamList[Pod Number],MATCH(RobotDesignResults[[#This Row],[Team Number]], OfficialTeamList[Team '#],0))</f>
        <v/>
      </c>
      <c r="C2" s="106">
        <f>INDEX(OfficialTeamList[Team Name],MATCH(RobotDesignResults[[#This Row],[Team Number]], OfficialTeamList[Team '#],0))</f>
        <v/>
      </c>
      <c r="D2" s="70" t="n"/>
      <c r="E2" s="70" t="n"/>
      <c r="F2" s="70" t="n"/>
      <c r="G2" s="70" t="n"/>
      <c r="H2" s="70" t="n"/>
      <c r="I2" s="70" t="n"/>
      <c r="J2" s="70" t="n"/>
      <c r="K2" s="70" t="n"/>
      <c r="L2" s="70" t="n"/>
      <c r="M2" s="70" t="n"/>
      <c r="N2" s="83">
        <f>SUM(RobotDesignResults[[#This Row],[Identify - Strategy]:[Communicate - Fun (CV)]])</f>
        <v/>
      </c>
      <c r="O2" s="73">
        <f>_xlfn.RANK.EQ(RobotDesignResults[[#This Row],[Robot Design Score]],RobotDesignResults[Robot Design Score],0)</f>
        <v/>
      </c>
    </row>
    <row r="3" ht="21" customHeight="1">
      <c r="A3" s="69" t="n"/>
      <c r="B3" s="69">
        <f>INDEX(OfficialTeamList[Pod Number],MATCH(RobotDesignResults[[#This Row],[Team Number]], OfficialTeamList[Team '#],0))</f>
        <v/>
      </c>
      <c r="C3" s="106">
        <f>INDEX(OfficialTeamList[Team Name],MATCH(RobotDesignResults[[#This Row],[Team Number]], OfficialTeamList[Team '#],0))</f>
        <v/>
      </c>
      <c r="D3" s="70" t="n"/>
      <c r="E3" s="70" t="n"/>
      <c r="F3" s="70" t="n"/>
      <c r="G3" s="70" t="n"/>
      <c r="H3" s="70" t="n"/>
      <c r="I3" s="70" t="n"/>
      <c r="J3" s="70" t="n"/>
      <c r="K3" s="70" t="n"/>
      <c r="L3" s="70" t="n"/>
      <c r="M3" s="70" t="n"/>
      <c r="N3" s="83">
        <f>SUM(RobotDesignResults[[#This Row],[Identify - Strategy]:[Communicate - Fun (CV)]])</f>
        <v/>
      </c>
      <c r="O3" s="73">
        <f>_xlfn.RANK.EQ(RobotDesignResults[[#This Row],[Robot Design Score]],RobotDesignResults[Robot Design Score],0)</f>
        <v/>
      </c>
    </row>
    <row r="4" ht="21" customHeight="1">
      <c r="A4" s="69" t="n"/>
      <c r="B4" s="69">
        <f>INDEX(OfficialTeamList[Pod Number],MATCH(RobotDesignResults[[#This Row],[Team Number]], OfficialTeamList[Team '#],0))</f>
        <v/>
      </c>
      <c r="C4" s="106">
        <f>INDEX(OfficialTeamList[Team Name],MATCH(RobotDesignResults[[#This Row],[Team Number]], OfficialTeamList[Team '#],0))</f>
        <v/>
      </c>
      <c r="D4" s="70" t="n"/>
      <c r="E4" s="70" t="n"/>
      <c r="F4" s="70" t="n"/>
      <c r="G4" s="70" t="n"/>
      <c r="H4" s="70" t="n"/>
      <c r="I4" s="70" t="n"/>
      <c r="J4" s="70" t="n"/>
      <c r="K4" s="70" t="n"/>
      <c r="L4" s="70" t="n"/>
      <c r="M4" s="70" t="n"/>
      <c r="N4" s="83">
        <f>SUM(RobotDesignResults[[#This Row],[Identify - Strategy]:[Communicate - Fun (CV)]])</f>
        <v/>
      </c>
      <c r="O4" s="73">
        <f>_xlfn.RANK.EQ(RobotDesignResults[[#This Row],[Robot Design Score]],RobotDesignResults[Robot Design Score],0)</f>
        <v/>
      </c>
    </row>
    <row r="5" ht="21" customHeight="1">
      <c r="A5" s="69" t="n"/>
      <c r="B5" s="69">
        <f>INDEX(OfficialTeamList[Pod Number],MATCH(RobotDesignResults[[#This Row],[Team Number]], OfficialTeamList[Team '#],0))</f>
        <v/>
      </c>
      <c r="C5" s="106">
        <f>INDEX(OfficialTeamList[Team Name],MATCH(RobotDesignResults[[#This Row],[Team Number]], OfficialTeamList[Team '#],0))</f>
        <v/>
      </c>
      <c r="D5" s="70" t="n"/>
      <c r="E5" s="70" t="n"/>
      <c r="F5" s="70" t="n"/>
      <c r="G5" s="70" t="n"/>
      <c r="H5" s="70" t="n"/>
      <c r="I5" s="70" t="n"/>
      <c r="J5" s="70" t="n"/>
      <c r="K5" s="70" t="n"/>
      <c r="L5" s="70" t="n"/>
      <c r="M5" s="70" t="n"/>
      <c r="N5" s="83">
        <f>SUM(RobotDesignResults[[#This Row],[Identify - Strategy]:[Communicate - Fun (CV)]])</f>
        <v/>
      </c>
      <c r="O5" s="73">
        <f>_xlfn.RANK.EQ(RobotDesignResults[[#This Row],[Robot Design Score]],RobotDesignResults[Robot Design Score],0)</f>
        <v/>
      </c>
    </row>
    <row r="6" ht="21" customHeight="1">
      <c r="A6" s="69" t="n"/>
      <c r="B6" s="69">
        <f>INDEX(OfficialTeamList[Pod Number],MATCH(RobotDesignResults[[#This Row],[Team Number]], OfficialTeamList[Team '#],0))</f>
        <v/>
      </c>
      <c r="C6" s="106">
        <f>INDEX(OfficialTeamList[Team Name],MATCH(RobotDesignResults[[#This Row],[Team Number]], OfficialTeamList[Team '#],0))</f>
        <v/>
      </c>
      <c r="D6" s="70" t="n"/>
      <c r="E6" s="70" t="n"/>
      <c r="F6" s="70" t="n"/>
      <c r="G6" s="70" t="n"/>
      <c r="H6" s="70" t="n"/>
      <c r="I6" s="70" t="n"/>
      <c r="J6" s="70" t="n"/>
      <c r="K6" s="70" t="n"/>
      <c r="L6" s="70" t="n"/>
      <c r="M6" s="70" t="n"/>
      <c r="N6" s="83">
        <f>SUM(RobotDesignResults[[#This Row],[Identify - Strategy]:[Communicate - Fun (CV)]])</f>
        <v/>
      </c>
      <c r="O6" s="73">
        <f>_xlfn.RANK.EQ(RobotDesignResults[[#This Row],[Robot Design Score]],RobotDesignResults[Robot Design Score],0)</f>
        <v/>
      </c>
    </row>
    <row r="7" ht="21" customHeight="1">
      <c r="A7" s="69" t="n"/>
      <c r="B7" s="69">
        <f>INDEX(OfficialTeamList[Pod Number],MATCH(RobotDesignResults[[#This Row],[Team Number]], OfficialTeamList[Team '#],0))</f>
        <v/>
      </c>
      <c r="C7" s="106">
        <f>INDEX(OfficialTeamList[Team Name],MATCH(RobotDesignResults[[#This Row],[Team Number]], OfficialTeamList[Team '#],0))</f>
        <v/>
      </c>
      <c r="D7" s="70" t="n"/>
      <c r="E7" s="70" t="n"/>
      <c r="F7" s="70" t="n"/>
      <c r="G7" s="70" t="n"/>
      <c r="H7" s="70" t="n"/>
      <c r="I7" s="70" t="n"/>
      <c r="J7" s="70" t="n"/>
      <c r="K7" s="70" t="n"/>
      <c r="L7" s="70" t="n"/>
      <c r="M7" s="70" t="n"/>
      <c r="N7" s="83">
        <f>SUM(RobotDesignResults[[#This Row],[Identify - Strategy]:[Communicate - Fun (CV)]])</f>
        <v/>
      </c>
      <c r="O7" s="73">
        <f>_xlfn.RANK.EQ(RobotDesignResults[[#This Row],[Robot Design Score]],RobotDesignResults[Robot Design Score],0)</f>
        <v/>
      </c>
    </row>
    <row r="8" ht="21" customHeight="1">
      <c r="A8" s="69" t="n"/>
      <c r="B8" s="69">
        <f>INDEX(OfficialTeamList[Pod Number],MATCH(RobotDesignResults[[#This Row],[Team Number]], OfficialTeamList[Team '#],0))</f>
        <v/>
      </c>
      <c r="C8" s="106">
        <f>INDEX(OfficialTeamList[Team Name],MATCH(RobotDesignResults[[#This Row],[Team Number]], OfficialTeamList[Team '#],0))</f>
        <v/>
      </c>
      <c r="D8" s="70" t="n"/>
      <c r="E8" s="70" t="n"/>
      <c r="F8" s="70" t="n"/>
      <c r="G8" s="70" t="n"/>
      <c r="H8" s="70" t="n"/>
      <c r="I8" s="70" t="n"/>
      <c r="J8" s="70" t="n"/>
      <c r="K8" s="70" t="n"/>
      <c r="L8" s="70" t="n"/>
      <c r="M8" s="70" t="n"/>
      <c r="N8" s="83">
        <f>SUM(RobotDesignResults[[#This Row],[Identify - Strategy]:[Communicate - Fun (CV)]])</f>
        <v/>
      </c>
      <c r="O8" s="73">
        <f>_xlfn.RANK.EQ(RobotDesignResults[[#This Row],[Robot Design Score]],RobotDesignResults[Robot Design Score],0)</f>
        <v/>
      </c>
    </row>
    <row r="9" ht="21" customHeight="1">
      <c r="A9" s="69" t="n"/>
      <c r="B9" s="69">
        <f>INDEX(OfficialTeamList[Pod Number],MATCH(RobotDesignResults[[#This Row],[Team Number]], OfficialTeamList[Team '#],0))</f>
        <v/>
      </c>
      <c r="C9" s="106">
        <f>INDEX(OfficialTeamList[Team Name],MATCH(RobotDesignResults[[#This Row],[Team Number]], OfficialTeamList[Team '#],0))</f>
        <v/>
      </c>
      <c r="D9" s="70" t="n"/>
      <c r="E9" s="70" t="n"/>
      <c r="F9" s="70" t="n"/>
      <c r="G9" s="70" t="n"/>
      <c r="H9" s="70" t="n"/>
      <c r="I9" s="70" t="n"/>
      <c r="J9" s="70" t="n"/>
      <c r="K9" s="70" t="n"/>
      <c r="L9" s="70" t="n"/>
      <c r="M9" s="70" t="n"/>
      <c r="N9" s="83">
        <f>SUM(RobotDesignResults[[#This Row],[Identify - Strategy]:[Communicate - Fun (CV)]])</f>
        <v/>
      </c>
      <c r="O9" s="73">
        <f>_xlfn.RANK.EQ(RobotDesignResults[[#This Row],[Robot Design Score]],RobotDesignResults[Robot Design Score],0)</f>
        <v/>
      </c>
    </row>
    <row r="10" ht="21" customHeight="1">
      <c r="A10" s="69" t="n"/>
      <c r="B10" s="69">
        <f>INDEX(OfficialTeamList[Pod Number],MATCH(RobotDesignResults[[#This Row],[Team Number]], OfficialTeamList[Team '#],0))</f>
        <v/>
      </c>
      <c r="C10" s="106">
        <f>INDEX(OfficialTeamList[Team Name],MATCH(RobotDesignResults[[#This Row],[Team Number]], OfficialTeamList[Team '#],0))</f>
        <v/>
      </c>
      <c r="D10" s="70" t="n"/>
      <c r="E10" s="70" t="n"/>
      <c r="F10" s="70" t="n"/>
      <c r="G10" s="70" t="n"/>
      <c r="H10" s="70" t="n"/>
      <c r="I10" s="70" t="n"/>
      <c r="J10" s="70" t="n"/>
      <c r="K10" s="70" t="n"/>
      <c r="L10" s="70" t="n"/>
      <c r="M10" s="70" t="n"/>
      <c r="N10" s="83">
        <f>SUM(RobotDesignResults[[#This Row],[Identify - Strategy]:[Communicate - Fun (CV)]])</f>
        <v/>
      </c>
      <c r="O10" s="73">
        <f>_xlfn.RANK.EQ(RobotDesignResults[[#This Row],[Robot Design Score]],RobotDesignResults[Robot Design Score],0)</f>
        <v/>
      </c>
    </row>
    <row r="11" ht="21" customHeight="1">
      <c r="A11" s="69" t="n"/>
      <c r="B11" s="69">
        <f>INDEX(OfficialTeamList[Pod Number],MATCH(RobotDesignResults[[#This Row],[Team Number]], OfficialTeamList[Team '#],0))</f>
        <v/>
      </c>
      <c r="C11" s="106">
        <f>INDEX(OfficialTeamList[Team Name],MATCH(RobotDesignResults[[#This Row],[Team Number]], OfficialTeamList[Team '#],0))</f>
        <v/>
      </c>
      <c r="D11" s="70" t="n"/>
      <c r="E11" s="70" t="n"/>
      <c r="F11" s="70" t="n"/>
      <c r="G11" s="70" t="n"/>
      <c r="H11" s="70" t="n"/>
      <c r="I11" s="70" t="n"/>
      <c r="J11" s="70" t="n"/>
      <c r="K11" s="70" t="n"/>
      <c r="L11" s="70" t="n"/>
      <c r="M11" s="70" t="n"/>
      <c r="N11" s="83">
        <f>SUM(RobotDesignResults[[#This Row],[Identify - Strategy]:[Communicate - Fun (CV)]])</f>
        <v/>
      </c>
      <c r="O11" s="73">
        <f>_xlfn.RANK.EQ(RobotDesignResults[[#This Row],[Robot Design Score]],RobotDesignResults[Robot Design Score],0)</f>
        <v/>
      </c>
    </row>
    <row r="12" ht="21" customHeight="1">
      <c r="A12" s="69" t="n"/>
      <c r="B12" s="69">
        <f>INDEX(OfficialTeamList[Pod Number],MATCH(RobotDesignResults[[#This Row],[Team Number]], OfficialTeamList[Team '#],0))</f>
        <v/>
      </c>
      <c r="C12" s="106">
        <f>INDEX(OfficialTeamList[Team Name],MATCH(RobotDesignResults[[#This Row],[Team Number]], OfficialTeamList[Team '#],0))</f>
        <v/>
      </c>
      <c r="D12" s="70" t="n"/>
      <c r="E12" s="70" t="n"/>
      <c r="F12" s="70" t="n"/>
      <c r="G12" s="70" t="n"/>
      <c r="H12" s="70" t="n"/>
      <c r="I12" s="70" t="n"/>
      <c r="J12" s="70" t="n"/>
      <c r="K12" s="70" t="n"/>
      <c r="L12" s="70" t="n"/>
      <c r="M12" s="70" t="n"/>
      <c r="N12" s="83">
        <f>SUM(RobotDesignResults[[#This Row],[Identify - Strategy]:[Communicate - Fun (CV)]])</f>
        <v/>
      </c>
      <c r="O12" s="73">
        <f>_xlfn.RANK.EQ(RobotDesignResults[[#This Row],[Robot Design Score]],RobotDesignResults[Robot Design Score],0)</f>
        <v/>
      </c>
    </row>
    <row r="13" ht="21" customHeight="1">
      <c r="A13" s="69" t="n"/>
      <c r="B13" s="69">
        <f>INDEX(OfficialTeamList[Pod Number],MATCH(RobotDesignResults[[#This Row],[Team Number]], OfficialTeamList[Team '#],0))</f>
        <v/>
      </c>
      <c r="C13" s="106">
        <f>INDEX(OfficialTeamList[Team Name],MATCH(RobotDesignResults[[#This Row],[Team Number]], OfficialTeamList[Team '#],0))</f>
        <v/>
      </c>
      <c r="D13" s="70" t="n"/>
      <c r="E13" s="70" t="n"/>
      <c r="F13" s="70" t="n"/>
      <c r="G13" s="70" t="n"/>
      <c r="H13" s="70" t="n"/>
      <c r="I13" s="70" t="n"/>
      <c r="J13" s="70" t="n"/>
      <c r="K13" s="70" t="n"/>
      <c r="L13" s="70" t="n"/>
      <c r="M13" s="70" t="n"/>
      <c r="N13" s="83">
        <f>SUM(RobotDesignResults[[#This Row],[Identify - Strategy]:[Communicate - Fun (CV)]])</f>
        <v/>
      </c>
      <c r="O13" s="73">
        <f>_xlfn.RANK.EQ(RobotDesignResults[[#This Row],[Robot Design Score]],RobotDesignResults[Robot Design Score],0)</f>
        <v/>
      </c>
    </row>
    <row r="14" ht="21" customHeight="1">
      <c r="A14" s="69" t="n"/>
      <c r="B14" s="69">
        <f>INDEX(OfficialTeamList[Pod Number],MATCH(RobotDesignResults[[#This Row],[Team Number]], OfficialTeamList[Team '#],0))</f>
        <v/>
      </c>
      <c r="C14" s="106">
        <f>INDEX(OfficialTeamList[Team Name],MATCH(RobotDesignResults[[#This Row],[Team Number]], OfficialTeamList[Team '#],0))</f>
        <v/>
      </c>
      <c r="D14" s="70" t="n"/>
      <c r="E14" s="70" t="n"/>
      <c r="F14" s="70" t="n"/>
      <c r="G14" s="70" t="n"/>
      <c r="H14" s="70" t="n"/>
      <c r="I14" s="70" t="n"/>
      <c r="J14" s="70" t="n"/>
      <c r="K14" s="70" t="n"/>
      <c r="L14" s="70" t="n"/>
      <c r="M14" s="70" t="n"/>
      <c r="N14" s="83">
        <f>SUM(RobotDesignResults[[#This Row],[Identify - Strategy]:[Communicate - Fun (CV)]])</f>
        <v/>
      </c>
      <c r="O14" s="73">
        <f>_xlfn.RANK.EQ(RobotDesignResults[[#This Row],[Robot Design Score]],RobotDesignResults[Robot Design Score],0)</f>
        <v/>
      </c>
    </row>
    <row r="15" ht="21" customHeight="1">
      <c r="A15" s="69" t="n"/>
      <c r="B15" s="69">
        <f>INDEX(OfficialTeamList[Pod Number],MATCH(RobotDesignResults[[#This Row],[Team Number]], OfficialTeamList[Team '#],0))</f>
        <v/>
      </c>
      <c r="C15" s="106">
        <f>INDEX(OfficialTeamList[Team Name],MATCH(RobotDesignResults[[#This Row],[Team Number]], OfficialTeamList[Team '#],0))</f>
        <v/>
      </c>
      <c r="D15" s="70" t="n"/>
      <c r="E15" s="70" t="n"/>
      <c r="F15" s="70" t="n"/>
      <c r="G15" s="70" t="n"/>
      <c r="H15" s="70" t="n"/>
      <c r="I15" s="70" t="n"/>
      <c r="J15" s="70" t="n"/>
      <c r="K15" s="70" t="n"/>
      <c r="L15" s="70" t="n"/>
      <c r="M15" s="70" t="n"/>
      <c r="N15" s="83">
        <f>SUM(RobotDesignResults[[#This Row],[Identify - Strategy]:[Communicate - Fun (CV)]])</f>
        <v/>
      </c>
      <c r="O15" s="73">
        <f>_xlfn.RANK.EQ(RobotDesignResults[[#This Row],[Robot Design Score]],RobotDesignResults[Robot Design Score],0)</f>
        <v/>
      </c>
    </row>
    <row r="16" ht="21" customHeight="1">
      <c r="A16" s="69" t="n"/>
      <c r="B16" s="69">
        <f>INDEX(OfficialTeamList[Pod Number],MATCH(RobotDesignResults[[#This Row],[Team Number]], OfficialTeamList[Team '#],0))</f>
        <v/>
      </c>
      <c r="C16" s="106">
        <f>INDEX(OfficialTeamList[Team Name],MATCH(RobotDesignResults[[#This Row],[Team Number]], OfficialTeamList[Team '#],0))</f>
        <v/>
      </c>
      <c r="D16" s="70" t="n"/>
      <c r="E16" s="70" t="n"/>
      <c r="F16" s="70" t="n"/>
      <c r="G16" s="70" t="n"/>
      <c r="H16" s="70" t="n"/>
      <c r="I16" s="70" t="n"/>
      <c r="J16" s="70" t="n"/>
      <c r="K16" s="70" t="n"/>
      <c r="L16" s="70" t="n"/>
      <c r="M16" s="70" t="n"/>
      <c r="N16" s="83">
        <f>SUM(RobotDesignResults[[#This Row],[Identify - Strategy]:[Communicate - Fun (CV)]])</f>
        <v/>
      </c>
      <c r="O16" s="73">
        <f>_xlfn.RANK.EQ(RobotDesignResults[[#This Row],[Robot Design Score]],RobotDesignResults[Robot Design Score],0)</f>
        <v/>
      </c>
    </row>
    <row r="17" ht="21" customHeight="1">
      <c r="A17" s="69" t="n"/>
      <c r="B17" s="69">
        <f>INDEX(OfficialTeamList[Pod Number],MATCH(RobotDesignResults[[#This Row],[Team Number]], OfficialTeamList[Team '#],0))</f>
        <v/>
      </c>
      <c r="C17" s="106">
        <f>INDEX(OfficialTeamList[Team Name],MATCH(RobotDesignResults[[#This Row],[Team Number]], OfficialTeamList[Team '#],0))</f>
        <v/>
      </c>
      <c r="D17" s="70" t="n"/>
      <c r="E17" s="70" t="n"/>
      <c r="F17" s="70" t="n"/>
      <c r="G17" s="70" t="n"/>
      <c r="H17" s="70" t="n"/>
      <c r="I17" s="70" t="n"/>
      <c r="J17" s="70" t="n"/>
      <c r="K17" s="70" t="n"/>
      <c r="L17" s="70" t="n"/>
      <c r="M17" s="70" t="n"/>
      <c r="N17" s="83">
        <f>SUM(RobotDesignResults[[#This Row],[Identify - Strategy]:[Communicate - Fun (CV)]])</f>
        <v/>
      </c>
      <c r="O17" s="73">
        <f>_xlfn.RANK.EQ(RobotDesignResults[[#This Row],[Robot Design Score]],RobotDesignResults[Robot Design Score],0)</f>
        <v/>
      </c>
    </row>
    <row r="18" ht="21" customHeight="1">
      <c r="A18" s="69" t="n"/>
      <c r="B18" s="69">
        <f>INDEX(OfficialTeamList[Pod Number],MATCH(RobotDesignResults[[#This Row],[Team Number]], OfficialTeamList[Team '#],0))</f>
        <v/>
      </c>
      <c r="C18" s="106">
        <f>INDEX(OfficialTeamList[Team Name],MATCH(RobotDesignResults[[#This Row],[Team Number]], OfficialTeamList[Team '#],0))</f>
        <v/>
      </c>
      <c r="D18" s="70" t="n"/>
      <c r="E18" s="70" t="n"/>
      <c r="F18" s="70" t="n"/>
      <c r="G18" s="70" t="n"/>
      <c r="H18" s="70" t="n"/>
      <c r="I18" s="70" t="n"/>
      <c r="J18" s="70" t="n"/>
      <c r="K18" s="70" t="n"/>
      <c r="L18" s="70" t="n"/>
      <c r="M18" s="70" t="n"/>
      <c r="N18" s="83">
        <f>SUM(RobotDesignResults[[#This Row],[Identify - Strategy]:[Communicate - Fun (CV)]])</f>
        <v/>
      </c>
      <c r="O18" s="73">
        <f>_xlfn.RANK.EQ(RobotDesignResults[[#This Row],[Robot Design Score]],RobotDesignResults[Robot Design Score],0)</f>
        <v/>
      </c>
    </row>
    <row r="19" ht="21" customHeight="1">
      <c r="A19" s="69" t="n"/>
      <c r="B19" s="69">
        <f>INDEX(OfficialTeamList[Pod Number],MATCH(RobotDesignResults[[#This Row],[Team Number]], OfficialTeamList[Team '#],0))</f>
        <v/>
      </c>
      <c r="C19" s="106">
        <f>INDEX(OfficialTeamList[Team Name],MATCH(RobotDesignResults[[#This Row],[Team Number]], OfficialTeamList[Team '#],0))</f>
        <v/>
      </c>
      <c r="D19" s="70" t="n"/>
      <c r="E19" s="70" t="n"/>
      <c r="F19" s="70" t="n"/>
      <c r="G19" s="70" t="n"/>
      <c r="H19" s="70" t="n"/>
      <c r="I19" s="70" t="n"/>
      <c r="J19" s="70" t="n"/>
      <c r="K19" s="70" t="n"/>
      <c r="L19" s="70" t="n"/>
      <c r="M19" s="70" t="n"/>
      <c r="N19" s="83">
        <f>SUM(RobotDesignResults[[#This Row],[Identify - Strategy]:[Communicate - Fun (CV)]])</f>
        <v/>
      </c>
      <c r="O19" s="73">
        <f>_xlfn.RANK.EQ(RobotDesignResults[[#This Row],[Robot Design Score]],RobotDesignResults[Robot Design Score],0)</f>
        <v/>
      </c>
    </row>
    <row r="20" ht="21" customHeight="1">
      <c r="A20" s="69" t="n"/>
      <c r="B20" s="69">
        <f>INDEX(OfficialTeamList[Pod Number],MATCH(RobotDesignResults[[#This Row],[Team Number]], OfficialTeamList[Team '#],0))</f>
        <v/>
      </c>
      <c r="C20" s="106">
        <f>INDEX(OfficialTeamList[Team Name],MATCH(RobotDesignResults[[#This Row],[Team Number]], OfficialTeamList[Team '#],0))</f>
        <v/>
      </c>
      <c r="D20" s="70" t="n"/>
      <c r="E20" s="70" t="n"/>
      <c r="F20" s="70" t="n"/>
      <c r="G20" s="70" t="n"/>
      <c r="H20" s="70" t="n"/>
      <c r="I20" s="70" t="n"/>
      <c r="J20" s="70" t="n"/>
      <c r="K20" s="70" t="n"/>
      <c r="L20" s="70" t="n"/>
      <c r="M20" s="70" t="n"/>
      <c r="N20" s="83">
        <f>SUM(RobotDesignResults[[#This Row],[Identify - Strategy]:[Communicate - Fun (CV)]])</f>
        <v/>
      </c>
      <c r="O20" s="73">
        <f>_xlfn.RANK.EQ(RobotDesignResults[[#This Row],[Robot Design Score]],RobotDesignResults[Robot Design Score],0)</f>
        <v/>
      </c>
    </row>
    <row r="21" ht="21" customHeight="1">
      <c r="A21" s="69" t="n"/>
      <c r="B21" s="69">
        <f>INDEX(OfficialTeamList[Pod Number],MATCH(RobotDesignResults[[#This Row],[Team Number]], OfficialTeamList[Team '#],0))</f>
        <v/>
      </c>
      <c r="C21" s="106">
        <f>INDEX(OfficialTeamList[Team Name],MATCH(RobotDesignResults[[#This Row],[Team Number]], OfficialTeamList[Team '#],0))</f>
        <v/>
      </c>
      <c r="D21" s="70" t="n"/>
      <c r="E21" s="70" t="n"/>
      <c r="F21" s="70" t="n"/>
      <c r="G21" s="70" t="n"/>
      <c r="H21" s="70" t="n"/>
      <c r="I21" s="70" t="n"/>
      <c r="J21" s="70" t="n"/>
      <c r="K21" s="70" t="n"/>
      <c r="L21" s="70" t="n"/>
      <c r="M21" s="70" t="n"/>
      <c r="N21" s="83">
        <f>SUM(RobotDesignResults[[#This Row],[Identify - Strategy]:[Communicate - Fun (CV)]])</f>
        <v/>
      </c>
      <c r="O21" s="73">
        <f>_xlfn.RANK.EQ(RobotDesignResults[[#This Row],[Robot Design Score]],RobotDesignResults[Robot Design Score],0)</f>
        <v/>
      </c>
    </row>
    <row r="22" ht="21" customHeight="1">
      <c r="A22" s="69" t="n"/>
      <c r="B22" s="69">
        <f>INDEX(OfficialTeamList[Pod Number],MATCH(RobotDesignResults[[#This Row],[Team Number]], OfficialTeamList[Team '#],0))</f>
        <v/>
      </c>
      <c r="C22" s="106">
        <f>INDEX(OfficialTeamList[Team Name],MATCH(RobotDesignResults[[#This Row],[Team Number]], OfficialTeamList[Team '#],0))</f>
        <v/>
      </c>
      <c r="D22" s="70" t="n"/>
      <c r="E22" s="70" t="n"/>
      <c r="F22" s="70" t="n"/>
      <c r="G22" s="70" t="n"/>
      <c r="H22" s="70" t="n"/>
      <c r="I22" s="70" t="n"/>
      <c r="J22" s="70" t="n"/>
      <c r="K22" s="70" t="n"/>
      <c r="L22" s="70" t="n"/>
      <c r="M22" s="70" t="n"/>
      <c r="N22" s="83">
        <f>SUM(RobotDesignResults[[#This Row],[Identify - Strategy]:[Communicate - Fun (CV)]])</f>
        <v/>
      </c>
      <c r="O22" s="73">
        <f>_xlfn.RANK.EQ(RobotDesignResults[[#This Row],[Robot Design Score]],RobotDesignResults[Robot Design Score],0)</f>
        <v/>
      </c>
    </row>
    <row r="23" ht="21" customHeight="1">
      <c r="A23" s="69" t="n"/>
      <c r="B23" s="69">
        <f>INDEX(OfficialTeamList[Pod Number],MATCH(RobotDesignResults[[#This Row],[Team Number]], OfficialTeamList[Team '#],0))</f>
        <v/>
      </c>
      <c r="C23" s="106">
        <f>INDEX(OfficialTeamList[Team Name],MATCH(RobotDesignResults[[#This Row],[Team Number]], OfficialTeamList[Team '#],0))</f>
        <v/>
      </c>
      <c r="D23" s="70" t="n"/>
      <c r="E23" s="70" t="n"/>
      <c r="F23" s="70" t="n"/>
      <c r="G23" s="70" t="n"/>
      <c r="H23" s="70" t="n"/>
      <c r="I23" s="70" t="n"/>
      <c r="J23" s="70" t="n"/>
      <c r="K23" s="70" t="n"/>
      <c r="L23" s="70" t="n"/>
      <c r="M23" s="70" t="n"/>
      <c r="N23" s="83">
        <f>SUM(RobotDesignResults[[#This Row],[Identify - Strategy]:[Communicate - Fun (CV)]])</f>
        <v/>
      </c>
      <c r="O23" s="73">
        <f>_xlfn.RANK.EQ(RobotDesignResults[[#This Row],[Robot Design Score]],RobotDesignResults[Robot Design Score],0)</f>
        <v/>
      </c>
    </row>
    <row r="24" ht="21" customHeight="1">
      <c r="A24" s="69" t="n"/>
      <c r="B24" s="69">
        <f>INDEX(OfficialTeamList[Pod Number],MATCH(RobotDesignResults[[#This Row],[Team Number]], OfficialTeamList[Team '#],0))</f>
        <v/>
      </c>
      <c r="C24" s="106">
        <f>INDEX(OfficialTeamList[Team Name],MATCH(RobotDesignResults[[#This Row],[Team Number]], OfficialTeamList[Team '#],0))</f>
        <v/>
      </c>
      <c r="D24" s="70" t="n"/>
      <c r="E24" s="70" t="n"/>
      <c r="F24" s="70" t="n"/>
      <c r="G24" s="70" t="n"/>
      <c r="H24" s="70" t="n"/>
      <c r="I24" s="70" t="n"/>
      <c r="J24" s="70" t="n"/>
      <c r="K24" s="70" t="n"/>
      <c r="L24" s="70" t="n"/>
      <c r="M24" s="70" t="n"/>
      <c r="N24" s="83">
        <f>SUM(RobotDesignResults[[#This Row],[Identify - Strategy]:[Communicate - Fun (CV)]])</f>
        <v/>
      </c>
      <c r="O24" s="73">
        <f>_xlfn.RANK.EQ(RobotDesignResults[[#This Row],[Robot Design Score]],RobotDesignResults[Robot Design Score],0)</f>
        <v/>
      </c>
    </row>
    <row r="25" ht="21" customHeight="1">
      <c r="A25" s="69" t="n"/>
      <c r="B25" s="69">
        <f>INDEX(OfficialTeamList[Pod Number],MATCH(RobotDesignResults[[#This Row],[Team Number]], OfficialTeamList[Team '#],0))</f>
        <v/>
      </c>
      <c r="C25" s="106">
        <f>INDEX(OfficialTeamList[Team Name],MATCH(RobotDesignResults[[#This Row],[Team Number]], OfficialTeamList[Team '#],0))</f>
        <v/>
      </c>
      <c r="D25" s="70" t="n"/>
      <c r="E25" s="70" t="n"/>
      <c r="F25" s="70" t="n"/>
      <c r="G25" s="70" t="n"/>
      <c r="H25" s="70" t="n"/>
      <c r="I25" s="70" t="n"/>
      <c r="J25" s="70" t="n"/>
      <c r="K25" s="70" t="n"/>
      <c r="L25" s="70" t="n"/>
      <c r="M25" s="70" t="n"/>
      <c r="N25" s="83">
        <f>SUM(RobotDesignResults[[#This Row],[Identify - Strategy]:[Communicate - Fun (CV)]])</f>
        <v/>
      </c>
      <c r="O25" s="73">
        <f>_xlfn.RANK.EQ(RobotDesignResults[[#This Row],[Robot Design Score]],RobotDesignResults[Robot Design Score],0)</f>
        <v/>
      </c>
    </row>
    <row r="26" ht="21" customHeight="1">
      <c r="A26" s="69" t="n"/>
      <c r="B26" s="69">
        <f>INDEX(OfficialTeamList[Pod Number],MATCH(RobotDesignResults[[#This Row],[Team Number]], OfficialTeamList[Team '#],0))</f>
        <v/>
      </c>
      <c r="C26" s="106">
        <f>INDEX(OfficialTeamList[Team Name],MATCH(RobotDesignResults[[#This Row],[Team Number]], OfficialTeamList[Team '#],0))</f>
        <v/>
      </c>
      <c r="D26" s="70" t="n"/>
      <c r="E26" s="70" t="n"/>
      <c r="F26" s="70" t="n"/>
      <c r="G26" s="70" t="n"/>
      <c r="H26" s="70" t="n"/>
      <c r="I26" s="70" t="n"/>
      <c r="J26" s="70" t="n"/>
      <c r="K26" s="70" t="n"/>
      <c r="L26" s="70" t="n"/>
      <c r="M26" s="70" t="n"/>
      <c r="N26" s="83">
        <f>SUM(RobotDesignResults[[#This Row],[Identify - Strategy]:[Communicate - Fun (CV)]])</f>
        <v/>
      </c>
      <c r="O26" s="73">
        <f>_xlfn.RANK.EQ(RobotDesignResults[[#This Row],[Robot Design Score]],RobotDesignResults[Robot Design Score],0)</f>
        <v/>
      </c>
    </row>
    <row r="27" ht="21" customHeight="1">
      <c r="A27" s="69" t="n"/>
      <c r="B27" s="69">
        <f>INDEX(OfficialTeamList[Pod Number],MATCH(RobotDesignResults[[#This Row],[Team Number]], OfficialTeamList[Team '#],0))</f>
        <v/>
      </c>
      <c r="C27" s="106">
        <f>INDEX(OfficialTeamList[Team Name],MATCH(RobotDesignResults[[#This Row],[Team Number]], OfficialTeamList[Team '#],0))</f>
        <v/>
      </c>
      <c r="D27" s="70" t="n"/>
      <c r="E27" s="70" t="n"/>
      <c r="F27" s="70" t="n"/>
      <c r="G27" s="70" t="n"/>
      <c r="H27" s="70" t="n"/>
      <c r="I27" s="70" t="n"/>
      <c r="J27" s="70" t="n"/>
      <c r="K27" s="70" t="n"/>
      <c r="L27" s="70" t="n"/>
      <c r="M27" s="70" t="n"/>
      <c r="N27" s="83">
        <f>SUM(RobotDesignResults[[#This Row],[Identify - Strategy]:[Communicate - Fun (CV)]])</f>
        <v/>
      </c>
      <c r="O27" s="73">
        <f>_xlfn.RANK.EQ(RobotDesignResults[[#This Row],[Robot Design Score]],RobotDesignResults[Robot Design Score],0)</f>
        <v/>
      </c>
    </row>
    <row r="28" ht="21" customHeight="1">
      <c r="A28" s="69" t="n"/>
      <c r="B28" s="69">
        <f>INDEX(OfficialTeamList[Pod Number],MATCH(RobotDesignResults[[#This Row],[Team Number]], OfficialTeamList[Team '#],0))</f>
        <v/>
      </c>
      <c r="C28" s="106">
        <f>INDEX(OfficialTeamList[Team Name],MATCH(RobotDesignResults[[#This Row],[Team Number]], OfficialTeamList[Team '#],0))</f>
        <v/>
      </c>
      <c r="D28" s="70" t="n"/>
      <c r="E28" s="70" t="n"/>
      <c r="F28" s="70" t="n"/>
      <c r="G28" s="70" t="n"/>
      <c r="H28" s="70" t="n"/>
      <c r="I28" s="70" t="n"/>
      <c r="J28" s="70" t="n"/>
      <c r="K28" s="70" t="n"/>
      <c r="L28" s="70" t="n"/>
      <c r="M28" s="70" t="n"/>
      <c r="N28" s="83">
        <f>SUM(RobotDesignResults[[#This Row],[Identify - Strategy]:[Communicate - Fun (CV)]])</f>
        <v/>
      </c>
      <c r="O28" s="73">
        <f>_xlfn.RANK.EQ(RobotDesignResults[[#This Row],[Robot Design Score]],RobotDesignResults[Robot Design Score],0)</f>
        <v/>
      </c>
    </row>
    <row r="29" ht="21" customHeight="1">
      <c r="A29" s="69" t="n"/>
      <c r="B29" s="69">
        <f>INDEX(OfficialTeamList[Pod Number],MATCH(RobotDesignResults[[#This Row],[Team Number]], OfficialTeamList[Team '#],0))</f>
        <v/>
      </c>
      <c r="C29" s="106">
        <f>INDEX(OfficialTeamList[Team Name],MATCH(RobotDesignResults[[#This Row],[Team Number]], OfficialTeamList[Team '#],0))</f>
        <v/>
      </c>
      <c r="D29" s="70" t="n"/>
      <c r="E29" s="70" t="n"/>
      <c r="F29" s="70" t="n"/>
      <c r="G29" s="70" t="n"/>
      <c r="H29" s="70" t="n"/>
      <c r="I29" s="70" t="n"/>
      <c r="J29" s="70" t="n"/>
      <c r="K29" s="70" t="n"/>
      <c r="L29" s="70" t="n"/>
      <c r="M29" s="70" t="n"/>
      <c r="N29" s="83">
        <f>SUM(RobotDesignResults[[#This Row],[Identify - Strategy]:[Communicate - Fun (CV)]])</f>
        <v/>
      </c>
      <c r="O29" s="73">
        <f>_xlfn.RANK.EQ(RobotDesignResults[[#This Row],[Robot Design Score]],RobotDesignResults[Robot Design Score],0)</f>
        <v/>
      </c>
    </row>
    <row r="30" ht="21" customHeight="1">
      <c r="A30" s="69" t="n"/>
      <c r="B30" s="69">
        <f>INDEX(OfficialTeamList[Pod Number],MATCH(RobotDesignResults[[#This Row],[Team Number]], OfficialTeamList[Team '#],0))</f>
        <v/>
      </c>
      <c r="C30" s="106">
        <f>INDEX(OfficialTeamList[Team Name],MATCH(RobotDesignResults[[#This Row],[Team Number]], OfficialTeamList[Team '#],0))</f>
        <v/>
      </c>
      <c r="D30" s="70" t="n"/>
      <c r="E30" s="70" t="n"/>
      <c r="F30" s="70" t="n"/>
      <c r="G30" s="70" t="n"/>
      <c r="H30" s="70" t="n"/>
      <c r="I30" s="70" t="n"/>
      <c r="J30" s="70" t="n"/>
      <c r="K30" s="70" t="n"/>
      <c r="L30" s="70" t="n"/>
      <c r="M30" s="70" t="n"/>
      <c r="N30" s="83">
        <f>SUM(RobotDesignResults[[#This Row],[Identify - Strategy]:[Communicate - Fun (CV)]])</f>
        <v/>
      </c>
      <c r="O30" s="73">
        <f>_xlfn.RANK.EQ(RobotDesignResults[[#This Row],[Robot Design Score]],RobotDesignResults[Robot Design Score],0)</f>
        <v/>
      </c>
    </row>
    <row r="31" ht="21" customHeight="1">
      <c r="A31" s="69" t="n"/>
      <c r="B31" s="69">
        <f>INDEX(OfficialTeamList[Pod Number],MATCH(RobotDesignResults[[#This Row],[Team Number]], OfficialTeamList[Team '#],0))</f>
        <v/>
      </c>
      <c r="C31" s="106">
        <f>INDEX(OfficialTeamList[Team Name],MATCH(RobotDesignResults[[#This Row],[Team Number]], OfficialTeamList[Team '#],0))</f>
        <v/>
      </c>
      <c r="D31" s="70" t="n"/>
      <c r="E31" s="70" t="n"/>
      <c r="F31" s="70" t="n"/>
      <c r="G31" s="70" t="n"/>
      <c r="H31" s="70" t="n"/>
      <c r="I31" s="70" t="n"/>
      <c r="J31" s="70" t="n"/>
      <c r="K31" s="70" t="n"/>
      <c r="L31" s="70" t="n"/>
      <c r="M31" s="70" t="n"/>
      <c r="N31" s="83">
        <f>SUM(RobotDesignResults[[#This Row],[Identify - Strategy]:[Communicate - Fun (CV)]])</f>
        <v/>
      </c>
      <c r="O31" s="73">
        <f>_xlfn.RANK.EQ(RobotDesignResults[[#This Row],[Robot Design Score]],RobotDesignResults[Robot Design Score],0)</f>
        <v/>
      </c>
    </row>
    <row r="32" ht="21" customHeight="1">
      <c r="A32" s="69" t="n"/>
      <c r="B32" s="69">
        <f>INDEX(OfficialTeamList[Pod Number],MATCH(RobotDesignResults[[#This Row],[Team Number]], OfficialTeamList[Team '#],0))</f>
        <v/>
      </c>
      <c r="C32" s="106">
        <f>INDEX(OfficialTeamList[Team Name],MATCH(RobotDesignResults[[#This Row],[Team Number]], OfficialTeamList[Team '#],0))</f>
        <v/>
      </c>
      <c r="D32" s="70" t="n"/>
      <c r="E32" s="70" t="n"/>
      <c r="F32" s="70" t="n"/>
      <c r="G32" s="70" t="n"/>
      <c r="H32" s="70" t="n"/>
      <c r="I32" s="70" t="n"/>
      <c r="J32" s="70" t="n"/>
      <c r="K32" s="70" t="n"/>
      <c r="L32" s="70" t="n"/>
      <c r="M32" s="70" t="n"/>
      <c r="N32" s="83">
        <f>SUM(RobotDesignResults[[#This Row],[Identify - Strategy]:[Communicate - Fun (CV)]])</f>
        <v/>
      </c>
      <c r="O32" s="73">
        <f>_xlfn.RANK.EQ(RobotDesignResults[[#This Row],[Robot Design Score]],RobotDesignResults[Robot Design Score],0)</f>
        <v/>
      </c>
    </row>
    <row r="33" ht="21" customHeight="1">
      <c r="A33" s="69" t="n"/>
      <c r="B33" s="69">
        <f>INDEX(OfficialTeamList[Pod Number],MATCH(RobotDesignResults[[#This Row],[Team Number]], OfficialTeamList[Team '#],0))</f>
        <v/>
      </c>
      <c r="C33" s="106">
        <f>INDEX(OfficialTeamList[Team Name],MATCH(RobotDesignResults[[#This Row],[Team Number]], OfficialTeamList[Team '#],0))</f>
        <v/>
      </c>
      <c r="D33" s="70" t="n"/>
      <c r="E33" s="70" t="n"/>
      <c r="F33" s="70" t="n"/>
      <c r="G33" s="70" t="n"/>
      <c r="H33" s="70" t="n"/>
      <c r="I33" s="70" t="n"/>
      <c r="J33" s="70" t="n"/>
      <c r="K33" s="70" t="n"/>
      <c r="L33" s="70" t="n"/>
      <c r="M33" s="70" t="n"/>
      <c r="N33" s="83">
        <f>SUM(RobotDesignResults[[#This Row],[Identify - Strategy]:[Communicate - Fun (CV)]])</f>
        <v/>
      </c>
      <c r="O33" s="73">
        <f>_xlfn.RANK.EQ(RobotDesignResults[[#This Row],[Robot Design Score]],RobotDesignResults[Robot Design Score],0)</f>
        <v/>
      </c>
    </row>
    <row r="34" ht="21" customHeight="1">
      <c r="A34" s="69" t="n"/>
      <c r="B34" s="69">
        <f>INDEX(OfficialTeamList[Pod Number],MATCH(RobotDesignResults[[#This Row],[Team Number]], OfficialTeamList[Team '#],0))</f>
        <v/>
      </c>
      <c r="C34" s="106">
        <f>INDEX(OfficialTeamList[Team Name],MATCH(RobotDesignResults[[#This Row],[Team Number]], OfficialTeamList[Team '#],0))</f>
        <v/>
      </c>
      <c r="D34" s="70" t="n"/>
      <c r="E34" s="70" t="n"/>
      <c r="F34" s="70" t="n"/>
      <c r="G34" s="70" t="n"/>
      <c r="H34" s="70" t="n"/>
      <c r="I34" s="70" t="n"/>
      <c r="J34" s="70" t="n"/>
      <c r="K34" s="70" t="n"/>
      <c r="L34" s="70" t="n"/>
      <c r="M34" s="70" t="n"/>
      <c r="N34" s="83">
        <f>SUM(RobotDesignResults[[#This Row],[Identify - Strategy]:[Communicate - Fun (CV)]])</f>
        <v/>
      </c>
      <c r="O34" s="73">
        <f>_xlfn.RANK.EQ(RobotDesignResults[[#This Row],[Robot Design Score]],RobotDesignResults[Robot Design Score],0)</f>
        <v/>
      </c>
    </row>
    <row r="35" ht="21" customHeight="1">
      <c r="A35" s="69" t="n"/>
      <c r="B35" s="69">
        <f>INDEX(OfficialTeamList[Pod Number],MATCH(RobotDesignResults[[#This Row],[Team Number]], OfficialTeamList[Team '#],0))</f>
        <v/>
      </c>
      <c r="C35" s="106">
        <f>INDEX(OfficialTeamList[Team Name],MATCH(RobotDesignResults[[#This Row],[Team Number]], OfficialTeamList[Team '#],0))</f>
        <v/>
      </c>
      <c r="D35" s="70" t="n"/>
      <c r="E35" s="70" t="n"/>
      <c r="F35" s="70" t="n"/>
      <c r="G35" s="70" t="n"/>
      <c r="H35" s="70" t="n"/>
      <c r="I35" s="70" t="n"/>
      <c r="J35" s="70" t="n"/>
      <c r="K35" s="70" t="n"/>
      <c r="L35" s="70" t="n"/>
      <c r="M35" s="70" t="n"/>
      <c r="N35" s="83">
        <f>SUM(RobotDesignResults[[#This Row],[Identify - Strategy]:[Communicate - Fun (CV)]])</f>
        <v/>
      </c>
      <c r="O35" s="73">
        <f>_xlfn.RANK.EQ(RobotDesignResults[[#This Row],[Robot Design Score]],RobotDesignResults[Robot Design Score],0)</f>
        <v/>
      </c>
    </row>
    <row r="36" ht="21" customHeight="1">
      <c r="A36" s="69" t="n"/>
      <c r="B36" s="69">
        <f>INDEX(OfficialTeamList[Pod Number],MATCH(RobotDesignResults[[#This Row],[Team Number]], OfficialTeamList[Team '#],0))</f>
        <v/>
      </c>
      <c r="C36" s="106">
        <f>INDEX(OfficialTeamList[Team Name],MATCH(RobotDesignResults[[#This Row],[Team Number]], OfficialTeamList[Team '#],0))</f>
        <v/>
      </c>
      <c r="D36" s="70" t="n"/>
      <c r="E36" s="70" t="n"/>
      <c r="F36" s="70" t="n"/>
      <c r="G36" s="70" t="n"/>
      <c r="H36" s="70" t="n"/>
      <c r="I36" s="70" t="n"/>
      <c r="J36" s="70" t="n"/>
      <c r="K36" s="70" t="n"/>
      <c r="L36" s="70" t="n"/>
      <c r="M36" s="70" t="n"/>
      <c r="N36" s="83">
        <f>SUM(RobotDesignResults[[#This Row],[Identify - Strategy]:[Communicate - Fun (CV)]])</f>
        <v/>
      </c>
      <c r="O36" s="73">
        <f>_xlfn.RANK.EQ(RobotDesignResults[[#This Row],[Robot Design Score]],RobotDesignResults[Robot Design Score],0)</f>
        <v/>
      </c>
    </row>
    <row r="37" ht="21" customHeight="1">
      <c r="A37" s="69" t="n"/>
      <c r="B37" s="69">
        <f>INDEX(OfficialTeamList[Pod Number],MATCH(RobotDesignResults[[#This Row],[Team Number]], OfficialTeamList[Team '#],0))</f>
        <v/>
      </c>
      <c r="C37" s="106">
        <f>INDEX(OfficialTeamList[Team Name],MATCH(RobotDesignResults[[#This Row],[Team Number]], OfficialTeamList[Team '#],0))</f>
        <v/>
      </c>
      <c r="D37" s="70" t="n"/>
      <c r="E37" s="70" t="n"/>
      <c r="F37" s="70" t="n"/>
      <c r="G37" s="70" t="n"/>
      <c r="H37" s="70" t="n"/>
      <c r="I37" s="70" t="n"/>
      <c r="J37" s="70" t="n"/>
      <c r="K37" s="70" t="n"/>
      <c r="L37" s="70" t="n"/>
      <c r="M37" s="70" t="n"/>
      <c r="N37" s="83">
        <f>SUM(RobotDesignResults[[#This Row],[Identify - Strategy]:[Communicate - Fun (CV)]])</f>
        <v/>
      </c>
      <c r="O37" s="73">
        <f>_xlfn.RANK.EQ(RobotDesignResults[[#This Row],[Robot Design Score]],RobotDesignResults[Robot Design Score],0)</f>
        <v/>
      </c>
    </row>
    <row r="38" ht="21" customHeight="1">
      <c r="A38" s="69" t="n"/>
      <c r="B38" s="69">
        <f>INDEX(OfficialTeamList[Pod Number],MATCH(RobotDesignResults[[#This Row],[Team Number]], OfficialTeamList[Team '#],0))</f>
        <v/>
      </c>
      <c r="C38" s="106">
        <f>INDEX(OfficialTeamList[Team Name],MATCH(RobotDesignResults[[#This Row],[Team Number]], OfficialTeamList[Team '#],0))</f>
        <v/>
      </c>
      <c r="D38" s="70" t="n"/>
      <c r="E38" s="70" t="n"/>
      <c r="F38" s="70" t="n"/>
      <c r="G38" s="70" t="n"/>
      <c r="H38" s="70" t="n"/>
      <c r="I38" s="70" t="n"/>
      <c r="J38" s="70" t="n"/>
      <c r="K38" s="70" t="n"/>
      <c r="L38" s="70" t="n"/>
      <c r="M38" s="70" t="n"/>
      <c r="N38" s="83">
        <f>SUM(RobotDesignResults[[#This Row],[Identify - Strategy]:[Communicate - Fun (CV)]])</f>
        <v/>
      </c>
      <c r="O38" s="73">
        <f>_xlfn.RANK.EQ(RobotDesignResults[[#This Row],[Robot Design Score]],RobotDesignResults[Robot Design Score],0)</f>
        <v/>
      </c>
    </row>
    <row r="39" ht="21" customHeight="1">
      <c r="A39" s="69" t="n"/>
      <c r="B39" s="69">
        <f>INDEX(OfficialTeamList[Pod Number],MATCH(RobotDesignResults[[#This Row],[Team Number]], OfficialTeamList[Team '#],0))</f>
        <v/>
      </c>
      <c r="C39" s="106">
        <f>INDEX(OfficialTeamList[Team Name],MATCH(RobotDesignResults[[#This Row],[Team Number]], OfficialTeamList[Team '#],0))</f>
        <v/>
      </c>
      <c r="D39" s="70" t="n"/>
      <c r="E39" s="70" t="n"/>
      <c r="F39" s="70" t="n"/>
      <c r="G39" s="70" t="n"/>
      <c r="H39" s="70" t="n"/>
      <c r="I39" s="70" t="n"/>
      <c r="J39" s="70" t="n"/>
      <c r="K39" s="70" t="n"/>
      <c r="L39" s="70" t="n"/>
      <c r="M39" s="70" t="n"/>
      <c r="N39" s="83">
        <f>SUM(RobotDesignResults[[#This Row],[Identify - Strategy]:[Communicate - Fun (CV)]])</f>
        <v/>
      </c>
      <c r="O39" s="73">
        <f>_xlfn.RANK.EQ(RobotDesignResults[[#This Row],[Robot Design Score]],RobotDesignResults[Robot Design Score],0)</f>
        <v/>
      </c>
    </row>
    <row r="40" ht="21" customHeight="1">
      <c r="A40" s="69" t="n"/>
      <c r="B40" s="69">
        <f>INDEX(OfficialTeamList[Pod Number],MATCH(RobotDesignResults[[#This Row],[Team Number]], OfficialTeamList[Team '#],0))</f>
        <v/>
      </c>
      <c r="C40" s="106">
        <f>INDEX(OfficialTeamList[Team Name],MATCH(RobotDesignResults[[#This Row],[Team Number]], OfficialTeamList[Team '#],0))</f>
        <v/>
      </c>
      <c r="D40" s="70" t="n"/>
      <c r="E40" s="70" t="n"/>
      <c r="F40" s="70" t="n"/>
      <c r="G40" s="70" t="n"/>
      <c r="H40" s="70" t="n"/>
      <c r="I40" s="70" t="n"/>
      <c r="J40" s="70" t="n"/>
      <c r="K40" s="70" t="n"/>
      <c r="L40" s="70" t="n"/>
      <c r="M40" s="70" t="n"/>
      <c r="N40" s="83">
        <f>SUM(RobotDesignResults[[#This Row],[Identify - Strategy]:[Communicate - Fun (CV)]])</f>
        <v/>
      </c>
      <c r="O40" s="73">
        <f>_xlfn.RANK.EQ(RobotDesignResults[[#This Row],[Robot Design Score]],RobotDesignResults[Robot Design Score],0)</f>
        <v/>
      </c>
    </row>
    <row r="41" ht="21" customHeight="1">
      <c r="A41" s="69" t="n"/>
      <c r="B41" s="69">
        <f>INDEX(OfficialTeamList[Pod Number],MATCH(RobotDesignResults[[#This Row],[Team Number]], OfficialTeamList[Team '#],0))</f>
        <v/>
      </c>
      <c r="C41" s="106">
        <f>INDEX(OfficialTeamList[Team Name],MATCH(RobotDesignResults[[#This Row],[Team Number]], OfficialTeamList[Team '#],0))</f>
        <v/>
      </c>
      <c r="D41" s="70" t="n"/>
      <c r="E41" s="70" t="n"/>
      <c r="F41" s="70" t="n"/>
      <c r="G41" s="70" t="n"/>
      <c r="H41" s="70" t="n"/>
      <c r="I41" s="70" t="n"/>
      <c r="J41" s="70" t="n"/>
      <c r="K41" s="70" t="n"/>
      <c r="L41" s="70" t="n"/>
      <c r="M41" s="70" t="n"/>
      <c r="N41" s="83">
        <f>SUM(RobotDesignResults[[#This Row],[Identify - Strategy]:[Communicate - Fun (CV)]])</f>
        <v/>
      </c>
      <c r="O41" s="73">
        <f>_xlfn.RANK.EQ(RobotDesignResults[[#This Row],[Robot Design Score]],RobotDesignResults[Robot Design Score],0)</f>
        <v/>
      </c>
    </row>
    <row r="42" ht="21" customHeight="1">
      <c r="A42" s="69" t="n"/>
      <c r="B42" s="69">
        <f>INDEX(OfficialTeamList[Pod Number],MATCH(RobotDesignResults[[#This Row],[Team Number]], OfficialTeamList[Team '#],0))</f>
        <v/>
      </c>
      <c r="C42" s="106">
        <f>INDEX(OfficialTeamList[Team Name],MATCH(RobotDesignResults[[#This Row],[Team Number]], OfficialTeamList[Team '#],0))</f>
        <v/>
      </c>
      <c r="D42" s="70" t="n"/>
      <c r="E42" s="70" t="n"/>
      <c r="F42" s="70" t="n"/>
      <c r="G42" s="70" t="n"/>
      <c r="H42" s="70" t="n"/>
      <c r="I42" s="70" t="n"/>
      <c r="J42" s="70" t="n"/>
      <c r="K42" s="70" t="n"/>
      <c r="L42" s="70" t="n"/>
      <c r="M42" s="70" t="n"/>
      <c r="N42" s="83">
        <f>SUM(RobotDesignResults[[#This Row],[Identify - Strategy]:[Communicate - Fun (CV)]])</f>
        <v/>
      </c>
      <c r="O42" s="73">
        <f>_xlfn.RANK.EQ(RobotDesignResults[[#This Row],[Robot Design Score]],RobotDesignResults[Robot Design Score],0)</f>
        <v/>
      </c>
    </row>
    <row r="43" ht="21" customHeight="1">
      <c r="A43" s="69" t="n"/>
      <c r="B43" s="69">
        <f>INDEX(OfficialTeamList[Pod Number],MATCH(RobotDesignResults[[#This Row],[Team Number]], OfficialTeamList[Team '#],0))</f>
        <v/>
      </c>
      <c r="C43" s="106">
        <f>INDEX(OfficialTeamList[Team Name],MATCH(RobotDesignResults[[#This Row],[Team Number]], OfficialTeamList[Team '#],0))</f>
        <v/>
      </c>
      <c r="D43" s="70" t="n"/>
      <c r="E43" s="70" t="n"/>
      <c r="F43" s="70" t="n"/>
      <c r="G43" s="70" t="n"/>
      <c r="H43" s="70" t="n"/>
      <c r="I43" s="70" t="n"/>
      <c r="J43" s="70" t="n"/>
      <c r="K43" s="70" t="n"/>
      <c r="L43" s="70" t="n"/>
      <c r="M43" s="70" t="n"/>
      <c r="N43" s="83">
        <f>SUM(RobotDesignResults[[#This Row],[Identify - Strategy]:[Communicate - Fun (CV)]])</f>
        <v/>
      </c>
      <c r="O43" s="73">
        <f>_xlfn.RANK.EQ(RobotDesignResults[[#This Row],[Robot Design Score]],RobotDesignResults[Robot Design Score],0)</f>
        <v/>
      </c>
    </row>
    <row r="44" ht="21" customHeight="1">
      <c r="A44" s="69" t="n"/>
      <c r="B44" s="69">
        <f>INDEX(OfficialTeamList[Pod Number],MATCH(RobotDesignResults[[#This Row],[Team Number]], OfficialTeamList[Team '#],0))</f>
        <v/>
      </c>
      <c r="C44" s="106">
        <f>INDEX(OfficialTeamList[Team Name],MATCH(RobotDesignResults[[#This Row],[Team Number]], OfficialTeamList[Team '#],0))</f>
        <v/>
      </c>
      <c r="D44" s="70" t="n"/>
      <c r="E44" s="70" t="n"/>
      <c r="F44" s="70" t="n"/>
      <c r="G44" s="70" t="n"/>
      <c r="H44" s="70" t="n"/>
      <c r="I44" s="70" t="n"/>
      <c r="J44" s="70" t="n"/>
      <c r="K44" s="70" t="n"/>
      <c r="L44" s="70" t="n"/>
      <c r="M44" s="70" t="n"/>
      <c r="N44" s="83">
        <f>SUM(RobotDesignResults[[#This Row],[Identify - Strategy]:[Communicate - Fun (CV)]])</f>
        <v/>
      </c>
      <c r="O44" s="73">
        <f>_xlfn.RANK.EQ(RobotDesignResults[[#This Row],[Robot Design Score]],RobotDesignResults[Robot Design Score],0)</f>
        <v/>
      </c>
    </row>
    <row r="45" ht="21" customHeight="1">
      <c r="A45" s="69" t="n"/>
      <c r="B45" s="69">
        <f>INDEX(OfficialTeamList[Pod Number],MATCH(RobotDesignResults[[#This Row],[Team Number]], OfficialTeamList[Team '#],0))</f>
        <v/>
      </c>
      <c r="C45" s="106">
        <f>INDEX(OfficialTeamList[Team Name],MATCH(RobotDesignResults[[#This Row],[Team Number]], OfficialTeamList[Team '#],0))</f>
        <v/>
      </c>
      <c r="D45" s="70" t="n"/>
      <c r="E45" s="70" t="n"/>
      <c r="F45" s="70" t="n"/>
      <c r="G45" s="70" t="n"/>
      <c r="H45" s="70" t="n"/>
      <c r="I45" s="70" t="n"/>
      <c r="J45" s="70" t="n"/>
      <c r="K45" s="70" t="n"/>
      <c r="L45" s="70" t="n"/>
      <c r="M45" s="70" t="n"/>
      <c r="N45" s="83">
        <f>SUM(RobotDesignResults[[#This Row],[Identify - Strategy]:[Communicate - Fun (CV)]])</f>
        <v/>
      </c>
      <c r="O45" s="73">
        <f>_xlfn.RANK.EQ(RobotDesignResults[[#This Row],[Robot Design Score]],RobotDesignResults[Robot Design Score],0)</f>
        <v/>
      </c>
    </row>
    <row r="46" ht="21" customHeight="1">
      <c r="A46" s="69" t="n"/>
      <c r="B46" s="69">
        <f>INDEX(OfficialTeamList[Pod Number],MATCH(RobotDesignResults[[#This Row],[Team Number]], OfficialTeamList[Team '#],0))</f>
        <v/>
      </c>
      <c r="C46" s="106">
        <f>INDEX(OfficialTeamList[Team Name],MATCH(RobotDesignResults[[#This Row],[Team Number]], OfficialTeamList[Team '#],0))</f>
        <v/>
      </c>
      <c r="D46" s="70" t="n"/>
      <c r="E46" s="70" t="n"/>
      <c r="F46" s="70" t="n"/>
      <c r="G46" s="70" t="n"/>
      <c r="H46" s="70" t="n"/>
      <c r="I46" s="70" t="n"/>
      <c r="J46" s="70" t="n"/>
      <c r="K46" s="70" t="n"/>
      <c r="L46" s="70" t="n"/>
      <c r="M46" s="70" t="n"/>
      <c r="N46" s="83">
        <f>SUM(RobotDesignResults[[#This Row],[Identify - Strategy]:[Communicate - Fun (CV)]])</f>
        <v/>
      </c>
      <c r="O46" s="73">
        <f>_xlfn.RANK.EQ(RobotDesignResults[[#This Row],[Robot Design Score]],RobotDesignResults[Robot Design Score],0)</f>
        <v/>
      </c>
    </row>
    <row r="47" ht="21" customHeight="1">
      <c r="A47" s="69" t="n"/>
      <c r="B47" s="69">
        <f>INDEX(OfficialTeamList[Pod Number],MATCH(RobotDesignResults[[#This Row],[Team Number]], OfficialTeamList[Team '#],0))</f>
        <v/>
      </c>
      <c r="C47" s="106">
        <f>INDEX(OfficialTeamList[Team Name],MATCH(RobotDesignResults[[#This Row],[Team Number]], OfficialTeamList[Team '#],0))</f>
        <v/>
      </c>
      <c r="D47" s="70" t="n"/>
      <c r="E47" s="70" t="n"/>
      <c r="F47" s="70" t="n"/>
      <c r="G47" s="70" t="n"/>
      <c r="H47" s="70" t="n"/>
      <c r="I47" s="70" t="n"/>
      <c r="J47" s="70" t="n"/>
      <c r="K47" s="70" t="n"/>
      <c r="L47" s="70" t="n"/>
      <c r="M47" s="70" t="n"/>
      <c r="N47" s="83">
        <f>SUM(RobotDesignResults[[#This Row],[Identify - Strategy]:[Communicate - Fun (CV)]])</f>
        <v/>
      </c>
      <c r="O47" s="73">
        <f>_xlfn.RANK.EQ(RobotDesignResults[[#This Row],[Robot Design Score]],RobotDesignResults[Robot Design Score],0)</f>
        <v/>
      </c>
    </row>
    <row r="48" ht="21" customHeight="1">
      <c r="A48" s="69" t="n"/>
      <c r="B48" s="69">
        <f>INDEX(OfficialTeamList[Pod Number],MATCH(RobotDesignResults[[#This Row],[Team Number]], OfficialTeamList[Team '#],0))</f>
        <v/>
      </c>
      <c r="C48" s="106">
        <f>INDEX(OfficialTeamList[Team Name],MATCH(RobotDesignResults[[#This Row],[Team Number]], OfficialTeamList[Team '#],0))</f>
        <v/>
      </c>
      <c r="D48" s="70" t="n"/>
      <c r="E48" s="70" t="n"/>
      <c r="F48" s="70" t="n"/>
      <c r="G48" s="70" t="n"/>
      <c r="H48" s="70" t="n"/>
      <c r="I48" s="70" t="n"/>
      <c r="J48" s="70" t="n"/>
      <c r="K48" s="70" t="n"/>
      <c r="L48" s="70" t="n"/>
      <c r="M48" s="70" t="n"/>
      <c r="N48" s="83">
        <f>SUM(RobotDesignResults[[#This Row],[Identify - Strategy]:[Communicate - Fun (CV)]])</f>
        <v/>
      </c>
      <c r="O48" s="73">
        <f>_xlfn.RANK.EQ(RobotDesignResults[[#This Row],[Robot Design Score]],RobotDesignResults[Robot Design Score],0)</f>
        <v/>
      </c>
    </row>
    <row r="49" ht="21" customHeight="1">
      <c r="A49" s="69" t="n"/>
      <c r="B49" s="69">
        <f>INDEX(OfficialTeamList[Pod Number],MATCH(RobotDesignResults[[#This Row],[Team Number]], OfficialTeamList[Team '#],0))</f>
        <v/>
      </c>
      <c r="C49" s="106">
        <f>INDEX(OfficialTeamList[Team Name],MATCH(RobotDesignResults[[#This Row],[Team Number]], OfficialTeamList[Team '#],0))</f>
        <v/>
      </c>
      <c r="D49" s="70" t="n"/>
      <c r="E49" s="70" t="n"/>
      <c r="F49" s="70" t="n"/>
      <c r="G49" s="70" t="n"/>
      <c r="H49" s="70" t="n"/>
      <c r="I49" s="70" t="n"/>
      <c r="J49" s="70" t="n"/>
      <c r="K49" s="70" t="n"/>
      <c r="L49" s="70" t="n"/>
      <c r="M49" s="70" t="n"/>
      <c r="N49" s="83">
        <f>SUM(RobotDesignResults[[#This Row],[Identify - Strategy]:[Communicate - Fun (CV)]])</f>
        <v/>
      </c>
      <c r="O49" s="73">
        <f>_xlfn.RANK.EQ(RobotDesignResults[[#This Row],[Robot Design Score]],RobotDesignResults[Robot Design Score],0)</f>
        <v/>
      </c>
    </row>
    <row r="50" ht="21" customHeight="1">
      <c r="A50" s="69" t="n"/>
      <c r="B50" s="69">
        <f>INDEX(OfficialTeamList[Pod Number],MATCH(RobotDesignResults[[#This Row],[Team Number]], OfficialTeamList[Team '#],0))</f>
        <v/>
      </c>
      <c r="C50" s="106">
        <f>INDEX(OfficialTeamList[Team Name],MATCH(RobotDesignResults[[#This Row],[Team Number]], OfficialTeamList[Team '#],0))</f>
        <v/>
      </c>
      <c r="D50" s="70" t="n"/>
      <c r="E50" s="70" t="n"/>
      <c r="F50" s="70" t="n"/>
      <c r="G50" s="70" t="n"/>
      <c r="H50" s="70" t="n"/>
      <c r="I50" s="70" t="n"/>
      <c r="J50" s="70" t="n"/>
      <c r="K50" s="70" t="n"/>
      <c r="L50" s="70" t="n"/>
      <c r="M50" s="70" t="n"/>
      <c r="N50" s="83">
        <f>SUM(RobotDesignResults[[#This Row],[Identify - Strategy]:[Communicate - Fun (CV)]])</f>
        <v/>
      </c>
      <c r="O50" s="73">
        <f>_xlfn.RANK.EQ(RobotDesignResults[[#This Row],[Robot Design Score]],RobotDesignResults[Robot Design Score],0)</f>
        <v/>
      </c>
    </row>
    <row r="51" ht="21" customHeight="1">
      <c r="A51" s="69" t="n"/>
      <c r="B51" s="69">
        <f>INDEX(OfficialTeamList[Pod Number],MATCH(RobotDesignResults[[#This Row],[Team Number]], OfficialTeamList[Team '#],0))</f>
        <v/>
      </c>
      <c r="C51" s="106">
        <f>INDEX(OfficialTeamList[Team Name],MATCH(RobotDesignResults[[#This Row],[Team Number]], OfficialTeamList[Team '#],0))</f>
        <v/>
      </c>
      <c r="D51" s="70" t="n"/>
      <c r="E51" s="70" t="n"/>
      <c r="F51" s="70" t="n"/>
      <c r="G51" s="70" t="n"/>
      <c r="H51" s="70" t="n"/>
      <c r="I51" s="70" t="n"/>
      <c r="J51" s="70" t="n"/>
      <c r="K51" s="70" t="n"/>
      <c r="L51" s="70" t="n"/>
      <c r="M51" s="70" t="n"/>
      <c r="N51" s="83">
        <f>SUM(RobotDesignResults[[#This Row],[Identify - Strategy]:[Communicate - Fun (CV)]])</f>
        <v/>
      </c>
      <c r="O51" s="73">
        <f>_xlfn.RANK.EQ(RobotDesignResults[[#This Row],[Robot Design Score]],RobotDesignResults[Robot Design Score],0)</f>
        <v/>
      </c>
    </row>
    <row r="52" ht="21" customHeight="1">
      <c r="A52" s="69" t="n"/>
      <c r="B52" s="69">
        <f>INDEX(OfficialTeamList[Pod Number],MATCH(RobotDesignResults[[#This Row],[Team Number]], OfficialTeamList[Team '#],0))</f>
        <v/>
      </c>
      <c r="C52" s="106">
        <f>INDEX(OfficialTeamList[Team Name],MATCH(RobotDesignResults[[#This Row],[Team Number]], OfficialTeamList[Team '#],0))</f>
        <v/>
      </c>
      <c r="D52" s="70" t="n"/>
      <c r="E52" s="70" t="n"/>
      <c r="F52" s="70" t="n"/>
      <c r="G52" s="70" t="n"/>
      <c r="H52" s="70" t="n"/>
      <c r="I52" s="70" t="n"/>
      <c r="J52" s="70" t="n"/>
      <c r="K52" s="70" t="n"/>
      <c r="L52" s="70" t="n"/>
      <c r="M52" s="70" t="n"/>
      <c r="N52" s="83">
        <f>SUM(RobotDesignResults[[#This Row],[Identify - Strategy]:[Communicate - Fun (CV)]])</f>
        <v/>
      </c>
      <c r="O52" s="73">
        <f>_xlfn.RANK.EQ(RobotDesignResults[[#This Row],[Robot Design Score]],RobotDesignResults[Robot Design Score],0)</f>
        <v/>
      </c>
    </row>
    <row r="53" ht="21" customHeight="1">
      <c r="A53" s="69" t="n"/>
      <c r="B53" s="69">
        <f>INDEX(OfficialTeamList[Pod Number],MATCH(RobotDesignResults[[#This Row],[Team Number]], OfficialTeamList[Team '#],0))</f>
        <v/>
      </c>
      <c r="C53" s="106">
        <f>INDEX(OfficialTeamList[Team Name],MATCH(RobotDesignResults[[#This Row],[Team Number]], OfficialTeamList[Team '#],0))</f>
        <v/>
      </c>
      <c r="D53" s="70" t="n"/>
      <c r="E53" s="70" t="n"/>
      <c r="F53" s="70" t="n"/>
      <c r="G53" s="70" t="n"/>
      <c r="H53" s="70" t="n"/>
      <c r="I53" s="70" t="n"/>
      <c r="J53" s="70" t="n"/>
      <c r="K53" s="70" t="n"/>
      <c r="L53" s="70" t="n"/>
      <c r="M53" s="70" t="n"/>
      <c r="N53" s="83">
        <f>SUM(RobotDesignResults[[#This Row],[Identify - Strategy]:[Communicate - Fun (CV)]])</f>
        <v/>
      </c>
      <c r="O53" s="73">
        <f>_xlfn.RANK.EQ(RobotDesignResults[[#This Row],[Robot Design Score]],RobotDesignResults[Robot Design Score],0)</f>
        <v/>
      </c>
    </row>
    <row r="54" ht="21" customHeight="1">
      <c r="A54" s="69" t="n"/>
      <c r="B54" s="69">
        <f>INDEX(OfficialTeamList[Pod Number],MATCH(RobotDesignResults[[#This Row],[Team Number]], OfficialTeamList[Team '#],0))</f>
        <v/>
      </c>
      <c r="C54" s="106">
        <f>INDEX(OfficialTeamList[Team Name],MATCH(RobotDesignResults[[#This Row],[Team Number]], OfficialTeamList[Team '#],0))</f>
        <v/>
      </c>
      <c r="D54" s="70" t="n"/>
      <c r="E54" s="70" t="n"/>
      <c r="F54" s="70" t="n"/>
      <c r="G54" s="70" t="n"/>
      <c r="H54" s="70" t="n"/>
      <c r="I54" s="70" t="n"/>
      <c r="J54" s="70" t="n"/>
      <c r="K54" s="70" t="n"/>
      <c r="L54" s="70" t="n"/>
      <c r="M54" s="70" t="n"/>
      <c r="N54" s="83">
        <f>SUM(RobotDesignResults[[#This Row],[Identify - Strategy]:[Communicate - Fun (CV)]])</f>
        <v/>
      </c>
      <c r="O54" s="73">
        <f>_xlfn.RANK.EQ(RobotDesignResults[[#This Row],[Robot Design Score]],RobotDesignResults[Robot Design Score],0)</f>
        <v/>
      </c>
    </row>
    <row r="55" ht="21" customHeight="1">
      <c r="A55" s="69" t="n"/>
      <c r="B55" s="69">
        <f>INDEX(OfficialTeamList[Pod Number],MATCH(RobotDesignResults[[#This Row],[Team Number]], OfficialTeamList[Team '#],0))</f>
        <v/>
      </c>
      <c r="C55" s="106">
        <f>INDEX(OfficialTeamList[Team Name],MATCH(RobotDesignResults[[#This Row],[Team Number]], OfficialTeamList[Team '#],0))</f>
        <v/>
      </c>
      <c r="D55" s="70" t="n"/>
      <c r="E55" s="70" t="n"/>
      <c r="F55" s="70" t="n"/>
      <c r="G55" s="70" t="n"/>
      <c r="H55" s="70" t="n"/>
      <c r="I55" s="70" t="n"/>
      <c r="J55" s="70" t="n"/>
      <c r="K55" s="70" t="n"/>
      <c r="L55" s="70" t="n"/>
      <c r="M55" s="70" t="n"/>
      <c r="N55" s="83">
        <f>SUM(RobotDesignResults[[#This Row],[Identify - Strategy]:[Communicate - Fun (CV)]])</f>
        <v/>
      </c>
      <c r="O55" s="73">
        <f>_xlfn.RANK.EQ(RobotDesignResults[[#This Row],[Robot Design Score]],RobotDesignResults[Robot Design Score],0)</f>
        <v/>
      </c>
    </row>
    <row r="56" ht="21" customHeight="1">
      <c r="A56" s="69" t="n"/>
      <c r="B56" s="69">
        <f>INDEX(OfficialTeamList[Pod Number],MATCH(RobotDesignResults[[#This Row],[Team Number]], OfficialTeamList[Team '#],0))</f>
        <v/>
      </c>
      <c r="C56" s="106">
        <f>INDEX(OfficialTeamList[Team Name],MATCH(RobotDesignResults[[#This Row],[Team Number]], OfficialTeamList[Team '#],0))</f>
        <v/>
      </c>
      <c r="D56" s="70" t="n"/>
      <c r="E56" s="70" t="n"/>
      <c r="F56" s="70" t="n"/>
      <c r="G56" s="70" t="n"/>
      <c r="H56" s="70" t="n"/>
      <c r="I56" s="70" t="n"/>
      <c r="J56" s="70" t="n"/>
      <c r="K56" s="70" t="n"/>
      <c r="L56" s="70" t="n"/>
      <c r="M56" s="70" t="n"/>
      <c r="N56" s="83">
        <f>SUM(RobotDesignResults[[#This Row],[Identify - Strategy]:[Communicate - Fun (CV)]])</f>
        <v/>
      </c>
      <c r="O56" s="73">
        <f>_xlfn.RANK.EQ(RobotDesignResults[[#This Row],[Robot Design Score]],RobotDesignResults[Robot Design Score],0)</f>
        <v/>
      </c>
    </row>
    <row r="57" ht="21" customHeight="1">
      <c r="A57" s="69" t="n"/>
      <c r="B57" s="69">
        <f>INDEX(OfficialTeamList[Pod Number],MATCH(RobotDesignResults[[#This Row],[Team Number]], OfficialTeamList[Team '#],0))</f>
        <v/>
      </c>
      <c r="C57" s="106">
        <f>INDEX(OfficialTeamList[Team Name],MATCH(RobotDesignResults[[#This Row],[Team Number]], OfficialTeamList[Team '#],0))</f>
        <v/>
      </c>
      <c r="D57" s="70" t="n"/>
      <c r="E57" s="70" t="n"/>
      <c r="F57" s="70" t="n"/>
      <c r="G57" s="70" t="n"/>
      <c r="H57" s="70" t="n"/>
      <c r="I57" s="70" t="n"/>
      <c r="J57" s="70" t="n"/>
      <c r="K57" s="70" t="n"/>
      <c r="L57" s="70" t="n"/>
      <c r="M57" s="70" t="n"/>
      <c r="N57" s="83">
        <f>SUM(RobotDesignResults[[#This Row],[Identify - Strategy]:[Communicate - Fun (CV)]])</f>
        <v/>
      </c>
      <c r="O57" s="73">
        <f>_xlfn.RANK.EQ(RobotDesignResults[[#This Row],[Robot Design Score]],RobotDesignResults[Robot Design Score],0)</f>
        <v/>
      </c>
    </row>
    <row r="58" ht="21" customHeight="1">
      <c r="A58" s="69" t="n"/>
      <c r="B58" s="69">
        <f>INDEX(OfficialTeamList[Pod Number],MATCH(RobotDesignResults[[#This Row],[Team Number]], OfficialTeamList[Team '#],0))</f>
        <v/>
      </c>
      <c r="C58" s="106">
        <f>INDEX(OfficialTeamList[Team Name],MATCH(RobotDesignResults[[#This Row],[Team Number]], OfficialTeamList[Team '#],0))</f>
        <v/>
      </c>
      <c r="D58" s="70" t="n"/>
      <c r="E58" s="70" t="n"/>
      <c r="F58" s="70" t="n"/>
      <c r="G58" s="70" t="n"/>
      <c r="H58" s="70" t="n"/>
      <c r="I58" s="70" t="n"/>
      <c r="J58" s="70" t="n"/>
      <c r="K58" s="70" t="n"/>
      <c r="L58" s="70" t="n"/>
      <c r="M58" s="70" t="n"/>
      <c r="N58" s="83">
        <f>SUM(RobotDesignResults[[#This Row],[Identify - Strategy]:[Communicate - Fun (CV)]])</f>
        <v/>
      </c>
      <c r="O58" s="73">
        <f>_xlfn.RANK.EQ(RobotDesignResults[[#This Row],[Robot Design Score]],RobotDesignResults[Robot Design Score],0)</f>
        <v/>
      </c>
    </row>
    <row r="59" ht="21" customHeight="1">
      <c r="A59" s="69" t="n"/>
      <c r="B59" s="69">
        <f>INDEX(OfficialTeamList[Pod Number],MATCH(RobotDesignResults[[#This Row],[Team Number]], OfficialTeamList[Team '#],0))</f>
        <v/>
      </c>
      <c r="C59" s="106">
        <f>INDEX(OfficialTeamList[Team Name],MATCH(RobotDesignResults[[#This Row],[Team Number]], OfficialTeamList[Team '#],0))</f>
        <v/>
      </c>
      <c r="D59" s="70" t="n"/>
      <c r="E59" s="70" t="n"/>
      <c r="F59" s="70" t="n"/>
      <c r="G59" s="70" t="n"/>
      <c r="H59" s="70" t="n"/>
      <c r="I59" s="70" t="n"/>
      <c r="J59" s="70" t="n"/>
      <c r="K59" s="70" t="n"/>
      <c r="L59" s="70" t="n"/>
      <c r="M59" s="70" t="n"/>
      <c r="N59" s="83">
        <f>SUM(RobotDesignResults[[#This Row],[Identify - Strategy]:[Communicate - Fun (CV)]])</f>
        <v/>
      </c>
      <c r="O59" s="73">
        <f>_xlfn.RANK.EQ(RobotDesignResults[[#This Row],[Robot Design Score]],RobotDesignResults[Robot Design Score],0)</f>
        <v/>
      </c>
    </row>
    <row r="60" ht="21" customHeight="1">
      <c r="A60" s="69" t="n"/>
      <c r="B60" s="69">
        <f>INDEX(OfficialTeamList[Pod Number],MATCH(RobotDesignResults[[#This Row],[Team Number]], OfficialTeamList[Team '#],0))</f>
        <v/>
      </c>
      <c r="C60" s="106">
        <f>INDEX(OfficialTeamList[Team Name],MATCH(RobotDesignResults[[#This Row],[Team Number]], OfficialTeamList[Team '#],0))</f>
        <v/>
      </c>
      <c r="D60" s="70" t="n"/>
      <c r="E60" s="70" t="n"/>
      <c r="F60" s="70" t="n"/>
      <c r="G60" s="70" t="n"/>
      <c r="H60" s="70" t="n"/>
      <c r="I60" s="70" t="n"/>
      <c r="J60" s="70" t="n"/>
      <c r="K60" s="70" t="n"/>
      <c r="L60" s="70" t="n"/>
      <c r="M60" s="70" t="n"/>
      <c r="N60" s="83">
        <f>SUM(RobotDesignResults[[#This Row],[Identify - Strategy]:[Communicate - Fun (CV)]])</f>
        <v/>
      </c>
      <c r="O60" s="73">
        <f>_xlfn.RANK.EQ(RobotDesignResults[[#This Row],[Robot Design Score]],RobotDesignResults[Robot Design Score],0)</f>
        <v/>
      </c>
    </row>
    <row r="61" ht="21" customHeight="1">
      <c r="A61" s="69" t="n"/>
      <c r="B61" s="69">
        <f>INDEX(OfficialTeamList[Pod Number],MATCH(RobotDesignResults[[#This Row],[Team Number]], OfficialTeamList[Team '#],0))</f>
        <v/>
      </c>
      <c r="C61" s="106">
        <f>INDEX(OfficialTeamList[Team Name],MATCH(RobotDesignResults[[#This Row],[Team Number]], OfficialTeamList[Team '#],0))</f>
        <v/>
      </c>
      <c r="D61" s="70" t="n"/>
      <c r="E61" s="70" t="n"/>
      <c r="F61" s="70" t="n"/>
      <c r="G61" s="70" t="n"/>
      <c r="H61" s="70" t="n"/>
      <c r="I61" s="70" t="n"/>
      <c r="J61" s="70" t="n"/>
      <c r="K61" s="70" t="n"/>
      <c r="L61" s="70" t="n"/>
      <c r="M61" s="70" t="n"/>
      <c r="N61" s="83">
        <f>SUM(RobotDesignResults[[#This Row],[Identify - Strategy]:[Communicate - Fun (CV)]])</f>
        <v/>
      </c>
      <c r="O61" s="73">
        <f>_xlfn.RANK.EQ(RobotDesignResults[[#This Row],[Robot Design Score]],RobotDesignResults[Robot Design Score],0)</f>
        <v/>
      </c>
    </row>
    <row r="62" ht="21" customHeight="1">
      <c r="A62" s="69" t="n"/>
      <c r="B62" s="69">
        <f>INDEX(OfficialTeamList[Pod Number],MATCH(RobotDesignResults[[#This Row],[Team Number]], OfficialTeamList[Team '#],0))</f>
        <v/>
      </c>
      <c r="C62" s="106">
        <f>INDEX(OfficialTeamList[Team Name],MATCH(RobotDesignResults[[#This Row],[Team Number]], OfficialTeamList[Team '#],0))</f>
        <v/>
      </c>
      <c r="D62" s="70" t="n"/>
      <c r="E62" s="70" t="n"/>
      <c r="F62" s="70" t="n"/>
      <c r="G62" s="70" t="n"/>
      <c r="H62" s="70" t="n"/>
      <c r="I62" s="70" t="n"/>
      <c r="J62" s="70" t="n"/>
      <c r="K62" s="70" t="n"/>
      <c r="L62" s="70" t="n"/>
      <c r="M62" s="70" t="n"/>
      <c r="N62" s="83">
        <f>SUM(RobotDesignResults[[#This Row],[Identify - Strategy]:[Communicate - Fun (CV)]])</f>
        <v/>
      </c>
      <c r="O62" s="73">
        <f>_xlfn.RANK.EQ(RobotDesignResults[[#This Row],[Robot Design Score]],RobotDesignResults[Robot Design Score],0)</f>
        <v/>
      </c>
    </row>
    <row r="63" ht="21" customHeight="1">
      <c r="A63" s="69" t="n"/>
      <c r="B63" s="69">
        <f>INDEX(OfficialTeamList[Pod Number],MATCH(RobotDesignResults[[#This Row],[Team Number]], OfficialTeamList[Team '#],0))</f>
        <v/>
      </c>
      <c r="C63" s="106">
        <f>INDEX(OfficialTeamList[Team Name],MATCH(RobotDesignResults[[#This Row],[Team Number]], OfficialTeamList[Team '#],0))</f>
        <v/>
      </c>
      <c r="D63" s="70" t="n"/>
      <c r="E63" s="70" t="n"/>
      <c r="F63" s="70" t="n"/>
      <c r="G63" s="70" t="n"/>
      <c r="H63" s="70" t="n"/>
      <c r="I63" s="70" t="n"/>
      <c r="J63" s="70" t="n"/>
      <c r="K63" s="70" t="n"/>
      <c r="L63" s="70" t="n"/>
      <c r="M63" s="70" t="n"/>
      <c r="N63" s="83">
        <f>SUM(RobotDesignResults[[#This Row],[Identify - Strategy]:[Communicate - Fun (CV)]])</f>
        <v/>
      </c>
      <c r="O63" s="73">
        <f>_xlfn.RANK.EQ(RobotDesignResults[[#This Row],[Robot Design Score]],RobotDesignResults[Robot Design Score],0)</f>
        <v/>
      </c>
    </row>
    <row r="64" ht="21" customHeight="1">
      <c r="A64" s="69" t="n"/>
      <c r="B64" s="69">
        <f>INDEX(OfficialTeamList[Pod Number],MATCH(RobotDesignResults[[#This Row],[Team Number]], OfficialTeamList[Team '#],0))</f>
        <v/>
      </c>
      <c r="C64" s="106">
        <f>INDEX(OfficialTeamList[Team Name],MATCH(RobotDesignResults[[#This Row],[Team Number]], OfficialTeamList[Team '#],0))</f>
        <v/>
      </c>
      <c r="D64" s="70" t="n"/>
      <c r="E64" s="70" t="n"/>
      <c r="F64" s="70" t="n"/>
      <c r="G64" s="70" t="n"/>
      <c r="H64" s="70" t="n"/>
      <c r="I64" s="70" t="n"/>
      <c r="J64" s="70" t="n"/>
      <c r="K64" s="70" t="n"/>
      <c r="L64" s="70" t="n"/>
      <c r="M64" s="70" t="n"/>
      <c r="N64" s="83">
        <f>SUM(RobotDesignResults[[#This Row],[Identify - Strategy]:[Communicate - Fun (CV)]])</f>
        <v/>
      </c>
      <c r="O64" s="73">
        <f>_xlfn.RANK.EQ(RobotDesignResults[[#This Row],[Robot Design Score]],RobotDesignResults[Robot Design Score],0)</f>
        <v/>
      </c>
    </row>
    <row r="65" ht="21" customHeight="1">
      <c r="A65" s="69" t="n"/>
      <c r="B65" s="69">
        <f>INDEX(OfficialTeamList[Pod Number],MATCH(RobotDesignResults[[#This Row],[Team Number]], OfficialTeamList[Team '#],0))</f>
        <v/>
      </c>
      <c r="C65" s="106">
        <f>INDEX(OfficialTeamList[Team Name],MATCH(RobotDesignResults[[#This Row],[Team Number]], OfficialTeamList[Team '#],0))</f>
        <v/>
      </c>
      <c r="D65" s="70" t="n"/>
      <c r="E65" s="70" t="n"/>
      <c r="F65" s="70" t="n"/>
      <c r="G65" s="70" t="n"/>
      <c r="H65" s="70" t="n"/>
      <c r="I65" s="70" t="n"/>
      <c r="J65" s="70" t="n"/>
      <c r="K65" s="70" t="n"/>
      <c r="L65" s="70" t="n"/>
      <c r="M65" s="70" t="n"/>
      <c r="N65" s="83">
        <f>SUM(RobotDesignResults[[#This Row],[Identify - Strategy]:[Communicate - Fun (CV)]])</f>
        <v/>
      </c>
      <c r="O65" s="73">
        <f>_xlfn.RANK.EQ(RobotDesignResults[[#This Row],[Robot Design Score]],RobotDesignResults[Robot Design Score],0)</f>
        <v/>
      </c>
    </row>
    <row r="66" ht="21" customHeight="1">
      <c r="A66" s="69" t="n"/>
      <c r="B66" s="69">
        <f>INDEX(OfficialTeamList[Pod Number],MATCH(RobotDesignResults[[#This Row],[Team Number]], OfficialTeamList[Team '#],0))</f>
        <v/>
      </c>
      <c r="C66" s="106">
        <f>INDEX(OfficialTeamList[Team Name],MATCH(RobotDesignResults[[#This Row],[Team Number]], OfficialTeamList[Team '#],0))</f>
        <v/>
      </c>
      <c r="D66" s="70" t="n"/>
      <c r="E66" s="70" t="n"/>
      <c r="F66" s="70" t="n"/>
      <c r="G66" s="70" t="n"/>
      <c r="H66" s="70" t="n"/>
      <c r="I66" s="70" t="n"/>
      <c r="J66" s="70" t="n"/>
      <c r="K66" s="70" t="n"/>
      <c r="L66" s="70" t="n"/>
      <c r="M66" s="70" t="n"/>
      <c r="N66" s="83">
        <f>SUM(RobotDesignResults[[#This Row],[Identify - Strategy]:[Communicate - Fun (CV)]])</f>
        <v/>
      </c>
      <c r="O66" s="73">
        <f>_xlfn.RANK.EQ(RobotDesignResults[[#This Row],[Robot Design Score]],RobotDesignResults[Robot Design Score],0)</f>
        <v/>
      </c>
    </row>
    <row r="67" ht="21" customHeight="1">
      <c r="A67" s="69" t="n"/>
      <c r="B67" s="69">
        <f>INDEX(OfficialTeamList[Pod Number],MATCH(RobotDesignResults[[#This Row],[Team Number]], OfficialTeamList[Team '#],0))</f>
        <v/>
      </c>
      <c r="C67" s="106">
        <f>INDEX(OfficialTeamList[Team Name],MATCH(RobotDesignResults[[#This Row],[Team Number]], OfficialTeamList[Team '#],0))</f>
        <v/>
      </c>
      <c r="D67" s="70" t="n"/>
      <c r="E67" s="70" t="n"/>
      <c r="F67" s="70" t="n"/>
      <c r="G67" s="70" t="n"/>
      <c r="H67" s="70" t="n"/>
      <c r="I67" s="70" t="n"/>
      <c r="J67" s="70" t="n"/>
      <c r="K67" s="70" t="n"/>
      <c r="L67" s="70" t="n"/>
      <c r="M67" s="70" t="n"/>
      <c r="N67" s="83">
        <f>SUM(RobotDesignResults[[#This Row],[Identify - Strategy]:[Communicate - Fun (CV)]])</f>
        <v/>
      </c>
      <c r="O67" s="73">
        <f>_xlfn.RANK.EQ(RobotDesignResults[[#This Row],[Robot Design Score]],RobotDesignResults[Robot Design Score],0)</f>
        <v/>
      </c>
    </row>
    <row r="68" ht="21" customHeight="1">
      <c r="A68" s="69" t="n"/>
      <c r="B68" s="69">
        <f>INDEX(OfficialTeamList[Pod Number],MATCH(RobotDesignResults[[#This Row],[Team Number]], OfficialTeamList[Team '#],0))</f>
        <v/>
      </c>
      <c r="C68" s="106">
        <f>INDEX(OfficialTeamList[Team Name],MATCH(RobotDesignResults[[#This Row],[Team Number]], OfficialTeamList[Team '#],0))</f>
        <v/>
      </c>
      <c r="D68" s="70" t="n"/>
      <c r="E68" s="70" t="n"/>
      <c r="F68" s="70" t="n"/>
      <c r="G68" s="70" t="n"/>
      <c r="H68" s="70" t="n"/>
      <c r="I68" s="70" t="n"/>
      <c r="J68" s="70" t="n"/>
      <c r="K68" s="70" t="n"/>
      <c r="L68" s="70" t="n"/>
      <c r="M68" s="70" t="n"/>
      <c r="N68" s="83">
        <f>SUM(RobotDesignResults[[#This Row],[Identify - Strategy]:[Communicate - Fun (CV)]])</f>
        <v/>
      </c>
      <c r="O68" s="73">
        <f>_xlfn.RANK.EQ(RobotDesignResults[[#This Row],[Robot Design Score]],RobotDesignResults[Robot Design Score],0)</f>
        <v/>
      </c>
    </row>
    <row r="69" ht="21" customHeight="1">
      <c r="A69" s="69" t="n"/>
      <c r="B69" s="69">
        <f>INDEX(OfficialTeamList[Pod Number],MATCH(RobotDesignResults[[#This Row],[Team Number]], OfficialTeamList[Team '#],0))</f>
        <v/>
      </c>
      <c r="C69" s="106">
        <f>INDEX(OfficialTeamList[Team Name],MATCH(RobotDesignResults[[#This Row],[Team Number]], OfficialTeamList[Team '#],0))</f>
        <v/>
      </c>
      <c r="D69" s="70" t="n"/>
      <c r="E69" s="70" t="n"/>
      <c r="F69" s="70" t="n"/>
      <c r="G69" s="70" t="n"/>
      <c r="H69" s="70" t="n"/>
      <c r="I69" s="70" t="n"/>
      <c r="J69" s="70" t="n"/>
      <c r="K69" s="70" t="n"/>
      <c r="L69" s="70" t="n"/>
      <c r="M69" s="70" t="n"/>
      <c r="N69" s="83">
        <f>SUM(RobotDesignResults[[#This Row],[Identify - Strategy]:[Communicate - Fun (CV)]])</f>
        <v/>
      </c>
      <c r="O69" s="73">
        <f>_xlfn.RANK.EQ(RobotDesignResults[[#This Row],[Robot Design Score]],RobotDesignResults[Robot Design Score],0)</f>
        <v/>
      </c>
    </row>
    <row r="70" ht="21" customHeight="1">
      <c r="A70" s="69" t="n"/>
      <c r="B70" s="69">
        <f>INDEX(OfficialTeamList[Pod Number],MATCH(RobotDesignResults[[#This Row],[Team Number]], OfficialTeamList[Team '#],0))</f>
        <v/>
      </c>
      <c r="C70" s="106">
        <f>INDEX(OfficialTeamList[Team Name],MATCH(RobotDesignResults[[#This Row],[Team Number]], OfficialTeamList[Team '#],0))</f>
        <v/>
      </c>
      <c r="D70" s="70" t="n"/>
      <c r="E70" s="70" t="n"/>
      <c r="F70" s="70" t="n"/>
      <c r="G70" s="70" t="n"/>
      <c r="H70" s="70" t="n"/>
      <c r="I70" s="70" t="n"/>
      <c r="J70" s="70" t="n"/>
      <c r="K70" s="70" t="n"/>
      <c r="L70" s="70" t="n"/>
      <c r="M70" s="70" t="n"/>
      <c r="N70" s="83">
        <f>SUM(RobotDesignResults[[#This Row],[Identify - Strategy]:[Communicate - Fun (CV)]])</f>
        <v/>
      </c>
      <c r="O70" s="73">
        <f>_xlfn.RANK.EQ(RobotDesignResults[[#This Row],[Robot Design Score]],RobotDesignResults[Robot Design Score],0)</f>
        <v/>
      </c>
    </row>
    <row r="71" ht="21" customHeight="1">
      <c r="A71" s="69" t="n"/>
      <c r="B71" s="69">
        <f>INDEX(OfficialTeamList[Pod Number],MATCH(RobotDesignResults[[#This Row],[Team Number]], OfficialTeamList[Team '#],0))</f>
        <v/>
      </c>
      <c r="C71" s="106">
        <f>INDEX(OfficialTeamList[Team Name],MATCH(RobotDesignResults[[#This Row],[Team Number]], OfficialTeamList[Team '#],0))</f>
        <v/>
      </c>
      <c r="D71" s="70" t="n"/>
      <c r="E71" s="70" t="n"/>
      <c r="F71" s="70" t="n"/>
      <c r="G71" s="70" t="n"/>
      <c r="H71" s="70" t="n"/>
      <c r="I71" s="70" t="n"/>
      <c r="J71" s="70" t="n"/>
      <c r="K71" s="70" t="n"/>
      <c r="L71" s="70" t="n"/>
      <c r="M71" s="70" t="n"/>
      <c r="N71" s="83">
        <f>SUM(RobotDesignResults[[#This Row],[Identify - Strategy]:[Communicate - Fun (CV)]])</f>
        <v/>
      </c>
      <c r="O71" s="73">
        <f>_xlfn.RANK.EQ(RobotDesignResults[[#This Row],[Robot Design Score]],RobotDesignResults[Robot Design Score],0)</f>
        <v/>
      </c>
    </row>
    <row r="72" ht="21" customHeight="1">
      <c r="A72" s="69" t="n"/>
      <c r="B72" s="69">
        <f>INDEX(OfficialTeamList[Pod Number],MATCH(RobotDesignResults[[#This Row],[Team Number]], OfficialTeamList[Team '#],0))</f>
        <v/>
      </c>
      <c r="C72" s="106">
        <f>INDEX(OfficialTeamList[Team Name],MATCH(RobotDesignResults[[#This Row],[Team Number]], OfficialTeamList[Team '#],0))</f>
        <v/>
      </c>
      <c r="D72" s="70" t="n"/>
      <c r="E72" s="70" t="n"/>
      <c r="F72" s="70" t="n"/>
      <c r="G72" s="70" t="n"/>
      <c r="H72" s="70" t="n"/>
      <c r="I72" s="70" t="n"/>
      <c r="J72" s="70" t="n"/>
      <c r="K72" s="70" t="n"/>
      <c r="L72" s="70" t="n"/>
      <c r="M72" s="70" t="n"/>
      <c r="N72" s="83">
        <f>SUM(RobotDesignResults[[#This Row],[Identify - Strategy]:[Communicate - Fun (CV)]])</f>
        <v/>
      </c>
      <c r="O72" s="73">
        <f>_xlfn.RANK.EQ(RobotDesignResults[[#This Row],[Robot Design Score]],RobotDesignResults[Robot Design Score],0)</f>
        <v/>
      </c>
    </row>
    <row r="73" ht="21" customHeight="1">
      <c r="A73" s="69" t="n"/>
      <c r="B73" s="69">
        <f>INDEX(OfficialTeamList[Pod Number],MATCH(RobotDesignResults[[#This Row],[Team Number]], OfficialTeamList[Team '#],0))</f>
        <v/>
      </c>
      <c r="C73" s="106">
        <f>INDEX(OfficialTeamList[Team Name],MATCH(RobotDesignResults[[#This Row],[Team Number]], OfficialTeamList[Team '#],0))</f>
        <v/>
      </c>
      <c r="D73" s="70" t="n"/>
      <c r="E73" s="70" t="n"/>
      <c r="F73" s="70" t="n"/>
      <c r="G73" s="70" t="n"/>
      <c r="H73" s="70" t="n"/>
      <c r="I73" s="70" t="n"/>
      <c r="J73" s="70" t="n"/>
      <c r="K73" s="70" t="n"/>
      <c r="L73" s="70" t="n"/>
      <c r="M73" s="70" t="n"/>
      <c r="N73" s="83">
        <f>SUM(RobotDesignResults[[#This Row],[Identify - Strategy]:[Communicate - Fun (CV)]])</f>
        <v/>
      </c>
      <c r="O73" s="73">
        <f>_xlfn.RANK.EQ(RobotDesignResults[[#This Row],[Robot Design Score]],RobotDesignResults[Robot Design Score],0)</f>
        <v/>
      </c>
    </row>
    <row r="74" ht="21" customHeight="1">
      <c r="A74" s="69" t="n"/>
      <c r="B74" s="69">
        <f>INDEX(OfficialTeamList[Pod Number],MATCH(RobotDesignResults[[#This Row],[Team Number]], OfficialTeamList[Team '#],0))</f>
        <v/>
      </c>
      <c r="C74" s="106">
        <f>INDEX(OfficialTeamList[Team Name],MATCH(RobotDesignResults[[#This Row],[Team Number]], OfficialTeamList[Team '#],0))</f>
        <v/>
      </c>
      <c r="D74" s="70" t="n"/>
      <c r="E74" s="70" t="n"/>
      <c r="F74" s="70" t="n"/>
      <c r="G74" s="70" t="n"/>
      <c r="H74" s="70" t="n"/>
      <c r="I74" s="70" t="n"/>
      <c r="J74" s="70" t="n"/>
      <c r="K74" s="70" t="n"/>
      <c r="L74" s="70" t="n"/>
      <c r="M74" s="70" t="n"/>
      <c r="N74" s="83">
        <f>SUM(RobotDesignResults[[#This Row],[Identify - Strategy]:[Communicate - Fun (CV)]])</f>
        <v/>
      </c>
      <c r="O74" s="73">
        <f>_xlfn.RANK.EQ(RobotDesignResults[[#This Row],[Robot Design Score]],RobotDesignResults[Robot Design Score],0)</f>
        <v/>
      </c>
    </row>
    <row r="75" ht="21" customHeight="1">
      <c r="A75" s="69" t="n"/>
      <c r="B75" s="69">
        <f>INDEX(OfficialTeamList[Pod Number],MATCH(RobotDesignResults[[#This Row],[Team Number]], OfficialTeamList[Team '#],0))</f>
        <v/>
      </c>
      <c r="C75" s="106">
        <f>INDEX(OfficialTeamList[Team Name],MATCH(RobotDesignResults[[#This Row],[Team Number]], OfficialTeamList[Team '#],0))</f>
        <v/>
      </c>
      <c r="D75" s="70" t="n"/>
      <c r="E75" s="70" t="n"/>
      <c r="F75" s="70" t="n"/>
      <c r="G75" s="70" t="n"/>
      <c r="H75" s="70" t="n"/>
      <c r="I75" s="70" t="n"/>
      <c r="J75" s="70" t="n"/>
      <c r="K75" s="70" t="n"/>
      <c r="L75" s="70" t="n"/>
      <c r="M75" s="70" t="n"/>
      <c r="N75" s="83">
        <f>SUM(RobotDesignResults[[#This Row],[Identify - Strategy]:[Communicate - Fun (CV)]])</f>
        <v/>
      </c>
      <c r="O75" s="73">
        <f>_xlfn.RANK.EQ(RobotDesignResults[[#This Row],[Robot Design Score]],RobotDesignResults[Robot Design Score],0)</f>
        <v/>
      </c>
    </row>
    <row r="76" ht="21" customHeight="1">
      <c r="A76" s="69" t="n"/>
      <c r="B76" s="69">
        <f>INDEX(OfficialTeamList[Pod Number],MATCH(RobotDesignResults[[#This Row],[Team Number]], OfficialTeamList[Team '#],0))</f>
        <v/>
      </c>
      <c r="C76" s="106">
        <f>INDEX(OfficialTeamList[Team Name],MATCH(RobotDesignResults[[#This Row],[Team Number]], OfficialTeamList[Team '#],0))</f>
        <v/>
      </c>
      <c r="D76" s="70" t="n"/>
      <c r="E76" s="70" t="n"/>
      <c r="F76" s="70" t="n"/>
      <c r="G76" s="70" t="n"/>
      <c r="H76" s="70" t="n"/>
      <c r="I76" s="70" t="n"/>
      <c r="J76" s="70" t="n"/>
      <c r="K76" s="70" t="n"/>
      <c r="L76" s="70" t="n"/>
      <c r="M76" s="70" t="n"/>
      <c r="N76" s="83">
        <f>SUM(RobotDesignResults[[#This Row],[Identify - Strategy]:[Communicate - Fun (CV)]])</f>
        <v/>
      </c>
      <c r="O76" s="73">
        <f>_xlfn.RANK.EQ(RobotDesignResults[[#This Row],[Robot Design Score]],RobotDesignResults[Robot Design Score],0)</f>
        <v/>
      </c>
    </row>
    <row r="77" ht="21" customHeight="1">
      <c r="A77" s="69" t="n"/>
      <c r="B77" s="69">
        <f>INDEX(OfficialTeamList[Pod Number],MATCH(RobotDesignResults[[#This Row],[Team Number]], OfficialTeamList[Team '#],0))</f>
        <v/>
      </c>
      <c r="C77" s="106">
        <f>INDEX(OfficialTeamList[Team Name],MATCH(RobotDesignResults[[#This Row],[Team Number]], OfficialTeamList[Team '#],0))</f>
        <v/>
      </c>
      <c r="D77" s="70" t="n"/>
      <c r="E77" s="70" t="n"/>
      <c r="F77" s="70" t="n"/>
      <c r="G77" s="70" t="n"/>
      <c r="H77" s="70" t="n"/>
      <c r="I77" s="70" t="n"/>
      <c r="J77" s="70" t="n"/>
      <c r="K77" s="70" t="n"/>
      <c r="L77" s="70" t="n"/>
      <c r="M77" s="70" t="n"/>
      <c r="N77" s="83">
        <f>SUM(RobotDesignResults[[#This Row],[Identify - Strategy]:[Communicate - Fun (CV)]])</f>
        <v/>
      </c>
      <c r="O77" s="73">
        <f>_xlfn.RANK.EQ(RobotDesignResults[[#This Row],[Robot Design Score]],RobotDesignResults[Robot Design Score],0)</f>
        <v/>
      </c>
    </row>
    <row r="78" ht="21" customHeight="1">
      <c r="A78" s="69" t="n"/>
      <c r="B78" s="69">
        <f>INDEX(OfficialTeamList[Pod Number],MATCH(RobotDesignResults[[#This Row],[Team Number]], OfficialTeamList[Team '#],0))</f>
        <v/>
      </c>
      <c r="C78" s="106">
        <f>INDEX(OfficialTeamList[Team Name],MATCH(RobotDesignResults[[#This Row],[Team Number]], OfficialTeamList[Team '#],0))</f>
        <v/>
      </c>
      <c r="D78" s="70" t="n"/>
      <c r="E78" s="70" t="n"/>
      <c r="F78" s="70" t="n"/>
      <c r="G78" s="70" t="n"/>
      <c r="H78" s="70" t="n"/>
      <c r="I78" s="70" t="n"/>
      <c r="J78" s="70" t="n"/>
      <c r="K78" s="70" t="n"/>
      <c r="L78" s="70" t="n"/>
      <c r="M78" s="70" t="n"/>
      <c r="N78" s="83">
        <f>SUM(RobotDesignResults[[#This Row],[Identify - Strategy]:[Communicate - Fun (CV)]])</f>
        <v/>
      </c>
      <c r="O78" s="73">
        <f>_xlfn.RANK.EQ(RobotDesignResults[[#This Row],[Robot Design Score]],RobotDesignResults[Robot Design Score],0)</f>
        <v/>
      </c>
    </row>
    <row r="79" ht="21" customHeight="1">
      <c r="A79" s="69" t="n"/>
      <c r="B79" s="69">
        <f>INDEX(OfficialTeamList[Pod Number],MATCH(RobotDesignResults[[#This Row],[Team Number]], OfficialTeamList[Team '#],0))</f>
        <v/>
      </c>
      <c r="C79" s="106">
        <f>INDEX(OfficialTeamList[Team Name],MATCH(RobotDesignResults[[#This Row],[Team Number]], OfficialTeamList[Team '#],0))</f>
        <v/>
      </c>
      <c r="D79" s="70" t="n"/>
      <c r="E79" s="70" t="n"/>
      <c r="F79" s="70" t="n"/>
      <c r="G79" s="70" t="n"/>
      <c r="H79" s="70" t="n"/>
      <c r="I79" s="70" t="n"/>
      <c r="J79" s="70" t="n"/>
      <c r="K79" s="70" t="n"/>
      <c r="L79" s="70" t="n"/>
      <c r="M79" s="70" t="n"/>
      <c r="N79" s="83">
        <f>SUM(RobotDesignResults[[#This Row],[Identify - Strategy]:[Communicate - Fun (CV)]])</f>
        <v/>
      </c>
      <c r="O79" s="73">
        <f>_xlfn.RANK.EQ(RobotDesignResults[[#This Row],[Robot Design Score]],RobotDesignResults[Robot Design Score],0)</f>
        <v/>
      </c>
    </row>
    <row r="80" ht="21" customHeight="1">
      <c r="A80" s="69" t="n"/>
      <c r="B80" s="69">
        <f>INDEX(OfficialTeamList[Pod Number],MATCH(RobotDesignResults[[#This Row],[Team Number]], OfficialTeamList[Team '#],0))</f>
        <v/>
      </c>
      <c r="C80" s="106">
        <f>INDEX(OfficialTeamList[Team Name],MATCH(RobotDesignResults[[#This Row],[Team Number]], OfficialTeamList[Team '#],0))</f>
        <v/>
      </c>
      <c r="D80" s="70" t="n"/>
      <c r="E80" s="70" t="n"/>
      <c r="F80" s="70" t="n"/>
      <c r="G80" s="70" t="n"/>
      <c r="H80" s="70" t="n"/>
      <c r="I80" s="70" t="n"/>
      <c r="J80" s="70" t="n"/>
      <c r="K80" s="70" t="n"/>
      <c r="L80" s="70" t="n"/>
      <c r="M80" s="70" t="n"/>
      <c r="N80" s="83">
        <f>SUM(RobotDesignResults[[#This Row],[Identify - Strategy]:[Communicate - Fun (CV)]])</f>
        <v/>
      </c>
      <c r="O80" s="73">
        <f>_xlfn.RANK.EQ(RobotDesignResults[[#This Row],[Robot Design Score]],RobotDesignResults[Robot Design Score],0)</f>
        <v/>
      </c>
    </row>
    <row r="81" ht="21" customHeight="1">
      <c r="A81" s="69" t="n"/>
      <c r="B81" s="69">
        <f>INDEX(OfficialTeamList[Pod Number],MATCH(RobotDesignResults[[#This Row],[Team Number]], OfficialTeamList[Team '#],0))</f>
        <v/>
      </c>
      <c r="C81" s="106">
        <f>INDEX(OfficialTeamList[Team Name],MATCH(RobotDesignResults[[#This Row],[Team Number]], OfficialTeamList[Team '#],0))</f>
        <v/>
      </c>
      <c r="D81" s="70" t="n"/>
      <c r="E81" s="70" t="n"/>
      <c r="F81" s="70" t="n"/>
      <c r="G81" s="70" t="n"/>
      <c r="H81" s="70" t="n"/>
      <c r="I81" s="70" t="n"/>
      <c r="J81" s="70" t="n"/>
      <c r="K81" s="70" t="n"/>
      <c r="L81" s="70" t="n"/>
      <c r="M81" s="70" t="n"/>
      <c r="N81" s="83">
        <f>SUM(RobotDesignResults[[#This Row],[Identify - Strategy]:[Communicate - Fun (CV)]])</f>
        <v/>
      </c>
      <c r="O81" s="73">
        <f>_xlfn.RANK.EQ(RobotDesignResults[[#This Row],[Robot Design Score]],RobotDesignResults[Robot Design Score],0)</f>
        <v/>
      </c>
    </row>
    <row r="82" ht="21" customHeight="1">
      <c r="A82" s="69" t="n"/>
      <c r="B82" s="69">
        <f>INDEX(OfficialTeamList[Pod Number],MATCH(RobotDesignResults[[#This Row],[Team Number]], OfficialTeamList[Team '#],0))</f>
        <v/>
      </c>
      <c r="C82" s="106">
        <f>INDEX(OfficialTeamList[Team Name],MATCH(RobotDesignResults[[#This Row],[Team Number]], OfficialTeamList[Team '#],0))</f>
        <v/>
      </c>
      <c r="D82" s="70" t="n"/>
      <c r="E82" s="70" t="n"/>
      <c r="F82" s="70" t="n"/>
      <c r="G82" s="70" t="n"/>
      <c r="H82" s="70" t="n"/>
      <c r="I82" s="70" t="n"/>
      <c r="J82" s="70" t="n"/>
      <c r="K82" s="70" t="n"/>
      <c r="L82" s="70" t="n"/>
      <c r="M82" s="70" t="n"/>
      <c r="N82" s="83">
        <f>SUM(RobotDesignResults[[#This Row],[Identify - Strategy]:[Communicate - Fun (CV)]])</f>
        <v/>
      </c>
      <c r="O82" s="73">
        <f>_xlfn.RANK.EQ(RobotDesignResults[[#This Row],[Robot Design Score]],RobotDesignResults[Robot Design Score],0)</f>
        <v/>
      </c>
    </row>
    <row r="83" ht="21" customHeight="1">
      <c r="A83" s="69" t="n"/>
      <c r="B83" s="69">
        <f>INDEX(OfficialTeamList[Pod Number],MATCH(RobotDesignResults[[#This Row],[Team Number]], OfficialTeamList[Team '#],0))</f>
        <v/>
      </c>
      <c r="C83" s="106">
        <f>INDEX(OfficialTeamList[Team Name],MATCH(RobotDesignResults[[#This Row],[Team Number]], OfficialTeamList[Team '#],0))</f>
        <v/>
      </c>
      <c r="D83" s="70" t="n"/>
      <c r="E83" s="70" t="n"/>
      <c r="F83" s="70" t="n"/>
      <c r="G83" s="70" t="n"/>
      <c r="H83" s="70" t="n"/>
      <c r="I83" s="70" t="n"/>
      <c r="J83" s="70" t="n"/>
      <c r="K83" s="70" t="n"/>
      <c r="L83" s="70" t="n"/>
      <c r="M83" s="70" t="n"/>
      <c r="N83" s="83">
        <f>SUM(RobotDesignResults[[#This Row],[Identify - Strategy]:[Communicate - Fun (CV)]])</f>
        <v/>
      </c>
      <c r="O83" s="73">
        <f>_xlfn.RANK.EQ(RobotDesignResults[[#This Row],[Robot Design Score]],RobotDesignResults[Robot Design Score],0)</f>
        <v/>
      </c>
    </row>
    <row r="84" ht="21" customHeight="1">
      <c r="A84" s="69" t="n"/>
      <c r="B84" s="69">
        <f>INDEX(OfficialTeamList[Pod Number],MATCH(RobotDesignResults[[#This Row],[Team Number]], OfficialTeamList[Team '#],0))</f>
        <v/>
      </c>
      <c r="C84" s="106">
        <f>INDEX(OfficialTeamList[Team Name],MATCH(RobotDesignResults[[#This Row],[Team Number]], OfficialTeamList[Team '#],0))</f>
        <v/>
      </c>
      <c r="D84" s="70" t="n"/>
      <c r="E84" s="70" t="n"/>
      <c r="F84" s="70" t="n"/>
      <c r="G84" s="70" t="n"/>
      <c r="H84" s="70" t="n"/>
      <c r="I84" s="70" t="n"/>
      <c r="J84" s="70" t="n"/>
      <c r="K84" s="70" t="n"/>
      <c r="L84" s="70" t="n"/>
      <c r="M84" s="70" t="n"/>
      <c r="N84" s="83">
        <f>SUM(RobotDesignResults[[#This Row],[Identify - Strategy]:[Communicate - Fun (CV)]])</f>
        <v/>
      </c>
      <c r="O84" s="73">
        <f>_xlfn.RANK.EQ(RobotDesignResults[[#This Row],[Robot Design Score]],RobotDesignResults[Robot Design Score],0)</f>
        <v/>
      </c>
    </row>
    <row r="85" ht="21" customHeight="1">
      <c r="A85" s="69" t="n"/>
      <c r="B85" s="69">
        <f>INDEX(OfficialTeamList[Pod Number],MATCH(RobotDesignResults[[#This Row],[Team Number]], OfficialTeamList[Team '#],0))</f>
        <v/>
      </c>
      <c r="C85" s="106">
        <f>INDEX(OfficialTeamList[Team Name],MATCH(RobotDesignResults[[#This Row],[Team Number]], OfficialTeamList[Team '#],0))</f>
        <v/>
      </c>
      <c r="D85" s="70" t="n"/>
      <c r="E85" s="70" t="n"/>
      <c r="F85" s="70" t="n"/>
      <c r="G85" s="70" t="n"/>
      <c r="H85" s="70" t="n"/>
      <c r="I85" s="70" t="n"/>
      <c r="J85" s="70" t="n"/>
      <c r="K85" s="70" t="n"/>
      <c r="L85" s="70" t="n"/>
      <c r="M85" s="70" t="n"/>
      <c r="N85" s="83">
        <f>SUM(RobotDesignResults[[#This Row],[Identify - Strategy]:[Communicate - Fun (CV)]])</f>
        <v/>
      </c>
      <c r="O85" s="73">
        <f>_xlfn.RANK.EQ(RobotDesignResults[[#This Row],[Robot Design Score]],RobotDesignResults[Robot Design Score],0)</f>
        <v/>
      </c>
    </row>
    <row r="86" ht="21" customHeight="1">
      <c r="A86" s="69" t="n"/>
      <c r="B86" s="69">
        <f>INDEX(OfficialTeamList[Pod Number],MATCH(RobotDesignResults[[#This Row],[Team Number]], OfficialTeamList[Team '#],0))</f>
        <v/>
      </c>
      <c r="C86" s="106">
        <f>INDEX(OfficialTeamList[Team Name],MATCH(RobotDesignResults[[#This Row],[Team Number]], OfficialTeamList[Team '#],0))</f>
        <v/>
      </c>
      <c r="D86" s="70" t="n"/>
      <c r="E86" s="70" t="n"/>
      <c r="F86" s="70" t="n"/>
      <c r="G86" s="70" t="n"/>
      <c r="H86" s="70" t="n"/>
      <c r="I86" s="70" t="n"/>
      <c r="J86" s="70" t="n"/>
      <c r="K86" s="70" t="n"/>
      <c r="L86" s="70" t="n"/>
      <c r="M86" s="70" t="n"/>
      <c r="N86" s="83">
        <f>SUM(RobotDesignResults[[#This Row],[Identify - Strategy]:[Communicate - Fun (CV)]])</f>
        <v/>
      </c>
      <c r="O86" s="73">
        <f>_xlfn.RANK.EQ(RobotDesignResults[[#This Row],[Robot Design Score]],RobotDesignResults[Robot Design Score],0)</f>
        <v/>
      </c>
    </row>
    <row r="87" ht="21" customHeight="1">
      <c r="A87" s="69" t="n"/>
      <c r="B87" s="69">
        <f>INDEX(OfficialTeamList[Pod Number],MATCH(RobotDesignResults[[#This Row],[Team Number]], OfficialTeamList[Team '#],0))</f>
        <v/>
      </c>
      <c r="C87" s="106">
        <f>INDEX(OfficialTeamList[Team Name],MATCH(RobotDesignResults[[#This Row],[Team Number]], OfficialTeamList[Team '#],0))</f>
        <v/>
      </c>
      <c r="D87" s="70" t="n"/>
      <c r="E87" s="70" t="n"/>
      <c r="F87" s="70" t="n"/>
      <c r="G87" s="70" t="n"/>
      <c r="H87" s="70" t="n"/>
      <c r="I87" s="70" t="n"/>
      <c r="J87" s="70" t="n"/>
      <c r="K87" s="70" t="n"/>
      <c r="L87" s="70" t="n"/>
      <c r="M87" s="70" t="n"/>
      <c r="N87" s="83">
        <f>SUM(RobotDesignResults[[#This Row],[Identify - Strategy]:[Communicate - Fun (CV)]])</f>
        <v/>
      </c>
      <c r="O87" s="73">
        <f>_xlfn.RANK.EQ(RobotDesignResults[[#This Row],[Robot Design Score]],RobotDesignResults[Robot Design Score],0)</f>
        <v/>
      </c>
    </row>
    <row r="88" ht="21" customHeight="1">
      <c r="A88" s="69" t="n"/>
      <c r="B88" s="69">
        <f>INDEX(OfficialTeamList[Pod Number],MATCH(RobotDesignResults[[#This Row],[Team Number]], OfficialTeamList[Team '#],0))</f>
        <v/>
      </c>
      <c r="C88" s="106">
        <f>INDEX(OfficialTeamList[Team Name],MATCH(RobotDesignResults[[#This Row],[Team Number]], OfficialTeamList[Team '#],0))</f>
        <v/>
      </c>
      <c r="D88" s="70" t="n"/>
      <c r="E88" s="70" t="n"/>
      <c r="F88" s="70" t="n"/>
      <c r="G88" s="70" t="n"/>
      <c r="H88" s="70" t="n"/>
      <c r="I88" s="70" t="n"/>
      <c r="J88" s="70" t="n"/>
      <c r="K88" s="70" t="n"/>
      <c r="L88" s="70" t="n"/>
      <c r="M88" s="70" t="n"/>
      <c r="N88" s="83">
        <f>SUM(RobotDesignResults[[#This Row],[Identify - Strategy]:[Communicate - Fun (CV)]])</f>
        <v/>
      </c>
      <c r="O88" s="73">
        <f>_xlfn.RANK.EQ(RobotDesignResults[[#This Row],[Robot Design Score]],RobotDesignResults[Robot Design Score],0)</f>
        <v/>
      </c>
    </row>
    <row r="89" ht="21" customHeight="1">
      <c r="A89" s="69" t="n"/>
      <c r="B89" s="69">
        <f>INDEX(OfficialTeamList[Pod Number],MATCH(RobotDesignResults[[#This Row],[Team Number]], OfficialTeamList[Team '#],0))</f>
        <v/>
      </c>
      <c r="C89" s="106">
        <f>INDEX(OfficialTeamList[Team Name],MATCH(RobotDesignResults[[#This Row],[Team Number]], OfficialTeamList[Team '#],0))</f>
        <v/>
      </c>
      <c r="D89" s="70" t="n"/>
      <c r="E89" s="70" t="n"/>
      <c r="F89" s="70" t="n"/>
      <c r="G89" s="70" t="n"/>
      <c r="H89" s="70" t="n"/>
      <c r="I89" s="70" t="n"/>
      <c r="J89" s="70" t="n"/>
      <c r="K89" s="70" t="n"/>
      <c r="L89" s="70" t="n"/>
      <c r="M89" s="70" t="n"/>
      <c r="N89" s="83">
        <f>SUM(RobotDesignResults[[#This Row],[Identify - Strategy]:[Communicate - Fun (CV)]])</f>
        <v/>
      </c>
      <c r="O89" s="73">
        <f>_xlfn.RANK.EQ(RobotDesignResults[[#This Row],[Robot Design Score]],RobotDesignResults[Robot Design Score],0)</f>
        <v/>
      </c>
    </row>
    <row r="90" ht="21" customHeight="1">
      <c r="A90" s="69" t="n"/>
      <c r="B90" s="69">
        <f>INDEX(OfficialTeamList[Pod Number],MATCH(RobotDesignResults[[#This Row],[Team Number]], OfficialTeamList[Team '#],0))</f>
        <v/>
      </c>
      <c r="C90" s="106">
        <f>INDEX(OfficialTeamList[Team Name],MATCH(RobotDesignResults[[#This Row],[Team Number]], OfficialTeamList[Team '#],0))</f>
        <v/>
      </c>
      <c r="D90" s="70" t="n"/>
      <c r="E90" s="70" t="n"/>
      <c r="F90" s="70" t="n"/>
      <c r="G90" s="70" t="n"/>
      <c r="H90" s="70" t="n"/>
      <c r="I90" s="70" t="n"/>
      <c r="J90" s="70" t="n"/>
      <c r="K90" s="70" t="n"/>
      <c r="L90" s="70" t="n"/>
      <c r="M90" s="70" t="n"/>
      <c r="N90" s="83">
        <f>SUM(RobotDesignResults[[#This Row],[Identify - Strategy]:[Communicate - Fun (CV)]])</f>
        <v/>
      </c>
      <c r="O90" s="73">
        <f>_xlfn.RANK.EQ(RobotDesignResults[[#This Row],[Robot Design Score]],RobotDesignResults[Robot Design Score],0)</f>
        <v/>
      </c>
    </row>
    <row r="91" ht="21" customHeight="1">
      <c r="A91" s="69" t="n"/>
      <c r="B91" s="69">
        <f>INDEX(OfficialTeamList[Pod Number],MATCH(RobotDesignResults[[#This Row],[Team Number]], OfficialTeamList[Team '#],0))</f>
        <v/>
      </c>
      <c r="C91" s="106">
        <f>INDEX(OfficialTeamList[Team Name],MATCH(RobotDesignResults[[#This Row],[Team Number]], OfficialTeamList[Team '#],0))</f>
        <v/>
      </c>
      <c r="D91" s="70" t="n"/>
      <c r="E91" s="70" t="n"/>
      <c r="F91" s="70" t="n"/>
      <c r="G91" s="70" t="n"/>
      <c r="H91" s="70" t="n"/>
      <c r="I91" s="70" t="n"/>
      <c r="J91" s="70" t="n"/>
      <c r="K91" s="70" t="n"/>
      <c r="L91" s="70" t="n"/>
      <c r="M91" s="70" t="n"/>
      <c r="N91" s="83">
        <f>SUM(RobotDesignResults[[#This Row],[Identify - Strategy]:[Communicate - Fun (CV)]])</f>
        <v/>
      </c>
      <c r="O91" s="73">
        <f>_xlfn.RANK.EQ(RobotDesignResults[[#This Row],[Robot Design Score]],RobotDesignResults[Robot Design Score],0)</f>
        <v/>
      </c>
    </row>
    <row r="92" ht="21" customHeight="1">
      <c r="A92" s="69" t="n"/>
      <c r="B92" s="69">
        <f>INDEX(OfficialTeamList[Pod Number],MATCH(RobotDesignResults[[#This Row],[Team Number]], OfficialTeamList[Team '#],0))</f>
        <v/>
      </c>
      <c r="C92" s="106">
        <f>INDEX(OfficialTeamList[Team Name],MATCH(RobotDesignResults[[#This Row],[Team Number]], OfficialTeamList[Team '#],0))</f>
        <v/>
      </c>
      <c r="D92" s="70" t="n"/>
      <c r="E92" s="70" t="n"/>
      <c r="F92" s="70" t="n"/>
      <c r="G92" s="70" t="n"/>
      <c r="H92" s="70" t="n"/>
      <c r="I92" s="70" t="n"/>
      <c r="J92" s="70" t="n"/>
      <c r="K92" s="70" t="n"/>
      <c r="L92" s="70" t="n"/>
      <c r="M92" s="70" t="n"/>
      <c r="N92" s="83">
        <f>SUM(RobotDesignResults[[#This Row],[Identify - Strategy]:[Communicate - Fun (CV)]])</f>
        <v/>
      </c>
      <c r="O92" s="73">
        <f>_xlfn.RANK.EQ(RobotDesignResults[[#This Row],[Robot Design Score]],RobotDesignResults[Robot Design Score],0)</f>
        <v/>
      </c>
    </row>
    <row r="93" ht="21" customHeight="1">
      <c r="A93" s="69" t="n"/>
      <c r="B93" s="69">
        <f>INDEX(OfficialTeamList[Pod Number],MATCH(RobotDesignResults[[#This Row],[Team Number]], OfficialTeamList[Team '#],0))</f>
        <v/>
      </c>
      <c r="C93" s="106">
        <f>INDEX(OfficialTeamList[Team Name],MATCH(RobotDesignResults[[#This Row],[Team Number]], OfficialTeamList[Team '#],0))</f>
        <v/>
      </c>
      <c r="D93" s="70" t="n"/>
      <c r="E93" s="70" t="n"/>
      <c r="F93" s="70" t="n"/>
      <c r="G93" s="70" t="n"/>
      <c r="H93" s="70" t="n"/>
      <c r="I93" s="70" t="n"/>
      <c r="J93" s="70" t="n"/>
      <c r="K93" s="70" t="n"/>
      <c r="L93" s="70" t="n"/>
      <c r="M93" s="70" t="n"/>
      <c r="N93" s="83">
        <f>SUM(RobotDesignResults[[#This Row],[Identify - Strategy]:[Communicate - Fun (CV)]])</f>
        <v/>
      </c>
      <c r="O93" s="73">
        <f>_xlfn.RANK.EQ(RobotDesignResults[[#This Row],[Robot Design Score]],RobotDesignResults[Robot Design Score],0)</f>
        <v/>
      </c>
    </row>
    <row r="94" ht="21" customHeight="1">
      <c r="A94" s="69" t="n"/>
      <c r="B94" s="69">
        <f>INDEX(OfficialTeamList[Pod Number],MATCH(RobotDesignResults[[#This Row],[Team Number]], OfficialTeamList[Team '#],0))</f>
        <v/>
      </c>
      <c r="C94" s="106">
        <f>INDEX(OfficialTeamList[Team Name],MATCH(RobotDesignResults[[#This Row],[Team Number]], OfficialTeamList[Team '#],0))</f>
        <v/>
      </c>
      <c r="D94" s="70" t="n"/>
      <c r="E94" s="70" t="n"/>
      <c r="F94" s="70" t="n"/>
      <c r="G94" s="70" t="n"/>
      <c r="H94" s="70" t="n"/>
      <c r="I94" s="70" t="n"/>
      <c r="J94" s="70" t="n"/>
      <c r="K94" s="70" t="n"/>
      <c r="L94" s="70" t="n"/>
      <c r="M94" s="70" t="n"/>
      <c r="N94" s="83">
        <f>SUM(RobotDesignResults[[#This Row],[Identify - Strategy]:[Communicate - Fun (CV)]])</f>
        <v/>
      </c>
      <c r="O94" s="73">
        <f>_xlfn.RANK.EQ(RobotDesignResults[[#This Row],[Robot Design Score]],RobotDesignResults[Robot Design Score],0)</f>
        <v/>
      </c>
    </row>
    <row r="95" ht="21" customHeight="1">
      <c r="A95" s="69" t="n"/>
      <c r="B95" s="69">
        <f>INDEX(OfficialTeamList[Pod Number],MATCH(RobotDesignResults[[#This Row],[Team Number]], OfficialTeamList[Team '#],0))</f>
        <v/>
      </c>
      <c r="C95" s="106">
        <f>INDEX(OfficialTeamList[Team Name],MATCH(RobotDesignResults[[#This Row],[Team Number]], OfficialTeamList[Team '#],0))</f>
        <v/>
      </c>
      <c r="D95" s="70" t="n"/>
      <c r="E95" s="70" t="n"/>
      <c r="F95" s="70" t="n"/>
      <c r="G95" s="70" t="n"/>
      <c r="H95" s="70" t="n"/>
      <c r="I95" s="70" t="n"/>
      <c r="J95" s="70" t="n"/>
      <c r="K95" s="70" t="n"/>
      <c r="L95" s="70" t="n"/>
      <c r="M95" s="70" t="n"/>
      <c r="N95" s="83">
        <f>SUM(RobotDesignResults[[#This Row],[Identify - Strategy]:[Communicate - Fun (CV)]])</f>
        <v/>
      </c>
      <c r="O95" s="73">
        <f>_xlfn.RANK.EQ(RobotDesignResults[[#This Row],[Robot Design Score]],RobotDesignResults[Robot Design Score],0)</f>
        <v/>
      </c>
    </row>
    <row r="96" ht="21" customHeight="1">
      <c r="A96" s="69" t="n"/>
      <c r="B96" s="69">
        <f>INDEX(OfficialTeamList[Pod Number],MATCH(RobotDesignResults[[#This Row],[Team Number]], OfficialTeamList[Team '#],0))</f>
        <v/>
      </c>
      <c r="C96" s="106">
        <f>INDEX(OfficialTeamList[Team Name],MATCH(RobotDesignResults[[#This Row],[Team Number]], OfficialTeamList[Team '#],0))</f>
        <v/>
      </c>
      <c r="D96" s="70" t="n"/>
      <c r="E96" s="70" t="n"/>
      <c r="F96" s="70" t="n"/>
      <c r="G96" s="70" t="n"/>
      <c r="H96" s="70" t="n"/>
      <c r="I96" s="70" t="n"/>
      <c r="J96" s="70" t="n"/>
      <c r="K96" s="70" t="n"/>
      <c r="L96" s="70" t="n"/>
      <c r="M96" s="70" t="n"/>
      <c r="N96" s="83">
        <f>SUM(RobotDesignResults[[#This Row],[Identify - Strategy]:[Communicate - Fun (CV)]])</f>
        <v/>
      </c>
      <c r="O96" s="73">
        <f>_xlfn.RANK.EQ(RobotDesignResults[[#This Row],[Robot Design Score]],RobotDesignResults[Robot Design Score],0)</f>
        <v/>
      </c>
    </row>
    <row r="97" ht="21" customHeight="1">
      <c r="A97" s="69" t="n"/>
      <c r="B97" s="69">
        <f>INDEX(OfficialTeamList[Pod Number],MATCH(RobotDesignResults[[#This Row],[Team Number]], OfficialTeamList[Team '#],0))</f>
        <v/>
      </c>
      <c r="C97" s="106">
        <f>INDEX(OfficialTeamList[Team Name],MATCH(RobotDesignResults[[#This Row],[Team Number]], OfficialTeamList[Team '#],0))</f>
        <v/>
      </c>
      <c r="D97" s="70" t="n"/>
      <c r="E97" s="70" t="n"/>
      <c r="F97" s="70" t="n"/>
      <c r="G97" s="70" t="n"/>
      <c r="H97" s="70" t="n"/>
      <c r="I97" s="70" t="n"/>
      <c r="J97" s="70" t="n"/>
      <c r="K97" s="70" t="n"/>
      <c r="L97" s="70" t="n"/>
      <c r="M97" s="70" t="n"/>
      <c r="N97" s="83">
        <f>SUM(RobotDesignResults[[#This Row],[Identify - Strategy]:[Communicate - Fun (CV)]])</f>
        <v/>
      </c>
      <c r="O97" s="73">
        <f>_xlfn.RANK.EQ(RobotDesignResults[[#This Row],[Robot Design Score]],RobotDesignResults[Robot Design Score],0)</f>
        <v/>
      </c>
    </row>
    <row r="98" ht="21" customHeight="1">
      <c r="A98" s="69" t="n"/>
      <c r="B98" s="69">
        <f>INDEX(OfficialTeamList[Pod Number],MATCH(RobotDesignResults[[#This Row],[Team Number]], OfficialTeamList[Team '#],0))</f>
        <v/>
      </c>
      <c r="C98" s="106">
        <f>INDEX(OfficialTeamList[Team Name],MATCH(RobotDesignResults[[#This Row],[Team Number]], OfficialTeamList[Team '#],0))</f>
        <v/>
      </c>
      <c r="D98" s="70" t="n"/>
      <c r="E98" s="70" t="n"/>
      <c r="F98" s="70" t="n"/>
      <c r="G98" s="70" t="n"/>
      <c r="H98" s="70" t="n"/>
      <c r="I98" s="70" t="n"/>
      <c r="J98" s="70" t="n"/>
      <c r="K98" s="70" t="n"/>
      <c r="L98" s="70" t="n"/>
      <c r="M98" s="70" t="n"/>
      <c r="N98" s="83">
        <f>SUM(RobotDesignResults[[#This Row],[Identify - Strategy]:[Communicate - Fun (CV)]])</f>
        <v/>
      </c>
      <c r="O98" s="73">
        <f>_xlfn.RANK.EQ(RobotDesignResults[[#This Row],[Robot Design Score]],RobotDesignResults[Robot Design Score],0)</f>
        <v/>
      </c>
    </row>
    <row r="99" ht="21" customHeight="1">
      <c r="A99" s="69" t="n"/>
      <c r="B99" s="69">
        <f>INDEX(OfficialTeamList[Pod Number],MATCH(RobotDesignResults[[#This Row],[Team Number]], OfficialTeamList[Team '#],0))</f>
        <v/>
      </c>
      <c r="C99" s="106">
        <f>INDEX(OfficialTeamList[Team Name],MATCH(RobotDesignResults[[#This Row],[Team Number]], OfficialTeamList[Team '#],0))</f>
        <v/>
      </c>
      <c r="D99" s="70" t="n"/>
      <c r="E99" s="70" t="n"/>
      <c r="F99" s="70" t="n"/>
      <c r="G99" s="70" t="n"/>
      <c r="H99" s="70" t="n"/>
      <c r="I99" s="70" t="n"/>
      <c r="J99" s="70" t="n"/>
      <c r="K99" s="70" t="n"/>
      <c r="L99" s="70" t="n"/>
      <c r="M99" s="70" t="n"/>
      <c r="N99" s="83">
        <f>SUM(RobotDesignResults[[#This Row],[Identify - Strategy]:[Communicate - Fun (CV)]])</f>
        <v/>
      </c>
      <c r="O99" s="73">
        <f>_xlfn.RANK.EQ(RobotDesignResults[[#This Row],[Robot Design Score]],RobotDesignResults[Robot Design Score],0)</f>
        <v/>
      </c>
    </row>
    <row r="100" ht="21" customHeight="1">
      <c r="A100" s="69" t="n"/>
      <c r="B100" s="69">
        <f>INDEX(OfficialTeamList[Pod Number],MATCH(RobotDesignResults[[#This Row],[Team Number]], OfficialTeamList[Team '#],0))</f>
        <v/>
      </c>
      <c r="C100" s="106">
        <f>INDEX(OfficialTeamList[Team Name],MATCH(RobotDesignResults[[#This Row],[Team Number]], OfficialTeamList[Team '#],0))</f>
        <v/>
      </c>
      <c r="D100" s="70" t="n"/>
      <c r="E100" s="70" t="n"/>
      <c r="F100" s="70" t="n"/>
      <c r="G100" s="70" t="n"/>
      <c r="H100" s="70" t="n"/>
      <c r="I100" s="70" t="n"/>
      <c r="J100" s="70" t="n"/>
      <c r="K100" s="70" t="n"/>
      <c r="L100" s="70" t="n"/>
      <c r="M100" s="70" t="n"/>
      <c r="N100" s="83">
        <f>SUM(RobotDesignResults[[#This Row],[Identify - Strategy]:[Communicate - Fun (CV)]])</f>
        <v/>
      </c>
      <c r="O100" s="73">
        <f>_xlfn.RANK.EQ(RobotDesignResults[[#This Row],[Robot Design Score]],RobotDesignResults[Robot Design Score],0)</f>
        <v/>
      </c>
    </row>
    <row r="101" ht="21" customHeight="1">
      <c r="A101" s="69" t="n"/>
      <c r="B101" s="69">
        <f>INDEX(OfficialTeamList[Pod Number],MATCH(RobotDesignResults[[#This Row],[Team Number]], OfficialTeamList[Team '#],0))</f>
        <v/>
      </c>
      <c r="C101" s="106">
        <f>INDEX(OfficialTeamList[Team Name],MATCH(RobotDesignResults[[#This Row],[Team Number]], OfficialTeamList[Team '#],0))</f>
        <v/>
      </c>
      <c r="D101" s="70" t="n"/>
      <c r="E101" s="70" t="n"/>
      <c r="F101" s="70" t="n"/>
      <c r="G101" s="70" t="n"/>
      <c r="H101" s="70" t="n"/>
      <c r="I101" s="70" t="n"/>
      <c r="J101" s="70" t="n"/>
      <c r="K101" s="70" t="n"/>
      <c r="L101" s="70" t="n"/>
      <c r="M101" s="70" t="n"/>
      <c r="N101" s="83">
        <f>SUM(RobotDesignResults[[#This Row],[Identify - Strategy]:[Communicate - Fun (CV)]])</f>
        <v/>
      </c>
      <c r="O101" s="73">
        <f>_xlfn.RANK.EQ(RobotDesignResults[[#This Row],[Robot Design Score]],RobotDesignResults[Robot Design Score],0)</f>
        <v/>
      </c>
    </row>
    <row r="102" ht="21" customHeight="1">
      <c r="A102" s="69" t="n"/>
      <c r="B102" s="69">
        <f>INDEX(OfficialTeamList[Pod Number],MATCH(RobotDesignResults[[#This Row],[Team Number]], OfficialTeamList[Team '#],0))</f>
        <v/>
      </c>
      <c r="C102" s="106">
        <f>INDEX(OfficialTeamList[Team Name],MATCH(RobotDesignResults[[#This Row],[Team Number]], OfficialTeamList[Team '#],0))</f>
        <v/>
      </c>
      <c r="D102" s="70" t="n"/>
      <c r="E102" s="70" t="n"/>
      <c r="F102" s="70" t="n"/>
      <c r="G102" s="70" t="n"/>
      <c r="H102" s="70" t="n"/>
      <c r="I102" s="70" t="n"/>
      <c r="J102" s="70" t="n"/>
      <c r="K102" s="70" t="n"/>
      <c r="L102" s="70" t="n"/>
      <c r="M102" s="70" t="n"/>
      <c r="N102" s="83">
        <f>SUM(RobotDesignResults[[#This Row],[Identify - Strategy]:[Communicate - Fun (CV)]])</f>
        <v/>
      </c>
      <c r="O102" s="73">
        <f>_xlfn.RANK.EQ(RobotDesignResults[[#This Row],[Robot Design Score]],RobotDesignResults[Robot Design Score],0)</f>
        <v/>
      </c>
    </row>
    <row r="103" ht="21" customHeight="1">
      <c r="A103" s="69" t="n"/>
      <c r="B103" s="69">
        <f>INDEX(OfficialTeamList[Pod Number],MATCH(RobotDesignResults[[#This Row],[Team Number]], OfficialTeamList[Team '#],0))</f>
        <v/>
      </c>
      <c r="C103" s="106">
        <f>INDEX(OfficialTeamList[Team Name],MATCH(RobotDesignResults[[#This Row],[Team Number]], OfficialTeamList[Team '#],0))</f>
        <v/>
      </c>
      <c r="D103" s="70" t="n"/>
      <c r="E103" s="70" t="n"/>
      <c r="F103" s="70" t="n"/>
      <c r="G103" s="70" t="n"/>
      <c r="H103" s="70" t="n"/>
      <c r="I103" s="70" t="n"/>
      <c r="J103" s="70" t="n"/>
      <c r="K103" s="70" t="n"/>
      <c r="L103" s="70" t="n"/>
      <c r="M103" s="70" t="n"/>
      <c r="N103" s="83">
        <f>SUM(RobotDesignResults[[#This Row],[Identify - Strategy]:[Communicate - Fun (CV)]])</f>
        <v/>
      </c>
      <c r="O103" s="73">
        <f>_xlfn.RANK.EQ(RobotDesignResults[[#This Row],[Robot Design Score]],RobotDesignResults[Robot Design Score],0)</f>
        <v/>
      </c>
    </row>
    <row r="104" ht="21" customHeight="1">
      <c r="A104" s="69" t="n"/>
      <c r="B104" s="69">
        <f>INDEX(OfficialTeamList[Pod Number],MATCH(RobotDesignResults[[#This Row],[Team Number]], OfficialTeamList[Team '#],0))</f>
        <v/>
      </c>
      <c r="C104" s="106">
        <f>INDEX(OfficialTeamList[Team Name],MATCH(RobotDesignResults[[#This Row],[Team Number]], OfficialTeamList[Team '#],0))</f>
        <v/>
      </c>
      <c r="D104" s="70" t="n"/>
      <c r="E104" s="70" t="n"/>
      <c r="F104" s="70" t="n"/>
      <c r="G104" s="70" t="n"/>
      <c r="H104" s="70" t="n"/>
      <c r="I104" s="70" t="n"/>
      <c r="J104" s="70" t="n"/>
      <c r="K104" s="70" t="n"/>
      <c r="L104" s="70" t="n"/>
      <c r="M104" s="70" t="n"/>
      <c r="N104" s="83">
        <f>SUM(RobotDesignResults[[#This Row],[Identify - Strategy]:[Communicate - Fun (CV)]])</f>
        <v/>
      </c>
      <c r="O104" s="73">
        <f>_xlfn.RANK.EQ(RobotDesignResults[[#This Row],[Robot Design Score]],RobotDesignResults[Robot Design Score],0)</f>
        <v/>
      </c>
    </row>
    <row r="105" ht="21" customHeight="1">
      <c r="A105" s="69" t="n"/>
      <c r="B105" s="69">
        <f>INDEX(OfficialTeamList[Pod Number],MATCH(RobotDesignResults[[#This Row],[Team Number]], OfficialTeamList[Team '#],0))</f>
        <v/>
      </c>
      <c r="C105" s="106">
        <f>INDEX(OfficialTeamList[Team Name],MATCH(RobotDesignResults[[#This Row],[Team Number]], OfficialTeamList[Team '#],0))</f>
        <v/>
      </c>
      <c r="D105" s="70" t="n"/>
      <c r="E105" s="70" t="n"/>
      <c r="F105" s="70" t="n"/>
      <c r="G105" s="70" t="n"/>
      <c r="H105" s="70" t="n"/>
      <c r="I105" s="70" t="n"/>
      <c r="J105" s="70" t="n"/>
      <c r="K105" s="70" t="n"/>
      <c r="L105" s="70" t="n"/>
      <c r="M105" s="70" t="n"/>
      <c r="N105" s="83">
        <f>SUM(RobotDesignResults[[#This Row],[Identify - Strategy]:[Communicate - Fun (CV)]])</f>
        <v/>
      </c>
      <c r="O105" s="73">
        <f>_xlfn.RANK.EQ(RobotDesignResults[[#This Row],[Robot Design Score]],RobotDesignResults[Robot Design Score],0)</f>
        <v/>
      </c>
    </row>
    <row r="106" ht="21" customHeight="1">
      <c r="A106" s="69" t="n"/>
      <c r="B106" s="69">
        <f>INDEX(OfficialTeamList[Pod Number],MATCH(RobotDesignResults[[#This Row],[Team Number]], OfficialTeamList[Team '#],0))</f>
        <v/>
      </c>
      <c r="C106" s="106">
        <f>INDEX(OfficialTeamList[Team Name],MATCH(RobotDesignResults[[#This Row],[Team Number]], OfficialTeamList[Team '#],0))</f>
        <v/>
      </c>
      <c r="D106" s="70" t="n"/>
      <c r="E106" s="70" t="n"/>
      <c r="F106" s="70" t="n"/>
      <c r="G106" s="70" t="n"/>
      <c r="H106" s="70" t="n"/>
      <c r="I106" s="70" t="n"/>
      <c r="J106" s="70" t="n"/>
      <c r="K106" s="70" t="n"/>
      <c r="L106" s="70" t="n"/>
      <c r="M106" s="70" t="n"/>
      <c r="N106" s="83">
        <f>SUM(RobotDesignResults[[#This Row],[Identify - Strategy]:[Communicate - Fun (CV)]])</f>
        <v/>
      </c>
      <c r="O106" s="73">
        <f>_xlfn.RANK.EQ(RobotDesignResults[[#This Row],[Robot Design Score]],RobotDesignResults[Robot Design Score],0)</f>
        <v/>
      </c>
    </row>
    <row r="107" ht="21" customHeight="1">
      <c r="A107" s="69" t="n"/>
      <c r="B107" s="69">
        <f>INDEX(OfficialTeamList[Pod Number],MATCH(RobotDesignResults[[#This Row],[Team Number]], OfficialTeamList[Team '#],0))</f>
        <v/>
      </c>
      <c r="C107" s="106">
        <f>INDEX(OfficialTeamList[Team Name],MATCH(RobotDesignResults[[#This Row],[Team Number]], OfficialTeamList[Team '#],0))</f>
        <v/>
      </c>
      <c r="D107" s="70" t="n"/>
      <c r="E107" s="70" t="n"/>
      <c r="F107" s="70" t="n"/>
      <c r="G107" s="70" t="n"/>
      <c r="H107" s="70" t="n"/>
      <c r="I107" s="70" t="n"/>
      <c r="J107" s="70" t="n"/>
      <c r="K107" s="70" t="n"/>
      <c r="L107" s="70" t="n"/>
      <c r="M107" s="70" t="n"/>
      <c r="N107" s="83">
        <f>SUM(RobotDesignResults[[#This Row],[Identify - Strategy]:[Communicate - Fun (CV)]])</f>
        <v/>
      </c>
      <c r="O107" s="73">
        <f>_xlfn.RANK.EQ(RobotDesignResults[[#This Row],[Robot Design Score]],RobotDesignResults[Robot Design Score],0)</f>
        <v/>
      </c>
    </row>
    <row r="108" ht="21" customHeight="1">
      <c r="A108" s="69" t="n"/>
      <c r="B108" s="69">
        <f>INDEX(OfficialTeamList[Pod Number],MATCH(RobotDesignResults[[#This Row],[Team Number]], OfficialTeamList[Team '#],0))</f>
        <v/>
      </c>
      <c r="C108" s="106">
        <f>INDEX(OfficialTeamList[Team Name],MATCH(RobotDesignResults[[#This Row],[Team Number]], OfficialTeamList[Team '#],0))</f>
        <v/>
      </c>
      <c r="D108" s="70" t="n"/>
      <c r="E108" s="70" t="n"/>
      <c r="F108" s="70" t="n"/>
      <c r="G108" s="70" t="n"/>
      <c r="H108" s="70" t="n"/>
      <c r="I108" s="70" t="n"/>
      <c r="J108" s="70" t="n"/>
      <c r="K108" s="70" t="n"/>
      <c r="L108" s="70" t="n"/>
      <c r="M108" s="70" t="n"/>
      <c r="N108" s="83">
        <f>SUM(RobotDesignResults[[#This Row],[Identify - Strategy]:[Communicate - Fun (CV)]])</f>
        <v/>
      </c>
      <c r="O108" s="73">
        <f>_xlfn.RANK.EQ(RobotDesignResults[[#This Row],[Robot Design Score]],RobotDesignResults[Robot Design Score],0)</f>
        <v/>
      </c>
    </row>
    <row r="109" ht="21" customHeight="1">
      <c r="A109" s="69" t="n"/>
      <c r="B109" s="69">
        <f>INDEX(OfficialTeamList[Pod Number],MATCH(RobotDesignResults[[#This Row],[Team Number]], OfficialTeamList[Team '#],0))</f>
        <v/>
      </c>
      <c r="C109" s="106">
        <f>INDEX(OfficialTeamList[Team Name],MATCH(RobotDesignResults[[#This Row],[Team Number]], OfficialTeamList[Team '#],0))</f>
        <v/>
      </c>
      <c r="D109" s="70" t="n"/>
      <c r="E109" s="70" t="n"/>
      <c r="F109" s="70" t="n"/>
      <c r="G109" s="70" t="n"/>
      <c r="H109" s="70" t="n"/>
      <c r="I109" s="70" t="n"/>
      <c r="J109" s="70" t="n"/>
      <c r="K109" s="70" t="n"/>
      <c r="L109" s="70" t="n"/>
      <c r="M109" s="70" t="n"/>
      <c r="N109" s="83">
        <f>SUM(RobotDesignResults[[#This Row],[Identify - Strategy]:[Communicate - Fun (CV)]])</f>
        <v/>
      </c>
      <c r="O109" s="73">
        <f>_xlfn.RANK.EQ(RobotDesignResults[[#This Row],[Robot Design Score]],RobotDesignResults[Robot Design Score],0)</f>
        <v/>
      </c>
    </row>
    <row r="110" ht="21" customHeight="1">
      <c r="A110" s="69" t="n"/>
      <c r="B110" s="69">
        <f>INDEX(OfficialTeamList[Pod Number],MATCH(RobotDesignResults[[#This Row],[Team Number]], OfficialTeamList[Team '#],0))</f>
        <v/>
      </c>
      <c r="C110" s="106">
        <f>INDEX(OfficialTeamList[Team Name],MATCH(RobotDesignResults[[#This Row],[Team Number]], OfficialTeamList[Team '#],0))</f>
        <v/>
      </c>
      <c r="D110" s="70" t="n"/>
      <c r="E110" s="70" t="n"/>
      <c r="F110" s="70" t="n"/>
      <c r="G110" s="70" t="n"/>
      <c r="H110" s="70" t="n"/>
      <c r="I110" s="70" t="n"/>
      <c r="J110" s="70" t="n"/>
      <c r="K110" s="70" t="n"/>
      <c r="L110" s="70" t="n"/>
      <c r="M110" s="70" t="n"/>
      <c r="N110" s="83">
        <f>SUM(RobotDesignResults[[#This Row],[Identify - Strategy]:[Communicate - Fun (CV)]])</f>
        <v/>
      </c>
      <c r="O110" s="73">
        <f>_xlfn.RANK.EQ(RobotDesignResults[[#This Row],[Robot Design Score]],RobotDesignResults[Robot Design Score],0)</f>
        <v/>
      </c>
    </row>
    <row r="111" ht="21" customHeight="1">
      <c r="A111" s="69" t="n"/>
      <c r="B111" s="69">
        <f>INDEX(OfficialTeamList[Pod Number],MATCH(RobotDesignResults[[#This Row],[Team Number]], OfficialTeamList[Team '#],0))</f>
        <v/>
      </c>
      <c r="C111" s="106">
        <f>INDEX(OfficialTeamList[Team Name],MATCH(RobotDesignResults[[#This Row],[Team Number]], OfficialTeamList[Team '#],0))</f>
        <v/>
      </c>
      <c r="D111" s="70" t="n"/>
      <c r="E111" s="70" t="n"/>
      <c r="F111" s="70" t="n"/>
      <c r="G111" s="70" t="n"/>
      <c r="H111" s="70" t="n"/>
      <c r="I111" s="70" t="n"/>
      <c r="J111" s="70" t="n"/>
      <c r="K111" s="70" t="n"/>
      <c r="L111" s="70" t="n"/>
      <c r="M111" s="70" t="n"/>
      <c r="N111" s="83">
        <f>SUM(RobotDesignResults[[#This Row],[Identify - Strategy]:[Communicate - Fun (CV)]])</f>
        <v/>
      </c>
      <c r="O111" s="73">
        <f>_xlfn.RANK.EQ(RobotDesignResults[[#This Row],[Robot Design Score]],RobotDesignResults[Robot Design Score],0)</f>
        <v/>
      </c>
    </row>
    <row r="112" ht="21" customHeight="1">
      <c r="A112" s="69" t="n"/>
      <c r="B112" s="69">
        <f>INDEX(OfficialTeamList[Pod Number],MATCH(RobotDesignResults[[#This Row],[Team Number]], OfficialTeamList[Team '#],0))</f>
        <v/>
      </c>
      <c r="C112" s="106">
        <f>INDEX(OfficialTeamList[Team Name],MATCH(RobotDesignResults[[#This Row],[Team Number]], OfficialTeamList[Team '#],0))</f>
        <v/>
      </c>
      <c r="D112" s="70" t="n"/>
      <c r="E112" s="70" t="n"/>
      <c r="F112" s="70" t="n"/>
      <c r="G112" s="70" t="n"/>
      <c r="H112" s="70" t="n"/>
      <c r="I112" s="70" t="n"/>
      <c r="J112" s="70" t="n"/>
      <c r="K112" s="70" t="n"/>
      <c r="L112" s="70" t="n"/>
      <c r="M112" s="70" t="n"/>
      <c r="N112" s="83">
        <f>SUM(RobotDesignResults[[#This Row],[Identify - Strategy]:[Communicate - Fun (CV)]])</f>
        <v/>
      </c>
      <c r="O112" s="73">
        <f>_xlfn.RANK.EQ(RobotDesignResults[[#This Row],[Robot Design Score]],RobotDesignResults[Robot Design Score],0)</f>
        <v/>
      </c>
    </row>
    <row r="113" ht="21" customHeight="1">
      <c r="A113" s="69" t="n"/>
      <c r="B113" s="69">
        <f>INDEX(OfficialTeamList[Pod Number],MATCH(RobotDesignResults[[#This Row],[Team Number]], OfficialTeamList[Team '#],0))</f>
        <v/>
      </c>
      <c r="C113" s="106">
        <f>INDEX(OfficialTeamList[Team Name],MATCH(RobotDesignResults[[#This Row],[Team Number]], OfficialTeamList[Team '#],0))</f>
        <v/>
      </c>
      <c r="D113" s="70" t="n"/>
      <c r="E113" s="70" t="n"/>
      <c r="F113" s="70" t="n"/>
      <c r="G113" s="70" t="n"/>
      <c r="H113" s="70" t="n"/>
      <c r="I113" s="70" t="n"/>
      <c r="J113" s="70" t="n"/>
      <c r="K113" s="70" t="n"/>
      <c r="L113" s="70" t="n"/>
      <c r="M113" s="70" t="n"/>
      <c r="N113" s="83">
        <f>SUM(RobotDesignResults[[#This Row],[Identify - Strategy]:[Communicate - Fun (CV)]])</f>
        <v/>
      </c>
      <c r="O113" s="73">
        <f>_xlfn.RANK.EQ(RobotDesignResults[[#This Row],[Robot Design Score]],RobotDesignResults[Robot Design Score],0)</f>
        <v/>
      </c>
    </row>
    <row r="114" ht="21" customHeight="1">
      <c r="A114" s="69" t="n"/>
      <c r="B114" s="69">
        <f>INDEX(OfficialTeamList[Pod Number],MATCH(RobotDesignResults[[#This Row],[Team Number]], OfficialTeamList[Team '#],0))</f>
        <v/>
      </c>
      <c r="C114" s="106">
        <f>INDEX(OfficialTeamList[Team Name],MATCH(RobotDesignResults[[#This Row],[Team Number]], OfficialTeamList[Team '#],0))</f>
        <v/>
      </c>
      <c r="D114" s="70" t="n"/>
      <c r="E114" s="70" t="n"/>
      <c r="F114" s="70" t="n"/>
      <c r="G114" s="70" t="n"/>
      <c r="H114" s="70" t="n"/>
      <c r="I114" s="70" t="n"/>
      <c r="J114" s="70" t="n"/>
      <c r="K114" s="70" t="n"/>
      <c r="L114" s="70" t="n"/>
      <c r="M114" s="70" t="n"/>
      <c r="N114" s="83">
        <f>SUM(RobotDesignResults[[#This Row],[Identify - Strategy]:[Communicate - Fun (CV)]])</f>
        <v/>
      </c>
      <c r="O114" s="73">
        <f>_xlfn.RANK.EQ(RobotDesignResults[[#This Row],[Robot Design Score]],RobotDesignResults[Robot Design Score],0)</f>
        <v/>
      </c>
    </row>
    <row r="115" ht="21" customHeight="1">
      <c r="A115" s="69" t="n"/>
      <c r="B115" s="69">
        <f>INDEX(OfficialTeamList[Pod Number],MATCH(RobotDesignResults[[#This Row],[Team Number]], OfficialTeamList[Team '#],0))</f>
        <v/>
      </c>
      <c r="C115" s="106">
        <f>INDEX(OfficialTeamList[Team Name],MATCH(RobotDesignResults[[#This Row],[Team Number]], OfficialTeamList[Team '#],0))</f>
        <v/>
      </c>
      <c r="D115" s="70" t="n"/>
      <c r="E115" s="70" t="n"/>
      <c r="F115" s="70" t="n"/>
      <c r="G115" s="70" t="n"/>
      <c r="H115" s="70" t="n"/>
      <c r="I115" s="70" t="n"/>
      <c r="J115" s="70" t="n"/>
      <c r="K115" s="70" t="n"/>
      <c r="L115" s="70" t="n"/>
      <c r="M115" s="70" t="n"/>
      <c r="N115" s="83">
        <f>SUM(RobotDesignResults[[#This Row],[Identify - Strategy]:[Communicate - Fun (CV)]])</f>
        <v/>
      </c>
      <c r="O115" s="73">
        <f>_xlfn.RANK.EQ(RobotDesignResults[[#This Row],[Robot Design Score]],RobotDesignResults[Robot Design Score],0)</f>
        <v/>
      </c>
    </row>
    <row r="116" ht="21" customHeight="1">
      <c r="A116" s="69" t="n"/>
      <c r="B116" s="69">
        <f>INDEX(OfficialTeamList[Pod Number],MATCH(RobotDesignResults[[#This Row],[Team Number]], OfficialTeamList[Team '#],0))</f>
        <v/>
      </c>
      <c r="C116" s="106">
        <f>INDEX(OfficialTeamList[Team Name],MATCH(RobotDesignResults[[#This Row],[Team Number]], OfficialTeamList[Team '#],0))</f>
        <v/>
      </c>
      <c r="D116" s="70" t="n"/>
      <c r="E116" s="70" t="n"/>
      <c r="F116" s="70" t="n"/>
      <c r="G116" s="70" t="n"/>
      <c r="H116" s="70" t="n"/>
      <c r="I116" s="70" t="n"/>
      <c r="J116" s="70" t="n"/>
      <c r="K116" s="70" t="n"/>
      <c r="L116" s="70" t="n"/>
      <c r="M116" s="70" t="n"/>
      <c r="N116" s="83">
        <f>SUM(RobotDesignResults[[#This Row],[Identify - Strategy]:[Communicate - Fun (CV)]])</f>
        <v/>
      </c>
      <c r="O116" s="73">
        <f>_xlfn.RANK.EQ(RobotDesignResults[[#This Row],[Robot Design Score]],RobotDesignResults[Robot Design Score],0)</f>
        <v/>
      </c>
    </row>
    <row r="117" ht="21" customHeight="1">
      <c r="A117" s="69" t="n"/>
      <c r="B117" s="69">
        <f>INDEX(OfficialTeamList[Pod Number],MATCH(RobotDesignResults[[#This Row],[Team Number]], OfficialTeamList[Team '#],0))</f>
        <v/>
      </c>
      <c r="C117" s="106">
        <f>INDEX(OfficialTeamList[Team Name],MATCH(RobotDesignResults[[#This Row],[Team Number]], OfficialTeamList[Team '#],0))</f>
        <v/>
      </c>
      <c r="D117" s="70" t="n"/>
      <c r="E117" s="70" t="n"/>
      <c r="F117" s="70" t="n"/>
      <c r="G117" s="70" t="n"/>
      <c r="H117" s="70" t="n"/>
      <c r="I117" s="70" t="n"/>
      <c r="J117" s="70" t="n"/>
      <c r="K117" s="70" t="n"/>
      <c r="L117" s="70" t="n"/>
      <c r="M117" s="70" t="n"/>
      <c r="N117" s="83">
        <f>SUM(RobotDesignResults[[#This Row],[Identify - Strategy]:[Communicate - Fun (CV)]])</f>
        <v/>
      </c>
      <c r="O117" s="73">
        <f>_xlfn.RANK.EQ(RobotDesignResults[[#This Row],[Robot Design Score]],RobotDesignResults[Robot Design Score],0)</f>
        <v/>
      </c>
    </row>
    <row r="118" ht="21" customHeight="1">
      <c r="A118" s="69" t="n"/>
      <c r="B118" s="69">
        <f>INDEX(OfficialTeamList[Pod Number],MATCH(RobotDesignResults[[#This Row],[Team Number]], OfficialTeamList[Team '#],0))</f>
        <v/>
      </c>
      <c r="C118" s="106">
        <f>INDEX(OfficialTeamList[Team Name],MATCH(RobotDesignResults[[#This Row],[Team Number]], OfficialTeamList[Team '#],0))</f>
        <v/>
      </c>
      <c r="D118" s="70" t="n"/>
      <c r="E118" s="70" t="n"/>
      <c r="F118" s="70" t="n"/>
      <c r="G118" s="70" t="n"/>
      <c r="H118" s="70" t="n"/>
      <c r="I118" s="70" t="n"/>
      <c r="J118" s="70" t="n"/>
      <c r="K118" s="70" t="n"/>
      <c r="L118" s="70" t="n"/>
      <c r="M118" s="70" t="n"/>
      <c r="N118" s="83">
        <f>SUM(RobotDesignResults[[#This Row],[Identify - Strategy]:[Communicate - Fun (CV)]])</f>
        <v/>
      </c>
      <c r="O118" s="73">
        <f>_xlfn.RANK.EQ(RobotDesignResults[[#This Row],[Robot Design Score]],RobotDesignResults[Robot Design Score],0)</f>
        <v/>
      </c>
    </row>
    <row r="119" ht="21" customHeight="1">
      <c r="A119" s="69" t="n"/>
      <c r="B119" s="69">
        <f>INDEX(OfficialTeamList[Pod Number],MATCH(RobotDesignResults[[#This Row],[Team Number]], OfficialTeamList[Team '#],0))</f>
        <v/>
      </c>
      <c r="C119" s="106">
        <f>INDEX(OfficialTeamList[Team Name],MATCH(RobotDesignResults[[#This Row],[Team Number]], OfficialTeamList[Team '#],0))</f>
        <v/>
      </c>
      <c r="D119" s="70" t="n"/>
      <c r="E119" s="70" t="n"/>
      <c r="F119" s="70" t="n"/>
      <c r="G119" s="70" t="n"/>
      <c r="H119" s="70" t="n"/>
      <c r="I119" s="70" t="n"/>
      <c r="J119" s="70" t="n"/>
      <c r="K119" s="70" t="n"/>
      <c r="L119" s="70" t="n"/>
      <c r="M119" s="70" t="n"/>
      <c r="N119" s="83">
        <f>SUM(RobotDesignResults[[#This Row],[Identify - Strategy]:[Communicate - Fun (CV)]])</f>
        <v/>
      </c>
      <c r="O119" s="73">
        <f>_xlfn.RANK.EQ(RobotDesignResults[[#This Row],[Robot Design Score]],RobotDesignResults[Robot Design Score],0)</f>
        <v/>
      </c>
    </row>
    <row r="120" ht="21" customHeight="1">
      <c r="A120" s="69" t="n"/>
      <c r="B120" s="69">
        <f>INDEX(OfficialTeamList[Pod Number],MATCH(RobotDesignResults[[#This Row],[Team Number]], OfficialTeamList[Team '#],0))</f>
        <v/>
      </c>
      <c r="C120" s="106">
        <f>INDEX(OfficialTeamList[Team Name],MATCH(RobotDesignResults[[#This Row],[Team Number]], OfficialTeamList[Team '#],0))</f>
        <v/>
      </c>
      <c r="D120" s="70" t="n"/>
      <c r="E120" s="70" t="n"/>
      <c r="F120" s="70" t="n"/>
      <c r="G120" s="70" t="n"/>
      <c r="H120" s="70" t="n"/>
      <c r="I120" s="70" t="n"/>
      <c r="J120" s="70" t="n"/>
      <c r="K120" s="70" t="n"/>
      <c r="L120" s="70" t="n"/>
      <c r="M120" s="70" t="n"/>
      <c r="N120" s="83">
        <f>SUM(RobotDesignResults[[#This Row],[Identify - Strategy]:[Communicate - Fun (CV)]])</f>
        <v/>
      </c>
      <c r="O120" s="73">
        <f>_xlfn.RANK.EQ(RobotDesignResults[[#This Row],[Robot Design Score]],RobotDesignResults[Robot Design Score],0)</f>
        <v/>
      </c>
    </row>
    <row r="121" ht="21" customHeight="1">
      <c r="A121" s="69" t="n"/>
      <c r="B121" s="69">
        <f>INDEX(OfficialTeamList[Pod Number],MATCH(RobotDesignResults[[#This Row],[Team Number]], OfficialTeamList[Team '#],0))</f>
        <v/>
      </c>
      <c r="C121" s="106">
        <f>INDEX(OfficialTeamList[Team Name],MATCH(RobotDesignResults[[#This Row],[Team Number]], OfficialTeamList[Team '#],0))</f>
        <v/>
      </c>
      <c r="D121" s="70" t="n"/>
      <c r="E121" s="70" t="n"/>
      <c r="F121" s="70" t="n"/>
      <c r="G121" s="70" t="n"/>
      <c r="H121" s="70" t="n"/>
      <c r="I121" s="70" t="n"/>
      <c r="J121" s="70" t="n"/>
      <c r="K121" s="70" t="n"/>
      <c r="L121" s="70" t="n"/>
      <c r="M121" s="70" t="n"/>
      <c r="N121" s="83">
        <f>SUM(RobotDesignResults[[#This Row],[Identify - Strategy]:[Communicate - Fun (CV)]])</f>
        <v/>
      </c>
      <c r="O121" s="73">
        <f>_xlfn.RANK.EQ(RobotDesignResults[[#This Row],[Robot Design Score]],RobotDesignResults[Robot Design Score],0)</f>
        <v/>
      </c>
    </row>
    <row r="122" ht="21" customHeight="1">
      <c r="A122" s="69" t="n"/>
      <c r="B122" s="69">
        <f>INDEX(OfficialTeamList[Pod Number],MATCH(RobotDesignResults[[#This Row],[Team Number]], OfficialTeamList[Team '#],0))</f>
        <v/>
      </c>
      <c r="C122" s="106">
        <f>INDEX(OfficialTeamList[Team Name],MATCH(RobotDesignResults[[#This Row],[Team Number]], OfficialTeamList[Team '#],0))</f>
        <v/>
      </c>
      <c r="D122" s="70" t="n"/>
      <c r="E122" s="70" t="n"/>
      <c r="F122" s="70" t="n"/>
      <c r="G122" s="70" t="n"/>
      <c r="H122" s="70" t="n"/>
      <c r="I122" s="70" t="n"/>
      <c r="J122" s="70" t="n"/>
      <c r="K122" s="70" t="n"/>
      <c r="L122" s="70" t="n"/>
      <c r="M122" s="70" t="n"/>
      <c r="N122" s="83">
        <f>SUM(RobotDesignResults[[#This Row],[Identify - Strategy]:[Communicate - Fun (CV)]])</f>
        <v/>
      </c>
      <c r="O122" s="73">
        <f>_xlfn.RANK.EQ(RobotDesignResults[[#This Row],[Robot Design Score]],RobotDesignResults[Robot Design Score],0)</f>
        <v/>
      </c>
    </row>
    <row r="123" ht="21" customHeight="1">
      <c r="A123" s="69" t="n"/>
      <c r="B123" s="69">
        <f>INDEX(OfficialTeamList[Pod Number],MATCH(RobotDesignResults[[#This Row],[Team Number]], OfficialTeamList[Team '#],0))</f>
        <v/>
      </c>
      <c r="C123" s="106">
        <f>INDEX(OfficialTeamList[Team Name],MATCH(RobotDesignResults[[#This Row],[Team Number]], OfficialTeamList[Team '#],0))</f>
        <v/>
      </c>
      <c r="D123" s="70" t="n"/>
      <c r="E123" s="70" t="n"/>
      <c r="F123" s="70" t="n"/>
      <c r="G123" s="70" t="n"/>
      <c r="H123" s="70" t="n"/>
      <c r="I123" s="70" t="n"/>
      <c r="J123" s="70" t="n"/>
      <c r="K123" s="70" t="n"/>
      <c r="L123" s="70" t="n"/>
      <c r="M123" s="70" t="n"/>
      <c r="N123" s="83">
        <f>SUM(RobotDesignResults[[#This Row],[Identify - Strategy]:[Communicate - Fun (CV)]])</f>
        <v/>
      </c>
      <c r="O123" s="73">
        <f>_xlfn.RANK.EQ(RobotDesignResults[[#This Row],[Robot Design Score]],RobotDesignResults[Robot Design Score],0)</f>
        <v/>
      </c>
    </row>
    <row r="124" ht="21" customHeight="1">
      <c r="A124" s="69" t="n"/>
      <c r="B124" s="69">
        <f>INDEX(OfficialTeamList[Pod Number],MATCH(RobotDesignResults[[#This Row],[Team Number]], OfficialTeamList[Team '#],0))</f>
        <v/>
      </c>
      <c r="C124" s="106">
        <f>INDEX(OfficialTeamList[Team Name],MATCH(RobotDesignResults[[#This Row],[Team Number]], OfficialTeamList[Team '#],0))</f>
        <v/>
      </c>
      <c r="D124" s="70" t="n"/>
      <c r="E124" s="70" t="n"/>
      <c r="F124" s="70" t="n"/>
      <c r="G124" s="70" t="n"/>
      <c r="H124" s="70" t="n"/>
      <c r="I124" s="70" t="n"/>
      <c r="J124" s="70" t="n"/>
      <c r="K124" s="70" t="n"/>
      <c r="L124" s="70" t="n"/>
      <c r="M124" s="70" t="n"/>
      <c r="N124" s="83">
        <f>SUM(RobotDesignResults[[#This Row],[Identify - Strategy]:[Communicate - Fun (CV)]])</f>
        <v/>
      </c>
      <c r="O124" s="73">
        <f>_xlfn.RANK.EQ(RobotDesignResults[[#This Row],[Robot Design Score]],RobotDesignResults[Robot Design Score],0)</f>
        <v/>
      </c>
    </row>
    <row r="125" ht="21" customHeight="1">
      <c r="A125" s="69" t="n"/>
      <c r="B125" s="69">
        <f>INDEX(OfficialTeamList[Pod Number],MATCH(RobotDesignResults[[#This Row],[Team Number]], OfficialTeamList[Team '#],0))</f>
        <v/>
      </c>
      <c r="C125" s="106">
        <f>INDEX(OfficialTeamList[Team Name],MATCH(RobotDesignResults[[#This Row],[Team Number]], OfficialTeamList[Team '#],0))</f>
        <v/>
      </c>
      <c r="D125" s="70" t="n"/>
      <c r="E125" s="70" t="n"/>
      <c r="F125" s="70" t="n"/>
      <c r="G125" s="70" t="n"/>
      <c r="H125" s="70" t="n"/>
      <c r="I125" s="70" t="n"/>
      <c r="J125" s="70" t="n"/>
      <c r="K125" s="70" t="n"/>
      <c r="L125" s="70" t="n"/>
      <c r="M125" s="70" t="n"/>
      <c r="N125" s="83">
        <f>SUM(RobotDesignResults[[#This Row],[Identify - Strategy]:[Communicate - Fun (CV)]])</f>
        <v/>
      </c>
      <c r="O125" s="73">
        <f>_xlfn.RANK.EQ(RobotDesignResults[[#This Row],[Robot Design Score]],RobotDesignResults[Robot Design Score],0)</f>
        <v/>
      </c>
    </row>
    <row r="126" ht="21" customHeight="1">
      <c r="A126" s="69" t="n"/>
      <c r="B126" s="69">
        <f>INDEX(OfficialTeamList[Pod Number],MATCH(RobotDesignResults[[#This Row],[Team Number]], OfficialTeamList[Team '#],0))</f>
        <v/>
      </c>
      <c r="C126" s="106">
        <f>INDEX(OfficialTeamList[Team Name],MATCH(RobotDesignResults[[#This Row],[Team Number]], OfficialTeamList[Team '#],0))</f>
        <v/>
      </c>
      <c r="D126" s="70" t="n"/>
      <c r="E126" s="70" t="n"/>
      <c r="F126" s="70" t="n"/>
      <c r="G126" s="70" t="n"/>
      <c r="H126" s="70" t="n"/>
      <c r="I126" s="70" t="n"/>
      <c r="J126" s="70" t="n"/>
      <c r="K126" s="70" t="n"/>
      <c r="L126" s="70" t="n"/>
      <c r="M126" s="70" t="n"/>
      <c r="N126" s="83">
        <f>SUM(RobotDesignResults[[#This Row],[Identify - Strategy]:[Communicate - Fun (CV)]])</f>
        <v/>
      </c>
      <c r="O126" s="73">
        <f>_xlfn.RANK.EQ(RobotDesignResults[[#This Row],[Robot Design Score]],RobotDesignResults[Robot Design Score],0)</f>
        <v/>
      </c>
    </row>
    <row r="127" ht="21" customHeight="1">
      <c r="A127" s="69" t="n"/>
      <c r="B127" s="69">
        <f>INDEX(OfficialTeamList[Pod Number],MATCH(RobotDesignResults[[#This Row],[Team Number]], OfficialTeamList[Team '#],0))</f>
        <v/>
      </c>
      <c r="C127" s="106">
        <f>INDEX(OfficialTeamList[Team Name],MATCH(RobotDesignResults[[#This Row],[Team Number]], OfficialTeamList[Team '#],0))</f>
        <v/>
      </c>
      <c r="D127" s="70" t="n"/>
      <c r="E127" s="70" t="n"/>
      <c r="F127" s="70" t="n"/>
      <c r="G127" s="70" t="n"/>
      <c r="H127" s="70" t="n"/>
      <c r="I127" s="70" t="n"/>
      <c r="J127" s="70" t="n"/>
      <c r="K127" s="70" t="n"/>
      <c r="L127" s="70" t="n"/>
      <c r="M127" s="70" t="n"/>
      <c r="N127" s="83">
        <f>SUM(RobotDesignResults[[#This Row],[Identify - Strategy]:[Communicate - Fun (CV)]])</f>
        <v/>
      </c>
      <c r="O127" s="73">
        <f>_xlfn.RANK.EQ(RobotDesignResults[[#This Row],[Robot Design Score]],RobotDesignResults[Robot Design Score],0)</f>
        <v/>
      </c>
    </row>
    <row r="128" ht="21" customHeight="1">
      <c r="A128" s="69" t="n"/>
      <c r="B128" s="69">
        <f>INDEX(OfficialTeamList[Pod Number],MATCH(RobotDesignResults[[#This Row],[Team Number]], OfficialTeamList[Team '#],0))</f>
        <v/>
      </c>
      <c r="C128" s="106">
        <f>INDEX(OfficialTeamList[Team Name],MATCH(RobotDesignResults[[#This Row],[Team Number]], OfficialTeamList[Team '#],0))</f>
        <v/>
      </c>
      <c r="D128" s="70" t="n"/>
      <c r="E128" s="70" t="n"/>
      <c r="F128" s="70" t="n"/>
      <c r="G128" s="70" t="n"/>
      <c r="H128" s="70" t="n"/>
      <c r="I128" s="70" t="n"/>
      <c r="J128" s="70" t="n"/>
      <c r="K128" s="70" t="n"/>
      <c r="L128" s="70" t="n"/>
      <c r="M128" s="70" t="n"/>
      <c r="N128" s="83">
        <f>SUM(RobotDesignResults[[#This Row],[Identify - Strategy]:[Communicate - Fun (CV)]])</f>
        <v/>
      </c>
      <c r="O128" s="73">
        <f>_xlfn.RANK.EQ(RobotDesignResults[[#This Row],[Robot Design Score]],RobotDesignResults[Robot Design Score],0)</f>
        <v/>
      </c>
    </row>
    <row r="129" ht="21" customHeight="1">
      <c r="A129" s="69" t="n"/>
      <c r="B129" s="69">
        <f>INDEX(OfficialTeamList[Pod Number],MATCH(RobotDesignResults[[#This Row],[Team Number]], OfficialTeamList[Team '#],0))</f>
        <v/>
      </c>
      <c r="C129" s="106">
        <f>INDEX(OfficialTeamList[Team Name],MATCH(RobotDesignResults[[#This Row],[Team Number]], OfficialTeamList[Team '#],0))</f>
        <v/>
      </c>
      <c r="D129" s="70" t="n"/>
      <c r="E129" s="70" t="n"/>
      <c r="F129" s="70" t="n"/>
      <c r="G129" s="70" t="n"/>
      <c r="H129" s="70" t="n"/>
      <c r="I129" s="70" t="n"/>
      <c r="J129" s="70" t="n"/>
      <c r="K129" s="70" t="n"/>
      <c r="L129" s="70" t="n"/>
      <c r="M129" s="70" t="n"/>
      <c r="N129" s="83">
        <f>SUM(RobotDesignResults[[#This Row],[Identify - Strategy]:[Communicate - Fun (CV)]])</f>
        <v/>
      </c>
      <c r="O129" s="73">
        <f>_xlfn.RANK.EQ(RobotDesignResults[[#This Row],[Robot Design Score]],RobotDesignResults[Robot Design Score],0)</f>
        <v/>
      </c>
    </row>
    <row r="130" ht="21" customHeight="1">
      <c r="A130" s="69" t="n"/>
      <c r="B130" s="69">
        <f>INDEX(OfficialTeamList[Pod Number],MATCH(RobotDesignResults[[#This Row],[Team Number]], OfficialTeamList[Team '#],0))</f>
        <v/>
      </c>
      <c r="C130" s="106">
        <f>INDEX(OfficialTeamList[Team Name],MATCH(RobotDesignResults[[#This Row],[Team Number]], OfficialTeamList[Team '#],0))</f>
        <v/>
      </c>
      <c r="D130" s="70" t="n"/>
      <c r="E130" s="70" t="n"/>
      <c r="F130" s="70" t="n"/>
      <c r="G130" s="70" t="n"/>
      <c r="H130" s="70" t="n"/>
      <c r="I130" s="70" t="n"/>
      <c r="J130" s="70" t="n"/>
      <c r="K130" s="70" t="n"/>
      <c r="L130" s="70" t="n"/>
      <c r="M130" s="70" t="n"/>
      <c r="N130" s="83">
        <f>SUM(RobotDesignResults[[#This Row],[Identify - Strategy]:[Communicate - Fun (CV)]])</f>
        <v/>
      </c>
      <c r="O130" s="73">
        <f>_xlfn.RANK.EQ(RobotDesignResults[[#This Row],[Robot Design Score]],RobotDesignResults[Robot Design Score],0)</f>
        <v/>
      </c>
    </row>
    <row r="131" ht="21" customHeight="1">
      <c r="A131" s="69" t="n"/>
      <c r="B131" s="69">
        <f>INDEX(OfficialTeamList[Pod Number],MATCH(RobotDesignResults[[#This Row],[Team Number]], OfficialTeamList[Team '#],0))</f>
        <v/>
      </c>
      <c r="C131" s="106">
        <f>INDEX(OfficialTeamList[Team Name],MATCH(RobotDesignResults[[#This Row],[Team Number]], OfficialTeamList[Team '#],0))</f>
        <v/>
      </c>
      <c r="D131" s="70" t="n"/>
      <c r="E131" s="70" t="n"/>
      <c r="F131" s="70" t="n"/>
      <c r="G131" s="70" t="n"/>
      <c r="H131" s="70" t="n"/>
      <c r="I131" s="70" t="n"/>
      <c r="J131" s="70" t="n"/>
      <c r="K131" s="70" t="n"/>
      <c r="L131" s="70" t="n"/>
      <c r="M131" s="70" t="n"/>
      <c r="N131" s="83">
        <f>SUM(RobotDesignResults[[#This Row],[Identify - Strategy]:[Communicate - Fun (CV)]])</f>
        <v/>
      </c>
      <c r="O131" s="73">
        <f>_xlfn.RANK.EQ(RobotDesignResults[[#This Row],[Robot Design Score]],RobotDesignResults[Robot Design Score],0)</f>
        <v/>
      </c>
    </row>
    <row r="132" ht="21" customHeight="1">
      <c r="A132" s="69" t="n"/>
      <c r="B132" s="69">
        <f>INDEX(OfficialTeamList[Pod Number],MATCH(RobotDesignResults[[#This Row],[Team Number]], OfficialTeamList[Team '#],0))</f>
        <v/>
      </c>
      <c r="C132" s="106">
        <f>INDEX(OfficialTeamList[Team Name],MATCH(RobotDesignResults[[#This Row],[Team Number]], OfficialTeamList[Team '#],0))</f>
        <v/>
      </c>
      <c r="D132" s="70" t="n"/>
      <c r="E132" s="70" t="n"/>
      <c r="F132" s="70" t="n"/>
      <c r="G132" s="70" t="n"/>
      <c r="H132" s="70" t="n"/>
      <c r="I132" s="70" t="n"/>
      <c r="J132" s="70" t="n"/>
      <c r="K132" s="70" t="n"/>
      <c r="L132" s="70" t="n"/>
      <c r="M132" s="70" t="n"/>
      <c r="N132" s="83">
        <f>SUM(RobotDesignResults[[#This Row],[Identify - Strategy]:[Communicate - Fun (CV)]])</f>
        <v/>
      </c>
      <c r="O132" s="73">
        <f>_xlfn.RANK.EQ(RobotDesignResults[[#This Row],[Robot Design Score]],RobotDesignResults[Robot Design Score],0)</f>
        <v/>
      </c>
    </row>
    <row r="133" ht="21" customHeight="1">
      <c r="A133" s="69" t="n"/>
      <c r="B133" s="69">
        <f>INDEX(OfficialTeamList[Pod Number],MATCH(RobotDesignResults[[#This Row],[Team Number]], OfficialTeamList[Team '#],0))</f>
        <v/>
      </c>
      <c r="C133" s="106">
        <f>INDEX(OfficialTeamList[Team Name],MATCH(RobotDesignResults[[#This Row],[Team Number]], OfficialTeamList[Team '#],0))</f>
        <v/>
      </c>
      <c r="D133" s="70" t="n"/>
      <c r="E133" s="70" t="n"/>
      <c r="F133" s="70" t="n"/>
      <c r="G133" s="70" t="n"/>
      <c r="H133" s="70" t="n"/>
      <c r="I133" s="70" t="n"/>
      <c r="J133" s="70" t="n"/>
      <c r="K133" s="70" t="n"/>
      <c r="L133" s="70" t="n"/>
      <c r="M133" s="70" t="n"/>
      <c r="N133" s="83">
        <f>SUM(RobotDesignResults[[#This Row],[Identify - Strategy]:[Communicate - Fun (CV)]])</f>
        <v/>
      </c>
      <c r="O133" s="73">
        <f>_xlfn.RANK.EQ(RobotDesignResults[[#This Row],[Robot Design Score]],RobotDesignResults[Robot Design Score],0)</f>
        <v/>
      </c>
    </row>
    <row r="134" ht="21" customHeight="1">
      <c r="A134" s="69" t="n"/>
      <c r="B134" s="69">
        <f>INDEX(OfficialTeamList[Pod Number],MATCH(RobotDesignResults[[#This Row],[Team Number]], OfficialTeamList[Team '#],0))</f>
        <v/>
      </c>
      <c r="C134" s="106">
        <f>INDEX(OfficialTeamList[Team Name],MATCH(RobotDesignResults[[#This Row],[Team Number]], OfficialTeamList[Team '#],0))</f>
        <v/>
      </c>
      <c r="D134" s="70" t="n"/>
      <c r="E134" s="70" t="n"/>
      <c r="F134" s="70" t="n"/>
      <c r="G134" s="70" t="n"/>
      <c r="H134" s="70" t="n"/>
      <c r="I134" s="70" t="n"/>
      <c r="J134" s="70" t="n"/>
      <c r="K134" s="70" t="n"/>
      <c r="L134" s="70" t="n"/>
      <c r="M134" s="70" t="n"/>
      <c r="N134" s="83">
        <f>SUM(RobotDesignResults[[#This Row],[Identify - Strategy]:[Communicate - Fun (CV)]])</f>
        <v/>
      </c>
      <c r="O134" s="73">
        <f>_xlfn.RANK.EQ(RobotDesignResults[[#This Row],[Robot Design Score]],RobotDesignResults[Robot Design Score],0)</f>
        <v/>
      </c>
    </row>
    <row r="135" ht="21" customHeight="1">
      <c r="A135" s="69" t="n"/>
      <c r="B135" s="69">
        <f>INDEX(OfficialTeamList[Pod Number],MATCH(RobotDesignResults[[#This Row],[Team Number]], OfficialTeamList[Team '#],0))</f>
        <v/>
      </c>
      <c r="C135" s="106">
        <f>INDEX(OfficialTeamList[Team Name],MATCH(RobotDesignResults[[#This Row],[Team Number]], OfficialTeamList[Team '#],0))</f>
        <v/>
      </c>
      <c r="D135" s="70" t="n"/>
      <c r="E135" s="70" t="n"/>
      <c r="F135" s="70" t="n"/>
      <c r="G135" s="70" t="n"/>
      <c r="H135" s="70" t="n"/>
      <c r="I135" s="70" t="n"/>
      <c r="J135" s="70" t="n"/>
      <c r="K135" s="70" t="n"/>
      <c r="L135" s="70" t="n"/>
      <c r="M135" s="70" t="n"/>
      <c r="N135" s="83">
        <f>SUM(RobotDesignResults[[#This Row],[Identify - Strategy]:[Communicate - Fun (CV)]])</f>
        <v/>
      </c>
      <c r="O135" s="73">
        <f>_xlfn.RANK.EQ(RobotDesignResults[[#This Row],[Robot Design Score]],RobotDesignResults[Robot Design Score],0)</f>
        <v/>
      </c>
    </row>
    <row r="136" ht="21" customHeight="1">
      <c r="A136" s="69" t="n"/>
      <c r="B136" s="69">
        <f>INDEX(OfficialTeamList[Pod Number],MATCH(RobotDesignResults[[#This Row],[Team Number]], OfficialTeamList[Team '#],0))</f>
        <v/>
      </c>
      <c r="C136" s="106">
        <f>INDEX(OfficialTeamList[Team Name],MATCH(RobotDesignResults[[#This Row],[Team Number]], OfficialTeamList[Team '#],0))</f>
        <v/>
      </c>
      <c r="D136" s="70" t="n"/>
      <c r="E136" s="70" t="n"/>
      <c r="F136" s="70" t="n"/>
      <c r="G136" s="70" t="n"/>
      <c r="H136" s="70" t="n"/>
      <c r="I136" s="70" t="n"/>
      <c r="J136" s="70" t="n"/>
      <c r="K136" s="70" t="n"/>
      <c r="L136" s="70" t="n"/>
      <c r="M136" s="70" t="n"/>
      <c r="N136" s="83">
        <f>SUM(RobotDesignResults[[#This Row],[Identify - Strategy]:[Communicate - Fun (CV)]])</f>
        <v/>
      </c>
      <c r="O136" s="73">
        <f>_xlfn.RANK.EQ(RobotDesignResults[[#This Row],[Robot Design Score]],RobotDesignResults[Robot Design Score],0)</f>
        <v/>
      </c>
    </row>
    <row r="137" ht="21" customHeight="1">
      <c r="A137" s="69" t="n"/>
      <c r="B137" s="69">
        <f>INDEX(OfficialTeamList[Pod Number],MATCH(RobotDesignResults[[#This Row],[Team Number]], OfficialTeamList[Team '#],0))</f>
        <v/>
      </c>
      <c r="C137" s="106">
        <f>INDEX(OfficialTeamList[Team Name],MATCH(RobotDesignResults[[#This Row],[Team Number]], OfficialTeamList[Team '#],0))</f>
        <v/>
      </c>
      <c r="D137" s="70" t="n"/>
      <c r="E137" s="70" t="n"/>
      <c r="F137" s="70" t="n"/>
      <c r="G137" s="70" t="n"/>
      <c r="H137" s="70" t="n"/>
      <c r="I137" s="70" t="n"/>
      <c r="J137" s="70" t="n"/>
      <c r="K137" s="70" t="n"/>
      <c r="L137" s="70" t="n"/>
      <c r="M137" s="70" t="n"/>
      <c r="N137" s="83">
        <f>SUM(RobotDesignResults[[#This Row],[Identify - Strategy]:[Communicate - Fun (CV)]])</f>
        <v/>
      </c>
      <c r="O137" s="73">
        <f>_xlfn.RANK.EQ(RobotDesignResults[[#This Row],[Robot Design Score]],RobotDesignResults[Robot Design Score],0)</f>
        <v/>
      </c>
    </row>
    <row r="138" ht="21" customHeight="1">
      <c r="A138" s="69" t="n"/>
      <c r="B138" s="69">
        <f>INDEX(OfficialTeamList[Pod Number],MATCH(RobotDesignResults[[#This Row],[Team Number]], OfficialTeamList[Team '#],0))</f>
        <v/>
      </c>
      <c r="C138" s="106">
        <f>INDEX(OfficialTeamList[Team Name],MATCH(RobotDesignResults[[#This Row],[Team Number]], OfficialTeamList[Team '#],0))</f>
        <v/>
      </c>
      <c r="D138" s="70" t="n"/>
      <c r="E138" s="70" t="n"/>
      <c r="F138" s="70" t="n"/>
      <c r="G138" s="70" t="n"/>
      <c r="H138" s="70" t="n"/>
      <c r="I138" s="70" t="n"/>
      <c r="J138" s="70" t="n"/>
      <c r="K138" s="70" t="n"/>
      <c r="L138" s="70" t="n"/>
      <c r="M138" s="70" t="n"/>
      <c r="N138" s="83">
        <f>SUM(RobotDesignResults[[#This Row],[Identify - Strategy]:[Communicate - Fun (CV)]])</f>
        <v/>
      </c>
      <c r="O138" s="73">
        <f>_xlfn.RANK.EQ(RobotDesignResults[[#This Row],[Robot Design Score]],RobotDesignResults[Robot Design Score],0)</f>
        <v/>
      </c>
    </row>
    <row r="139" ht="21" customHeight="1">
      <c r="A139" s="69" t="n"/>
      <c r="B139" s="69">
        <f>INDEX(OfficialTeamList[Pod Number],MATCH(RobotDesignResults[[#This Row],[Team Number]], OfficialTeamList[Team '#],0))</f>
        <v/>
      </c>
      <c r="C139" s="106">
        <f>INDEX(OfficialTeamList[Team Name],MATCH(RobotDesignResults[[#This Row],[Team Number]], OfficialTeamList[Team '#],0))</f>
        <v/>
      </c>
      <c r="D139" s="70" t="n"/>
      <c r="E139" s="70" t="n"/>
      <c r="F139" s="70" t="n"/>
      <c r="G139" s="70" t="n"/>
      <c r="H139" s="70" t="n"/>
      <c r="I139" s="70" t="n"/>
      <c r="J139" s="70" t="n"/>
      <c r="K139" s="70" t="n"/>
      <c r="L139" s="70" t="n"/>
      <c r="M139" s="70" t="n"/>
      <c r="N139" s="83">
        <f>SUM(RobotDesignResults[[#This Row],[Identify - Strategy]:[Communicate - Fun (CV)]])</f>
        <v/>
      </c>
      <c r="O139" s="73">
        <f>_xlfn.RANK.EQ(RobotDesignResults[[#This Row],[Robot Design Score]],RobotDesignResults[Robot Design Score],0)</f>
        <v/>
      </c>
    </row>
    <row r="140" ht="21" customHeight="1">
      <c r="A140" s="69" t="n"/>
      <c r="B140" s="69">
        <f>INDEX(OfficialTeamList[Pod Number],MATCH(RobotDesignResults[[#This Row],[Team Number]], OfficialTeamList[Team '#],0))</f>
        <v/>
      </c>
      <c r="C140" s="106">
        <f>INDEX(OfficialTeamList[Team Name],MATCH(RobotDesignResults[[#This Row],[Team Number]], OfficialTeamList[Team '#],0))</f>
        <v/>
      </c>
      <c r="D140" s="70" t="n"/>
      <c r="E140" s="70" t="n"/>
      <c r="F140" s="70" t="n"/>
      <c r="G140" s="70" t="n"/>
      <c r="H140" s="70" t="n"/>
      <c r="I140" s="70" t="n"/>
      <c r="J140" s="70" t="n"/>
      <c r="K140" s="70" t="n"/>
      <c r="L140" s="70" t="n"/>
      <c r="M140" s="70" t="n"/>
      <c r="N140" s="83">
        <f>SUM(RobotDesignResults[[#This Row],[Identify - Strategy]:[Communicate - Fun (CV)]])</f>
        <v/>
      </c>
      <c r="O140" s="73">
        <f>_xlfn.RANK.EQ(RobotDesignResults[[#This Row],[Robot Design Score]],RobotDesignResults[Robot Design Score],0)</f>
        <v/>
      </c>
    </row>
    <row r="141" ht="21" customHeight="1">
      <c r="A141" s="69" t="n"/>
      <c r="B141" s="69">
        <f>INDEX(OfficialTeamList[Pod Number],MATCH(RobotDesignResults[[#This Row],[Team Number]], OfficialTeamList[Team '#],0))</f>
        <v/>
      </c>
      <c r="C141" s="106">
        <f>INDEX(OfficialTeamList[Team Name],MATCH(RobotDesignResults[[#This Row],[Team Number]], OfficialTeamList[Team '#],0))</f>
        <v/>
      </c>
      <c r="D141" s="70" t="n"/>
      <c r="E141" s="70" t="n"/>
      <c r="F141" s="70" t="n"/>
      <c r="G141" s="70" t="n"/>
      <c r="H141" s="70" t="n"/>
      <c r="I141" s="70" t="n"/>
      <c r="J141" s="70" t="n"/>
      <c r="K141" s="70" t="n"/>
      <c r="L141" s="70" t="n"/>
      <c r="M141" s="70" t="n"/>
      <c r="N141" s="83">
        <f>SUM(RobotDesignResults[[#This Row],[Identify - Strategy]:[Communicate - Fun (CV)]])</f>
        <v/>
      </c>
      <c r="O141" s="73">
        <f>_xlfn.RANK.EQ(RobotDesignResults[[#This Row],[Robot Design Score]],RobotDesignResults[Robot Design Score],0)</f>
        <v/>
      </c>
    </row>
    <row r="142" ht="21" customHeight="1">
      <c r="A142" s="69" t="n"/>
      <c r="B142" s="69">
        <f>INDEX(OfficialTeamList[Pod Number],MATCH(RobotDesignResults[[#This Row],[Team Number]], OfficialTeamList[Team '#],0))</f>
        <v/>
      </c>
      <c r="C142" s="106">
        <f>INDEX(OfficialTeamList[Team Name],MATCH(RobotDesignResults[[#This Row],[Team Number]], OfficialTeamList[Team '#],0))</f>
        <v/>
      </c>
      <c r="D142" s="70" t="n"/>
      <c r="E142" s="70" t="n"/>
      <c r="F142" s="70" t="n"/>
      <c r="G142" s="70" t="n"/>
      <c r="H142" s="70" t="n"/>
      <c r="I142" s="70" t="n"/>
      <c r="J142" s="70" t="n"/>
      <c r="K142" s="70" t="n"/>
      <c r="L142" s="70" t="n"/>
      <c r="M142" s="70" t="n"/>
      <c r="N142" s="83">
        <f>SUM(RobotDesignResults[[#This Row],[Identify - Strategy]:[Communicate - Fun (CV)]])</f>
        <v/>
      </c>
      <c r="O142" s="73">
        <f>_xlfn.RANK.EQ(RobotDesignResults[[#This Row],[Robot Design Score]],RobotDesignResults[Robot Design Score],0)</f>
        <v/>
      </c>
    </row>
    <row r="143" ht="21" customHeight="1">
      <c r="A143" s="69" t="n"/>
      <c r="B143" s="69">
        <f>INDEX(OfficialTeamList[Pod Number],MATCH(RobotDesignResults[[#This Row],[Team Number]], OfficialTeamList[Team '#],0))</f>
        <v/>
      </c>
      <c r="C143" s="106">
        <f>INDEX(OfficialTeamList[Team Name],MATCH(RobotDesignResults[[#This Row],[Team Number]], OfficialTeamList[Team '#],0))</f>
        <v/>
      </c>
      <c r="D143" s="70" t="n"/>
      <c r="E143" s="70" t="n"/>
      <c r="F143" s="70" t="n"/>
      <c r="G143" s="70" t="n"/>
      <c r="H143" s="70" t="n"/>
      <c r="I143" s="70" t="n"/>
      <c r="J143" s="70" t="n"/>
      <c r="K143" s="70" t="n"/>
      <c r="L143" s="70" t="n"/>
      <c r="M143" s="70" t="n"/>
      <c r="N143" s="83">
        <f>SUM(RobotDesignResults[[#This Row],[Identify - Strategy]:[Communicate - Fun (CV)]])</f>
        <v/>
      </c>
      <c r="O143" s="73">
        <f>_xlfn.RANK.EQ(RobotDesignResults[[#This Row],[Robot Design Score]],RobotDesignResults[Robot Design Score],0)</f>
        <v/>
      </c>
    </row>
    <row r="144" ht="21" customHeight="1">
      <c r="A144" s="69" t="n"/>
      <c r="B144" s="69">
        <f>INDEX(OfficialTeamList[Pod Number],MATCH(RobotDesignResults[[#This Row],[Team Number]], OfficialTeamList[Team '#],0))</f>
        <v/>
      </c>
      <c r="C144" s="106">
        <f>INDEX(OfficialTeamList[Team Name],MATCH(RobotDesignResults[[#This Row],[Team Number]], OfficialTeamList[Team '#],0))</f>
        <v/>
      </c>
      <c r="D144" s="70" t="n"/>
      <c r="E144" s="70" t="n"/>
      <c r="F144" s="70" t="n"/>
      <c r="G144" s="70" t="n"/>
      <c r="H144" s="70" t="n"/>
      <c r="I144" s="70" t="n"/>
      <c r="J144" s="70" t="n"/>
      <c r="K144" s="70" t="n"/>
      <c r="L144" s="70" t="n"/>
      <c r="M144" s="70" t="n"/>
      <c r="N144" s="83">
        <f>SUM(RobotDesignResults[[#This Row],[Identify - Strategy]:[Communicate - Fun (CV)]])</f>
        <v/>
      </c>
      <c r="O144" s="73">
        <f>_xlfn.RANK.EQ(RobotDesignResults[[#This Row],[Robot Design Score]],RobotDesignResults[Robot Design Score],0)</f>
        <v/>
      </c>
    </row>
    <row r="145" ht="21" customHeight="1">
      <c r="A145" s="69" t="n"/>
      <c r="B145" s="69">
        <f>INDEX(OfficialTeamList[Pod Number],MATCH(RobotDesignResults[[#This Row],[Team Number]], OfficialTeamList[Team '#],0))</f>
        <v/>
      </c>
      <c r="C145" s="106">
        <f>INDEX(OfficialTeamList[Team Name],MATCH(RobotDesignResults[[#This Row],[Team Number]], OfficialTeamList[Team '#],0))</f>
        <v/>
      </c>
      <c r="D145" s="70" t="n"/>
      <c r="E145" s="70" t="n"/>
      <c r="F145" s="70" t="n"/>
      <c r="G145" s="70" t="n"/>
      <c r="H145" s="70" t="n"/>
      <c r="I145" s="70" t="n"/>
      <c r="J145" s="70" t="n"/>
      <c r="K145" s="70" t="n"/>
      <c r="L145" s="70" t="n"/>
      <c r="M145" s="70" t="n"/>
      <c r="N145" s="83">
        <f>SUM(RobotDesignResults[[#This Row],[Identify - Strategy]:[Communicate - Fun (CV)]])</f>
        <v/>
      </c>
      <c r="O145" s="73">
        <f>_xlfn.RANK.EQ(RobotDesignResults[[#This Row],[Robot Design Score]],RobotDesignResults[Robot Design Score],0)</f>
        <v/>
      </c>
    </row>
    <row r="146" ht="21" customHeight="1">
      <c r="A146" s="69" t="n"/>
      <c r="B146" s="69">
        <f>INDEX(OfficialTeamList[Pod Number],MATCH(RobotDesignResults[[#This Row],[Team Number]], OfficialTeamList[Team '#],0))</f>
        <v/>
      </c>
      <c r="C146" s="106">
        <f>INDEX(OfficialTeamList[Team Name],MATCH(RobotDesignResults[[#This Row],[Team Number]], OfficialTeamList[Team '#],0))</f>
        <v/>
      </c>
      <c r="D146" s="70" t="n"/>
      <c r="E146" s="70" t="n"/>
      <c r="F146" s="70" t="n"/>
      <c r="G146" s="70" t="n"/>
      <c r="H146" s="70" t="n"/>
      <c r="I146" s="70" t="n"/>
      <c r="J146" s="70" t="n"/>
      <c r="K146" s="70" t="n"/>
      <c r="L146" s="70" t="n"/>
      <c r="M146" s="70" t="n"/>
      <c r="N146" s="83">
        <f>SUM(RobotDesignResults[[#This Row],[Identify - Strategy]:[Communicate - Fun (CV)]])</f>
        <v/>
      </c>
      <c r="O146" s="73">
        <f>_xlfn.RANK.EQ(RobotDesignResults[[#This Row],[Robot Design Score]],RobotDesignResults[Robot Design Score],0)</f>
        <v/>
      </c>
    </row>
    <row r="147" ht="21" customHeight="1">
      <c r="A147" s="69" t="n"/>
      <c r="B147" s="69">
        <f>INDEX(OfficialTeamList[Pod Number],MATCH(RobotDesignResults[[#This Row],[Team Number]], OfficialTeamList[Team '#],0))</f>
        <v/>
      </c>
      <c r="C147" s="106">
        <f>INDEX(OfficialTeamList[Team Name],MATCH(RobotDesignResults[[#This Row],[Team Number]], OfficialTeamList[Team '#],0))</f>
        <v/>
      </c>
      <c r="D147" s="70" t="n"/>
      <c r="E147" s="70" t="n"/>
      <c r="F147" s="70" t="n"/>
      <c r="G147" s="70" t="n"/>
      <c r="H147" s="70" t="n"/>
      <c r="I147" s="70" t="n"/>
      <c r="J147" s="70" t="n"/>
      <c r="K147" s="70" t="n"/>
      <c r="L147" s="70" t="n"/>
      <c r="M147" s="70" t="n"/>
      <c r="N147" s="83">
        <f>SUM(RobotDesignResults[[#This Row],[Identify - Strategy]:[Communicate - Fun (CV)]])</f>
        <v/>
      </c>
      <c r="O147" s="73">
        <f>_xlfn.RANK.EQ(RobotDesignResults[[#This Row],[Robot Design Score]],RobotDesignResults[Robot Design Score],0)</f>
        <v/>
      </c>
    </row>
    <row r="148" ht="21" customHeight="1">
      <c r="A148" s="69" t="n"/>
      <c r="B148" s="69">
        <f>INDEX(OfficialTeamList[Pod Number],MATCH(RobotDesignResults[[#This Row],[Team Number]], OfficialTeamList[Team '#],0))</f>
        <v/>
      </c>
      <c r="C148" s="106">
        <f>INDEX(OfficialTeamList[Team Name],MATCH(RobotDesignResults[[#This Row],[Team Number]], OfficialTeamList[Team '#],0))</f>
        <v/>
      </c>
      <c r="D148" s="70" t="n"/>
      <c r="E148" s="70" t="n"/>
      <c r="F148" s="70" t="n"/>
      <c r="G148" s="70" t="n"/>
      <c r="H148" s="70" t="n"/>
      <c r="I148" s="70" t="n"/>
      <c r="J148" s="70" t="n"/>
      <c r="K148" s="70" t="n"/>
      <c r="L148" s="70" t="n"/>
      <c r="M148" s="70" t="n"/>
      <c r="N148" s="83">
        <f>SUM(RobotDesignResults[[#This Row],[Identify - Strategy]:[Communicate - Fun (CV)]])</f>
        <v/>
      </c>
      <c r="O148" s="73">
        <f>_xlfn.RANK.EQ(RobotDesignResults[[#This Row],[Robot Design Score]],RobotDesignResults[Robot Design Score],0)</f>
        <v/>
      </c>
    </row>
    <row r="149" ht="21" customHeight="1">
      <c r="A149" s="69" t="n"/>
      <c r="B149" s="69">
        <f>INDEX(OfficialTeamList[Pod Number],MATCH(RobotDesignResults[[#This Row],[Team Number]], OfficialTeamList[Team '#],0))</f>
        <v/>
      </c>
      <c r="C149" s="106">
        <f>INDEX(OfficialTeamList[Team Name],MATCH(RobotDesignResults[[#This Row],[Team Number]], OfficialTeamList[Team '#],0))</f>
        <v/>
      </c>
      <c r="D149" s="70" t="n"/>
      <c r="E149" s="70" t="n"/>
      <c r="F149" s="70" t="n"/>
      <c r="G149" s="70" t="n"/>
      <c r="H149" s="70" t="n"/>
      <c r="I149" s="70" t="n"/>
      <c r="J149" s="70" t="n"/>
      <c r="K149" s="70" t="n"/>
      <c r="L149" s="70" t="n"/>
      <c r="M149" s="70" t="n"/>
      <c r="N149" s="83">
        <f>SUM(RobotDesignResults[[#This Row],[Identify - Strategy]:[Communicate - Fun (CV)]])</f>
        <v/>
      </c>
      <c r="O149" s="73">
        <f>_xlfn.RANK.EQ(RobotDesignResults[[#This Row],[Robot Design Score]],RobotDesignResults[Robot Design Score],0)</f>
        <v/>
      </c>
    </row>
    <row r="150" ht="21" customHeight="1">
      <c r="A150" s="69" t="n"/>
      <c r="B150" s="69">
        <f>INDEX(OfficialTeamList[Pod Number],MATCH(RobotDesignResults[[#This Row],[Team Number]], OfficialTeamList[Team '#],0))</f>
        <v/>
      </c>
      <c r="C150" s="106">
        <f>INDEX(OfficialTeamList[Team Name],MATCH(RobotDesignResults[[#This Row],[Team Number]], OfficialTeamList[Team '#],0))</f>
        <v/>
      </c>
      <c r="D150" s="70" t="n"/>
      <c r="E150" s="70" t="n"/>
      <c r="F150" s="70" t="n"/>
      <c r="G150" s="70" t="n"/>
      <c r="H150" s="70" t="n"/>
      <c r="I150" s="70" t="n"/>
      <c r="J150" s="70" t="n"/>
      <c r="K150" s="70" t="n"/>
      <c r="L150" s="70" t="n"/>
      <c r="M150" s="70" t="n"/>
      <c r="N150" s="83">
        <f>SUM(RobotDesignResults[[#This Row],[Identify - Strategy]:[Communicate - Fun (CV)]])</f>
        <v/>
      </c>
      <c r="O150" s="73">
        <f>_xlfn.RANK.EQ(RobotDesignResults[[#This Row],[Robot Design Score]],RobotDesignResults[Robot Design Score],0)</f>
        <v/>
      </c>
    </row>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sheetData>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Y150"/>
  <sheetViews>
    <sheetView zoomScaleNormal="100" zoomScalePageLayoutView="140" workbookViewId="0">
      <pane ySplit="1" topLeftCell="A2" activePane="bottomLeft" state="frozen"/>
      <selection pane="bottomLeft" activeCell="N2" sqref="N2"/>
    </sheetView>
  </sheetViews>
  <sheetFormatPr baseColWidth="8" defaultColWidth="8.42578125" defaultRowHeight="30" customHeight="1" outlineLevelCol="0"/>
  <cols>
    <col width="16.7109375" customWidth="1" min="1" max="1"/>
    <col width="8.7109375" customWidth="1" min="2" max="2"/>
    <col width="32.7109375" customWidth="1" min="3" max="3"/>
    <col width="7" customWidth="1" style="42" min="4" max="4"/>
    <col width="5.85546875" customWidth="1" style="42" min="5" max="6"/>
    <col width="6.28515625" customWidth="1" style="42" min="7" max="7"/>
    <col width="5.85546875" customWidth="1" style="42" min="8" max="13"/>
    <col width="8.28515625" bestFit="1" customWidth="1" min="14" max="14"/>
    <col width="7.42578125" customWidth="1" min="15" max="18"/>
    <col width="10.42578125" customWidth="1" min="19" max="19"/>
    <col width="15.42578125" customWidth="1" min="20" max="20"/>
    <col width="8.42578125" customWidth="1" style="40" min="21" max="21"/>
    <col hidden="1" width="13" customWidth="1" min="24" max="26"/>
  </cols>
  <sheetData>
    <row r="1" ht="150" customHeight="1">
      <c r="A1" s="56" t="inlineStr">
        <is>
          <t>Team Number</t>
        </is>
      </c>
      <c r="B1" s="56" t="inlineStr">
        <is>
          <t>POD</t>
        </is>
      </c>
      <c r="C1" s="57" t="inlineStr">
        <is>
          <t>Team Name</t>
        </is>
      </c>
      <c r="D1" s="66" t="inlineStr">
        <is>
          <t>Identify - Research (CV-IP)</t>
        </is>
      </c>
      <c r="E1" s="66" t="inlineStr">
        <is>
          <t>Design - Teamwork (CV-IP)</t>
        </is>
      </c>
      <c r="F1" s="66" t="inlineStr">
        <is>
          <t>Create - Innovation (CV-IP)</t>
        </is>
      </c>
      <c r="G1" s="66" t="inlineStr">
        <is>
          <t>Communicate - Impact (CV-IP)</t>
        </is>
      </c>
      <c r="H1" s="66" t="inlineStr">
        <is>
          <t>Communicate - Fun (CV-IP)</t>
        </is>
      </c>
      <c r="I1" s="66" t="inlineStr">
        <is>
          <t>Identify - Research (CV-RD)</t>
        </is>
      </c>
      <c r="J1" s="66" t="inlineStr">
        <is>
          <t>Design - Ideas (CV-RD)</t>
        </is>
      </c>
      <c r="K1" s="66" t="inlineStr">
        <is>
          <t>Iterate - Improvements (CV-RD)</t>
        </is>
      </c>
      <c r="L1" s="66" t="inlineStr">
        <is>
          <t>Communicate - Impact (CV-RD)</t>
        </is>
      </c>
      <c r="M1" s="66" t="inlineStr">
        <is>
          <t>Communicate - Fun (CV-RD)</t>
        </is>
      </c>
      <c r="N1" s="67" t="inlineStr">
        <is>
          <t>Gracious Professionalism 1</t>
        </is>
      </c>
      <c r="O1" s="67" t="inlineStr">
        <is>
          <t>Gracious Professionalism 2</t>
        </is>
      </c>
      <c r="P1" s="67" t="inlineStr">
        <is>
          <t>Gracious Professionalism 3</t>
        </is>
      </c>
      <c r="Q1" s="67" t="inlineStr">
        <is>
          <t>Gracious Professionalism Total</t>
        </is>
      </c>
      <c r="R1" s="68" t="inlineStr">
        <is>
          <t>Gracious Professionalism Score</t>
        </is>
      </c>
      <c r="S1" s="68" t="inlineStr">
        <is>
          <t>Core Values Score</t>
        </is>
      </c>
      <c r="T1" s="68" t="inlineStr">
        <is>
          <t>Core Values Rank</t>
        </is>
      </c>
      <c r="Y1" s="33" t="n"/>
    </row>
    <row r="2" ht="21" customHeight="1">
      <c r="A2" s="69" t="n"/>
      <c r="B2" s="69">
        <f>INDEX(OfficialTeamList[Pod Number],MATCH(CoreValuesResults[[#This Row],[Team Number]], OfficialTeamList[Team '#],0))</f>
        <v/>
      </c>
      <c r="C2" s="106">
        <f>INDEX(OfficialTeamList[Team Name],MATCH(CoreValuesResults[[#This Row],[Team Number]], OfficialTeamList[Team '#],0))</f>
        <v/>
      </c>
      <c r="D2" s="77">
        <f>INDEX(InnovationProjectResults[Identify - Research (CV)],MATCH(CoreValuesResults[[#This Row],[Team Number]],InnovationProjectResults[Team Number],0))</f>
        <v/>
      </c>
      <c r="E2" s="77">
        <f>INDEX(InnovationProjectResults[Design - Teamwork (CV)],MATCH(CoreValuesResults[[#This Row],[Team Number]],InnovationProjectResults[Team Number],0))</f>
        <v/>
      </c>
      <c r="F2" s="77">
        <f>INDEX(InnovationProjectResults[Create - Innovation (CV)],MATCH(CoreValuesResults[[#This Row],[Team Number]],InnovationProjectResults[Team Number],0))</f>
        <v/>
      </c>
      <c r="G2" s="77">
        <f>INDEX(InnovationProjectResults[Communicate - Impact (CV)],MATCH(CoreValuesResults[[#This Row],[Team Number]],InnovationProjectResults[Team Number],0))</f>
        <v/>
      </c>
      <c r="H2" s="77">
        <f>INDEX(InnovationProjectResults[Communicate - Fun (CV)],MATCH(CoreValuesResults[[#This Row],[Team Number]],InnovationProjectResults[Team Number],0))</f>
        <v/>
      </c>
      <c r="I2" s="77">
        <f>INDEX(RobotDesignResults[Identify - Research (CV)],MATCH(CoreValuesResults[[#This Row],[Team Number]],RobotDesignResults[Team Number],0))</f>
        <v/>
      </c>
      <c r="J2" s="77">
        <f>INDEX(RobotDesignResults[Design - Ideas (CV)],MATCH(CoreValuesResults[[#This Row],[Team Number]],RobotDesignResults[Team Number],0))</f>
        <v/>
      </c>
      <c r="K2" s="77">
        <f>INDEX(RobotDesignResults[Iterate - Improvements (CV)],MATCH(CoreValuesResults[[#This Row],[Team Number]],RobotDesignResults[Team Number],0))</f>
        <v/>
      </c>
      <c r="L2" s="77">
        <f>INDEX(RobotDesignResults[Communicate - Impact (CV)],MATCH(CoreValuesResults[[#This Row],[Team Number]],RobotDesignResults[Team Number],0))</f>
        <v/>
      </c>
      <c r="M2" s="77">
        <f>INDEX(RobotDesignResults[Communicate - Fun (CV)],MATCH(CoreValuesResults[[#This Row],[Team Number]],RobotDesignResults[Team Number],0))</f>
        <v/>
      </c>
      <c r="N2" s="86" t="n">
        <v>0</v>
      </c>
      <c r="O2" s="86" t="n"/>
      <c r="P2" s="86" t="n"/>
      <c r="Q2" s="69">
        <f>SUM(CoreValuesResults[[#This Row],[Gracious Professionalism 1]:[Gracious Professionalism 3]])</f>
        <v/>
      </c>
      <c r="R2" s="69">
        <f>SUM(N2:Q2)</f>
        <v/>
      </c>
      <c r="S2" s="83">
        <f>SUM(CoreValuesResults[[#This Row],[Identify - Research (CV-IP)]:[Communicate - Fun (CV-RD)]],CoreValuesResults[[#This Row],[Gracious Professionalism Score]])</f>
        <v/>
      </c>
      <c r="T2" s="73">
        <f>_xlfn.RANK.EQ(CoreValuesResults[[#This Row],[Core Values Score]],CoreValuesResults[Core Values Score],0)</f>
        <v/>
      </c>
    </row>
    <row r="3" ht="21" customHeight="1">
      <c r="A3" s="69" t="n"/>
      <c r="B3" s="69">
        <f>INDEX(OfficialTeamList[Pod Number],MATCH(CoreValuesResults[[#This Row],[Team Number]], OfficialTeamList[Team '#],0))</f>
        <v/>
      </c>
      <c r="C3" s="106">
        <f>INDEX(OfficialTeamList[Team Name],MATCH(CoreValuesResults[[#This Row],[Team Number]], OfficialTeamList[Team '#],0))</f>
        <v/>
      </c>
      <c r="D3" s="77">
        <f>INDEX(InnovationProjectResults[Identify - Research (CV)],MATCH(CoreValuesResults[[#This Row],[Team Number]],InnovationProjectResults[Team Number],0))</f>
        <v/>
      </c>
      <c r="E3" s="77">
        <f>INDEX(InnovationProjectResults[Design - Teamwork (CV)],MATCH(CoreValuesResults[[#This Row],[Team Number]],InnovationProjectResults[Team Number],0))</f>
        <v/>
      </c>
      <c r="F3" s="77">
        <f>INDEX(InnovationProjectResults[Create - Innovation (CV)],MATCH(CoreValuesResults[[#This Row],[Team Number]],InnovationProjectResults[Team Number],0))</f>
        <v/>
      </c>
      <c r="G3" s="77">
        <f>INDEX(InnovationProjectResults[Communicate - Impact (CV)],MATCH(CoreValuesResults[[#This Row],[Team Number]],InnovationProjectResults[Team Number],0))</f>
        <v/>
      </c>
      <c r="H3" s="77">
        <f>INDEX(InnovationProjectResults[Communicate - Fun (CV)],MATCH(CoreValuesResults[[#This Row],[Team Number]],InnovationProjectResults[Team Number],0))</f>
        <v/>
      </c>
      <c r="I3" s="77">
        <f>INDEX(RobotDesignResults[Identify - Research (CV)],MATCH(CoreValuesResults[[#This Row],[Team Number]],RobotDesignResults[Team Number],0))</f>
        <v/>
      </c>
      <c r="J3" s="77">
        <f>INDEX(RobotDesignResults[Design - Ideas (CV)],MATCH(CoreValuesResults[[#This Row],[Team Number]],RobotDesignResults[Team Number],0))</f>
        <v/>
      </c>
      <c r="K3" s="77">
        <f>INDEX(RobotDesignResults[Iterate - Improvements (CV)],MATCH(CoreValuesResults[[#This Row],[Team Number]],RobotDesignResults[Team Number],0))</f>
        <v/>
      </c>
      <c r="L3" s="77">
        <f>INDEX(RobotDesignResults[Communicate - Impact (CV)],MATCH(CoreValuesResults[[#This Row],[Team Number]],RobotDesignResults[Team Number],0))</f>
        <v/>
      </c>
      <c r="M3" s="77">
        <f>INDEX(RobotDesignResults[Communicate - Fun (CV)],MATCH(CoreValuesResults[[#This Row],[Team Number]],RobotDesignResults[Team Number],0))</f>
        <v/>
      </c>
      <c r="N3" s="86" t="n"/>
      <c r="O3" s="86" t="n"/>
      <c r="P3" s="86" t="n"/>
      <c r="Q3" s="69">
        <f>SUM(CoreValuesResults[[#This Row],[Gracious Professionalism 1]:[Gracious Professionalism 3]])</f>
        <v/>
      </c>
      <c r="R3" s="69">
        <f>SUM(N3:Q3)</f>
        <v/>
      </c>
      <c r="S3" s="83">
        <f>SUM(CoreValuesResults[[#This Row],[Identify - Research (CV-IP)]:[Communicate - Fun (CV-RD)]],CoreValuesResults[[#This Row],[Gracious Professionalism Score]])</f>
        <v/>
      </c>
      <c r="T3" s="73">
        <f>_xlfn.RANK.EQ(CoreValuesResults[[#This Row],[Core Values Score]],CoreValuesResults[Core Values Score],0)</f>
        <v/>
      </c>
    </row>
    <row r="4" ht="21" customHeight="1">
      <c r="A4" s="69" t="n"/>
      <c r="B4" s="69">
        <f>INDEX(OfficialTeamList[Pod Number],MATCH(CoreValuesResults[[#This Row],[Team Number]], OfficialTeamList[Team '#],0))</f>
        <v/>
      </c>
      <c r="C4" s="106">
        <f>INDEX(OfficialTeamList[Team Name],MATCH(CoreValuesResults[[#This Row],[Team Number]], OfficialTeamList[Team '#],0))</f>
        <v/>
      </c>
      <c r="D4" s="77">
        <f>INDEX(InnovationProjectResults[Identify - Research (CV)],MATCH(CoreValuesResults[[#This Row],[Team Number]],InnovationProjectResults[Team Number],0))</f>
        <v/>
      </c>
      <c r="E4" s="77">
        <f>INDEX(InnovationProjectResults[Design - Teamwork (CV)],MATCH(CoreValuesResults[[#This Row],[Team Number]],InnovationProjectResults[Team Number],0))</f>
        <v/>
      </c>
      <c r="F4" s="77">
        <f>INDEX(InnovationProjectResults[Create - Innovation (CV)],MATCH(CoreValuesResults[[#This Row],[Team Number]],InnovationProjectResults[Team Number],0))</f>
        <v/>
      </c>
      <c r="G4" s="77">
        <f>INDEX(InnovationProjectResults[Communicate - Impact (CV)],MATCH(CoreValuesResults[[#This Row],[Team Number]],InnovationProjectResults[Team Number],0))</f>
        <v/>
      </c>
      <c r="H4" s="77">
        <f>INDEX(InnovationProjectResults[Communicate - Fun (CV)],MATCH(CoreValuesResults[[#This Row],[Team Number]],InnovationProjectResults[Team Number],0))</f>
        <v/>
      </c>
      <c r="I4" s="77">
        <f>INDEX(RobotDesignResults[Identify - Research (CV)],MATCH(CoreValuesResults[[#This Row],[Team Number]],RobotDesignResults[Team Number],0))</f>
        <v/>
      </c>
      <c r="J4" s="77">
        <f>INDEX(RobotDesignResults[Design - Ideas (CV)],MATCH(CoreValuesResults[[#This Row],[Team Number]],RobotDesignResults[Team Number],0))</f>
        <v/>
      </c>
      <c r="K4" s="77">
        <f>INDEX(RobotDesignResults[Iterate - Improvements (CV)],MATCH(CoreValuesResults[[#This Row],[Team Number]],RobotDesignResults[Team Number],0))</f>
        <v/>
      </c>
      <c r="L4" s="77">
        <f>INDEX(RobotDesignResults[Communicate - Impact (CV)],MATCH(CoreValuesResults[[#This Row],[Team Number]],RobotDesignResults[Team Number],0))</f>
        <v/>
      </c>
      <c r="M4" s="77">
        <f>INDEX(RobotDesignResults[Communicate - Fun (CV)],MATCH(CoreValuesResults[[#This Row],[Team Number]],RobotDesignResults[Team Number],0))</f>
        <v/>
      </c>
      <c r="N4" s="86" t="n"/>
      <c r="O4" s="86" t="n"/>
      <c r="P4" s="86" t="n"/>
      <c r="Q4" s="69">
        <f>SUM(CoreValuesResults[[#This Row],[Gracious Professionalism 1]:[Gracious Professionalism 3]])</f>
        <v/>
      </c>
      <c r="R4" s="69">
        <f>SUM(N4:Q4)</f>
        <v/>
      </c>
      <c r="S4" s="83">
        <f>SUM(CoreValuesResults[[#This Row],[Identify - Research (CV-IP)]:[Communicate - Fun (CV-RD)]],CoreValuesResults[[#This Row],[Gracious Professionalism Score]])</f>
        <v/>
      </c>
      <c r="T4" s="73">
        <f>_xlfn.RANK.EQ(CoreValuesResults[[#This Row],[Core Values Score]],CoreValuesResults[Core Values Score],0)</f>
        <v/>
      </c>
    </row>
    <row r="5" ht="21" customHeight="1">
      <c r="A5" s="69" t="n"/>
      <c r="B5" s="69">
        <f>INDEX(OfficialTeamList[Pod Number],MATCH(CoreValuesResults[[#This Row],[Team Number]], OfficialTeamList[Team '#],0))</f>
        <v/>
      </c>
      <c r="C5" s="106">
        <f>INDEX(OfficialTeamList[Team Name],MATCH(CoreValuesResults[[#This Row],[Team Number]], OfficialTeamList[Team '#],0))</f>
        <v/>
      </c>
      <c r="D5" s="77">
        <f>INDEX(InnovationProjectResults[Identify - Research (CV)],MATCH(CoreValuesResults[[#This Row],[Team Number]],InnovationProjectResults[Team Number],0))</f>
        <v/>
      </c>
      <c r="E5" s="77">
        <f>INDEX(InnovationProjectResults[Design - Teamwork (CV)],MATCH(CoreValuesResults[[#This Row],[Team Number]],InnovationProjectResults[Team Number],0))</f>
        <v/>
      </c>
      <c r="F5" s="77">
        <f>INDEX(InnovationProjectResults[Create - Innovation (CV)],MATCH(CoreValuesResults[[#This Row],[Team Number]],InnovationProjectResults[Team Number],0))</f>
        <v/>
      </c>
      <c r="G5" s="77">
        <f>INDEX(InnovationProjectResults[Communicate - Impact (CV)],MATCH(CoreValuesResults[[#This Row],[Team Number]],InnovationProjectResults[Team Number],0))</f>
        <v/>
      </c>
      <c r="H5" s="77">
        <f>INDEX(InnovationProjectResults[Communicate - Fun (CV)],MATCH(CoreValuesResults[[#This Row],[Team Number]],InnovationProjectResults[Team Number],0))</f>
        <v/>
      </c>
      <c r="I5" s="77">
        <f>INDEX(RobotDesignResults[Identify - Research (CV)],MATCH(CoreValuesResults[[#This Row],[Team Number]],RobotDesignResults[Team Number],0))</f>
        <v/>
      </c>
      <c r="J5" s="77">
        <f>INDEX(RobotDesignResults[Design - Ideas (CV)],MATCH(CoreValuesResults[[#This Row],[Team Number]],RobotDesignResults[Team Number],0))</f>
        <v/>
      </c>
      <c r="K5" s="77">
        <f>INDEX(RobotDesignResults[Iterate - Improvements (CV)],MATCH(CoreValuesResults[[#This Row],[Team Number]],RobotDesignResults[Team Number],0))</f>
        <v/>
      </c>
      <c r="L5" s="77">
        <f>INDEX(RobotDesignResults[Communicate - Impact (CV)],MATCH(CoreValuesResults[[#This Row],[Team Number]],RobotDesignResults[Team Number],0))</f>
        <v/>
      </c>
      <c r="M5" s="77">
        <f>INDEX(RobotDesignResults[Communicate - Fun (CV)],MATCH(CoreValuesResults[[#This Row],[Team Number]],RobotDesignResults[Team Number],0))</f>
        <v/>
      </c>
      <c r="N5" s="86" t="n"/>
      <c r="O5" s="86" t="n"/>
      <c r="P5" s="86" t="n"/>
      <c r="Q5" s="69">
        <f>SUM(CoreValuesResults[[#This Row],[Gracious Professionalism 1]:[Gracious Professionalism 3]])</f>
        <v/>
      </c>
      <c r="R5" s="69">
        <f>SUM(N5:Q5)</f>
        <v/>
      </c>
      <c r="S5" s="83">
        <f>SUM(CoreValuesResults[[#This Row],[Identify - Research (CV-IP)]:[Communicate - Fun (CV-RD)]],CoreValuesResults[[#This Row],[Gracious Professionalism Score]])</f>
        <v/>
      </c>
      <c r="T5" s="73">
        <f>_xlfn.RANK.EQ(CoreValuesResults[[#This Row],[Core Values Score]],CoreValuesResults[Core Values Score],0)</f>
        <v/>
      </c>
    </row>
    <row r="6" ht="21" customHeight="1">
      <c r="A6" s="69" t="n"/>
      <c r="B6" s="69">
        <f>INDEX(OfficialTeamList[Pod Number],MATCH(CoreValuesResults[[#This Row],[Team Number]], OfficialTeamList[Team '#],0))</f>
        <v/>
      </c>
      <c r="C6" s="106">
        <f>INDEX(OfficialTeamList[Team Name],MATCH(CoreValuesResults[[#This Row],[Team Number]], OfficialTeamList[Team '#],0))</f>
        <v/>
      </c>
      <c r="D6" s="77">
        <f>INDEX(InnovationProjectResults[Identify - Research (CV)],MATCH(CoreValuesResults[[#This Row],[Team Number]],InnovationProjectResults[Team Number],0))</f>
        <v/>
      </c>
      <c r="E6" s="77">
        <f>INDEX(InnovationProjectResults[Design - Teamwork (CV)],MATCH(CoreValuesResults[[#This Row],[Team Number]],InnovationProjectResults[Team Number],0))</f>
        <v/>
      </c>
      <c r="F6" s="77">
        <f>INDEX(InnovationProjectResults[Create - Innovation (CV)],MATCH(CoreValuesResults[[#This Row],[Team Number]],InnovationProjectResults[Team Number],0))</f>
        <v/>
      </c>
      <c r="G6" s="77">
        <f>INDEX(InnovationProjectResults[Communicate - Impact (CV)],MATCH(CoreValuesResults[[#This Row],[Team Number]],InnovationProjectResults[Team Number],0))</f>
        <v/>
      </c>
      <c r="H6" s="77">
        <f>INDEX(InnovationProjectResults[Communicate - Fun (CV)],MATCH(CoreValuesResults[[#This Row],[Team Number]],InnovationProjectResults[Team Number],0))</f>
        <v/>
      </c>
      <c r="I6" s="77">
        <f>INDEX(RobotDesignResults[Identify - Research (CV)],MATCH(CoreValuesResults[[#This Row],[Team Number]],RobotDesignResults[Team Number],0))</f>
        <v/>
      </c>
      <c r="J6" s="77">
        <f>INDEX(RobotDesignResults[Design - Ideas (CV)],MATCH(CoreValuesResults[[#This Row],[Team Number]],RobotDesignResults[Team Number],0))</f>
        <v/>
      </c>
      <c r="K6" s="77">
        <f>INDEX(RobotDesignResults[Iterate - Improvements (CV)],MATCH(CoreValuesResults[[#This Row],[Team Number]],RobotDesignResults[Team Number],0))</f>
        <v/>
      </c>
      <c r="L6" s="77">
        <f>INDEX(RobotDesignResults[Communicate - Impact (CV)],MATCH(CoreValuesResults[[#This Row],[Team Number]],RobotDesignResults[Team Number],0))</f>
        <v/>
      </c>
      <c r="M6" s="77">
        <f>INDEX(RobotDesignResults[Communicate - Fun (CV)],MATCH(CoreValuesResults[[#This Row],[Team Number]],RobotDesignResults[Team Number],0))</f>
        <v/>
      </c>
      <c r="N6" s="86" t="n"/>
      <c r="O6" s="86" t="n"/>
      <c r="P6" s="86" t="n"/>
      <c r="Q6" s="69">
        <f>SUM(CoreValuesResults[[#This Row],[Gracious Professionalism 1]:[Gracious Professionalism 3]])</f>
        <v/>
      </c>
      <c r="R6" s="69">
        <f>SUM(N6:Q6)</f>
        <v/>
      </c>
      <c r="S6" s="83">
        <f>SUM(CoreValuesResults[[#This Row],[Identify - Research (CV-IP)]:[Communicate - Fun (CV-RD)]],CoreValuesResults[[#This Row],[Gracious Professionalism Score]])</f>
        <v/>
      </c>
      <c r="T6" s="73">
        <f>_xlfn.RANK.EQ(CoreValuesResults[[#This Row],[Core Values Score]],CoreValuesResults[Core Values Score],0)</f>
        <v/>
      </c>
    </row>
    <row r="7" ht="21" customHeight="1">
      <c r="A7" s="69" t="n"/>
      <c r="B7" s="69">
        <f>INDEX(OfficialTeamList[Pod Number],MATCH(CoreValuesResults[[#This Row],[Team Number]], OfficialTeamList[Team '#],0))</f>
        <v/>
      </c>
      <c r="C7" s="106">
        <f>INDEX(OfficialTeamList[Team Name],MATCH(CoreValuesResults[[#This Row],[Team Number]], OfficialTeamList[Team '#],0))</f>
        <v/>
      </c>
      <c r="D7" s="77">
        <f>INDEX(InnovationProjectResults[Identify - Research (CV)],MATCH(CoreValuesResults[[#This Row],[Team Number]],InnovationProjectResults[Team Number],0))</f>
        <v/>
      </c>
      <c r="E7" s="77">
        <f>INDEX(InnovationProjectResults[Design - Teamwork (CV)],MATCH(CoreValuesResults[[#This Row],[Team Number]],InnovationProjectResults[Team Number],0))</f>
        <v/>
      </c>
      <c r="F7" s="77">
        <f>INDEX(InnovationProjectResults[Create - Innovation (CV)],MATCH(CoreValuesResults[[#This Row],[Team Number]],InnovationProjectResults[Team Number],0))</f>
        <v/>
      </c>
      <c r="G7" s="77">
        <f>INDEX(InnovationProjectResults[Communicate - Impact (CV)],MATCH(CoreValuesResults[[#This Row],[Team Number]],InnovationProjectResults[Team Number],0))</f>
        <v/>
      </c>
      <c r="H7" s="77">
        <f>INDEX(InnovationProjectResults[Communicate - Fun (CV)],MATCH(CoreValuesResults[[#This Row],[Team Number]],InnovationProjectResults[Team Number],0))</f>
        <v/>
      </c>
      <c r="I7" s="77">
        <f>INDEX(RobotDesignResults[Identify - Research (CV)],MATCH(CoreValuesResults[[#This Row],[Team Number]],RobotDesignResults[Team Number],0))</f>
        <v/>
      </c>
      <c r="J7" s="77">
        <f>INDEX(RobotDesignResults[Design - Ideas (CV)],MATCH(CoreValuesResults[[#This Row],[Team Number]],RobotDesignResults[Team Number],0))</f>
        <v/>
      </c>
      <c r="K7" s="77">
        <f>INDEX(RobotDesignResults[Iterate - Improvements (CV)],MATCH(CoreValuesResults[[#This Row],[Team Number]],RobotDesignResults[Team Number],0))</f>
        <v/>
      </c>
      <c r="L7" s="77">
        <f>INDEX(RobotDesignResults[Communicate - Impact (CV)],MATCH(CoreValuesResults[[#This Row],[Team Number]],RobotDesignResults[Team Number],0))</f>
        <v/>
      </c>
      <c r="M7" s="77">
        <f>INDEX(RobotDesignResults[Communicate - Fun (CV)],MATCH(CoreValuesResults[[#This Row],[Team Number]],RobotDesignResults[Team Number],0))</f>
        <v/>
      </c>
      <c r="N7" s="86" t="n"/>
      <c r="O7" s="86" t="n"/>
      <c r="P7" s="86" t="n"/>
      <c r="Q7" s="69">
        <f>SUM(CoreValuesResults[[#This Row],[Gracious Professionalism 1]:[Gracious Professionalism 3]])</f>
        <v/>
      </c>
      <c r="R7" s="69">
        <f>SUM(N7:Q7)</f>
        <v/>
      </c>
      <c r="S7" s="83">
        <f>SUM(CoreValuesResults[[#This Row],[Identify - Research (CV-IP)]:[Communicate - Fun (CV-RD)]],CoreValuesResults[[#This Row],[Gracious Professionalism Score]])</f>
        <v/>
      </c>
      <c r="T7" s="73">
        <f>_xlfn.RANK.EQ(CoreValuesResults[[#This Row],[Core Values Score]],CoreValuesResults[Core Values Score],0)</f>
        <v/>
      </c>
    </row>
    <row r="8" ht="21" customHeight="1">
      <c r="A8" s="69" t="n"/>
      <c r="B8" s="69">
        <f>INDEX(OfficialTeamList[Pod Number],MATCH(CoreValuesResults[[#This Row],[Team Number]], OfficialTeamList[Team '#],0))</f>
        <v/>
      </c>
      <c r="C8" s="106">
        <f>INDEX(OfficialTeamList[Team Name],MATCH(CoreValuesResults[[#This Row],[Team Number]], OfficialTeamList[Team '#],0))</f>
        <v/>
      </c>
      <c r="D8" s="77">
        <f>INDEX(InnovationProjectResults[Identify - Research (CV)],MATCH(CoreValuesResults[[#This Row],[Team Number]],InnovationProjectResults[Team Number],0))</f>
        <v/>
      </c>
      <c r="E8" s="77">
        <f>INDEX(InnovationProjectResults[Design - Teamwork (CV)],MATCH(CoreValuesResults[[#This Row],[Team Number]],InnovationProjectResults[Team Number],0))</f>
        <v/>
      </c>
      <c r="F8" s="77">
        <f>INDEX(InnovationProjectResults[Create - Innovation (CV)],MATCH(CoreValuesResults[[#This Row],[Team Number]],InnovationProjectResults[Team Number],0))</f>
        <v/>
      </c>
      <c r="G8" s="77">
        <f>INDEX(InnovationProjectResults[Communicate - Impact (CV)],MATCH(CoreValuesResults[[#This Row],[Team Number]],InnovationProjectResults[Team Number],0))</f>
        <v/>
      </c>
      <c r="H8" s="77">
        <f>INDEX(InnovationProjectResults[Communicate - Fun (CV)],MATCH(CoreValuesResults[[#This Row],[Team Number]],InnovationProjectResults[Team Number],0))</f>
        <v/>
      </c>
      <c r="I8" s="77">
        <f>INDEX(RobotDesignResults[Identify - Research (CV)],MATCH(CoreValuesResults[[#This Row],[Team Number]],RobotDesignResults[Team Number],0))</f>
        <v/>
      </c>
      <c r="J8" s="77">
        <f>INDEX(RobotDesignResults[Design - Ideas (CV)],MATCH(CoreValuesResults[[#This Row],[Team Number]],RobotDesignResults[Team Number],0))</f>
        <v/>
      </c>
      <c r="K8" s="77">
        <f>INDEX(RobotDesignResults[Iterate - Improvements (CV)],MATCH(CoreValuesResults[[#This Row],[Team Number]],RobotDesignResults[Team Number],0))</f>
        <v/>
      </c>
      <c r="L8" s="77">
        <f>INDEX(RobotDesignResults[Communicate - Impact (CV)],MATCH(CoreValuesResults[[#This Row],[Team Number]],RobotDesignResults[Team Number],0))</f>
        <v/>
      </c>
      <c r="M8" s="77">
        <f>INDEX(RobotDesignResults[Communicate - Fun (CV)],MATCH(CoreValuesResults[[#This Row],[Team Number]],RobotDesignResults[Team Number],0))</f>
        <v/>
      </c>
      <c r="N8" s="86" t="n"/>
      <c r="O8" s="86" t="n"/>
      <c r="P8" s="86" t="n"/>
      <c r="Q8" s="69">
        <f>SUM(CoreValuesResults[[#This Row],[Gracious Professionalism 1]:[Gracious Professionalism 3]])</f>
        <v/>
      </c>
      <c r="R8" s="69">
        <f>SUM(N8:Q8)</f>
        <v/>
      </c>
      <c r="S8" s="83">
        <f>SUM(CoreValuesResults[[#This Row],[Identify - Research (CV-IP)]:[Communicate - Fun (CV-RD)]],CoreValuesResults[[#This Row],[Gracious Professionalism Score]])</f>
        <v/>
      </c>
      <c r="T8" s="73">
        <f>_xlfn.RANK.EQ(CoreValuesResults[[#This Row],[Core Values Score]],CoreValuesResults[Core Values Score],0)</f>
        <v/>
      </c>
    </row>
    <row r="9" ht="21" customHeight="1">
      <c r="A9" s="69" t="n"/>
      <c r="B9" s="69">
        <f>INDEX(OfficialTeamList[Pod Number],MATCH(CoreValuesResults[[#This Row],[Team Number]], OfficialTeamList[Team '#],0))</f>
        <v/>
      </c>
      <c r="C9" s="106">
        <f>INDEX(OfficialTeamList[Team Name],MATCH(CoreValuesResults[[#This Row],[Team Number]], OfficialTeamList[Team '#],0))</f>
        <v/>
      </c>
      <c r="D9" s="77">
        <f>INDEX(InnovationProjectResults[Identify - Research (CV)],MATCH(CoreValuesResults[[#This Row],[Team Number]],InnovationProjectResults[Team Number],0))</f>
        <v/>
      </c>
      <c r="E9" s="77">
        <f>INDEX(InnovationProjectResults[Design - Teamwork (CV)],MATCH(CoreValuesResults[[#This Row],[Team Number]],InnovationProjectResults[Team Number],0))</f>
        <v/>
      </c>
      <c r="F9" s="77">
        <f>INDEX(InnovationProjectResults[Create - Innovation (CV)],MATCH(CoreValuesResults[[#This Row],[Team Number]],InnovationProjectResults[Team Number],0))</f>
        <v/>
      </c>
      <c r="G9" s="77">
        <f>INDEX(InnovationProjectResults[Communicate - Impact (CV)],MATCH(CoreValuesResults[[#This Row],[Team Number]],InnovationProjectResults[Team Number],0))</f>
        <v/>
      </c>
      <c r="H9" s="77">
        <f>INDEX(InnovationProjectResults[Communicate - Fun (CV)],MATCH(CoreValuesResults[[#This Row],[Team Number]],InnovationProjectResults[Team Number],0))</f>
        <v/>
      </c>
      <c r="I9" s="77">
        <f>INDEX(RobotDesignResults[Identify - Research (CV)],MATCH(CoreValuesResults[[#This Row],[Team Number]],RobotDesignResults[Team Number],0))</f>
        <v/>
      </c>
      <c r="J9" s="77">
        <f>INDEX(RobotDesignResults[Design - Ideas (CV)],MATCH(CoreValuesResults[[#This Row],[Team Number]],RobotDesignResults[Team Number],0))</f>
        <v/>
      </c>
      <c r="K9" s="77">
        <f>INDEX(RobotDesignResults[Iterate - Improvements (CV)],MATCH(CoreValuesResults[[#This Row],[Team Number]],RobotDesignResults[Team Number],0))</f>
        <v/>
      </c>
      <c r="L9" s="77">
        <f>INDEX(RobotDesignResults[Communicate - Impact (CV)],MATCH(CoreValuesResults[[#This Row],[Team Number]],RobotDesignResults[Team Number],0))</f>
        <v/>
      </c>
      <c r="M9" s="77">
        <f>INDEX(RobotDesignResults[Communicate - Fun (CV)],MATCH(CoreValuesResults[[#This Row],[Team Number]],RobotDesignResults[Team Number],0))</f>
        <v/>
      </c>
      <c r="N9" s="86" t="n"/>
      <c r="O9" s="86" t="n"/>
      <c r="P9" s="86" t="n"/>
      <c r="Q9" s="69">
        <f>SUM(CoreValuesResults[[#This Row],[Gracious Professionalism 1]:[Gracious Professionalism 3]])</f>
        <v/>
      </c>
      <c r="R9" s="69">
        <f>SUM(N9:Q9)</f>
        <v/>
      </c>
      <c r="S9" s="83">
        <f>SUM(CoreValuesResults[[#This Row],[Identify - Research (CV-IP)]:[Communicate - Fun (CV-RD)]],CoreValuesResults[[#This Row],[Gracious Professionalism Score]])</f>
        <v/>
      </c>
      <c r="T9" s="73">
        <f>_xlfn.RANK.EQ(CoreValuesResults[[#This Row],[Core Values Score]],CoreValuesResults[Core Values Score],0)</f>
        <v/>
      </c>
    </row>
    <row r="10" ht="21" customHeight="1">
      <c r="A10" s="69" t="n"/>
      <c r="B10" s="69">
        <f>INDEX(OfficialTeamList[Pod Number],MATCH(CoreValuesResults[[#This Row],[Team Number]], OfficialTeamList[Team '#],0))</f>
        <v/>
      </c>
      <c r="C10" s="106">
        <f>INDEX(OfficialTeamList[Team Name],MATCH(CoreValuesResults[[#This Row],[Team Number]], OfficialTeamList[Team '#],0))</f>
        <v/>
      </c>
      <c r="D10" s="77">
        <f>INDEX(InnovationProjectResults[Identify - Research (CV)],MATCH(CoreValuesResults[[#This Row],[Team Number]],InnovationProjectResults[Team Number],0))</f>
        <v/>
      </c>
      <c r="E10" s="77">
        <f>INDEX(InnovationProjectResults[Design - Teamwork (CV)],MATCH(CoreValuesResults[[#This Row],[Team Number]],InnovationProjectResults[Team Number],0))</f>
        <v/>
      </c>
      <c r="F10" s="77">
        <f>INDEX(InnovationProjectResults[Create - Innovation (CV)],MATCH(CoreValuesResults[[#This Row],[Team Number]],InnovationProjectResults[Team Number],0))</f>
        <v/>
      </c>
      <c r="G10" s="77">
        <f>INDEX(InnovationProjectResults[Communicate - Impact (CV)],MATCH(CoreValuesResults[[#This Row],[Team Number]],InnovationProjectResults[Team Number],0))</f>
        <v/>
      </c>
      <c r="H10" s="77">
        <f>INDEX(InnovationProjectResults[Communicate - Fun (CV)],MATCH(CoreValuesResults[[#This Row],[Team Number]],InnovationProjectResults[Team Number],0))</f>
        <v/>
      </c>
      <c r="I10" s="77">
        <f>INDEX(RobotDesignResults[Identify - Research (CV)],MATCH(CoreValuesResults[[#This Row],[Team Number]],RobotDesignResults[Team Number],0))</f>
        <v/>
      </c>
      <c r="J10" s="77">
        <f>INDEX(RobotDesignResults[Design - Ideas (CV)],MATCH(CoreValuesResults[[#This Row],[Team Number]],RobotDesignResults[Team Number],0))</f>
        <v/>
      </c>
      <c r="K10" s="77">
        <f>INDEX(RobotDesignResults[Iterate - Improvements (CV)],MATCH(CoreValuesResults[[#This Row],[Team Number]],RobotDesignResults[Team Number],0))</f>
        <v/>
      </c>
      <c r="L10" s="77">
        <f>INDEX(RobotDesignResults[Communicate - Impact (CV)],MATCH(CoreValuesResults[[#This Row],[Team Number]],RobotDesignResults[Team Number],0))</f>
        <v/>
      </c>
      <c r="M10" s="77">
        <f>INDEX(RobotDesignResults[Communicate - Fun (CV)],MATCH(CoreValuesResults[[#This Row],[Team Number]],RobotDesignResults[Team Number],0))</f>
        <v/>
      </c>
      <c r="N10" s="86" t="n"/>
      <c r="O10" s="86" t="n"/>
      <c r="P10" s="86" t="n"/>
      <c r="Q10" s="69">
        <f>SUM(CoreValuesResults[[#This Row],[Gracious Professionalism 1]:[Gracious Professionalism 3]])</f>
        <v/>
      </c>
      <c r="R10" s="69">
        <f>SUM(N10:Q10)</f>
        <v/>
      </c>
      <c r="S10" s="83">
        <f>SUM(CoreValuesResults[[#This Row],[Identify - Research (CV-IP)]:[Communicate - Fun (CV-RD)]],CoreValuesResults[[#This Row],[Gracious Professionalism Score]])</f>
        <v/>
      </c>
      <c r="T10" s="73">
        <f>_xlfn.RANK.EQ(CoreValuesResults[[#This Row],[Core Values Score]],CoreValuesResults[Core Values Score],0)</f>
        <v/>
      </c>
    </row>
    <row r="11" ht="21" customHeight="1">
      <c r="A11" s="69" t="n"/>
      <c r="B11" s="69">
        <f>INDEX(OfficialTeamList[Pod Number],MATCH(CoreValuesResults[[#This Row],[Team Number]], OfficialTeamList[Team '#],0))</f>
        <v/>
      </c>
      <c r="C11" s="106">
        <f>INDEX(OfficialTeamList[Team Name],MATCH(CoreValuesResults[[#This Row],[Team Number]], OfficialTeamList[Team '#],0))</f>
        <v/>
      </c>
      <c r="D11" s="77">
        <f>INDEX(InnovationProjectResults[Identify - Research (CV)],MATCH(CoreValuesResults[[#This Row],[Team Number]],InnovationProjectResults[Team Number],0))</f>
        <v/>
      </c>
      <c r="E11" s="77">
        <f>INDEX(InnovationProjectResults[Design - Teamwork (CV)],MATCH(CoreValuesResults[[#This Row],[Team Number]],InnovationProjectResults[Team Number],0))</f>
        <v/>
      </c>
      <c r="F11" s="77">
        <f>INDEX(InnovationProjectResults[Create - Innovation (CV)],MATCH(CoreValuesResults[[#This Row],[Team Number]],InnovationProjectResults[Team Number],0))</f>
        <v/>
      </c>
      <c r="G11" s="77">
        <f>INDEX(InnovationProjectResults[Communicate - Impact (CV)],MATCH(CoreValuesResults[[#This Row],[Team Number]],InnovationProjectResults[Team Number],0))</f>
        <v/>
      </c>
      <c r="H11" s="77">
        <f>INDEX(InnovationProjectResults[Communicate - Fun (CV)],MATCH(CoreValuesResults[[#This Row],[Team Number]],InnovationProjectResults[Team Number],0))</f>
        <v/>
      </c>
      <c r="I11" s="77">
        <f>INDEX(RobotDesignResults[Identify - Research (CV)],MATCH(CoreValuesResults[[#This Row],[Team Number]],RobotDesignResults[Team Number],0))</f>
        <v/>
      </c>
      <c r="J11" s="77">
        <f>INDEX(RobotDesignResults[Design - Ideas (CV)],MATCH(CoreValuesResults[[#This Row],[Team Number]],RobotDesignResults[Team Number],0))</f>
        <v/>
      </c>
      <c r="K11" s="77">
        <f>INDEX(RobotDesignResults[Iterate - Improvements (CV)],MATCH(CoreValuesResults[[#This Row],[Team Number]],RobotDesignResults[Team Number],0))</f>
        <v/>
      </c>
      <c r="L11" s="77">
        <f>INDEX(RobotDesignResults[Communicate - Impact (CV)],MATCH(CoreValuesResults[[#This Row],[Team Number]],RobotDesignResults[Team Number],0))</f>
        <v/>
      </c>
      <c r="M11" s="77">
        <f>INDEX(RobotDesignResults[Communicate - Fun (CV)],MATCH(CoreValuesResults[[#This Row],[Team Number]],RobotDesignResults[Team Number],0))</f>
        <v/>
      </c>
      <c r="N11" s="86" t="n"/>
      <c r="O11" s="86" t="n"/>
      <c r="P11" s="86" t="n"/>
      <c r="Q11" s="69">
        <f>SUM(CoreValuesResults[[#This Row],[Gracious Professionalism 1]:[Gracious Professionalism 3]])</f>
        <v/>
      </c>
      <c r="R11" s="69">
        <f>SUM(N11:Q11)</f>
        <v/>
      </c>
      <c r="S11" s="83">
        <f>SUM(CoreValuesResults[[#This Row],[Identify - Research (CV-IP)]:[Communicate - Fun (CV-RD)]],CoreValuesResults[[#This Row],[Gracious Professionalism Score]])</f>
        <v/>
      </c>
      <c r="T11" s="73">
        <f>_xlfn.RANK.EQ(CoreValuesResults[[#This Row],[Core Values Score]],CoreValuesResults[Core Values Score],0)</f>
        <v/>
      </c>
    </row>
    <row r="12" ht="21" customHeight="1">
      <c r="A12" s="69" t="n"/>
      <c r="B12" s="69">
        <f>INDEX(OfficialTeamList[Pod Number],MATCH(CoreValuesResults[[#This Row],[Team Number]], OfficialTeamList[Team '#],0))</f>
        <v/>
      </c>
      <c r="C12" s="106">
        <f>INDEX(OfficialTeamList[Team Name],MATCH(CoreValuesResults[[#This Row],[Team Number]], OfficialTeamList[Team '#],0))</f>
        <v/>
      </c>
      <c r="D12" s="77">
        <f>INDEX(InnovationProjectResults[Identify - Research (CV)],MATCH(CoreValuesResults[[#This Row],[Team Number]],InnovationProjectResults[Team Number],0))</f>
        <v/>
      </c>
      <c r="E12" s="77">
        <f>INDEX(InnovationProjectResults[Design - Teamwork (CV)],MATCH(CoreValuesResults[[#This Row],[Team Number]],InnovationProjectResults[Team Number],0))</f>
        <v/>
      </c>
      <c r="F12" s="77">
        <f>INDEX(InnovationProjectResults[Create - Innovation (CV)],MATCH(CoreValuesResults[[#This Row],[Team Number]],InnovationProjectResults[Team Number],0))</f>
        <v/>
      </c>
      <c r="G12" s="77">
        <f>INDEX(InnovationProjectResults[Communicate - Impact (CV)],MATCH(CoreValuesResults[[#This Row],[Team Number]],InnovationProjectResults[Team Number],0))</f>
        <v/>
      </c>
      <c r="H12" s="77">
        <f>INDEX(InnovationProjectResults[Communicate - Fun (CV)],MATCH(CoreValuesResults[[#This Row],[Team Number]],InnovationProjectResults[Team Number],0))</f>
        <v/>
      </c>
      <c r="I12" s="77">
        <f>INDEX(RobotDesignResults[Identify - Research (CV)],MATCH(CoreValuesResults[[#This Row],[Team Number]],RobotDesignResults[Team Number],0))</f>
        <v/>
      </c>
      <c r="J12" s="77">
        <f>INDEX(RobotDesignResults[Design - Ideas (CV)],MATCH(CoreValuesResults[[#This Row],[Team Number]],RobotDesignResults[Team Number],0))</f>
        <v/>
      </c>
      <c r="K12" s="77">
        <f>INDEX(RobotDesignResults[Iterate - Improvements (CV)],MATCH(CoreValuesResults[[#This Row],[Team Number]],RobotDesignResults[Team Number],0))</f>
        <v/>
      </c>
      <c r="L12" s="77">
        <f>INDEX(RobotDesignResults[Communicate - Impact (CV)],MATCH(CoreValuesResults[[#This Row],[Team Number]],RobotDesignResults[Team Number],0))</f>
        <v/>
      </c>
      <c r="M12" s="77">
        <f>INDEX(RobotDesignResults[Communicate - Fun (CV)],MATCH(CoreValuesResults[[#This Row],[Team Number]],RobotDesignResults[Team Number],0))</f>
        <v/>
      </c>
      <c r="N12" s="86" t="n"/>
      <c r="O12" s="86" t="n"/>
      <c r="P12" s="86" t="n"/>
      <c r="Q12" s="69">
        <f>SUM(CoreValuesResults[[#This Row],[Gracious Professionalism 1]:[Gracious Professionalism 3]])</f>
        <v/>
      </c>
      <c r="R12" s="69">
        <f>SUM(N12:Q12)</f>
        <v/>
      </c>
      <c r="S12" s="83">
        <f>SUM(CoreValuesResults[[#This Row],[Identify - Research (CV-IP)]:[Communicate - Fun (CV-RD)]],CoreValuesResults[[#This Row],[Gracious Professionalism Score]])</f>
        <v/>
      </c>
      <c r="T12" s="73">
        <f>_xlfn.RANK.EQ(CoreValuesResults[[#This Row],[Core Values Score]],CoreValuesResults[Core Values Score],0)</f>
        <v/>
      </c>
    </row>
    <row r="13" ht="21" customHeight="1">
      <c r="A13" s="69" t="n"/>
      <c r="B13" s="69">
        <f>INDEX(OfficialTeamList[Pod Number],MATCH(CoreValuesResults[[#This Row],[Team Number]], OfficialTeamList[Team '#],0))</f>
        <v/>
      </c>
      <c r="C13" s="106">
        <f>INDEX(OfficialTeamList[Team Name],MATCH(CoreValuesResults[[#This Row],[Team Number]], OfficialTeamList[Team '#],0))</f>
        <v/>
      </c>
      <c r="D13" s="77">
        <f>INDEX(InnovationProjectResults[Identify - Research (CV)],MATCH(CoreValuesResults[[#This Row],[Team Number]],InnovationProjectResults[Team Number],0))</f>
        <v/>
      </c>
      <c r="E13" s="77">
        <f>INDEX(InnovationProjectResults[Design - Teamwork (CV)],MATCH(CoreValuesResults[[#This Row],[Team Number]],InnovationProjectResults[Team Number],0))</f>
        <v/>
      </c>
      <c r="F13" s="77">
        <f>INDEX(InnovationProjectResults[Create - Innovation (CV)],MATCH(CoreValuesResults[[#This Row],[Team Number]],InnovationProjectResults[Team Number],0))</f>
        <v/>
      </c>
      <c r="G13" s="77">
        <f>INDEX(InnovationProjectResults[Communicate - Impact (CV)],MATCH(CoreValuesResults[[#This Row],[Team Number]],InnovationProjectResults[Team Number],0))</f>
        <v/>
      </c>
      <c r="H13" s="77">
        <f>INDEX(InnovationProjectResults[Communicate - Fun (CV)],MATCH(CoreValuesResults[[#This Row],[Team Number]],InnovationProjectResults[Team Number],0))</f>
        <v/>
      </c>
      <c r="I13" s="77">
        <f>INDEX(RobotDesignResults[Identify - Research (CV)],MATCH(CoreValuesResults[[#This Row],[Team Number]],RobotDesignResults[Team Number],0))</f>
        <v/>
      </c>
      <c r="J13" s="77">
        <f>INDEX(RobotDesignResults[Design - Ideas (CV)],MATCH(CoreValuesResults[[#This Row],[Team Number]],RobotDesignResults[Team Number],0))</f>
        <v/>
      </c>
      <c r="K13" s="77">
        <f>INDEX(RobotDesignResults[Iterate - Improvements (CV)],MATCH(CoreValuesResults[[#This Row],[Team Number]],RobotDesignResults[Team Number],0))</f>
        <v/>
      </c>
      <c r="L13" s="77">
        <f>INDEX(RobotDesignResults[Communicate - Impact (CV)],MATCH(CoreValuesResults[[#This Row],[Team Number]],RobotDesignResults[Team Number],0))</f>
        <v/>
      </c>
      <c r="M13" s="77">
        <f>INDEX(RobotDesignResults[Communicate - Fun (CV)],MATCH(CoreValuesResults[[#This Row],[Team Number]],RobotDesignResults[Team Number],0))</f>
        <v/>
      </c>
      <c r="N13" s="86" t="n"/>
      <c r="O13" s="86" t="n"/>
      <c r="P13" s="86" t="n"/>
      <c r="Q13" s="69">
        <f>SUM(CoreValuesResults[[#This Row],[Gracious Professionalism 1]:[Gracious Professionalism 3]])</f>
        <v/>
      </c>
      <c r="R13" s="69">
        <f>SUM(N13:Q13)</f>
        <v/>
      </c>
      <c r="S13" s="83">
        <f>SUM(CoreValuesResults[[#This Row],[Identify - Research (CV-IP)]:[Communicate - Fun (CV-RD)]],CoreValuesResults[[#This Row],[Gracious Professionalism Score]])</f>
        <v/>
      </c>
      <c r="T13" s="73">
        <f>_xlfn.RANK.EQ(CoreValuesResults[[#This Row],[Core Values Score]],CoreValuesResults[Core Values Score],0)</f>
        <v/>
      </c>
    </row>
    <row r="14" ht="21" customHeight="1">
      <c r="A14" s="69" t="n"/>
      <c r="B14" s="69">
        <f>INDEX(OfficialTeamList[Pod Number],MATCH(CoreValuesResults[[#This Row],[Team Number]], OfficialTeamList[Team '#],0))</f>
        <v/>
      </c>
      <c r="C14" s="106">
        <f>INDEX(OfficialTeamList[Team Name],MATCH(CoreValuesResults[[#This Row],[Team Number]], OfficialTeamList[Team '#],0))</f>
        <v/>
      </c>
      <c r="D14" s="77">
        <f>INDEX(InnovationProjectResults[Identify - Research (CV)],MATCH(CoreValuesResults[[#This Row],[Team Number]],InnovationProjectResults[Team Number],0))</f>
        <v/>
      </c>
      <c r="E14" s="77">
        <f>INDEX(InnovationProjectResults[Design - Teamwork (CV)],MATCH(CoreValuesResults[[#This Row],[Team Number]],InnovationProjectResults[Team Number],0))</f>
        <v/>
      </c>
      <c r="F14" s="77">
        <f>INDEX(InnovationProjectResults[Create - Innovation (CV)],MATCH(CoreValuesResults[[#This Row],[Team Number]],InnovationProjectResults[Team Number],0))</f>
        <v/>
      </c>
      <c r="G14" s="77">
        <f>INDEX(InnovationProjectResults[Communicate - Impact (CV)],MATCH(CoreValuesResults[[#This Row],[Team Number]],InnovationProjectResults[Team Number],0))</f>
        <v/>
      </c>
      <c r="H14" s="77">
        <f>INDEX(InnovationProjectResults[Communicate - Fun (CV)],MATCH(CoreValuesResults[[#This Row],[Team Number]],InnovationProjectResults[Team Number],0))</f>
        <v/>
      </c>
      <c r="I14" s="77">
        <f>INDEX(RobotDesignResults[Identify - Research (CV)],MATCH(CoreValuesResults[[#This Row],[Team Number]],RobotDesignResults[Team Number],0))</f>
        <v/>
      </c>
      <c r="J14" s="77">
        <f>INDEX(RobotDesignResults[Design - Ideas (CV)],MATCH(CoreValuesResults[[#This Row],[Team Number]],RobotDesignResults[Team Number],0))</f>
        <v/>
      </c>
      <c r="K14" s="77">
        <f>INDEX(RobotDesignResults[Iterate - Improvements (CV)],MATCH(CoreValuesResults[[#This Row],[Team Number]],RobotDesignResults[Team Number],0))</f>
        <v/>
      </c>
      <c r="L14" s="77">
        <f>INDEX(RobotDesignResults[Communicate - Impact (CV)],MATCH(CoreValuesResults[[#This Row],[Team Number]],RobotDesignResults[Team Number],0))</f>
        <v/>
      </c>
      <c r="M14" s="77">
        <f>INDEX(RobotDesignResults[Communicate - Fun (CV)],MATCH(CoreValuesResults[[#This Row],[Team Number]],RobotDesignResults[Team Number],0))</f>
        <v/>
      </c>
      <c r="N14" s="86" t="n"/>
      <c r="O14" s="86" t="n"/>
      <c r="P14" s="86" t="n"/>
      <c r="Q14" s="69">
        <f>SUM(CoreValuesResults[[#This Row],[Gracious Professionalism 1]:[Gracious Professionalism 3]])</f>
        <v/>
      </c>
      <c r="R14" s="69">
        <f>SUM(N14:Q14)</f>
        <v/>
      </c>
      <c r="S14" s="83">
        <f>SUM(CoreValuesResults[[#This Row],[Identify - Research (CV-IP)]:[Communicate - Fun (CV-RD)]],CoreValuesResults[[#This Row],[Gracious Professionalism Score]])</f>
        <v/>
      </c>
      <c r="T14" s="73">
        <f>_xlfn.RANK.EQ(CoreValuesResults[[#This Row],[Core Values Score]],CoreValuesResults[Core Values Score],0)</f>
        <v/>
      </c>
    </row>
    <row r="15" ht="21" customHeight="1">
      <c r="A15" s="69" t="n"/>
      <c r="B15" s="69">
        <f>INDEX(OfficialTeamList[Pod Number],MATCH(CoreValuesResults[[#This Row],[Team Number]], OfficialTeamList[Team '#],0))</f>
        <v/>
      </c>
      <c r="C15" s="106">
        <f>INDEX(OfficialTeamList[Team Name],MATCH(CoreValuesResults[[#This Row],[Team Number]], OfficialTeamList[Team '#],0))</f>
        <v/>
      </c>
      <c r="D15" s="77">
        <f>INDEX(InnovationProjectResults[Identify - Research (CV)],MATCH(CoreValuesResults[[#This Row],[Team Number]],InnovationProjectResults[Team Number],0))</f>
        <v/>
      </c>
      <c r="E15" s="77">
        <f>INDEX(InnovationProjectResults[Design - Teamwork (CV)],MATCH(CoreValuesResults[[#This Row],[Team Number]],InnovationProjectResults[Team Number],0))</f>
        <v/>
      </c>
      <c r="F15" s="77">
        <f>INDEX(InnovationProjectResults[Create - Innovation (CV)],MATCH(CoreValuesResults[[#This Row],[Team Number]],InnovationProjectResults[Team Number],0))</f>
        <v/>
      </c>
      <c r="G15" s="77">
        <f>INDEX(InnovationProjectResults[Communicate - Impact (CV)],MATCH(CoreValuesResults[[#This Row],[Team Number]],InnovationProjectResults[Team Number],0))</f>
        <v/>
      </c>
      <c r="H15" s="77">
        <f>INDEX(InnovationProjectResults[Communicate - Fun (CV)],MATCH(CoreValuesResults[[#This Row],[Team Number]],InnovationProjectResults[Team Number],0))</f>
        <v/>
      </c>
      <c r="I15" s="77">
        <f>INDEX(RobotDesignResults[Identify - Research (CV)],MATCH(CoreValuesResults[[#This Row],[Team Number]],RobotDesignResults[Team Number],0))</f>
        <v/>
      </c>
      <c r="J15" s="77">
        <f>INDEX(RobotDesignResults[Design - Ideas (CV)],MATCH(CoreValuesResults[[#This Row],[Team Number]],RobotDesignResults[Team Number],0))</f>
        <v/>
      </c>
      <c r="K15" s="77">
        <f>INDEX(RobotDesignResults[Iterate - Improvements (CV)],MATCH(CoreValuesResults[[#This Row],[Team Number]],RobotDesignResults[Team Number],0))</f>
        <v/>
      </c>
      <c r="L15" s="77">
        <f>INDEX(RobotDesignResults[Communicate - Impact (CV)],MATCH(CoreValuesResults[[#This Row],[Team Number]],RobotDesignResults[Team Number],0))</f>
        <v/>
      </c>
      <c r="M15" s="77">
        <f>INDEX(RobotDesignResults[Communicate - Fun (CV)],MATCH(CoreValuesResults[[#This Row],[Team Number]],RobotDesignResults[Team Number],0))</f>
        <v/>
      </c>
      <c r="N15" s="86" t="n"/>
      <c r="O15" s="86" t="n"/>
      <c r="P15" s="86" t="n"/>
      <c r="Q15" s="69">
        <f>SUM(CoreValuesResults[[#This Row],[Gracious Professionalism 1]:[Gracious Professionalism 3]])</f>
        <v/>
      </c>
      <c r="R15" s="69">
        <f>SUM(N15:Q15)</f>
        <v/>
      </c>
      <c r="S15" s="83">
        <f>SUM(CoreValuesResults[[#This Row],[Identify - Research (CV-IP)]:[Communicate - Fun (CV-RD)]],CoreValuesResults[[#This Row],[Gracious Professionalism Score]])</f>
        <v/>
      </c>
      <c r="T15" s="73">
        <f>_xlfn.RANK.EQ(CoreValuesResults[[#This Row],[Core Values Score]],CoreValuesResults[Core Values Score],0)</f>
        <v/>
      </c>
    </row>
    <row r="16" ht="21" customHeight="1">
      <c r="A16" s="69" t="n"/>
      <c r="B16" s="69">
        <f>INDEX(OfficialTeamList[Pod Number],MATCH(CoreValuesResults[[#This Row],[Team Number]], OfficialTeamList[Team '#],0))</f>
        <v/>
      </c>
      <c r="C16" s="106">
        <f>INDEX(OfficialTeamList[Team Name],MATCH(CoreValuesResults[[#This Row],[Team Number]], OfficialTeamList[Team '#],0))</f>
        <v/>
      </c>
      <c r="D16" s="77">
        <f>INDEX(InnovationProjectResults[Identify - Research (CV)],MATCH(CoreValuesResults[[#This Row],[Team Number]],InnovationProjectResults[Team Number],0))</f>
        <v/>
      </c>
      <c r="E16" s="77">
        <f>INDEX(InnovationProjectResults[Design - Teamwork (CV)],MATCH(CoreValuesResults[[#This Row],[Team Number]],InnovationProjectResults[Team Number],0))</f>
        <v/>
      </c>
      <c r="F16" s="77">
        <f>INDEX(InnovationProjectResults[Create - Innovation (CV)],MATCH(CoreValuesResults[[#This Row],[Team Number]],InnovationProjectResults[Team Number],0))</f>
        <v/>
      </c>
      <c r="G16" s="77">
        <f>INDEX(InnovationProjectResults[Communicate - Impact (CV)],MATCH(CoreValuesResults[[#This Row],[Team Number]],InnovationProjectResults[Team Number],0))</f>
        <v/>
      </c>
      <c r="H16" s="77">
        <f>INDEX(InnovationProjectResults[Communicate - Fun (CV)],MATCH(CoreValuesResults[[#This Row],[Team Number]],InnovationProjectResults[Team Number],0))</f>
        <v/>
      </c>
      <c r="I16" s="77">
        <f>INDEX(RobotDesignResults[Identify - Research (CV)],MATCH(CoreValuesResults[[#This Row],[Team Number]],RobotDesignResults[Team Number],0))</f>
        <v/>
      </c>
      <c r="J16" s="77">
        <f>INDEX(RobotDesignResults[Design - Ideas (CV)],MATCH(CoreValuesResults[[#This Row],[Team Number]],RobotDesignResults[Team Number],0))</f>
        <v/>
      </c>
      <c r="K16" s="77">
        <f>INDEX(RobotDesignResults[Iterate - Improvements (CV)],MATCH(CoreValuesResults[[#This Row],[Team Number]],RobotDesignResults[Team Number],0))</f>
        <v/>
      </c>
      <c r="L16" s="77">
        <f>INDEX(RobotDesignResults[Communicate - Impact (CV)],MATCH(CoreValuesResults[[#This Row],[Team Number]],RobotDesignResults[Team Number],0))</f>
        <v/>
      </c>
      <c r="M16" s="77">
        <f>INDEX(RobotDesignResults[Communicate - Fun (CV)],MATCH(CoreValuesResults[[#This Row],[Team Number]],RobotDesignResults[Team Number],0))</f>
        <v/>
      </c>
      <c r="N16" s="86" t="n"/>
      <c r="O16" s="86" t="n"/>
      <c r="P16" s="86" t="n"/>
      <c r="Q16" s="69">
        <f>SUM(CoreValuesResults[[#This Row],[Gracious Professionalism 1]:[Gracious Professionalism 3]])</f>
        <v/>
      </c>
      <c r="R16" s="69">
        <f>SUM(N16:Q16)</f>
        <v/>
      </c>
      <c r="S16" s="83">
        <f>SUM(CoreValuesResults[[#This Row],[Identify - Research (CV-IP)]:[Communicate - Fun (CV-RD)]],CoreValuesResults[[#This Row],[Gracious Professionalism Score]])</f>
        <v/>
      </c>
      <c r="T16" s="73">
        <f>_xlfn.RANK.EQ(CoreValuesResults[[#This Row],[Core Values Score]],CoreValuesResults[Core Values Score],0)</f>
        <v/>
      </c>
    </row>
    <row r="17" ht="21" customHeight="1">
      <c r="A17" s="69" t="n"/>
      <c r="B17" s="69">
        <f>INDEX(OfficialTeamList[Pod Number],MATCH(CoreValuesResults[[#This Row],[Team Number]], OfficialTeamList[Team '#],0))</f>
        <v/>
      </c>
      <c r="C17" s="106">
        <f>INDEX(OfficialTeamList[Team Name],MATCH(CoreValuesResults[[#This Row],[Team Number]], OfficialTeamList[Team '#],0))</f>
        <v/>
      </c>
      <c r="D17" s="77">
        <f>INDEX(InnovationProjectResults[Identify - Research (CV)],MATCH(CoreValuesResults[[#This Row],[Team Number]],InnovationProjectResults[Team Number],0))</f>
        <v/>
      </c>
      <c r="E17" s="77">
        <f>INDEX(InnovationProjectResults[Design - Teamwork (CV)],MATCH(CoreValuesResults[[#This Row],[Team Number]],InnovationProjectResults[Team Number],0))</f>
        <v/>
      </c>
      <c r="F17" s="77">
        <f>INDEX(InnovationProjectResults[Create - Innovation (CV)],MATCH(CoreValuesResults[[#This Row],[Team Number]],InnovationProjectResults[Team Number],0))</f>
        <v/>
      </c>
      <c r="G17" s="77">
        <f>INDEX(InnovationProjectResults[Communicate - Impact (CV)],MATCH(CoreValuesResults[[#This Row],[Team Number]],InnovationProjectResults[Team Number],0))</f>
        <v/>
      </c>
      <c r="H17" s="77">
        <f>INDEX(InnovationProjectResults[Communicate - Fun (CV)],MATCH(CoreValuesResults[[#This Row],[Team Number]],InnovationProjectResults[Team Number],0))</f>
        <v/>
      </c>
      <c r="I17" s="77">
        <f>INDEX(RobotDesignResults[Identify - Research (CV)],MATCH(CoreValuesResults[[#This Row],[Team Number]],RobotDesignResults[Team Number],0))</f>
        <v/>
      </c>
      <c r="J17" s="77">
        <f>INDEX(RobotDesignResults[Design - Ideas (CV)],MATCH(CoreValuesResults[[#This Row],[Team Number]],RobotDesignResults[Team Number],0))</f>
        <v/>
      </c>
      <c r="K17" s="77">
        <f>INDEX(RobotDesignResults[Iterate - Improvements (CV)],MATCH(CoreValuesResults[[#This Row],[Team Number]],RobotDesignResults[Team Number],0))</f>
        <v/>
      </c>
      <c r="L17" s="77">
        <f>INDEX(RobotDesignResults[Communicate - Impact (CV)],MATCH(CoreValuesResults[[#This Row],[Team Number]],RobotDesignResults[Team Number],0))</f>
        <v/>
      </c>
      <c r="M17" s="77">
        <f>INDEX(RobotDesignResults[Communicate - Fun (CV)],MATCH(CoreValuesResults[[#This Row],[Team Number]],RobotDesignResults[Team Number],0))</f>
        <v/>
      </c>
      <c r="N17" s="86" t="n"/>
      <c r="O17" s="86" t="n"/>
      <c r="P17" s="86" t="n"/>
      <c r="Q17" s="69">
        <f>SUM(CoreValuesResults[[#This Row],[Gracious Professionalism 1]:[Gracious Professionalism 3]])</f>
        <v/>
      </c>
      <c r="R17" s="69">
        <f>SUM(N17:Q17)</f>
        <v/>
      </c>
      <c r="S17" s="83">
        <f>SUM(CoreValuesResults[[#This Row],[Identify - Research (CV-IP)]:[Communicate - Fun (CV-RD)]],CoreValuesResults[[#This Row],[Gracious Professionalism Score]])</f>
        <v/>
      </c>
      <c r="T17" s="73">
        <f>_xlfn.RANK.EQ(CoreValuesResults[[#This Row],[Core Values Score]],CoreValuesResults[Core Values Score],0)</f>
        <v/>
      </c>
    </row>
    <row r="18" ht="21" customHeight="1">
      <c r="A18" s="69" t="n"/>
      <c r="B18" s="69">
        <f>INDEX(OfficialTeamList[Pod Number],MATCH(CoreValuesResults[[#This Row],[Team Number]], OfficialTeamList[Team '#],0))</f>
        <v/>
      </c>
      <c r="C18" s="106">
        <f>INDEX(OfficialTeamList[Team Name],MATCH(CoreValuesResults[[#This Row],[Team Number]], OfficialTeamList[Team '#],0))</f>
        <v/>
      </c>
      <c r="D18" s="77">
        <f>INDEX(InnovationProjectResults[Identify - Research (CV)],MATCH(CoreValuesResults[[#This Row],[Team Number]],InnovationProjectResults[Team Number],0))</f>
        <v/>
      </c>
      <c r="E18" s="77">
        <f>INDEX(InnovationProjectResults[Design - Teamwork (CV)],MATCH(CoreValuesResults[[#This Row],[Team Number]],InnovationProjectResults[Team Number],0))</f>
        <v/>
      </c>
      <c r="F18" s="77">
        <f>INDEX(InnovationProjectResults[Create - Innovation (CV)],MATCH(CoreValuesResults[[#This Row],[Team Number]],InnovationProjectResults[Team Number],0))</f>
        <v/>
      </c>
      <c r="G18" s="77">
        <f>INDEX(InnovationProjectResults[Communicate - Impact (CV)],MATCH(CoreValuesResults[[#This Row],[Team Number]],InnovationProjectResults[Team Number],0))</f>
        <v/>
      </c>
      <c r="H18" s="77">
        <f>INDEX(InnovationProjectResults[Communicate - Fun (CV)],MATCH(CoreValuesResults[[#This Row],[Team Number]],InnovationProjectResults[Team Number],0))</f>
        <v/>
      </c>
      <c r="I18" s="77">
        <f>INDEX(RobotDesignResults[Identify - Research (CV)],MATCH(CoreValuesResults[[#This Row],[Team Number]],RobotDesignResults[Team Number],0))</f>
        <v/>
      </c>
      <c r="J18" s="77">
        <f>INDEX(RobotDesignResults[Design - Ideas (CV)],MATCH(CoreValuesResults[[#This Row],[Team Number]],RobotDesignResults[Team Number],0))</f>
        <v/>
      </c>
      <c r="K18" s="77">
        <f>INDEX(RobotDesignResults[Iterate - Improvements (CV)],MATCH(CoreValuesResults[[#This Row],[Team Number]],RobotDesignResults[Team Number],0))</f>
        <v/>
      </c>
      <c r="L18" s="77">
        <f>INDEX(RobotDesignResults[Communicate - Impact (CV)],MATCH(CoreValuesResults[[#This Row],[Team Number]],RobotDesignResults[Team Number],0))</f>
        <v/>
      </c>
      <c r="M18" s="77">
        <f>INDEX(RobotDesignResults[Communicate - Fun (CV)],MATCH(CoreValuesResults[[#This Row],[Team Number]],RobotDesignResults[Team Number],0))</f>
        <v/>
      </c>
      <c r="N18" s="86" t="n"/>
      <c r="O18" s="86" t="n"/>
      <c r="P18" s="86" t="n"/>
      <c r="Q18" s="69">
        <f>SUM(CoreValuesResults[[#This Row],[Gracious Professionalism 1]:[Gracious Professionalism 3]])</f>
        <v/>
      </c>
      <c r="R18" s="69">
        <f>SUM(N18:Q18)</f>
        <v/>
      </c>
      <c r="S18" s="83">
        <f>SUM(CoreValuesResults[[#This Row],[Identify - Research (CV-IP)]:[Communicate - Fun (CV-RD)]],CoreValuesResults[[#This Row],[Gracious Professionalism Score]])</f>
        <v/>
      </c>
      <c r="T18" s="73">
        <f>_xlfn.RANK.EQ(CoreValuesResults[[#This Row],[Core Values Score]],CoreValuesResults[Core Values Score],0)</f>
        <v/>
      </c>
    </row>
    <row r="19" ht="21" customHeight="1">
      <c r="A19" s="69" t="n"/>
      <c r="B19" s="69">
        <f>INDEX(OfficialTeamList[Pod Number],MATCH(CoreValuesResults[[#This Row],[Team Number]], OfficialTeamList[Team '#],0))</f>
        <v/>
      </c>
      <c r="C19" s="106">
        <f>INDEX(OfficialTeamList[Team Name],MATCH(CoreValuesResults[[#This Row],[Team Number]], OfficialTeamList[Team '#],0))</f>
        <v/>
      </c>
      <c r="D19" s="77">
        <f>INDEX(InnovationProjectResults[Identify - Research (CV)],MATCH(CoreValuesResults[[#This Row],[Team Number]],InnovationProjectResults[Team Number],0))</f>
        <v/>
      </c>
      <c r="E19" s="77">
        <f>INDEX(InnovationProjectResults[Design - Teamwork (CV)],MATCH(CoreValuesResults[[#This Row],[Team Number]],InnovationProjectResults[Team Number],0))</f>
        <v/>
      </c>
      <c r="F19" s="77">
        <f>INDEX(InnovationProjectResults[Create - Innovation (CV)],MATCH(CoreValuesResults[[#This Row],[Team Number]],InnovationProjectResults[Team Number],0))</f>
        <v/>
      </c>
      <c r="G19" s="77">
        <f>INDEX(InnovationProjectResults[Communicate - Impact (CV)],MATCH(CoreValuesResults[[#This Row],[Team Number]],InnovationProjectResults[Team Number],0))</f>
        <v/>
      </c>
      <c r="H19" s="77">
        <f>INDEX(InnovationProjectResults[Communicate - Fun (CV)],MATCH(CoreValuesResults[[#This Row],[Team Number]],InnovationProjectResults[Team Number],0))</f>
        <v/>
      </c>
      <c r="I19" s="77">
        <f>INDEX(RobotDesignResults[Identify - Research (CV)],MATCH(CoreValuesResults[[#This Row],[Team Number]],RobotDesignResults[Team Number],0))</f>
        <v/>
      </c>
      <c r="J19" s="77">
        <f>INDEX(RobotDesignResults[Design - Ideas (CV)],MATCH(CoreValuesResults[[#This Row],[Team Number]],RobotDesignResults[Team Number],0))</f>
        <v/>
      </c>
      <c r="K19" s="77">
        <f>INDEX(RobotDesignResults[Iterate - Improvements (CV)],MATCH(CoreValuesResults[[#This Row],[Team Number]],RobotDesignResults[Team Number],0))</f>
        <v/>
      </c>
      <c r="L19" s="77">
        <f>INDEX(RobotDesignResults[Communicate - Impact (CV)],MATCH(CoreValuesResults[[#This Row],[Team Number]],RobotDesignResults[Team Number],0))</f>
        <v/>
      </c>
      <c r="M19" s="77">
        <f>INDEX(RobotDesignResults[Communicate - Fun (CV)],MATCH(CoreValuesResults[[#This Row],[Team Number]],RobotDesignResults[Team Number],0))</f>
        <v/>
      </c>
      <c r="N19" s="86" t="n"/>
      <c r="O19" s="86" t="n"/>
      <c r="P19" s="86" t="n"/>
      <c r="Q19" s="69">
        <f>SUM(CoreValuesResults[[#This Row],[Gracious Professionalism 1]:[Gracious Professionalism 3]])</f>
        <v/>
      </c>
      <c r="R19" s="69">
        <f>SUM(N19:Q19)</f>
        <v/>
      </c>
      <c r="S19" s="83">
        <f>SUM(CoreValuesResults[[#This Row],[Identify - Research (CV-IP)]:[Communicate - Fun (CV-RD)]],CoreValuesResults[[#This Row],[Gracious Professionalism Score]])</f>
        <v/>
      </c>
      <c r="T19" s="73">
        <f>_xlfn.RANK.EQ(CoreValuesResults[[#This Row],[Core Values Score]],CoreValuesResults[Core Values Score],0)</f>
        <v/>
      </c>
    </row>
    <row r="20" ht="21" customHeight="1">
      <c r="A20" s="69" t="n"/>
      <c r="B20" s="69">
        <f>INDEX(OfficialTeamList[Pod Number],MATCH(CoreValuesResults[[#This Row],[Team Number]], OfficialTeamList[Team '#],0))</f>
        <v/>
      </c>
      <c r="C20" s="106">
        <f>INDEX(OfficialTeamList[Team Name],MATCH(CoreValuesResults[[#This Row],[Team Number]], OfficialTeamList[Team '#],0))</f>
        <v/>
      </c>
      <c r="D20" s="77">
        <f>INDEX(InnovationProjectResults[Identify - Research (CV)],MATCH(CoreValuesResults[[#This Row],[Team Number]],InnovationProjectResults[Team Number],0))</f>
        <v/>
      </c>
      <c r="E20" s="77">
        <f>INDEX(InnovationProjectResults[Design - Teamwork (CV)],MATCH(CoreValuesResults[[#This Row],[Team Number]],InnovationProjectResults[Team Number],0))</f>
        <v/>
      </c>
      <c r="F20" s="77">
        <f>INDEX(InnovationProjectResults[Create - Innovation (CV)],MATCH(CoreValuesResults[[#This Row],[Team Number]],InnovationProjectResults[Team Number],0))</f>
        <v/>
      </c>
      <c r="G20" s="77">
        <f>INDEX(InnovationProjectResults[Communicate - Impact (CV)],MATCH(CoreValuesResults[[#This Row],[Team Number]],InnovationProjectResults[Team Number],0))</f>
        <v/>
      </c>
      <c r="H20" s="77">
        <f>INDEX(InnovationProjectResults[Communicate - Fun (CV)],MATCH(CoreValuesResults[[#This Row],[Team Number]],InnovationProjectResults[Team Number],0))</f>
        <v/>
      </c>
      <c r="I20" s="77">
        <f>INDEX(RobotDesignResults[Identify - Research (CV)],MATCH(CoreValuesResults[[#This Row],[Team Number]],RobotDesignResults[Team Number],0))</f>
        <v/>
      </c>
      <c r="J20" s="77">
        <f>INDEX(RobotDesignResults[Design - Ideas (CV)],MATCH(CoreValuesResults[[#This Row],[Team Number]],RobotDesignResults[Team Number],0))</f>
        <v/>
      </c>
      <c r="K20" s="77">
        <f>INDEX(RobotDesignResults[Iterate - Improvements (CV)],MATCH(CoreValuesResults[[#This Row],[Team Number]],RobotDesignResults[Team Number],0))</f>
        <v/>
      </c>
      <c r="L20" s="77">
        <f>INDEX(RobotDesignResults[Communicate - Impact (CV)],MATCH(CoreValuesResults[[#This Row],[Team Number]],RobotDesignResults[Team Number],0))</f>
        <v/>
      </c>
      <c r="M20" s="77">
        <f>INDEX(RobotDesignResults[Communicate - Fun (CV)],MATCH(CoreValuesResults[[#This Row],[Team Number]],RobotDesignResults[Team Number],0))</f>
        <v/>
      </c>
      <c r="N20" s="86" t="n"/>
      <c r="O20" s="86" t="n"/>
      <c r="P20" s="86" t="n"/>
      <c r="Q20" s="69">
        <f>SUM(CoreValuesResults[[#This Row],[Gracious Professionalism 1]:[Gracious Professionalism 3]])</f>
        <v/>
      </c>
      <c r="R20" s="69">
        <f>SUM(N20:Q20)</f>
        <v/>
      </c>
      <c r="S20" s="83">
        <f>SUM(CoreValuesResults[[#This Row],[Identify - Research (CV-IP)]:[Communicate - Fun (CV-RD)]],CoreValuesResults[[#This Row],[Gracious Professionalism Score]])</f>
        <v/>
      </c>
      <c r="T20" s="73">
        <f>_xlfn.RANK.EQ(CoreValuesResults[[#This Row],[Core Values Score]],CoreValuesResults[Core Values Score],0)</f>
        <v/>
      </c>
    </row>
    <row r="21" ht="21" customHeight="1">
      <c r="A21" s="69" t="n"/>
      <c r="B21" s="69">
        <f>INDEX(OfficialTeamList[Pod Number],MATCH(CoreValuesResults[[#This Row],[Team Number]], OfficialTeamList[Team '#],0))</f>
        <v/>
      </c>
      <c r="C21" s="106">
        <f>INDEX(OfficialTeamList[Team Name],MATCH(CoreValuesResults[[#This Row],[Team Number]], OfficialTeamList[Team '#],0))</f>
        <v/>
      </c>
      <c r="D21" s="77">
        <f>INDEX(InnovationProjectResults[Identify - Research (CV)],MATCH(CoreValuesResults[[#This Row],[Team Number]],InnovationProjectResults[Team Number],0))</f>
        <v/>
      </c>
      <c r="E21" s="77">
        <f>INDEX(InnovationProjectResults[Design - Teamwork (CV)],MATCH(CoreValuesResults[[#This Row],[Team Number]],InnovationProjectResults[Team Number],0))</f>
        <v/>
      </c>
      <c r="F21" s="77">
        <f>INDEX(InnovationProjectResults[Create - Innovation (CV)],MATCH(CoreValuesResults[[#This Row],[Team Number]],InnovationProjectResults[Team Number],0))</f>
        <v/>
      </c>
      <c r="G21" s="77">
        <f>INDEX(InnovationProjectResults[Communicate - Impact (CV)],MATCH(CoreValuesResults[[#This Row],[Team Number]],InnovationProjectResults[Team Number],0))</f>
        <v/>
      </c>
      <c r="H21" s="77">
        <f>INDEX(InnovationProjectResults[Communicate - Fun (CV)],MATCH(CoreValuesResults[[#This Row],[Team Number]],InnovationProjectResults[Team Number],0))</f>
        <v/>
      </c>
      <c r="I21" s="77">
        <f>INDEX(RobotDesignResults[Identify - Research (CV)],MATCH(CoreValuesResults[[#This Row],[Team Number]],RobotDesignResults[Team Number],0))</f>
        <v/>
      </c>
      <c r="J21" s="77">
        <f>INDEX(RobotDesignResults[Design - Ideas (CV)],MATCH(CoreValuesResults[[#This Row],[Team Number]],RobotDesignResults[Team Number],0))</f>
        <v/>
      </c>
      <c r="K21" s="77">
        <f>INDEX(RobotDesignResults[Iterate - Improvements (CV)],MATCH(CoreValuesResults[[#This Row],[Team Number]],RobotDesignResults[Team Number],0))</f>
        <v/>
      </c>
      <c r="L21" s="77">
        <f>INDEX(RobotDesignResults[Communicate - Impact (CV)],MATCH(CoreValuesResults[[#This Row],[Team Number]],RobotDesignResults[Team Number],0))</f>
        <v/>
      </c>
      <c r="M21" s="77">
        <f>INDEX(RobotDesignResults[Communicate - Fun (CV)],MATCH(CoreValuesResults[[#This Row],[Team Number]],RobotDesignResults[Team Number],0))</f>
        <v/>
      </c>
      <c r="N21" s="86" t="n"/>
      <c r="O21" s="86" t="n"/>
      <c r="P21" s="86" t="n"/>
      <c r="Q21" s="69">
        <f>SUM(CoreValuesResults[[#This Row],[Gracious Professionalism 1]:[Gracious Professionalism 3]])</f>
        <v/>
      </c>
      <c r="R21" s="69">
        <f>SUM(N21:Q21)</f>
        <v/>
      </c>
      <c r="S21" s="83">
        <f>SUM(CoreValuesResults[[#This Row],[Identify - Research (CV-IP)]:[Communicate - Fun (CV-RD)]],CoreValuesResults[[#This Row],[Gracious Professionalism Score]])</f>
        <v/>
      </c>
      <c r="T21" s="73">
        <f>_xlfn.RANK.EQ(CoreValuesResults[[#This Row],[Core Values Score]],CoreValuesResults[Core Values Score],0)</f>
        <v/>
      </c>
    </row>
    <row r="22" ht="21" customHeight="1">
      <c r="A22" s="69" t="n"/>
      <c r="B22" s="69">
        <f>INDEX(OfficialTeamList[Pod Number],MATCH(CoreValuesResults[[#This Row],[Team Number]], OfficialTeamList[Team '#],0))</f>
        <v/>
      </c>
      <c r="C22" s="106">
        <f>INDEX(OfficialTeamList[Team Name],MATCH(CoreValuesResults[[#This Row],[Team Number]], OfficialTeamList[Team '#],0))</f>
        <v/>
      </c>
      <c r="D22" s="77">
        <f>INDEX(InnovationProjectResults[Identify - Research (CV)],MATCH(CoreValuesResults[[#This Row],[Team Number]],InnovationProjectResults[Team Number],0))</f>
        <v/>
      </c>
      <c r="E22" s="77">
        <f>INDEX(InnovationProjectResults[Design - Teamwork (CV)],MATCH(CoreValuesResults[[#This Row],[Team Number]],InnovationProjectResults[Team Number],0))</f>
        <v/>
      </c>
      <c r="F22" s="77">
        <f>INDEX(InnovationProjectResults[Create - Innovation (CV)],MATCH(CoreValuesResults[[#This Row],[Team Number]],InnovationProjectResults[Team Number],0))</f>
        <v/>
      </c>
      <c r="G22" s="77">
        <f>INDEX(InnovationProjectResults[Communicate - Impact (CV)],MATCH(CoreValuesResults[[#This Row],[Team Number]],InnovationProjectResults[Team Number],0))</f>
        <v/>
      </c>
      <c r="H22" s="77">
        <f>INDEX(InnovationProjectResults[Communicate - Fun (CV)],MATCH(CoreValuesResults[[#This Row],[Team Number]],InnovationProjectResults[Team Number],0))</f>
        <v/>
      </c>
      <c r="I22" s="77">
        <f>INDEX(RobotDesignResults[Identify - Research (CV)],MATCH(CoreValuesResults[[#This Row],[Team Number]],RobotDesignResults[Team Number],0))</f>
        <v/>
      </c>
      <c r="J22" s="77">
        <f>INDEX(RobotDesignResults[Design - Ideas (CV)],MATCH(CoreValuesResults[[#This Row],[Team Number]],RobotDesignResults[Team Number],0))</f>
        <v/>
      </c>
      <c r="K22" s="77">
        <f>INDEX(RobotDesignResults[Iterate - Improvements (CV)],MATCH(CoreValuesResults[[#This Row],[Team Number]],RobotDesignResults[Team Number],0))</f>
        <v/>
      </c>
      <c r="L22" s="77">
        <f>INDEX(RobotDesignResults[Communicate - Impact (CV)],MATCH(CoreValuesResults[[#This Row],[Team Number]],RobotDesignResults[Team Number],0))</f>
        <v/>
      </c>
      <c r="M22" s="77">
        <f>INDEX(RobotDesignResults[Communicate - Fun (CV)],MATCH(CoreValuesResults[[#This Row],[Team Number]],RobotDesignResults[Team Number],0))</f>
        <v/>
      </c>
      <c r="N22" s="86" t="n"/>
      <c r="O22" s="86" t="n"/>
      <c r="P22" s="86" t="n"/>
      <c r="Q22" s="69">
        <f>SUM(CoreValuesResults[[#This Row],[Gracious Professionalism 1]:[Gracious Professionalism 3]])</f>
        <v/>
      </c>
      <c r="R22" s="69">
        <f>SUM(N22:Q22)</f>
        <v/>
      </c>
      <c r="S22" s="83">
        <f>SUM(CoreValuesResults[[#This Row],[Identify - Research (CV-IP)]:[Communicate - Fun (CV-RD)]],CoreValuesResults[[#This Row],[Gracious Professionalism Score]])</f>
        <v/>
      </c>
      <c r="T22" s="73">
        <f>_xlfn.RANK.EQ(CoreValuesResults[[#This Row],[Core Values Score]],CoreValuesResults[Core Values Score],0)</f>
        <v/>
      </c>
    </row>
    <row r="23" ht="21" customHeight="1">
      <c r="A23" s="69" t="n"/>
      <c r="B23" s="69">
        <f>INDEX(OfficialTeamList[Pod Number],MATCH(CoreValuesResults[[#This Row],[Team Number]], OfficialTeamList[Team '#],0))</f>
        <v/>
      </c>
      <c r="C23" s="106">
        <f>INDEX(OfficialTeamList[Team Name],MATCH(CoreValuesResults[[#This Row],[Team Number]], OfficialTeamList[Team '#],0))</f>
        <v/>
      </c>
      <c r="D23" s="77">
        <f>INDEX(InnovationProjectResults[Identify - Research (CV)],MATCH(CoreValuesResults[[#This Row],[Team Number]],InnovationProjectResults[Team Number],0))</f>
        <v/>
      </c>
      <c r="E23" s="77">
        <f>INDEX(InnovationProjectResults[Design - Teamwork (CV)],MATCH(CoreValuesResults[[#This Row],[Team Number]],InnovationProjectResults[Team Number],0))</f>
        <v/>
      </c>
      <c r="F23" s="77">
        <f>INDEX(InnovationProjectResults[Create - Innovation (CV)],MATCH(CoreValuesResults[[#This Row],[Team Number]],InnovationProjectResults[Team Number],0))</f>
        <v/>
      </c>
      <c r="G23" s="77">
        <f>INDEX(InnovationProjectResults[Communicate - Impact (CV)],MATCH(CoreValuesResults[[#This Row],[Team Number]],InnovationProjectResults[Team Number],0))</f>
        <v/>
      </c>
      <c r="H23" s="77">
        <f>INDEX(InnovationProjectResults[Communicate - Fun (CV)],MATCH(CoreValuesResults[[#This Row],[Team Number]],InnovationProjectResults[Team Number],0))</f>
        <v/>
      </c>
      <c r="I23" s="77">
        <f>INDEX(RobotDesignResults[Identify - Research (CV)],MATCH(CoreValuesResults[[#This Row],[Team Number]],RobotDesignResults[Team Number],0))</f>
        <v/>
      </c>
      <c r="J23" s="77">
        <f>INDEX(RobotDesignResults[Design - Ideas (CV)],MATCH(CoreValuesResults[[#This Row],[Team Number]],RobotDesignResults[Team Number],0))</f>
        <v/>
      </c>
      <c r="K23" s="77">
        <f>INDEX(RobotDesignResults[Iterate - Improvements (CV)],MATCH(CoreValuesResults[[#This Row],[Team Number]],RobotDesignResults[Team Number],0))</f>
        <v/>
      </c>
      <c r="L23" s="77">
        <f>INDEX(RobotDesignResults[Communicate - Impact (CV)],MATCH(CoreValuesResults[[#This Row],[Team Number]],RobotDesignResults[Team Number],0))</f>
        <v/>
      </c>
      <c r="M23" s="77">
        <f>INDEX(RobotDesignResults[Communicate - Fun (CV)],MATCH(CoreValuesResults[[#This Row],[Team Number]],RobotDesignResults[Team Number],0))</f>
        <v/>
      </c>
      <c r="N23" s="86" t="n"/>
      <c r="O23" s="86" t="n"/>
      <c r="P23" s="86" t="n"/>
      <c r="Q23" s="69">
        <f>SUM(CoreValuesResults[[#This Row],[Gracious Professionalism 1]:[Gracious Professionalism 3]])</f>
        <v/>
      </c>
      <c r="R23" s="69">
        <f>SUM(N23:Q23)</f>
        <v/>
      </c>
      <c r="S23" s="83">
        <f>SUM(CoreValuesResults[[#This Row],[Identify - Research (CV-IP)]:[Communicate - Fun (CV-RD)]],CoreValuesResults[[#This Row],[Gracious Professionalism Score]])</f>
        <v/>
      </c>
      <c r="T23" s="73">
        <f>_xlfn.RANK.EQ(CoreValuesResults[[#This Row],[Core Values Score]],CoreValuesResults[Core Values Score],0)</f>
        <v/>
      </c>
    </row>
    <row r="24" ht="21" customHeight="1">
      <c r="A24" s="69" t="n"/>
      <c r="B24" s="69">
        <f>INDEX(OfficialTeamList[Pod Number],MATCH(CoreValuesResults[[#This Row],[Team Number]], OfficialTeamList[Team '#],0))</f>
        <v/>
      </c>
      <c r="C24" s="106">
        <f>INDEX(OfficialTeamList[Team Name],MATCH(CoreValuesResults[[#This Row],[Team Number]], OfficialTeamList[Team '#],0))</f>
        <v/>
      </c>
      <c r="D24" s="77">
        <f>INDEX(InnovationProjectResults[Identify - Research (CV)],MATCH(CoreValuesResults[[#This Row],[Team Number]],InnovationProjectResults[Team Number],0))</f>
        <v/>
      </c>
      <c r="E24" s="77">
        <f>INDEX(InnovationProjectResults[Design - Teamwork (CV)],MATCH(CoreValuesResults[[#This Row],[Team Number]],InnovationProjectResults[Team Number],0))</f>
        <v/>
      </c>
      <c r="F24" s="77">
        <f>INDEX(InnovationProjectResults[Create - Innovation (CV)],MATCH(CoreValuesResults[[#This Row],[Team Number]],InnovationProjectResults[Team Number],0))</f>
        <v/>
      </c>
      <c r="G24" s="77">
        <f>INDEX(InnovationProjectResults[Communicate - Impact (CV)],MATCH(CoreValuesResults[[#This Row],[Team Number]],InnovationProjectResults[Team Number],0))</f>
        <v/>
      </c>
      <c r="H24" s="77">
        <f>INDEX(InnovationProjectResults[Communicate - Fun (CV)],MATCH(CoreValuesResults[[#This Row],[Team Number]],InnovationProjectResults[Team Number],0))</f>
        <v/>
      </c>
      <c r="I24" s="77">
        <f>INDEX(RobotDesignResults[Identify - Research (CV)],MATCH(CoreValuesResults[[#This Row],[Team Number]],RobotDesignResults[Team Number],0))</f>
        <v/>
      </c>
      <c r="J24" s="77">
        <f>INDEX(RobotDesignResults[Design - Ideas (CV)],MATCH(CoreValuesResults[[#This Row],[Team Number]],RobotDesignResults[Team Number],0))</f>
        <v/>
      </c>
      <c r="K24" s="77">
        <f>INDEX(RobotDesignResults[Iterate - Improvements (CV)],MATCH(CoreValuesResults[[#This Row],[Team Number]],RobotDesignResults[Team Number],0))</f>
        <v/>
      </c>
      <c r="L24" s="77">
        <f>INDEX(RobotDesignResults[Communicate - Impact (CV)],MATCH(CoreValuesResults[[#This Row],[Team Number]],RobotDesignResults[Team Number],0))</f>
        <v/>
      </c>
      <c r="M24" s="77">
        <f>INDEX(RobotDesignResults[Communicate - Fun (CV)],MATCH(CoreValuesResults[[#This Row],[Team Number]],RobotDesignResults[Team Number],0))</f>
        <v/>
      </c>
      <c r="N24" s="86" t="n"/>
      <c r="O24" s="86" t="n"/>
      <c r="P24" s="86" t="n"/>
      <c r="Q24" s="69">
        <f>SUM(CoreValuesResults[[#This Row],[Gracious Professionalism 1]:[Gracious Professionalism 3]])</f>
        <v/>
      </c>
      <c r="R24" s="69">
        <f>SUM(N24:Q24)</f>
        <v/>
      </c>
      <c r="S24" s="83">
        <f>SUM(CoreValuesResults[[#This Row],[Identify - Research (CV-IP)]:[Communicate - Fun (CV-RD)]],CoreValuesResults[[#This Row],[Gracious Professionalism Score]])</f>
        <v/>
      </c>
      <c r="T24" s="73">
        <f>_xlfn.RANK.EQ(CoreValuesResults[[#This Row],[Core Values Score]],CoreValuesResults[Core Values Score],0)</f>
        <v/>
      </c>
    </row>
    <row r="25" ht="21" customHeight="1">
      <c r="A25" s="69" t="n"/>
      <c r="B25" s="69">
        <f>INDEX(OfficialTeamList[Pod Number],MATCH(CoreValuesResults[[#This Row],[Team Number]], OfficialTeamList[Team '#],0))</f>
        <v/>
      </c>
      <c r="C25" s="106">
        <f>INDEX(OfficialTeamList[Team Name],MATCH(CoreValuesResults[[#This Row],[Team Number]], OfficialTeamList[Team '#],0))</f>
        <v/>
      </c>
      <c r="D25" s="77">
        <f>INDEX(InnovationProjectResults[Identify - Research (CV)],MATCH(CoreValuesResults[[#This Row],[Team Number]],InnovationProjectResults[Team Number],0))</f>
        <v/>
      </c>
      <c r="E25" s="77">
        <f>INDEX(InnovationProjectResults[Design - Teamwork (CV)],MATCH(CoreValuesResults[[#This Row],[Team Number]],InnovationProjectResults[Team Number],0))</f>
        <v/>
      </c>
      <c r="F25" s="77">
        <f>INDEX(InnovationProjectResults[Create - Innovation (CV)],MATCH(CoreValuesResults[[#This Row],[Team Number]],InnovationProjectResults[Team Number],0))</f>
        <v/>
      </c>
      <c r="G25" s="77">
        <f>INDEX(InnovationProjectResults[Communicate - Impact (CV)],MATCH(CoreValuesResults[[#This Row],[Team Number]],InnovationProjectResults[Team Number],0))</f>
        <v/>
      </c>
      <c r="H25" s="77">
        <f>INDEX(InnovationProjectResults[Communicate - Fun (CV)],MATCH(CoreValuesResults[[#This Row],[Team Number]],InnovationProjectResults[Team Number],0))</f>
        <v/>
      </c>
      <c r="I25" s="77">
        <f>INDEX(RobotDesignResults[Identify - Research (CV)],MATCH(CoreValuesResults[[#This Row],[Team Number]],RobotDesignResults[Team Number],0))</f>
        <v/>
      </c>
      <c r="J25" s="77">
        <f>INDEX(RobotDesignResults[Design - Ideas (CV)],MATCH(CoreValuesResults[[#This Row],[Team Number]],RobotDesignResults[Team Number],0))</f>
        <v/>
      </c>
      <c r="K25" s="77">
        <f>INDEX(RobotDesignResults[Iterate - Improvements (CV)],MATCH(CoreValuesResults[[#This Row],[Team Number]],RobotDesignResults[Team Number],0))</f>
        <v/>
      </c>
      <c r="L25" s="77">
        <f>INDEX(RobotDesignResults[Communicate - Impact (CV)],MATCH(CoreValuesResults[[#This Row],[Team Number]],RobotDesignResults[Team Number],0))</f>
        <v/>
      </c>
      <c r="M25" s="77">
        <f>INDEX(RobotDesignResults[Communicate - Fun (CV)],MATCH(CoreValuesResults[[#This Row],[Team Number]],RobotDesignResults[Team Number],0))</f>
        <v/>
      </c>
      <c r="N25" s="86" t="n"/>
      <c r="O25" s="86" t="n"/>
      <c r="P25" s="86" t="n"/>
      <c r="Q25" s="69">
        <f>SUM(CoreValuesResults[[#This Row],[Gracious Professionalism 1]:[Gracious Professionalism 3]])</f>
        <v/>
      </c>
      <c r="R25" s="69">
        <f>SUM(N25:Q25)</f>
        <v/>
      </c>
      <c r="S25" s="83">
        <f>SUM(CoreValuesResults[[#This Row],[Identify - Research (CV-IP)]:[Communicate - Fun (CV-RD)]],CoreValuesResults[[#This Row],[Gracious Professionalism Score]])</f>
        <v/>
      </c>
      <c r="T25" s="73">
        <f>_xlfn.RANK.EQ(CoreValuesResults[[#This Row],[Core Values Score]],CoreValuesResults[Core Values Score],0)</f>
        <v/>
      </c>
    </row>
    <row r="26" ht="21" customHeight="1">
      <c r="A26" s="69" t="n"/>
      <c r="B26" s="69">
        <f>INDEX(OfficialTeamList[Pod Number],MATCH(CoreValuesResults[[#This Row],[Team Number]], OfficialTeamList[Team '#],0))</f>
        <v/>
      </c>
      <c r="C26" s="106">
        <f>INDEX(OfficialTeamList[Team Name],MATCH(CoreValuesResults[[#This Row],[Team Number]], OfficialTeamList[Team '#],0))</f>
        <v/>
      </c>
      <c r="D26" s="77">
        <f>INDEX(InnovationProjectResults[Identify - Research (CV)],MATCH(CoreValuesResults[[#This Row],[Team Number]],InnovationProjectResults[Team Number],0))</f>
        <v/>
      </c>
      <c r="E26" s="77">
        <f>INDEX(InnovationProjectResults[Design - Teamwork (CV)],MATCH(CoreValuesResults[[#This Row],[Team Number]],InnovationProjectResults[Team Number],0))</f>
        <v/>
      </c>
      <c r="F26" s="77">
        <f>INDEX(InnovationProjectResults[Create - Innovation (CV)],MATCH(CoreValuesResults[[#This Row],[Team Number]],InnovationProjectResults[Team Number],0))</f>
        <v/>
      </c>
      <c r="G26" s="77">
        <f>INDEX(InnovationProjectResults[Communicate - Impact (CV)],MATCH(CoreValuesResults[[#This Row],[Team Number]],InnovationProjectResults[Team Number],0))</f>
        <v/>
      </c>
      <c r="H26" s="77">
        <f>INDEX(InnovationProjectResults[Communicate - Fun (CV)],MATCH(CoreValuesResults[[#This Row],[Team Number]],InnovationProjectResults[Team Number],0))</f>
        <v/>
      </c>
      <c r="I26" s="77">
        <f>INDEX(RobotDesignResults[Identify - Research (CV)],MATCH(CoreValuesResults[[#This Row],[Team Number]],RobotDesignResults[Team Number],0))</f>
        <v/>
      </c>
      <c r="J26" s="77">
        <f>INDEX(RobotDesignResults[Design - Ideas (CV)],MATCH(CoreValuesResults[[#This Row],[Team Number]],RobotDesignResults[Team Number],0))</f>
        <v/>
      </c>
      <c r="K26" s="77">
        <f>INDEX(RobotDesignResults[Iterate - Improvements (CV)],MATCH(CoreValuesResults[[#This Row],[Team Number]],RobotDesignResults[Team Number],0))</f>
        <v/>
      </c>
      <c r="L26" s="77">
        <f>INDEX(RobotDesignResults[Communicate - Impact (CV)],MATCH(CoreValuesResults[[#This Row],[Team Number]],RobotDesignResults[Team Number],0))</f>
        <v/>
      </c>
      <c r="M26" s="77">
        <f>INDEX(RobotDesignResults[Communicate - Fun (CV)],MATCH(CoreValuesResults[[#This Row],[Team Number]],RobotDesignResults[Team Number],0))</f>
        <v/>
      </c>
      <c r="N26" s="86" t="n"/>
      <c r="O26" s="86" t="n"/>
      <c r="P26" s="86" t="n"/>
      <c r="Q26" s="69">
        <f>SUM(CoreValuesResults[[#This Row],[Gracious Professionalism 1]:[Gracious Professionalism 3]])</f>
        <v/>
      </c>
      <c r="R26" s="69">
        <f>SUM(N26:Q26)</f>
        <v/>
      </c>
      <c r="S26" s="83">
        <f>SUM(CoreValuesResults[[#This Row],[Identify - Research (CV-IP)]:[Communicate - Fun (CV-RD)]],CoreValuesResults[[#This Row],[Gracious Professionalism Score]])</f>
        <v/>
      </c>
      <c r="T26" s="73">
        <f>_xlfn.RANK.EQ(CoreValuesResults[[#This Row],[Core Values Score]],CoreValuesResults[Core Values Score],0)</f>
        <v/>
      </c>
    </row>
    <row r="27" ht="21" customHeight="1">
      <c r="A27" s="69" t="n"/>
      <c r="B27" s="69">
        <f>INDEX(OfficialTeamList[Pod Number],MATCH(CoreValuesResults[[#This Row],[Team Number]], OfficialTeamList[Team '#],0))</f>
        <v/>
      </c>
      <c r="C27" s="106">
        <f>INDEX(OfficialTeamList[Team Name],MATCH(CoreValuesResults[[#This Row],[Team Number]], OfficialTeamList[Team '#],0))</f>
        <v/>
      </c>
      <c r="D27" s="77">
        <f>INDEX(InnovationProjectResults[Identify - Research (CV)],MATCH(CoreValuesResults[[#This Row],[Team Number]],InnovationProjectResults[Team Number],0))</f>
        <v/>
      </c>
      <c r="E27" s="77">
        <f>INDEX(InnovationProjectResults[Design - Teamwork (CV)],MATCH(CoreValuesResults[[#This Row],[Team Number]],InnovationProjectResults[Team Number],0))</f>
        <v/>
      </c>
      <c r="F27" s="77">
        <f>INDEX(InnovationProjectResults[Create - Innovation (CV)],MATCH(CoreValuesResults[[#This Row],[Team Number]],InnovationProjectResults[Team Number],0))</f>
        <v/>
      </c>
      <c r="G27" s="77">
        <f>INDEX(InnovationProjectResults[Communicate - Impact (CV)],MATCH(CoreValuesResults[[#This Row],[Team Number]],InnovationProjectResults[Team Number],0))</f>
        <v/>
      </c>
      <c r="H27" s="77">
        <f>INDEX(InnovationProjectResults[Communicate - Fun (CV)],MATCH(CoreValuesResults[[#This Row],[Team Number]],InnovationProjectResults[Team Number],0))</f>
        <v/>
      </c>
      <c r="I27" s="77">
        <f>INDEX(RobotDesignResults[Identify - Research (CV)],MATCH(CoreValuesResults[[#This Row],[Team Number]],RobotDesignResults[Team Number],0))</f>
        <v/>
      </c>
      <c r="J27" s="77">
        <f>INDEX(RobotDesignResults[Design - Ideas (CV)],MATCH(CoreValuesResults[[#This Row],[Team Number]],RobotDesignResults[Team Number],0))</f>
        <v/>
      </c>
      <c r="K27" s="77">
        <f>INDEX(RobotDesignResults[Iterate - Improvements (CV)],MATCH(CoreValuesResults[[#This Row],[Team Number]],RobotDesignResults[Team Number],0))</f>
        <v/>
      </c>
      <c r="L27" s="77">
        <f>INDEX(RobotDesignResults[Communicate - Impact (CV)],MATCH(CoreValuesResults[[#This Row],[Team Number]],RobotDesignResults[Team Number],0))</f>
        <v/>
      </c>
      <c r="M27" s="77">
        <f>INDEX(RobotDesignResults[Communicate - Fun (CV)],MATCH(CoreValuesResults[[#This Row],[Team Number]],RobotDesignResults[Team Number],0))</f>
        <v/>
      </c>
      <c r="N27" s="86" t="n"/>
      <c r="O27" s="86" t="n"/>
      <c r="P27" s="86" t="n"/>
      <c r="Q27" s="69">
        <f>SUM(CoreValuesResults[[#This Row],[Gracious Professionalism 1]:[Gracious Professionalism 3]])</f>
        <v/>
      </c>
      <c r="R27" s="69">
        <f>SUM(N27:Q27)</f>
        <v/>
      </c>
      <c r="S27" s="83">
        <f>SUM(CoreValuesResults[[#This Row],[Identify - Research (CV-IP)]:[Communicate - Fun (CV-RD)]],CoreValuesResults[[#This Row],[Gracious Professionalism Score]])</f>
        <v/>
      </c>
      <c r="T27" s="73">
        <f>_xlfn.RANK.EQ(CoreValuesResults[[#This Row],[Core Values Score]],CoreValuesResults[Core Values Score],0)</f>
        <v/>
      </c>
    </row>
    <row r="28" ht="21" customHeight="1">
      <c r="A28" s="69" t="n"/>
      <c r="B28" s="69">
        <f>INDEX(OfficialTeamList[Pod Number],MATCH(CoreValuesResults[[#This Row],[Team Number]], OfficialTeamList[Team '#],0))</f>
        <v/>
      </c>
      <c r="C28" s="106">
        <f>INDEX(OfficialTeamList[Team Name],MATCH(CoreValuesResults[[#This Row],[Team Number]], OfficialTeamList[Team '#],0))</f>
        <v/>
      </c>
      <c r="D28" s="77">
        <f>INDEX(InnovationProjectResults[Identify - Research (CV)],MATCH(CoreValuesResults[[#This Row],[Team Number]],InnovationProjectResults[Team Number],0))</f>
        <v/>
      </c>
      <c r="E28" s="77">
        <f>INDEX(InnovationProjectResults[Design - Teamwork (CV)],MATCH(CoreValuesResults[[#This Row],[Team Number]],InnovationProjectResults[Team Number],0))</f>
        <v/>
      </c>
      <c r="F28" s="77">
        <f>INDEX(InnovationProjectResults[Create - Innovation (CV)],MATCH(CoreValuesResults[[#This Row],[Team Number]],InnovationProjectResults[Team Number],0))</f>
        <v/>
      </c>
      <c r="G28" s="77">
        <f>INDEX(InnovationProjectResults[Communicate - Impact (CV)],MATCH(CoreValuesResults[[#This Row],[Team Number]],InnovationProjectResults[Team Number],0))</f>
        <v/>
      </c>
      <c r="H28" s="77">
        <f>INDEX(InnovationProjectResults[Communicate - Fun (CV)],MATCH(CoreValuesResults[[#This Row],[Team Number]],InnovationProjectResults[Team Number],0))</f>
        <v/>
      </c>
      <c r="I28" s="77">
        <f>INDEX(RobotDesignResults[Identify - Research (CV)],MATCH(CoreValuesResults[[#This Row],[Team Number]],RobotDesignResults[Team Number],0))</f>
        <v/>
      </c>
      <c r="J28" s="77">
        <f>INDEX(RobotDesignResults[Design - Ideas (CV)],MATCH(CoreValuesResults[[#This Row],[Team Number]],RobotDesignResults[Team Number],0))</f>
        <v/>
      </c>
      <c r="K28" s="77">
        <f>INDEX(RobotDesignResults[Iterate - Improvements (CV)],MATCH(CoreValuesResults[[#This Row],[Team Number]],RobotDesignResults[Team Number],0))</f>
        <v/>
      </c>
      <c r="L28" s="77">
        <f>INDEX(RobotDesignResults[Communicate - Impact (CV)],MATCH(CoreValuesResults[[#This Row],[Team Number]],RobotDesignResults[Team Number],0))</f>
        <v/>
      </c>
      <c r="M28" s="77">
        <f>INDEX(RobotDesignResults[Communicate - Fun (CV)],MATCH(CoreValuesResults[[#This Row],[Team Number]],RobotDesignResults[Team Number],0))</f>
        <v/>
      </c>
      <c r="N28" s="86" t="n"/>
      <c r="O28" s="86" t="n"/>
      <c r="P28" s="86" t="n"/>
      <c r="Q28" s="69">
        <f>SUM(CoreValuesResults[[#This Row],[Gracious Professionalism 1]:[Gracious Professionalism 3]])</f>
        <v/>
      </c>
      <c r="R28" s="69">
        <f>SUM(N28:Q28)</f>
        <v/>
      </c>
      <c r="S28" s="83">
        <f>SUM(CoreValuesResults[[#This Row],[Identify - Research (CV-IP)]:[Communicate - Fun (CV-RD)]],CoreValuesResults[[#This Row],[Gracious Professionalism Score]])</f>
        <v/>
      </c>
      <c r="T28" s="73">
        <f>_xlfn.RANK.EQ(CoreValuesResults[[#This Row],[Core Values Score]],CoreValuesResults[Core Values Score],0)</f>
        <v/>
      </c>
    </row>
    <row r="29" ht="21" customHeight="1">
      <c r="A29" s="69" t="n"/>
      <c r="B29" s="69">
        <f>INDEX(OfficialTeamList[Pod Number],MATCH(CoreValuesResults[[#This Row],[Team Number]], OfficialTeamList[Team '#],0))</f>
        <v/>
      </c>
      <c r="C29" s="106">
        <f>INDEX(OfficialTeamList[Team Name],MATCH(CoreValuesResults[[#This Row],[Team Number]], OfficialTeamList[Team '#],0))</f>
        <v/>
      </c>
      <c r="D29" s="77">
        <f>INDEX(InnovationProjectResults[Identify - Research (CV)],MATCH(CoreValuesResults[[#This Row],[Team Number]],InnovationProjectResults[Team Number],0))</f>
        <v/>
      </c>
      <c r="E29" s="77">
        <f>INDEX(InnovationProjectResults[Design - Teamwork (CV)],MATCH(CoreValuesResults[[#This Row],[Team Number]],InnovationProjectResults[Team Number],0))</f>
        <v/>
      </c>
      <c r="F29" s="77">
        <f>INDEX(InnovationProjectResults[Create - Innovation (CV)],MATCH(CoreValuesResults[[#This Row],[Team Number]],InnovationProjectResults[Team Number],0))</f>
        <v/>
      </c>
      <c r="G29" s="77">
        <f>INDEX(InnovationProjectResults[Communicate - Impact (CV)],MATCH(CoreValuesResults[[#This Row],[Team Number]],InnovationProjectResults[Team Number],0))</f>
        <v/>
      </c>
      <c r="H29" s="77">
        <f>INDEX(InnovationProjectResults[Communicate - Fun (CV)],MATCH(CoreValuesResults[[#This Row],[Team Number]],InnovationProjectResults[Team Number],0))</f>
        <v/>
      </c>
      <c r="I29" s="77">
        <f>INDEX(RobotDesignResults[Identify - Research (CV)],MATCH(CoreValuesResults[[#This Row],[Team Number]],RobotDesignResults[Team Number],0))</f>
        <v/>
      </c>
      <c r="J29" s="77">
        <f>INDEX(RobotDesignResults[Design - Ideas (CV)],MATCH(CoreValuesResults[[#This Row],[Team Number]],RobotDesignResults[Team Number],0))</f>
        <v/>
      </c>
      <c r="K29" s="77">
        <f>INDEX(RobotDesignResults[Iterate - Improvements (CV)],MATCH(CoreValuesResults[[#This Row],[Team Number]],RobotDesignResults[Team Number],0))</f>
        <v/>
      </c>
      <c r="L29" s="77">
        <f>INDEX(RobotDesignResults[Communicate - Impact (CV)],MATCH(CoreValuesResults[[#This Row],[Team Number]],RobotDesignResults[Team Number],0))</f>
        <v/>
      </c>
      <c r="M29" s="77">
        <f>INDEX(RobotDesignResults[Communicate - Fun (CV)],MATCH(CoreValuesResults[[#This Row],[Team Number]],RobotDesignResults[Team Number],0))</f>
        <v/>
      </c>
      <c r="N29" s="86" t="n"/>
      <c r="O29" s="86" t="n"/>
      <c r="P29" s="86" t="n"/>
      <c r="Q29" s="69">
        <f>SUM(CoreValuesResults[[#This Row],[Gracious Professionalism 1]:[Gracious Professionalism 3]])</f>
        <v/>
      </c>
      <c r="R29" s="69">
        <f>SUM(N29:Q29)</f>
        <v/>
      </c>
      <c r="S29" s="83">
        <f>SUM(CoreValuesResults[[#This Row],[Identify - Research (CV-IP)]:[Communicate - Fun (CV-RD)]],CoreValuesResults[[#This Row],[Gracious Professionalism Score]])</f>
        <v/>
      </c>
      <c r="T29" s="73">
        <f>_xlfn.RANK.EQ(CoreValuesResults[[#This Row],[Core Values Score]],CoreValuesResults[Core Values Score],0)</f>
        <v/>
      </c>
    </row>
    <row r="30" ht="21" customHeight="1">
      <c r="A30" s="69" t="n"/>
      <c r="B30" s="69">
        <f>INDEX(OfficialTeamList[Pod Number],MATCH(CoreValuesResults[[#This Row],[Team Number]], OfficialTeamList[Team '#],0))</f>
        <v/>
      </c>
      <c r="C30" s="106">
        <f>INDEX(OfficialTeamList[Team Name],MATCH(CoreValuesResults[[#This Row],[Team Number]], OfficialTeamList[Team '#],0))</f>
        <v/>
      </c>
      <c r="D30" s="77">
        <f>INDEX(InnovationProjectResults[Identify - Research (CV)],MATCH(CoreValuesResults[[#This Row],[Team Number]],InnovationProjectResults[Team Number],0))</f>
        <v/>
      </c>
      <c r="E30" s="77">
        <f>INDEX(InnovationProjectResults[Design - Teamwork (CV)],MATCH(CoreValuesResults[[#This Row],[Team Number]],InnovationProjectResults[Team Number],0))</f>
        <v/>
      </c>
      <c r="F30" s="77">
        <f>INDEX(InnovationProjectResults[Create - Innovation (CV)],MATCH(CoreValuesResults[[#This Row],[Team Number]],InnovationProjectResults[Team Number],0))</f>
        <v/>
      </c>
      <c r="G30" s="77">
        <f>INDEX(InnovationProjectResults[Communicate - Impact (CV)],MATCH(CoreValuesResults[[#This Row],[Team Number]],InnovationProjectResults[Team Number],0))</f>
        <v/>
      </c>
      <c r="H30" s="77">
        <f>INDEX(InnovationProjectResults[Communicate - Fun (CV)],MATCH(CoreValuesResults[[#This Row],[Team Number]],InnovationProjectResults[Team Number],0))</f>
        <v/>
      </c>
      <c r="I30" s="77">
        <f>INDEX(RobotDesignResults[Identify - Research (CV)],MATCH(CoreValuesResults[[#This Row],[Team Number]],RobotDesignResults[Team Number],0))</f>
        <v/>
      </c>
      <c r="J30" s="77">
        <f>INDEX(RobotDesignResults[Design - Ideas (CV)],MATCH(CoreValuesResults[[#This Row],[Team Number]],RobotDesignResults[Team Number],0))</f>
        <v/>
      </c>
      <c r="K30" s="77">
        <f>INDEX(RobotDesignResults[Iterate - Improvements (CV)],MATCH(CoreValuesResults[[#This Row],[Team Number]],RobotDesignResults[Team Number],0))</f>
        <v/>
      </c>
      <c r="L30" s="77">
        <f>INDEX(RobotDesignResults[Communicate - Impact (CV)],MATCH(CoreValuesResults[[#This Row],[Team Number]],RobotDesignResults[Team Number],0))</f>
        <v/>
      </c>
      <c r="M30" s="77">
        <f>INDEX(RobotDesignResults[Communicate - Fun (CV)],MATCH(CoreValuesResults[[#This Row],[Team Number]],RobotDesignResults[Team Number],0))</f>
        <v/>
      </c>
      <c r="N30" s="86" t="n"/>
      <c r="O30" s="86" t="n"/>
      <c r="P30" s="86" t="n"/>
      <c r="Q30" s="69">
        <f>SUM(CoreValuesResults[[#This Row],[Gracious Professionalism 1]:[Gracious Professionalism 3]])</f>
        <v/>
      </c>
      <c r="R30" s="69">
        <f>SUM(N30:Q30)</f>
        <v/>
      </c>
      <c r="S30" s="83">
        <f>SUM(CoreValuesResults[[#This Row],[Identify - Research (CV-IP)]:[Communicate - Fun (CV-RD)]],CoreValuesResults[[#This Row],[Gracious Professionalism Score]])</f>
        <v/>
      </c>
      <c r="T30" s="73">
        <f>_xlfn.RANK.EQ(CoreValuesResults[[#This Row],[Core Values Score]],CoreValuesResults[Core Values Score],0)</f>
        <v/>
      </c>
    </row>
    <row r="31" ht="21" customHeight="1">
      <c r="A31" s="69" t="n"/>
      <c r="B31" s="69">
        <f>INDEX(OfficialTeamList[Pod Number],MATCH(CoreValuesResults[[#This Row],[Team Number]], OfficialTeamList[Team '#],0))</f>
        <v/>
      </c>
      <c r="C31" s="106">
        <f>INDEX(OfficialTeamList[Team Name],MATCH(CoreValuesResults[[#This Row],[Team Number]], OfficialTeamList[Team '#],0))</f>
        <v/>
      </c>
      <c r="D31" s="77">
        <f>INDEX(InnovationProjectResults[Identify - Research (CV)],MATCH(CoreValuesResults[[#This Row],[Team Number]],InnovationProjectResults[Team Number],0))</f>
        <v/>
      </c>
      <c r="E31" s="77">
        <f>INDEX(InnovationProjectResults[Design - Teamwork (CV)],MATCH(CoreValuesResults[[#This Row],[Team Number]],InnovationProjectResults[Team Number],0))</f>
        <v/>
      </c>
      <c r="F31" s="77">
        <f>INDEX(InnovationProjectResults[Create - Innovation (CV)],MATCH(CoreValuesResults[[#This Row],[Team Number]],InnovationProjectResults[Team Number],0))</f>
        <v/>
      </c>
      <c r="G31" s="77">
        <f>INDEX(InnovationProjectResults[Communicate - Impact (CV)],MATCH(CoreValuesResults[[#This Row],[Team Number]],InnovationProjectResults[Team Number],0))</f>
        <v/>
      </c>
      <c r="H31" s="77">
        <f>INDEX(InnovationProjectResults[Communicate - Fun (CV)],MATCH(CoreValuesResults[[#This Row],[Team Number]],InnovationProjectResults[Team Number],0))</f>
        <v/>
      </c>
      <c r="I31" s="77">
        <f>INDEX(RobotDesignResults[Identify - Research (CV)],MATCH(CoreValuesResults[[#This Row],[Team Number]],RobotDesignResults[Team Number],0))</f>
        <v/>
      </c>
      <c r="J31" s="77">
        <f>INDEX(RobotDesignResults[Design - Ideas (CV)],MATCH(CoreValuesResults[[#This Row],[Team Number]],RobotDesignResults[Team Number],0))</f>
        <v/>
      </c>
      <c r="K31" s="77">
        <f>INDEX(RobotDesignResults[Iterate - Improvements (CV)],MATCH(CoreValuesResults[[#This Row],[Team Number]],RobotDesignResults[Team Number],0))</f>
        <v/>
      </c>
      <c r="L31" s="77">
        <f>INDEX(RobotDesignResults[Communicate - Impact (CV)],MATCH(CoreValuesResults[[#This Row],[Team Number]],RobotDesignResults[Team Number],0))</f>
        <v/>
      </c>
      <c r="M31" s="77">
        <f>INDEX(RobotDesignResults[Communicate - Fun (CV)],MATCH(CoreValuesResults[[#This Row],[Team Number]],RobotDesignResults[Team Number],0))</f>
        <v/>
      </c>
      <c r="N31" s="86" t="n"/>
      <c r="O31" s="86" t="n"/>
      <c r="P31" s="86" t="n"/>
      <c r="Q31" s="69">
        <f>SUM(CoreValuesResults[[#This Row],[Gracious Professionalism 1]:[Gracious Professionalism 3]])</f>
        <v/>
      </c>
      <c r="R31" s="69">
        <f>SUM(N31:Q31)</f>
        <v/>
      </c>
      <c r="S31" s="83">
        <f>SUM(CoreValuesResults[[#This Row],[Identify - Research (CV-IP)]:[Communicate - Fun (CV-RD)]],CoreValuesResults[[#This Row],[Gracious Professionalism Score]])</f>
        <v/>
      </c>
      <c r="T31" s="73">
        <f>_xlfn.RANK.EQ(CoreValuesResults[[#This Row],[Core Values Score]],CoreValuesResults[Core Values Score],0)</f>
        <v/>
      </c>
    </row>
    <row r="32" ht="21" customHeight="1">
      <c r="A32" s="69" t="n"/>
      <c r="B32" s="69">
        <f>INDEX(OfficialTeamList[Pod Number],MATCH(CoreValuesResults[[#This Row],[Team Number]], OfficialTeamList[Team '#],0))</f>
        <v/>
      </c>
      <c r="C32" s="106">
        <f>INDEX(OfficialTeamList[Team Name],MATCH(CoreValuesResults[[#This Row],[Team Number]], OfficialTeamList[Team '#],0))</f>
        <v/>
      </c>
      <c r="D32" s="77">
        <f>INDEX(InnovationProjectResults[Identify - Research (CV)],MATCH(CoreValuesResults[[#This Row],[Team Number]],InnovationProjectResults[Team Number],0))</f>
        <v/>
      </c>
      <c r="E32" s="77">
        <f>INDEX(InnovationProjectResults[Design - Teamwork (CV)],MATCH(CoreValuesResults[[#This Row],[Team Number]],InnovationProjectResults[Team Number],0))</f>
        <v/>
      </c>
      <c r="F32" s="77">
        <f>INDEX(InnovationProjectResults[Create - Innovation (CV)],MATCH(CoreValuesResults[[#This Row],[Team Number]],InnovationProjectResults[Team Number],0))</f>
        <v/>
      </c>
      <c r="G32" s="77">
        <f>INDEX(InnovationProjectResults[Communicate - Impact (CV)],MATCH(CoreValuesResults[[#This Row],[Team Number]],InnovationProjectResults[Team Number],0))</f>
        <v/>
      </c>
      <c r="H32" s="77">
        <f>INDEX(InnovationProjectResults[Communicate - Fun (CV)],MATCH(CoreValuesResults[[#This Row],[Team Number]],InnovationProjectResults[Team Number],0))</f>
        <v/>
      </c>
      <c r="I32" s="77">
        <f>INDEX(RobotDesignResults[Identify - Research (CV)],MATCH(CoreValuesResults[[#This Row],[Team Number]],RobotDesignResults[Team Number],0))</f>
        <v/>
      </c>
      <c r="J32" s="77">
        <f>INDEX(RobotDesignResults[Design - Ideas (CV)],MATCH(CoreValuesResults[[#This Row],[Team Number]],RobotDesignResults[Team Number],0))</f>
        <v/>
      </c>
      <c r="K32" s="77">
        <f>INDEX(RobotDesignResults[Iterate - Improvements (CV)],MATCH(CoreValuesResults[[#This Row],[Team Number]],RobotDesignResults[Team Number],0))</f>
        <v/>
      </c>
      <c r="L32" s="77">
        <f>INDEX(RobotDesignResults[Communicate - Impact (CV)],MATCH(CoreValuesResults[[#This Row],[Team Number]],RobotDesignResults[Team Number],0))</f>
        <v/>
      </c>
      <c r="M32" s="77">
        <f>INDEX(RobotDesignResults[Communicate - Fun (CV)],MATCH(CoreValuesResults[[#This Row],[Team Number]],RobotDesignResults[Team Number],0))</f>
        <v/>
      </c>
      <c r="N32" s="86" t="n"/>
      <c r="O32" s="86" t="n"/>
      <c r="P32" s="86" t="n"/>
      <c r="Q32" s="69">
        <f>SUM(CoreValuesResults[[#This Row],[Gracious Professionalism 1]:[Gracious Professionalism 3]])</f>
        <v/>
      </c>
      <c r="R32" s="69">
        <f>SUM(N32:Q32)</f>
        <v/>
      </c>
      <c r="S32" s="83">
        <f>SUM(CoreValuesResults[[#This Row],[Identify - Research (CV-IP)]:[Communicate - Fun (CV-RD)]],CoreValuesResults[[#This Row],[Gracious Professionalism Score]])</f>
        <v/>
      </c>
      <c r="T32" s="73">
        <f>_xlfn.RANK.EQ(CoreValuesResults[[#This Row],[Core Values Score]],CoreValuesResults[Core Values Score],0)</f>
        <v/>
      </c>
    </row>
    <row r="33" ht="21" customHeight="1">
      <c r="A33" s="69" t="n"/>
      <c r="B33" s="69">
        <f>INDEX(OfficialTeamList[Pod Number],MATCH(CoreValuesResults[[#This Row],[Team Number]], OfficialTeamList[Team '#],0))</f>
        <v/>
      </c>
      <c r="C33" s="106">
        <f>INDEX(OfficialTeamList[Team Name],MATCH(CoreValuesResults[[#This Row],[Team Number]], OfficialTeamList[Team '#],0))</f>
        <v/>
      </c>
      <c r="D33" s="77">
        <f>INDEX(InnovationProjectResults[Identify - Research (CV)],MATCH(CoreValuesResults[[#This Row],[Team Number]],InnovationProjectResults[Team Number],0))</f>
        <v/>
      </c>
      <c r="E33" s="77">
        <f>INDEX(InnovationProjectResults[Design - Teamwork (CV)],MATCH(CoreValuesResults[[#This Row],[Team Number]],InnovationProjectResults[Team Number],0))</f>
        <v/>
      </c>
      <c r="F33" s="77">
        <f>INDEX(InnovationProjectResults[Create - Innovation (CV)],MATCH(CoreValuesResults[[#This Row],[Team Number]],InnovationProjectResults[Team Number],0))</f>
        <v/>
      </c>
      <c r="G33" s="77">
        <f>INDEX(InnovationProjectResults[Communicate - Impact (CV)],MATCH(CoreValuesResults[[#This Row],[Team Number]],InnovationProjectResults[Team Number],0))</f>
        <v/>
      </c>
      <c r="H33" s="77">
        <f>INDEX(InnovationProjectResults[Communicate - Fun (CV)],MATCH(CoreValuesResults[[#This Row],[Team Number]],InnovationProjectResults[Team Number],0))</f>
        <v/>
      </c>
      <c r="I33" s="77">
        <f>INDEX(RobotDesignResults[Identify - Research (CV)],MATCH(CoreValuesResults[[#This Row],[Team Number]],RobotDesignResults[Team Number],0))</f>
        <v/>
      </c>
      <c r="J33" s="77">
        <f>INDEX(RobotDesignResults[Design - Ideas (CV)],MATCH(CoreValuesResults[[#This Row],[Team Number]],RobotDesignResults[Team Number],0))</f>
        <v/>
      </c>
      <c r="K33" s="77">
        <f>INDEX(RobotDesignResults[Iterate - Improvements (CV)],MATCH(CoreValuesResults[[#This Row],[Team Number]],RobotDesignResults[Team Number],0))</f>
        <v/>
      </c>
      <c r="L33" s="77">
        <f>INDEX(RobotDesignResults[Communicate - Impact (CV)],MATCH(CoreValuesResults[[#This Row],[Team Number]],RobotDesignResults[Team Number],0))</f>
        <v/>
      </c>
      <c r="M33" s="77">
        <f>INDEX(RobotDesignResults[Communicate - Fun (CV)],MATCH(CoreValuesResults[[#This Row],[Team Number]],RobotDesignResults[Team Number],0))</f>
        <v/>
      </c>
      <c r="N33" s="86" t="n"/>
      <c r="O33" s="86" t="n"/>
      <c r="P33" s="86" t="n"/>
      <c r="Q33" s="69">
        <f>SUM(CoreValuesResults[[#This Row],[Gracious Professionalism 1]:[Gracious Professionalism 3]])</f>
        <v/>
      </c>
      <c r="R33" s="69">
        <f>SUM(N33:Q33)</f>
        <v/>
      </c>
      <c r="S33" s="83">
        <f>SUM(CoreValuesResults[[#This Row],[Identify - Research (CV-IP)]:[Communicate - Fun (CV-RD)]],CoreValuesResults[[#This Row],[Gracious Professionalism Score]])</f>
        <v/>
      </c>
      <c r="T33" s="73">
        <f>_xlfn.RANK.EQ(CoreValuesResults[[#This Row],[Core Values Score]],CoreValuesResults[Core Values Score],0)</f>
        <v/>
      </c>
    </row>
    <row r="34" ht="21" customHeight="1">
      <c r="A34" s="69" t="n"/>
      <c r="B34" s="69">
        <f>INDEX(OfficialTeamList[Pod Number],MATCH(CoreValuesResults[[#This Row],[Team Number]], OfficialTeamList[Team '#],0))</f>
        <v/>
      </c>
      <c r="C34" s="106">
        <f>INDEX(OfficialTeamList[Team Name],MATCH(CoreValuesResults[[#This Row],[Team Number]], OfficialTeamList[Team '#],0))</f>
        <v/>
      </c>
      <c r="D34" s="77">
        <f>INDEX(InnovationProjectResults[Identify - Research (CV)],MATCH(CoreValuesResults[[#This Row],[Team Number]],InnovationProjectResults[Team Number],0))</f>
        <v/>
      </c>
      <c r="E34" s="77">
        <f>INDEX(InnovationProjectResults[Design - Teamwork (CV)],MATCH(CoreValuesResults[[#This Row],[Team Number]],InnovationProjectResults[Team Number],0))</f>
        <v/>
      </c>
      <c r="F34" s="77">
        <f>INDEX(InnovationProjectResults[Create - Innovation (CV)],MATCH(CoreValuesResults[[#This Row],[Team Number]],InnovationProjectResults[Team Number],0))</f>
        <v/>
      </c>
      <c r="G34" s="77">
        <f>INDEX(InnovationProjectResults[Communicate - Impact (CV)],MATCH(CoreValuesResults[[#This Row],[Team Number]],InnovationProjectResults[Team Number],0))</f>
        <v/>
      </c>
      <c r="H34" s="77">
        <f>INDEX(InnovationProjectResults[Communicate - Fun (CV)],MATCH(CoreValuesResults[[#This Row],[Team Number]],InnovationProjectResults[Team Number],0))</f>
        <v/>
      </c>
      <c r="I34" s="77">
        <f>INDEX(RobotDesignResults[Identify - Research (CV)],MATCH(CoreValuesResults[[#This Row],[Team Number]],RobotDesignResults[Team Number],0))</f>
        <v/>
      </c>
      <c r="J34" s="77">
        <f>INDEX(RobotDesignResults[Design - Ideas (CV)],MATCH(CoreValuesResults[[#This Row],[Team Number]],RobotDesignResults[Team Number],0))</f>
        <v/>
      </c>
      <c r="K34" s="77">
        <f>INDEX(RobotDesignResults[Iterate - Improvements (CV)],MATCH(CoreValuesResults[[#This Row],[Team Number]],RobotDesignResults[Team Number],0))</f>
        <v/>
      </c>
      <c r="L34" s="77">
        <f>INDEX(RobotDesignResults[Communicate - Impact (CV)],MATCH(CoreValuesResults[[#This Row],[Team Number]],RobotDesignResults[Team Number],0))</f>
        <v/>
      </c>
      <c r="M34" s="77">
        <f>INDEX(RobotDesignResults[Communicate - Fun (CV)],MATCH(CoreValuesResults[[#This Row],[Team Number]],RobotDesignResults[Team Number],0))</f>
        <v/>
      </c>
      <c r="N34" s="86" t="n"/>
      <c r="O34" s="86" t="n"/>
      <c r="P34" s="86" t="n"/>
      <c r="Q34" s="69">
        <f>SUM(CoreValuesResults[[#This Row],[Gracious Professionalism 1]:[Gracious Professionalism 3]])</f>
        <v/>
      </c>
      <c r="R34" s="69">
        <f>SUM(N34:Q34)</f>
        <v/>
      </c>
      <c r="S34" s="83">
        <f>SUM(CoreValuesResults[[#This Row],[Identify - Research (CV-IP)]:[Communicate - Fun (CV-RD)]],CoreValuesResults[[#This Row],[Gracious Professionalism Score]])</f>
        <v/>
      </c>
      <c r="T34" s="73">
        <f>_xlfn.RANK.EQ(CoreValuesResults[[#This Row],[Core Values Score]],CoreValuesResults[Core Values Score],0)</f>
        <v/>
      </c>
    </row>
    <row r="35" ht="21" customHeight="1">
      <c r="A35" s="69" t="n"/>
      <c r="B35" s="69">
        <f>INDEX(OfficialTeamList[Pod Number],MATCH(CoreValuesResults[[#This Row],[Team Number]], OfficialTeamList[Team '#],0))</f>
        <v/>
      </c>
      <c r="C35" s="106">
        <f>INDEX(OfficialTeamList[Team Name],MATCH(CoreValuesResults[[#This Row],[Team Number]], OfficialTeamList[Team '#],0))</f>
        <v/>
      </c>
      <c r="D35" s="77">
        <f>INDEX(InnovationProjectResults[Identify - Research (CV)],MATCH(CoreValuesResults[[#This Row],[Team Number]],InnovationProjectResults[Team Number],0))</f>
        <v/>
      </c>
      <c r="E35" s="77">
        <f>INDEX(InnovationProjectResults[Design - Teamwork (CV)],MATCH(CoreValuesResults[[#This Row],[Team Number]],InnovationProjectResults[Team Number],0))</f>
        <v/>
      </c>
      <c r="F35" s="77">
        <f>INDEX(InnovationProjectResults[Create - Innovation (CV)],MATCH(CoreValuesResults[[#This Row],[Team Number]],InnovationProjectResults[Team Number],0))</f>
        <v/>
      </c>
      <c r="G35" s="77">
        <f>INDEX(InnovationProjectResults[Communicate - Impact (CV)],MATCH(CoreValuesResults[[#This Row],[Team Number]],InnovationProjectResults[Team Number],0))</f>
        <v/>
      </c>
      <c r="H35" s="77">
        <f>INDEX(InnovationProjectResults[Communicate - Fun (CV)],MATCH(CoreValuesResults[[#This Row],[Team Number]],InnovationProjectResults[Team Number],0))</f>
        <v/>
      </c>
      <c r="I35" s="77">
        <f>INDEX(RobotDesignResults[Identify - Research (CV)],MATCH(CoreValuesResults[[#This Row],[Team Number]],RobotDesignResults[Team Number],0))</f>
        <v/>
      </c>
      <c r="J35" s="77">
        <f>INDEX(RobotDesignResults[Design - Ideas (CV)],MATCH(CoreValuesResults[[#This Row],[Team Number]],RobotDesignResults[Team Number],0))</f>
        <v/>
      </c>
      <c r="K35" s="77">
        <f>INDEX(RobotDesignResults[Iterate - Improvements (CV)],MATCH(CoreValuesResults[[#This Row],[Team Number]],RobotDesignResults[Team Number],0))</f>
        <v/>
      </c>
      <c r="L35" s="77">
        <f>INDEX(RobotDesignResults[Communicate - Impact (CV)],MATCH(CoreValuesResults[[#This Row],[Team Number]],RobotDesignResults[Team Number],0))</f>
        <v/>
      </c>
      <c r="M35" s="77">
        <f>INDEX(RobotDesignResults[Communicate - Fun (CV)],MATCH(CoreValuesResults[[#This Row],[Team Number]],RobotDesignResults[Team Number],0))</f>
        <v/>
      </c>
      <c r="N35" s="86" t="n"/>
      <c r="O35" s="86" t="n"/>
      <c r="P35" s="86" t="n"/>
      <c r="Q35" s="69">
        <f>SUM(CoreValuesResults[[#This Row],[Gracious Professionalism 1]:[Gracious Professionalism 3]])</f>
        <v/>
      </c>
      <c r="R35" s="69">
        <f>SUM(N35:Q35)</f>
        <v/>
      </c>
      <c r="S35" s="83">
        <f>SUM(CoreValuesResults[[#This Row],[Identify - Research (CV-IP)]:[Communicate - Fun (CV-RD)]],CoreValuesResults[[#This Row],[Gracious Professionalism Score]])</f>
        <v/>
      </c>
      <c r="T35" s="73">
        <f>_xlfn.RANK.EQ(CoreValuesResults[[#This Row],[Core Values Score]],CoreValuesResults[Core Values Score],0)</f>
        <v/>
      </c>
    </row>
    <row r="36" ht="21" customHeight="1">
      <c r="A36" s="69" t="n"/>
      <c r="B36" s="69">
        <f>INDEX(OfficialTeamList[Pod Number],MATCH(CoreValuesResults[[#This Row],[Team Number]], OfficialTeamList[Team '#],0))</f>
        <v/>
      </c>
      <c r="C36" s="106">
        <f>INDEX(OfficialTeamList[Team Name],MATCH(CoreValuesResults[[#This Row],[Team Number]], OfficialTeamList[Team '#],0))</f>
        <v/>
      </c>
      <c r="D36" s="77">
        <f>INDEX(InnovationProjectResults[Identify - Research (CV)],MATCH(CoreValuesResults[[#This Row],[Team Number]],InnovationProjectResults[Team Number],0))</f>
        <v/>
      </c>
      <c r="E36" s="77">
        <f>INDEX(InnovationProjectResults[Design - Teamwork (CV)],MATCH(CoreValuesResults[[#This Row],[Team Number]],InnovationProjectResults[Team Number],0))</f>
        <v/>
      </c>
      <c r="F36" s="77">
        <f>INDEX(InnovationProjectResults[Create - Innovation (CV)],MATCH(CoreValuesResults[[#This Row],[Team Number]],InnovationProjectResults[Team Number],0))</f>
        <v/>
      </c>
      <c r="G36" s="77">
        <f>INDEX(InnovationProjectResults[Communicate - Impact (CV)],MATCH(CoreValuesResults[[#This Row],[Team Number]],InnovationProjectResults[Team Number],0))</f>
        <v/>
      </c>
      <c r="H36" s="77">
        <f>INDEX(InnovationProjectResults[Communicate - Fun (CV)],MATCH(CoreValuesResults[[#This Row],[Team Number]],InnovationProjectResults[Team Number],0))</f>
        <v/>
      </c>
      <c r="I36" s="77">
        <f>INDEX(RobotDesignResults[Identify - Research (CV)],MATCH(CoreValuesResults[[#This Row],[Team Number]],RobotDesignResults[Team Number],0))</f>
        <v/>
      </c>
      <c r="J36" s="77">
        <f>INDEX(RobotDesignResults[Design - Ideas (CV)],MATCH(CoreValuesResults[[#This Row],[Team Number]],RobotDesignResults[Team Number],0))</f>
        <v/>
      </c>
      <c r="K36" s="77">
        <f>INDEX(RobotDesignResults[Iterate - Improvements (CV)],MATCH(CoreValuesResults[[#This Row],[Team Number]],RobotDesignResults[Team Number],0))</f>
        <v/>
      </c>
      <c r="L36" s="77">
        <f>INDEX(RobotDesignResults[Communicate - Impact (CV)],MATCH(CoreValuesResults[[#This Row],[Team Number]],RobotDesignResults[Team Number],0))</f>
        <v/>
      </c>
      <c r="M36" s="77">
        <f>INDEX(RobotDesignResults[Communicate - Fun (CV)],MATCH(CoreValuesResults[[#This Row],[Team Number]],RobotDesignResults[Team Number],0))</f>
        <v/>
      </c>
      <c r="N36" s="86" t="n"/>
      <c r="O36" s="86" t="n"/>
      <c r="P36" s="86" t="n"/>
      <c r="Q36" s="69">
        <f>SUM(CoreValuesResults[[#This Row],[Gracious Professionalism 1]:[Gracious Professionalism 3]])</f>
        <v/>
      </c>
      <c r="R36" s="69">
        <f>SUM(N36:Q36)</f>
        <v/>
      </c>
      <c r="S36" s="83">
        <f>SUM(CoreValuesResults[[#This Row],[Identify - Research (CV-IP)]:[Communicate - Fun (CV-RD)]],CoreValuesResults[[#This Row],[Gracious Professionalism Score]])</f>
        <v/>
      </c>
      <c r="T36" s="73">
        <f>_xlfn.RANK.EQ(CoreValuesResults[[#This Row],[Core Values Score]],CoreValuesResults[Core Values Score],0)</f>
        <v/>
      </c>
    </row>
    <row r="37" ht="21" customHeight="1">
      <c r="A37" s="69" t="n"/>
      <c r="B37" s="69">
        <f>INDEX(OfficialTeamList[Pod Number],MATCH(CoreValuesResults[[#This Row],[Team Number]], OfficialTeamList[Team '#],0))</f>
        <v/>
      </c>
      <c r="C37" s="106">
        <f>INDEX(OfficialTeamList[Team Name],MATCH(CoreValuesResults[[#This Row],[Team Number]], OfficialTeamList[Team '#],0))</f>
        <v/>
      </c>
      <c r="D37" s="77">
        <f>INDEX(InnovationProjectResults[Identify - Research (CV)],MATCH(CoreValuesResults[[#This Row],[Team Number]],InnovationProjectResults[Team Number],0))</f>
        <v/>
      </c>
      <c r="E37" s="77">
        <f>INDEX(InnovationProjectResults[Design - Teamwork (CV)],MATCH(CoreValuesResults[[#This Row],[Team Number]],InnovationProjectResults[Team Number],0))</f>
        <v/>
      </c>
      <c r="F37" s="77">
        <f>INDEX(InnovationProjectResults[Create - Innovation (CV)],MATCH(CoreValuesResults[[#This Row],[Team Number]],InnovationProjectResults[Team Number],0))</f>
        <v/>
      </c>
      <c r="G37" s="77">
        <f>INDEX(InnovationProjectResults[Communicate - Impact (CV)],MATCH(CoreValuesResults[[#This Row],[Team Number]],InnovationProjectResults[Team Number],0))</f>
        <v/>
      </c>
      <c r="H37" s="77">
        <f>INDEX(InnovationProjectResults[Communicate - Fun (CV)],MATCH(CoreValuesResults[[#This Row],[Team Number]],InnovationProjectResults[Team Number],0))</f>
        <v/>
      </c>
      <c r="I37" s="77">
        <f>INDEX(RobotDesignResults[Identify - Research (CV)],MATCH(CoreValuesResults[[#This Row],[Team Number]],RobotDesignResults[Team Number],0))</f>
        <v/>
      </c>
      <c r="J37" s="77">
        <f>INDEX(RobotDesignResults[Design - Ideas (CV)],MATCH(CoreValuesResults[[#This Row],[Team Number]],RobotDesignResults[Team Number],0))</f>
        <v/>
      </c>
      <c r="K37" s="77">
        <f>INDEX(RobotDesignResults[Iterate - Improvements (CV)],MATCH(CoreValuesResults[[#This Row],[Team Number]],RobotDesignResults[Team Number],0))</f>
        <v/>
      </c>
      <c r="L37" s="77">
        <f>INDEX(RobotDesignResults[Communicate - Impact (CV)],MATCH(CoreValuesResults[[#This Row],[Team Number]],RobotDesignResults[Team Number],0))</f>
        <v/>
      </c>
      <c r="M37" s="77">
        <f>INDEX(RobotDesignResults[Communicate - Fun (CV)],MATCH(CoreValuesResults[[#This Row],[Team Number]],RobotDesignResults[Team Number],0))</f>
        <v/>
      </c>
      <c r="N37" s="86" t="n"/>
      <c r="O37" s="86" t="n"/>
      <c r="P37" s="86" t="n"/>
      <c r="Q37" s="69">
        <f>SUM(CoreValuesResults[[#This Row],[Gracious Professionalism 1]:[Gracious Professionalism 3]])</f>
        <v/>
      </c>
      <c r="R37" s="69">
        <f>SUM(N37:Q37)</f>
        <v/>
      </c>
      <c r="S37" s="83">
        <f>SUM(CoreValuesResults[[#This Row],[Identify - Research (CV-IP)]:[Communicate - Fun (CV-RD)]],CoreValuesResults[[#This Row],[Gracious Professionalism Score]])</f>
        <v/>
      </c>
      <c r="T37" s="73">
        <f>_xlfn.RANK.EQ(CoreValuesResults[[#This Row],[Core Values Score]],CoreValuesResults[Core Values Score],0)</f>
        <v/>
      </c>
    </row>
    <row r="38" ht="21" customHeight="1">
      <c r="A38" s="69" t="n"/>
      <c r="B38" s="69">
        <f>INDEX(OfficialTeamList[Pod Number],MATCH(CoreValuesResults[[#This Row],[Team Number]], OfficialTeamList[Team '#],0))</f>
        <v/>
      </c>
      <c r="C38" s="106">
        <f>INDEX(OfficialTeamList[Team Name],MATCH(CoreValuesResults[[#This Row],[Team Number]], OfficialTeamList[Team '#],0))</f>
        <v/>
      </c>
      <c r="D38" s="77">
        <f>INDEX(InnovationProjectResults[Identify - Research (CV)],MATCH(CoreValuesResults[[#This Row],[Team Number]],InnovationProjectResults[Team Number],0))</f>
        <v/>
      </c>
      <c r="E38" s="77">
        <f>INDEX(InnovationProjectResults[Design - Teamwork (CV)],MATCH(CoreValuesResults[[#This Row],[Team Number]],InnovationProjectResults[Team Number],0))</f>
        <v/>
      </c>
      <c r="F38" s="77">
        <f>INDEX(InnovationProjectResults[Create - Innovation (CV)],MATCH(CoreValuesResults[[#This Row],[Team Number]],InnovationProjectResults[Team Number],0))</f>
        <v/>
      </c>
      <c r="G38" s="77">
        <f>INDEX(InnovationProjectResults[Communicate - Impact (CV)],MATCH(CoreValuesResults[[#This Row],[Team Number]],InnovationProjectResults[Team Number],0))</f>
        <v/>
      </c>
      <c r="H38" s="77">
        <f>INDEX(InnovationProjectResults[Communicate - Fun (CV)],MATCH(CoreValuesResults[[#This Row],[Team Number]],InnovationProjectResults[Team Number],0))</f>
        <v/>
      </c>
      <c r="I38" s="77">
        <f>INDEX(RobotDesignResults[Identify - Research (CV)],MATCH(CoreValuesResults[[#This Row],[Team Number]],RobotDesignResults[Team Number],0))</f>
        <v/>
      </c>
      <c r="J38" s="77">
        <f>INDEX(RobotDesignResults[Design - Ideas (CV)],MATCH(CoreValuesResults[[#This Row],[Team Number]],RobotDesignResults[Team Number],0))</f>
        <v/>
      </c>
      <c r="K38" s="77">
        <f>INDEX(RobotDesignResults[Iterate - Improvements (CV)],MATCH(CoreValuesResults[[#This Row],[Team Number]],RobotDesignResults[Team Number],0))</f>
        <v/>
      </c>
      <c r="L38" s="77">
        <f>INDEX(RobotDesignResults[Communicate - Impact (CV)],MATCH(CoreValuesResults[[#This Row],[Team Number]],RobotDesignResults[Team Number],0))</f>
        <v/>
      </c>
      <c r="M38" s="77">
        <f>INDEX(RobotDesignResults[Communicate - Fun (CV)],MATCH(CoreValuesResults[[#This Row],[Team Number]],RobotDesignResults[Team Number],0))</f>
        <v/>
      </c>
      <c r="N38" s="86" t="n"/>
      <c r="O38" s="86" t="n"/>
      <c r="P38" s="86" t="n"/>
      <c r="Q38" s="69">
        <f>SUM(CoreValuesResults[[#This Row],[Gracious Professionalism 1]:[Gracious Professionalism 3]])</f>
        <v/>
      </c>
      <c r="R38" s="69">
        <f>SUM(N38:Q38)</f>
        <v/>
      </c>
      <c r="S38" s="83">
        <f>SUM(CoreValuesResults[[#This Row],[Identify - Research (CV-IP)]:[Communicate - Fun (CV-RD)]],CoreValuesResults[[#This Row],[Gracious Professionalism Score]])</f>
        <v/>
      </c>
      <c r="T38" s="73">
        <f>_xlfn.RANK.EQ(CoreValuesResults[[#This Row],[Core Values Score]],CoreValuesResults[Core Values Score],0)</f>
        <v/>
      </c>
    </row>
    <row r="39" ht="21" customHeight="1">
      <c r="A39" s="69" t="n"/>
      <c r="B39" s="69">
        <f>INDEX(OfficialTeamList[Pod Number],MATCH(CoreValuesResults[[#This Row],[Team Number]], OfficialTeamList[Team '#],0))</f>
        <v/>
      </c>
      <c r="C39" s="106">
        <f>INDEX(OfficialTeamList[Team Name],MATCH(CoreValuesResults[[#This Row],[Team Number]], OfficialTeamList[Team '#],0))</f>
        <v/>
      </c>
      <c r="D39" s="77">
        <f>INDEX(InnovationProjectResults[Identify - Research (CV)],MATCH(CoreValuesResults[[#This Row],[Team Number]],InnovationProjectResults[Team Number],0))</f>
        <v/>
      </c>
      <c r="E39" s="77">
        <f>INDEX(InnovationProjectResults[Design - Teamwork (CV)],MATCH(CoreValuesResults[[#This Row],[Team Number]],InnovationProjectResults[Team Number],0))</f>
        <v/>
      </c>
      <c r="F39" s="77">
        <f>INDEX(InnovationProjectResults[Create - Innovation (CV)],MATCH(CoreValuesResults[[#This Row],[Team Number]],InnovationProjectResults[Team Number],0))</f>
        <v/>
      </c>
      <c r="G39" s="77">
        <f>INDEX(InnovationProjectResults[Communicate - Impact (CV)],MATCH(CoreValuesResults[[#This Row],[Team Number]],InnovationProjectResults[Team Number],0))</f>
        <v/>
      </c>
      <c r="H39" s="77">
        <f>INDEX(InnovationProjectResults[Communicate - Fun (CV)],MATCH(CoreValuesResults[[#This Row],[Team Number]],InnovationProjectResults[Team Number],0))</f>
        <v/>
      </c>
      <c r="I39" s="77">
        <f>INDEX(RobotDesignResults[Identify - Research (CV)],MATCH(CoreValuesResults[[#This Row],[Team Number]],RobotDesignResults[Team Number],0))</f>
        <v/>
      </c>
      <c r="J39" s="77">
        <f>INDEX(RobotDesignResults[Design - Ideas (CV)],MATCH(CoreValuesResults[[#This Row],[Team Number]],RobotDesignResults[Team Number],0))</f>
        <v/>
      </c>
      <c r="K39" s="77">
        <f>INDEX(RobotDesignResults[Iterate - Improvements (CV)],MATCH(CoreValuesResults[[#This Row],[Team Number]],RobotDesignResults[Team Number],0))</f>
        <v/>
      </c>
      <c r="L39" s="77">
        <f>INDEX(RobotDesignResults[Communicate - Impact (CV)],MATCH(CoreValuesResults[[#This Row],[Team Number]],RobotDesignResults[Team Number],0))</f>
        <v/>
      </c>
      <c r="M39" s="77">
        <f>INDEX(RobotDesignResults[Communicate - Fun (CV)],MATCH(CoreValuesResults[[#This Row],[Team Number]],RobotDesignResults[Team Number],0))</f>
        <v/>
      </c>
      <c r="N39" s="86" t="n"/>
      <c r="O39" s="86" t="n"/>
      <c r="P39" s="86" t="n"/>
      <c r="Q39" s="69">
        <f>SUM(CoreValuesResults[[#This Row],[Gracious Professionalism 1]:[Gracious Professionalism 3]])</f>
        <v/>
      </c>
      <c r="R39" s="69">
        <f>SUM(N39:Q39)</f>
        <v/>
      </c>
      <c r="S39" s="83">
        <f>SUM(CoreValuesResults[[#This Row],[Identify - Research (CV-IP)]:[Communicate - Fun (CV-RD)]],CoreValuesResults[[#This Row],[Gracious Professionalism Score]])</f>
        <v/>
      </c>
      <c r="T39" s="73">
        <f>_xlfn.RANK.EQ(CoreValuesResults[[#This Row],[Core Values Score]],CoreValuesResults[Core Values Score],0)</f>
        <v/>
      </c>
    </row>
    <row r="40" ht="21" customHeight="1">
      <c r="A40" s="69" t="n"/>
      <c r="B40" s="69">
        <f>INDEX(OfficialTeamList[Pod Number],MATCH(CoreValuesResults[[#This Row],[Team Number]], OfficialTeamList[Team '#],0))</f>
        <v/>
      </c>
      <c r="C40" s="106">
        <f>INDEX(OfficialTeamList[Team Name],MATCH(CoreValuesResults[[#This Row],[Team Number]], OfficialTeamList[Team '#],0))</f>
        <v/>
      </c>
      <c r="D40" s="77">
        <f>INDEX(InnovationProjectResults[Identify - Research (CV)],MATCH(CoreValuesResults[[#This Row],[Team Number]],InnovationProjectResults[Team Number],0))</f>
        <v/>
      </c>
      <c r="E40" s="77">
        <f>INDEX(InnovationProjectResults[Design - Teamwork (CV)],MATCH(CoreValuesResults[[#This Row],[Team Number]],InnovationProjectResults[Team Number],0))</f>
        <v/>
      </c>
      <c r="F40" s="77">
        <f>INDEX(InnovationProjectResults[Create - Innovation (CV)],MATCH(CoreValuesResults[[#This Row],[Team Number]],InnovationProjectResults[Team Number],0))</f>
        <v/>
      </c>
      <c r="G40" s="77">
        <f>INDEX(InnovationProjectResults[Communicate - Impact (CV)],MATCH(CoreValuesResults[[#This Row],[Team Number]],InnovationProjectResults[Team Number],0))</f>
        <v/>
      </c>
      <c r="H40" s="77">
        <f>INDEX(InnovationProjectResults[Communicate - Fun (CV)],MATCH(CoreValuesResults[[#This Row],[Team Number]],InnovationProjectResults[Team Number],0))</f>
        <v/>
      </c>
      <c r="I40" s="77">
        <f>INDEX(RobotDesignResults[Identify - Research (CV)],MATCH(CoreValuesResults[[#This Row],[Team Number]],RobotDesignResults[Team Number],0))</f>
        <v/>
      </c>
      <c r="J40" s="77">
        <f>INDEX(RobotDesignResults[Design - Ideas (CV)],MATCH(CoreValuesResults[[#This Row],[Team Number]],RobotDesignResults[Team Number],0))</f>
        <v/>
      </c>
      <c r="K40" s="77">
        <f>INDEX(RobotDesignResults[Iterate - Improvements (CV)],MATCH(CoreValuesResults[[#This Row],[Team Number]],RobotDesignResults[Team Number],0))</f>
        <v/>
      </c>
      <c r="L40" s="77">
        <f>INDEX(RobotDesignResults[Communicate - Impact (CV)],MATCH(CoreValuesResults[[#This Row],[Team Number]],RobotDesignResults[Team Number],0))</f>
        <v/>
      </c>
      <c r="M40" s="77">
        <f>INDEX(RobotDesignResults[Communicate - Fun (CV)],MATCH(CoreValuesResults[[#This Row],[Team Number]],RobotDesignResults[Team Number],0))</f>
        <v/>
      </c>
      <c r="N40" s="86" t="n"/>
      <c r="O40" s="86" t="n"/>
      <c r="P40" s="86" t="n"/>
      <c r="Q40" s="69">
        <f>SUM(CoreValuesResults[[#This Row],[Gracious Professionalism 1]:[Gracious Professionalism 3]])</f>
        <v/>
      </c>
      <c r="R40" s="69">
        <f>SUM(N40:Q40)</f>
        <v/>
      </c>
      <c r="S40" s="83">
        <f>SUM(CoreValuesResults[[#This Row],[Identify - Research (CV-IP)]:[Communicate - Fun (CV-RD)]],CoreValuesResults[[#This Row],[Gracious Professionalism Score]])</f>
        <v/>
      </c>
      <c r="T40" s="73">
        <f>_xlfn.RANK.EQ(CoreValuesResults[[#This Row],[Core Values Score]],CoreValuesResults[Core Values Score],0)</f>
        <v/>
      </c>
    </row>
    <row r="41" ht="21" customHeight="1">
      <c r="A41" s="69" t="n"/>
      <c r="B41" s="69">
        <f>INDEX(OfficialTeamList[Pod Number],MATCH(CoreValuesResults[[#This Row],[Team Number]], OfficialTeamList[Team '#],0))</f>
        <v/>
      </c>
      <c r="C41" s="106">
        <f>INDEX(OfficialTeamList[Team Name],MATCH(CoreValuesResults[[#This Row],[Team Number]], OfficialTeamList[Team '#],0))</f>
        <v/>
      </c>
      <c r="D41" s="77">
        <f>INDEX(InnovationProjectResults[Identify - Research (CV)],MATCH(CoreValuesResults[[#This Row],[Team Number]],InnovationProjectResults[Team Number],0))</f>
        <v/>
      </c>
      <c r="E41" s="77">
        <f>INDEX(InnovationProjectResults[Design - Teamwork (CV)],MATCH(CoreValuesResults[[#This Row],[Team Number]],InnovationProjectResults[Team Number],0))</f>
        <v/>
      </c>
      <c r="F41" s="77">
        <f>INDEX(InnovationProjectResults[Create - Innovation (CV)],MATCH(CoreValuesResults[[#This Row],[Team Number]],InnovationProjectResults[Team Number],0))</f>
        <v/>
      </c>
      <c r="G41" s="77">
        <f>INDEX(InnovationProjectResults[Communicate - Impact (CV)],MATCH(CoreValuesResults[[#This Row],[Team Number]],InnovationProjectResults[Team Number],0))</f>
        <v/>
      </c>
      <c r="H41" s="77">
        <f>INDEX(InnovationProjectResults[Communicate - Fun (CV)],MATCH(CoreValuesResults[[#This Row],[Team Number]],InnovationProjectResults[Team Number],0))</f>
        <v/>
      </c>
      <c r="I41" s="77">
        <f>INDEX(RobotDesignResults[Identify - Research (CV)],MATCH(CoreValuesResults[[#This Row],[Team Number]],RobotDesignResults[Team Number],0))</f>
        <v/>
      </c>
      <c r="J41" s="77">
        <f>INDEX(RobotDesignResults[Design - Ideas (CV)],MATCH(CoreValuesResults[[#This Row],[Team Number]],RobotDesignResults[Team Number],0))</f>
        <v/>
      </c>
      <c r="K41" s="77">
        <f>INDEX(RobotDesignResults[Iterate - Improvements (CV)],MATCH(CoreValuesResults[[#This Row],[Team Number]],RobotDesignResults[Team Number],0))</f>
        <v/>
      </c>
      <c r="L41" s="77">
        <f>INDEX(RobotDesignResults[Communicate - Impact (CV)],MATCH(CoreValuesResults[[#This Row],[Team Number]],RobotDesignResults[Team Number],0))</f>
        <v/>
      </c>
      <c r="M41" s="77">
        <f>INDEX(RobotDesignResults[Communicate - Fun (CV)],MATCH(CoreValuesResults[[#This Row],[Team Number]],RobotDesignResults[Team Number],0))</f>
        <v/>
      </c>
      <c r="N41" s="86" t="n"/>
      <c r="O41" s="86" t="n"/>
      <c r="P41" s="86" t="n"/>
      <c r="Q41" s="69">
        <f>SUM(CoreValuesResults[[#This Row],[Gracious Professionalism 1]:[Gracious Professionalism 3]])</f>
        <v/>
      </c>
      <c r="R41" s="69">
        <f>SUM(N41:Q41)</f>
        <v/>
      </c>
      <c r="S41" s="83">
        <f>SUM(CoreValuesResults[[#This Row],[Identify - Research (CV-IP)]:[Communicate - Fun (CV-RD)]],CoreValuesResults[[#This Row],[Gracious Professionalism Score]])</f>
        <v/>
      </c>
      <c r="T41" s="73">
        <f>_xlfn.RANK.EQ(CoreValuesResults[[#This Row],[Core Values Score]],CoreValuesResults[Core Values Score],0)</f>
        <v/>
      </c>
    </row>
    <row r="42" ht="21" customHeight="1">
      <c r="A42" s="69" t="n"/>
      <c r="B42" s="69">
        <f>INDEX(OfficialTeamList[Pod Number],MATCH(CoreValuesResults[[#This Row],[Team Number]], OfficialTeamList[Team '#],0))</f>
        <v/>
      </c>
      <c r="C42" s="106">
        <f>INDEX(OfficialTeamList[Team Name],MATCH(CoreValuesResults[[#This Row],[Team Number]], OfficialTeamList[Team '#],0))</f>
        <v/>
      </c>
      <c r="D42" s="77">
        <f>INDEX(InnovationProjectResults[Identify - Research (CV)],MATCH(CoreValuesResults[[#This Row],[Team Number]],InnovationProjectResults[Team Number],0))</f>
        <v/>
      </c>
      <c r="E42" s="77">
        <f>INDEX(InnovationProjectResults[Design - Teamwork (CV)],MATCH(CoreValuesResults[[#This Row],[Team Number]],InnovationProjectResults[Team Number],0))</f>
        <v/>
      </c>
      <c r="F42" s="77">
        <f>INDEX(InnovationProjectResults[Create - Innovation (CV)],MATCH(CoreValuesResults[[#This Row],[Team Number]],InnovationProjectResults[Team Number],0))</f>
        <v/>
      </c>
      <c r="G42" s="77">
        <f>INDEX(InnovationProjectResults[Communicate - Impact (CV)],MATCH(CoreValuesResults[[#This Row],[Team Number]],InnovationProjectResults[Team Number],0))</f>
        <v/>
      </c>
      <c r="H42" s="77">
        <f>INDEX(InnovationProjectResults[Communicate - Fun (CV)],MATCH(CoreValuesResults[[#This Row],[Team Number]],InnovationProjectResults[Team Number],0))</f>
        <v/>
      </c>
      <c r="I42" s="77">
        <f>INDEX(RobotDesignResults[Identify - Research (CV)],MATCH(CoreValuesResults[[#This Row],[Team Number]],RobotDesignResults[Team Number],0))</f>
        <v/>
      </c>
      <c r="J42" s="77">
        <f>INDEX(RobotDesignResults[Design - Ideas (CV)],MATCH(CoreValuesResults[[#This Row],[Team Number]],RobotDesignResults[Team Number],0))</f>
        <v/>
      </c>
      <c r="K42" s="77">
        <f>INDEX(RobotDesignResults[Iterate - Improvements (CV)],MATCH(CoreValuesResults[[#This Row],[Team Number]],RobotDesignResults[Team Number],0))</f>
        <v/>
      </c>
      <c r="L42" s="77">
        <f>INDEX(RobotDesignResults[Communicate - Impact (CV)],MATCH(CoreValuesResults[[#This Row],[Team Number]],RobotDesignResults[Team Number],0))</f>
        <v/>
      </c>
      <c r="M42" s="77">
        <f>INDEX(RobotDesignResults[Communicate - Fun (CV)],MATCH(CoreValuesResults[[#This Row],[Team Number]],RobotDesignResults[Team Number],0))</f>
        <v/>
      </c>
      <c r="N42" s="86" t="n"/>
      <c r="O42" s="86" t="n"/>
      <c r="P42" s="86" t="n"/>
      <c r="Q42" s="69">
        <f>SUM(CoreValuesResults[[#This Row],[Gracious Professionalism 1]:[Gracious Professionalism 3]])</f>
        <v/>
      </c>
      <c r="R42" s="69">
        <f>SUM(N42:Q42)</f>
        <v/>
      </c>
      <c r="S42" s="83">
        <f>SUM(CoreValuesResults[[#This Row],[Identify - Research (CV-IP)]:[Communicate - Fun (CV-RD)]],CoreValuesResults[[#This Row],[Gracious Professionalism Score]])</f>
        <v/>
      </c>
      <c r="T42" s="73">
        <f>_xlfn.RANK.EQ(CoreValuesResults[[#This Row],[Core Values Score]],CoreValuesResults[Core Values Score],0)</f>
        <v/>
      </c>
    </row>
    <row r="43" ht="21" customHeight="1">
      <c r="A43" s="69" t="n"/>
      <c r="B43" s="69">
        <f>INDEX(OfficialTeamList[Pod Number],MATCH(CoreValuesResults[[#This Row],[Team Number]], OfficialTeamList[Team '#],0))</f>
        <v/>
      </c>
      <c r="C43" s="106">
        <f>INDEX(OfficialTeamList[Team Name],MATCH(CoreValuesResults[[#This Row],[Team Number]], OfficialTeamList[Team '#],0))</f>
        <v/>
      </c>
      <c r="D43" s="77">
        <f>INDEX(InnovationProjectResults[Identify - Research (CV)],MATCH(CoreValuesResults[[#This Row],[Team Number]],InnovationProjectResults[Team Number],0))</f>
        <v/>
      </c>
      <c r="E43" s="77">
        <f>INDEX(InnovationProjectResults[Design - Teamwork (CV)],MATCH(CoreValuesResults[[#This Row],[Team Number]],InnovationProjectResults[Team Number],0))</f>
        <v/>
      </c>
      <c r="F43" s="77">
        <f>INDEX(InnovationProjectResults[Create - Innovation (CV)],MATCH(CoreValuesResults[[#This Row],[Team Number]],InnovationProjectResults[Team Number],0))</f>
        <v/>
      </c>
      <c r="G43" s="77">
        <f>INDEX(InnovationProjectResults[Communicate - Impact (CV)],MATCH(CoreValuesResults[[#This Row],[Team Number]],InnovationProjectResults[Team Number],0))</f>
        <v/>
      </c>
      <c r="H43" s="77">
        <f>INDEX(InnovationProjectResults[Communicate - Fun (CV)],MATCH(CoreValuesResults[[#This Row],[Team Number]],InnovationProjectResults[Team Number],0))</f>
        <v/>
      </c>
      <c r="I43" s="77">
        <f>INDEX(RobotDesignResults[Identify - Research (CV)],MATCH(CoreValuesResults[[#This Row],[Team Number]],RobotDesignResults[Team Number],0))</f>
        <v/>
      </c>
      <c r="J43" s="77">
        <f>INDEX(RobotDesignResults[Design - Ideas (CV)],MATCH(CoreValuesResults[[#This Row],[Team Number]],RobotDesignResults[Team Number],0))</f>
        <v/>
      </c>
      <c r="K43" s="77">
        <f>INDEX(RobotDesignResults[Iterate - Improvements (CV)],MATCH(CoreValuesResults[[#This Row],[Team Number]],RobotDesignResults[Team Number],0))</f>
        <v/>
      </c>
      <c r="L43" s="77">
        <f>INDEX(RobotDesignResults[Communicate - Impact (CV)],MATCH(CoreValuesResults[[#This Row],[Team Number]],RobotDesignResults[Team Number],0))</f>
        <v/>
      </c>
      <c r="M43" s="77">
        <f>INDEX(RobotDesignResults[Communicate - Fun (CV)],MATCH(CoreValuesResults[[#This Row],[Team Number]],RobotDesignResults[Team Number],0))</f>
        <v/>
      </c>
      <c r="N43" s="86" t="n"/>
      <c r="O43" s="86" t="n"/>
      <c r="P43" s="86" t="n"/>
      <c r="Q43" s="69">
        <f>SUM(CoreValuesResults[[#This Row],[Gracious Professionalism 1]:[Gracious Professionalism 3]])</f>
        <v/>
      </c>
      <c r="R43" s="69">
        <f>SUM(N43:Q43)</f>
        <v/>
      </c>
      <c r="S43" s="83">
        <f>SUM(CoreValuesResults[[#This Row],[Identify - Research (CV-IP)]:[Communicate - Fun (CV-RD)]],CoreValuesResults[[#This Row],[Gracious Professionalism Score]])</f>
        <v/>
      </c>
      <c r="T43" s="73">
        <f>_xlfn.RANK.EQ(CoreValuesResults[[#This Row],[Core Values Score]],CoreValuesResults[Core Values Score],0)</f>
        <v/>
      </c>
    </row>
    <row r="44" ht="21" customHeight="1">
      <c r="A44" s="69" t="n"/>
      <c r="B44" s="69">
        <f>INDEX(OfficialTeamList[Pod Number],MATCH(CoreValuesResults[[#This Row],[Team Number]], OfficialTeamList[Team '#],0))</f>
        <v/>
      </c>
      <c r="C44" s="106">
        <f>INDEX(OfficialTeamList[Team Name],MATCH(CoreValuesResults[[#This Row],[Team Number]], OfficialTeamList[Team '#],0))</f>
        <v/>
      </c>
      <c r="D44" s="77">
        <f>INDEX(InnovationProjectResults[Identify - Research (CV)],MATCH(CoreValuesResults[[#This Row],[Team Number]],InnovationProjectResults[Team Number],0))</f>
        <v/>
      </c>
      <c r="E44" s="77">
        <f>INDEX(InnovationProjectResults[Design - Teamwork (CV)],MATCH(CoreValuesResults[[#This Row],[Team Number]],InnovationProjectResults[Team Number],0))</f>
        <v/>
      </c>
      <c r="F44" s="77">
        <f>INDEX(InnovationProjectResults[Create - Innovation (CV)],MATCH(CoreValuesResults[[#This Row],[Team Number]],InnovationProjectResults[Team Number],0))</f>
        <v/>
      </c>
      <c r="G44" s="77">
        <f>INDEX(InnovationProjectResults[Communicate - Impact (CV)],MATCH(CoreValuesResults[[#This Row],[Team Number]],InnovationProjectResults[Team Number],0))</f>
        <v/>
      </c>
      <c r="H44" s="77">
        <f>INDEX(InnovationProjectResults[Communicate - Fun (CV)],MATCH(CoreValuesResults[[#This Row],[Team Number]],InnovationProjectResults[Team Number],0))</f>
        <v/>
      </c>
      <c r="I44" s="77">
        <f>INDEX(RobotDesignResults[Identify - Research (CV)],MATCH(CoreValuesResults[[#This Row],[Team Number]],RobotDesignResults[Team Number],0))</f>
        <v/>
      </c>
      <c r="J44" s="77">
        <f>INDEX(RobotDesignResults[Design - Ideas (CV)],MATCH(CoreValuesResults[[#This Row],[Team Number]],RobotDesignResults[Team Number],0))</f>
        <v/>
      </c>
      <c r="K44" s="77">
        <f>INDEX(RobotDesignResults[Iterate - Improvements (CV)],MATCH(CoreValuesResults[[#This Row],[Team Number]],RobotDesignResults[Team Number],0))</f>
        <v/>
      </c>
      <c r="L44" s="77">
        <f>INDEX(RobotDesignResults[Communicate - Impact (CV)],MATCH(CoreValuesResults[[#This Row],[Team Number]],RobotDesignResults[Team Number],0))</f>
        <v/>
      </c>
      <c r="M44" s="77">
        <f>INDEX(RobotDesignResults[Communicate - Fun (CV)],MATCH(CoreValuesResults[[#This Row],[Team Number]],RobotDesignResults[Team Number],0))</f>
        <v/>
      </c>
      <c r="N44" s="86" t="n"/>
      <c r="O44" s="86" t="n"/>
      <c r="P44" s="86" t="n"/>
      <c r="Q44" s="69">
        <f>SUM(CoreValuesResults[[#This Row],[Gracious Professionalism 1]:[Gracious Professionalism 3]])</f>
        <v/>
      </c>
      <c r="R44" s="69">
        <f>SUM(N44:Q44)</f>
        <v/>
      </c>
      <c r="S44" s="83">
        <f>SUM(CoreValuesResults[[#This Row],[Identify - Research (CV-IP)]:[Communicate - Fun (CV-RD)]],CoreValuesResults[[#This Row],[Gracious Professionalism Score]])</f>
        <v/>
      </c>
      <c r="T44" s="73">
        <f>_xlfn.RANK.EQ(CoreValuesResults[[#This Row],[Core Values Score]],CoreValuesResults[Core Values Score],0)</f>
        <v/>
      </c>
    </row>
    <row r="45" ht="21" customHeight="1">
      <c r="A45" s="69" t="n"/>
      <c r="B45" s="69">
        <f>INDEX(OfficialTeamList[Pod Number],MATCH(CoreValuesResults[[#This Row],[Team Number]], OfficialTeamList[Team '#],0))</f>
        <v/>
      </c>
      <c r="C45" s="106">
        <f>INDEX(OfficialTeamList[Team Name],MATCH(CoreValuesResults[[#This Row],[Team Number]], OfficialTeamList[Team '#],0))</f>
        <v/>
      </c>
      <c r="D45" s="77">
        <f>INDEX(InnovationProjectResults[Identify - Research (CV)],MATCH(CoreValuesResults[[#This Row],[Team Number]],InnovationProjectResults[Team Number],0))</f>
        <v/>
      </c>
      <c r="E45" s="77">
        <f>INDEX(InnovationProjectResults[Design - Teamwork (CV)],MATCH(CoreValuesResults[[#This Row],[Team Number]],InnovationProjectResults[Team Number],0))</f>
        <v/>
      </c>
      <c r="F45" s="77">
        <f>INDEX(InnovationProjectResults[Create - Innovation (CV)],MATCH(CoreValuesResults[[#This Row],[Team Number]],InnovationProjectResults[Team Number],0))</f>
        <v/>
      </c>
      <c r="G45" s="77">
        <f>INDEX(InnovationProjectResults[Communicate - Impact (CV)],MATCH(CoreValuesResults[[#This Row],[Team Number]],InnovationProjectResults[Team Number],0))</f>
        <v/>
      </c>
      <c r="H45" s="77">
        <f>INDEX(InnovationProjectResults[Communicate - Fun (CV)],MATCH(CoreValuesResults[[#This Row],[Team Number]],InnovationProjectResults[Team Number],0))</f>
        <v/>
      </c>
      <c r="I45" s="77">
        <f>INDEX(RobotDesignResults[Identify - Research (CV)],MATCH(CoreValuesResults[[#This Row],[Team Number]],RobotDesignResults[Team Number],0))</f>
        <v/>
      </c>
      <c r="J45" s="77">
        <f>INDEX(RobotDesignResults[Design - Ideas (CV)],MATCH(CoreValuesResults[[#This Row],[Team Number]],RobotDesignResults[Team Number],0))</f>
        <v/>
      </c>
      <c r="K45" s="77">
        <f>INDEX(RobotDesignResults[Iterate - Improvements (CV)],MATCH(CoreValuesResults[[#This Row],[Team Number]],RobotDesignResults[Team Number],0))</f>
        <v/>
      </c>
      <c r="L45" s="77">
        <f>INDEX(RobotDesignResults[Communicate - Impact (CV)],MATCH(CoreValuesResults[[#This Row],[Team Number]],RobotDesignResults[Team Number],0))</f>
        <v/>
      </c>
      <c r="M45" s="77">
        <f>INDEX(RobotDesignResults[Communicate - Fun (CV)],MATCH(CoreValuesResults[[#This Row],[Team Number]],RobotDesignResults[Team Number],0))</f>
        <v/>
      </c>
      <c r="N45" s="86" t="n"/>
      <c r="O45" s="86" t="n"/>
      <c r="P45" s="86" t="n"/>
      <c r="Q45" s="69">
        <f>SUM(CoreValuesResults[[#This Row],[Gracious Professionalism 1]:[Gracious Professionalism 3]])</f>
        <v/>
      </c>
      <c r="R45" s="69">
        <f>SUM(N45:Q45)</f>
        <v/>
      </c>
      <c r="S45" s="83">
        <f>SUM(CoreValuesResults[[#This Row],[Identify - Research (CV-IP)]:[Communicate - Fun (CV-RD)]],CoreValuesResults[[#This Row],[Gracious Professionalism Score]])</f>
        <v/>
      </c>
      <c r="T45" s="73">
        <f>_xlfn.RANK.EQ(CoreValuesResults[[#This Row],[Core Values Score]],CoreValuesResults[Core Values Score],0)</f>
        <v/>
      </c>
    </row>
    <row r="46" ht="21" customHeight="1">
      <c r="A46" s="69" t="n"/>
      <c r="B46" s="69">
        <f>INDEX(OfficialTeamList[Pod Number],MATCH(CoreValuesResults[[#This Row],[Team Number]], OfficialTeamList[Team '#],0))</f>
        <v/>
      </c>
      <c r="C46" s="106">
        <f>INDEX(OfficialTeamList[Team Name],MATCH(CoreValuesResults[[#This Row],[Team Number]], OfficialTeamList[Team '#],0))</f>
        <v/>
      </c>
      <c r="D46" s="77">
        <f>INDEX(InnovationProjectResults[Identify - Research (CV)],MATCH(CoreValuesResults[[#This Row],[Team Number]],InnovationProjectResults[Team Number],0))</f>
        <v/>
      </c>
      <c r="E46" s="77">
        <f>INDEX(InnovationProjectResults[Design - Teamwork (CV)],MATCH(CoreValuesResults[[#This Row],[Team Number]],InnovationProjectResults[Team Number],0))</f>
        <v/>
      </c>
      <c r="F46" s="77">
        <f>INDEX(InnovationProjectResults[Create - Innovation (CV)],MATCH(CoreValuesResults[[#This Row],[Team Number]],InnovationProjectResults[Team Number],0))</f>
        <v/>
      </c>
      <c r="G46" s="77">
        <f>INDEX(InnovationProjectResults[Communicate - Impact (CV)],MATCH(CoreValuesResults[[#This Row],[Team Number]],InnovationProjectResults[Team Number],0))</f>
        <v/>
      </c>
      <c r="H46" s="77">
        <f>INDEX(InnovationProjectResults[Communicate - Fun (CV)],MATCH(CoreValuesResults[[#This Row],[Team Number]],InnovationProjectResults[Team Number],0))</f>
        <v/>
      </c>
      <c r="I46" s="77">
        <f>INDEX(RobotDesignResults[Identify - Research (CV)],MATCH(CoreValuesResults[[#This Row],[Team Number]],RobotDesignResults[Team Number],0))</f>
        <v/>
      </c>
      <c r="J46" s="77">
        <f>INDEX(RobotDesignResults[Design - Ideas (CV)],MATCH(CoreValuesResults[[#This Row],[Team Number]],RobotDesignResults[Team Number],0))</f>
        <v/>
      </c>
      <c r="K46" s="77">
        <f>INDEX(RobotDesignResults[Iterate - Improvements (CV)],MATCH(CoreValuesResults[[#This Row],[Team Number]],RobotDesignResults[Team Number],0))</f>
        <v/>
      </c>
      <c r="L46" s="77">
        <f>INDEX(RobotDesignResults[Communicate - Impact (CV)],MATCH(CoreValuesResults[[#This Row],[Team Number]],RobotDesignResults[Team Number],0))</f>
        <v/>
      </c>
      <c r="M46" s="77">
        <f>INDEX(RobotDesignResults[Communicate - Fun (CV)],MATCH(CoreValuesResults[[#This Row],[Team Number]],RobotDesignResults[Team Number],0))</f>
        <v/>
      </c>
      <c r="N46" s="86" t="n"/>
      <c r="O46" s="86" t="n"/>
      <c r="P46" s="86" t="n"/>
      <c r="Q46" s="69">
        <f>SUM(CoreValuesResults[[#This Row],[Gracious Professionalism 1]:[Gracious Professionalism 3]])</f>
        <v/>
      </c>
      <c r="R46" s="69">
        <f>SUM(N46:Q46)</f>
        <v/>
      </c>
      <c r="S46" s="83">
        <f>SUM(CoreValuesResults[[#This Row],[Identify - Research (CV-IP)]:[Communicate - Fun (CV-RD)]],CoreValuesResults[[#This Row],[Gracious Professionalism Score]])</f>
        <v/>
      </c>
      <c r="T46" s="73">
        <f>_xlfn.RANK.EQ(CoreValuesResults[[#This Row],[Core Values Score]],CoreValuesResults[Core Values Score],0)</f>
        <v/>
      </c>
    </row>
    <row r="47" ht="21" customHeight="1">
      <c r="A47" s="69" t="n"/>
      <c r="B47" s="69">
        <f>INDEX(OfficialTeamList[Pod Number],MATCH(CoreValuesResults[[#This Row],[Team Number]], OfficialTeamList[Team '#],0))</f>
        <v/>
      </c>
      <c r="C47" s="106">
        <f>INDEX(OfficialTeamList[Team Name],MATCH(CoreValuesResults[[#This Row],[Team Number]], OfficialTeamList[Team '#],0))</f>
        <v/>
      </c>
      <c r="D47" s="77">
        <f>INDEX(InnovationProjectResults[Identify - Research (CV)],MATCH(CoreValuesResults[[#This Row],[Team Number]],InnovationProjectResults[Team Number],0))</f>
        <v/>
      </c>
      <c r="E47" s="77">
        <f>INDEX(InnovationProjectResults[Design - Teamwork (CV)],MATCH(CoreValuesResults[[#This Row],[Team Number]],InnovationProjectResults[Team Number],0))</f>
        <v/>
      </c>
      <c r="F47" s="77">
        <f>INDEX(InnovationProjectResults[Create - Innovation (CV)],MATCH(CoreValuesResults[[#This Row],[Team Number]],InnovationProjectResults[Team Number],0))</f>
        <v/>
      </c>
      <c r="G47" s="77">
        <f>INDEX(InnovationProjectResults[Communicate - Impact (CV)],MATCH(CoreValuesResults[[#This Row],[Team Number]],InnovationProjectResults[Team Number],0))</f>
        <v/>
      </c>
      <c r="H47" s="77">
        <f>INDEX(InnovationProjectResults[Communicate - Fun (CV)],MATCH(CoreValuesResults[[#This Row],[Team Number]],InnovationProjectResults[Team Number],0))</f>
        <v/>
      </c>
      <c r="I47" s="77">
        <f>INDEX(RobotDesignResults[Identify - Research (CV)],MATCH(CoreValuesResults[[#This Row],[Team Number]],RobotDesignResults[Team Number],0))</f>
        <v/>
      </c>
      <c r="J47" s="77">
        <f>INDEX(RobotDesignResults[Design - Ideas (CV)],MATCH(CoreValuesResults[[#This Row],[Team Number]],RobotDesignResults[Team Number],0))</f>
        <v/>
      </c>
      <c r="K47" s="77">
        <f>INDEX(RobotDesignResults[Iterate - Improvements (CV)],MATCH(CoreValuesResults[[#This Row],[Team Number]],RobotDesignResults[Team Number],0))</f>
        <v/>
      </c>
      <c r="L47" s="77">
        <f>INDEX(RobotDesignResults[Communicate - Impact (CV)],MATCH(CoreValuesResults[[#This Row],[Team Number]],RobotDesignResults[Team Number],0))</f>
        <v/>
      </c>
      <c r="M47" s="77">
        <f>INDEX(RobotDesignResults[Communicate - Fun (CV)],MATCH(CoreValuesResults[[#This Row],[Team Number]],RobotDesignResults[Team Number],0))</f>
        <v/>
      </c>
      <c r="N47" s="86" t="n"/>
      <c r="O47" s="86" t="n"/>
      <c r="P47" s="86" t="n"/>
      <c r="Q47" s="69">
        <f>SUM(CoreValuesResults[[#This Row],[Gracious Professionalism 1]:[Gracious Professionalism 3]])</f>
        <v/>
      </c>
      <c r="R47" s="69">
        <f>SUM(N47:Q47)</f>
        <v/>
      </c>
      <c r="S47" s="83">
        <f>SUM(CoreValuesResults[[#This Row],[Identify - Research (CV-IP)]:[Communicate - Fun (CV-RD)]],CoreValuesResults[[#This Row],[Gracious Professionalism Score]])</f>
        <v/>
      </c>
      <c r="T47" s="73">
        <f>_xlfn.RANK.EQ(CoreValuesResults[[#This Row],[Core Values Score]],CoreValuesResults[Core Values Score],0)</f>
        <v/>
      </c>
    </row>
    <row r="48" ht="21" customHeight="1">
      <c r="A48" s="69" t="n"/>
      <c r="B48" s="69">
        <f>INDEX(OfficialTeamList[Pod Number],MATCH(CoreValuesResults[[#This Row],[Team Number]], OfficialTeamList[Team '#],0))</f>
        <v/>
      </c>
      <c r="C48" s="106">
        <f>INDEX(OfficialTeamList[Team Name],MATCH(CoreValuesResults[[#This Row],[Team Number]], OfficialTeamList[Team '#],0))</f>
        <v/>
      </c>
      <c r="D48" s="77">
        <f>INDEX(InnovationProjectResults[Identify - Research (CV)],MATCH(CoreValuesResults[[#This Row],[Team Number]],InnovationProjectResults[Team Number],0))</f>
        <v/>
      </c>
      <c r="E48" s="77">
        <f>INDEX(InnovationProjectResults[Design - Teamwork (CV)],MATCH(CoreValuesResults[[#This Row],[Team Number]],InnovationProjectResults[Team Number],0))</f>
        <v/>
      </c>
      <c r="F48" s="77">
        <f>INDEX(InnovationProjectResults[Create - Innovation (CV)],MATCH(CoreValuesResults[[#This Row],[Team Number]],InnovationProjectResults[Team Number],0))</f>
        <v/>
      </c>
      <c r="G48" s="77">
        <f>INDEX(InnovationProjectResults[Communicate - Impact (CV)],MATCH(CoreValuesResults[[#This Row],[Team Number]],InnovationProjectResults[Team Number],0))</f>
        <v/>
      </c>
      <c r="H48" s="77">
        <f>INDEX(InnovationProjectResults[Communicate - Fun (CV)],MATCH(CoreValuesResults[[#This Row],[Team Number]],InnovationProjectResults[Team Number],0))</f>
        <v/>
      </c>
      <c r="I48" s="77">
        <f>INDEX(RobotDesignResults[Identify - Research (CV)],MATCH(CoreValuesResults[[#This Row],[Team Number]],RobotDesignResults[Team Number],0))</f>
        <v/>
      </c>
      <c r="J48" s="77">
        <f>INDEX(RobotDesignResults[Design - Ideas (CV)],MATCH(CoreValuesResults[[#This Row],[Team Number]],RobotDesignResults[Team Number],0))</f>
        <v/>
      </c>
      <c r="K48" s="77">
        <f>INDEX(RobotDesignResults[Iterate - Improvements (CV)],MATCH(CoreValuesResults[[#This Row],[Team Number]],RobotDesignResults[Team Number],0))</f>
        <v/>
      </c>
      <c r="L48" s="77">
        <f>INDEX(RobotDesignResults[Communicate - Impact (CV)],MATCH(CoreValuesResults[[#This Row],[Team Number]],RobotDesignResults[Team Number],0))</f>
        <v/>
      </c>
      <c r="M48" s="77">
        <f>INDEX(RobotDesignResults[Communicate - Fun (CV)],MATCH(CoreValuesResults[[#This Row],[Team Number]],RobotDesignResults[Team Number],0))</f>
        <v/>
      </c>
      <c r="N48" s="86" t="n"/>
      <c r="O48" s="86" t="n"/>
      <c r="P48" s="86" t="n"/>
      <c r="Q48" s="69">
        <f>SUM(CoreValuesResults[[#This Row],[Gracious Professionalism 1]:[Gracious Professionalism 3]])</f>
        <v/>
      </c>
      <c r="R48" s="69">
        <f>SUM(N48:Q48)</f>
        <v/>
      </c>
      <c r="S48" s="83">
        <f>SUM(CoreValuesResults[[#This Row],[Identify - Research (CV-IP)]:[Communicate - Fun (CV-RD)]],CoreValuesResults[[#This Row],[Gracious Professionalism Score]])</f>
        <v/>
      </c>
      <c r="T48" s="73">
        <f>_xlfn.RANK.EQ(CoreValuesResults[[#This Row],[Core Values Score]],CoreValuesResults[Core Values Score],0)</f>
        <v/>
      </c>
    </row>
    <row r="49" ht="21" customHeight="1">
      <c r="A49" s="69" t="n"/>
      <c r="B49" s="69">
        <f>INDEX(OfficialTeamList[Pod Number],MATCH(CoreValuesResults[[#This Row],[Team Number]], OfficialTeamList[Team '#],0))</f>
        <v/>
      </c>
      <c r="C49" s="106">
        <f>INDEX(OfficialTeamList[Team Name],MATCH(CoreValuesResults[[#This Row],[Team Number]], OfficialTeamList[Team '#],0))</f>
        <v/>
      </c>
      <c r="D49" s="77">
        <f>INDEX(InnovationProjectResults[Identify - Research (CV)],MATCH(CoreValuesResults[[#This Row],[Team Number]],InnovationProjectResults[Team Number],0))</f>
        <v/>
      </c>
      <c r="E49" s="77">
        <f>INDEX(InnovationProjectResults[Design - Teamwork (CV)],MATCH(CoreValuesResults[[#This Row],[Team Number]],InnovationProjectResults[Team Number],0))</f>
        <v/>
      </c>
      <c r="F49" s="77">
        <f>INDEX(InnovationProjectResults[Create - Innovation (CV)],MATCH(CoreValuesResults[[#This Row],[Team Number]],InnovationProjectResults[Team Number],0))</f>
        <v/>
      </c>
      <c r="G49" s="77">
        <f>INDEX(InnovationProjectResults[Communicate - Impact (CV)],MATCH(CoreValuesResults[[#This Row],[Team Number]],InnovationProjectResults[Team Number],0))</f>
        <v/>
      </c>
      <c r="H49" s="77">
        <f>INDEX(InnovationProjectResults[Communicate - Fun (CV)],MATCH(CoreValuesResults[[#This Row],[Team Number]],InnovationProjectResults[Team Number],0))</f>
        <v/>
      </c>
      <c r="I49" s="77">
        <f>INDEX(RobotDesignResults[Identify - Research (CV)],MATCH(CoreValuesResults[[#This Row],[Team Number]],RobotDesignResults[Team Number],0))</f>
        <v/>
      </c>
      <c r="J49" s="77">
        <f>INDEX(RobotDesignResults[Design - Ideas (CV)],MATCH(CoreValuesResults[[#This Row],[Team Number]],RobotDesignResults[Team Number],0))</f>
        <v/>
      </c>
      <c r="K49" s="77">
        <f>INDEX(RobotDesignResults[Iterate - Improvements (CV)],MATCH(CoreValuesResults[[#This Row],[Team Number]],RobotDesignResults[Team Number],0))</f>
        <v/>
      </c>
      <c r="L49" s="77">
        <f>INDEX(RobotDesignResults[Communicate - Impact (CV)],MATCH(CoreValuesResults[[#This Row],[Team Number]],RobotDesignResults[Team Number],0))</f>
        <v/>
      </c>
      <c r="M49" s="77">
        <f>INDEX(RobotDesignResults[Communicate - Fun (CV)],MATCH(CoreValuesResults[[#This Row],[Team Number]],RobotDesignResults[Team Number],0))</f>
        <v/>
      </c>
      <c r="N49" s="86" t="n"/>
      <c r="O49" s="86" t="n"/>
      <c r="P49" s="86" t="n"/>
      <c r="Q49" s="69">
        <f>SUM(CoreValuesResults[[#This Row],[Gracious Professionalism 1]:[Gracious Professionalism 3]])</f>
        <v/>
      </c>
      <c r="R49" s="69">
        <f>SUM(N49:Q49)</f>
        <v/>
      </c>
      <c r="S49" s="83">
        <f>SUM(CoreValuesResults[[#This Row],[Identify - Research (CV-IP)]:[Communicate - Fun (CV-RD)]],CoreValuesResults[[#This Row],[Gracious Professionalism Score]])</f>
        <v/>
      </c>
      <c r="T49" s="73">
        <f>_xlfn.RANK.EQ(CoreValuesResults[[#This Row],[Core Values Score]],CoreValuesResults[Core Values Score],0)</f>
        <v/>
      </c>
    </row>
    <row r="50" ht="21" customHeight="1">
      <c r="A50" s="69" t="n"/>
      <c r="B50" s="69">
        <f>INDEX(OfficialTeamList[Pod Number],MATCH(CoreValuesResults[[#This Row],[Team Number]], OfficialTeamList[Team '#],0))</f>
        <v/>
      </c>
      <c r="C50" s="106">
        <f>INDEX(OfficialTeamList[Team Name],MATCH(CoreValuesResults[[#This Row],[Team Number]], OfficialTeamList[Team '#],0))</f>
        <v/>
      </c>
      <c r="D50" s="77">
        <f>INDEX(InnovationProjectResults[Identify - Research (CV)],MATCH(CoreValuesResults[[#This Row],[Team Number]],InnovationProjectResults[Team Number],0))</f>
        <v/>
      </c>
      <c r="E50" s="77">
        <f>INDEX(InnovationProjectResults[Design - Teamwork (CV)],MATCH(CoreValuesResults[[#This Row],[Team Number]],InnovationProjectResults[Team Number],0))</f>
        <v/>
      </c>
      <c r="F50" s="77">
        <f>INDEX(InnovationProjectResults[Create - Innovation (CV)],MATCH(CoreValuesResults[[#This Row],[Team Number]],InnovationProjectResults[Team Number],0))</f>
        <v/>
      </c>
      <c r="G50" s="77">
        <f>INDEX(InnovationProjectResults[Communicate - Impact (CV)],MATCH(CoreValuesResults[[#This Row],[Team Number]],InnovationProjectResults[Team Number],0))</f>
        <v/>
      </c>
      <c r="H50" s="77">
        <f>INDEX(InnovationProjectResults[Communicate - Fun (CV)],MATCH(CoreValuesResults[[#This Row],[Team Number]],InnovationProjectResults[Team Number],0))</f>
        <v/>
      </c>
      <c r="I50" s="77">
        <f>INDEX(RobotDesignResults[Identify - Research (CV)],MATCH(CoreValuesResults[[#This Row],[Team Number]],RobotDesignResults[Team Number],0))</f>
        <v/>
      </c>
      <c r="J50" s="77">
        <f>INDEX(RobotDesignResults[Design - Ideas (CV)],MATCH(CoreValuesResults[[#This Row],[Team Number]],RobotDesignResults[Team Number],0))</f>
        <v/>
      </c>
      <c r="K50" s="77">
        <f>INDEX(RobotDesignResults[Iterate - Improvements (CV)],MATCH(CoreValuesResults[[#This Row],[Team Number]],RobotDesignResults[Team Number],0))</f>
        <v/>
      </c>
      <c r="L50" s="77">
        <f>INDEX(RobotDesignResults[Communicate - Impact (CV)],MATCH(CoreValuesResults[[#This Row],[Team Number]],RobotDesignResults[Team Number],0))</f>
        <v/>
      </c>
      <c r="M50" s="77">
        <f>INDEX(RobotDesignResults[Communicate - Fun (CV)],MATCH(CoreValuesResults[[#This Row],[Team Number]],RobotDesignResults[Team Number],0))</f>
        <v/>
      </c>
      <c r="N50" s="86" t="n"/>
      <c r="O50" s="86" t="n"/>
      <c r="P50" s="86" t="n"/>
      <c r="Q50" s="69">
        <f>SUM(CoreValuesResults[[#This Row],[Gracious Professionalism 1]:[Gracious Professionalism 3]])</f>
        <v/>
      </c>
      <c r="R50" s="69">
        <f>SUM(N50:Q50)</f>
        <v/>
      </c>
      <c r="S50" s="83">
        <f>SUM(CoreValuesResults[[#This Row],[Identify - Research (CV-IP)]:[Communicate - Fun (CV-RD)]],CoreValuesResults[[#This Row],[Gracious Professionalism Score]])</f>
        <v/>
      </c>
      <c r="T50" s="73">
        <f>_xlfn.RANK.EQ(CoreValuesResults[[#This Row],[Core Values Score]],CoreValuesResults[Core Values Score],0)</f>
        <v/>
      </c>
    </row>
    <row r="51" ht="21" customHeight="1">
      <c r="A51" s="69" t="n"/>
      <c r="B51" s="69">
        <f>INDEX(OfficialTeamList[Pod Number],MATCH(CoreValuesResults[[#This Row],[Team Number]], OfficialTeamList[Team '#],0))</f>
        <v/>
      </c>
      <c r="C51" s="106">
        <f>INDEX(OfficialTeamList[Team Name],MATCH(CoreValuesResults[[#This Row],[Team Number]], OfficialTeamList[Team '#],0))</f>
        <v/>
      </c>
      <c r="D51" s="77">
        <f>INDEX(InnovationProjectResults[Identify - Research (CV)],MATCH(CoreValuesResults[[#This Row],[Team Number]],InnovationProjectResults[Team Number],0))</f>
        <v/>
      </c>
      <c r="E51" s="77">
        <f>INDEX(InnovationProjectResults[Design - Teamwork (CV)],MATCH(CoreValuesResults[[#This Row],[Team Number]],InnovationProjectResults[Team Number],0))</f>
        <v/>
      </c>
      <c r="F51" s="77">
        <f>INDEX(InnovationProjectResults[Create - Innovation (CV)],MATCH(CoreValuesResults[[#This Row],[Team Number]],InnovationProjectResults[Team Number],0))</f>
        <v/>
      </c>
      <c r="G51" s="77">
        <f>INDEX(InnovationProjectResults[Communicate - Impact (CV)],MATCH(CoreValuesResults[[#This Row],[Team Number]],InnovationProjectResults[Team Number],0))</f>
        <v/>
      </c>
      <c r="H51" s="77">
        <f>INDEX(InnovationProjectResults[Communicate - Fun (CV)],MATCH(CoreValuesResults[[#This Row],[Team Number]],InnovationProjectResults[Team Number],0))</f>
        <v/>
      </c>
      <c r="I51" s="77">
        <f>INDEX(RobotDesignResults[Identify - Research (CV)],MATCH(CoreValuesResults[[#This Row],[Team Number]],RobotDesignResults[Team Number],0))</f>
        <v/>
      </c>
      <c r="J51" s="77">
        <f>INDEX(RobotDesignResults[Design - Ideas (CV)],MATCH(CoreValuesResults[[#This Row],[Team Number]],RobotDesignResults[Team Number],0))</f>
        <v/>
      </c>
      <c r="K51" s="77">
        <f>INDEX(RobotDesignResults[Iterate - Improvements (CV)],MATCH(CoreValuesResults[[#This Row],[Team Number]],RobotDesignResults[Team Number],0))</f>
        <v/>
      </c>
      <c r="L51" s="77">
        <f>INDEX(RobotDesignResults[Communicate - Impact (CV)],MATCH(CoreValuesResults[[#This Row],[Team Number]],RobotDesignResults[Team Number],0))</f>
        <v/>
      </c>
      <c r="M51" s="77">
        <f>INDEX(RobotDesignResults[Communicate - Fun (CV)],MATCH(CoreValuesResults[[#This Row],[Team Number]],RobotDesignResults[Team Number],0))</f>
        <v/>
      </c>
      <c r="N51" s="86" t="n"/>
      <c r="O51" s="86" t="n"/>
      <c r="P51" s="86" t="n"/>
      <c r="Q51" s="69">
        <f>SUM(CoreValuesResults[[#This Row],[Gracious Professionalism 1]:[Gracious Professionalism 3]])</f>
        <v/>
      </c>
      <c r="R51" s="69">
        <f>SUM(N51:Q51)</f>
        <v/>
      </c>
      <c r="S51" s="83">
        <f>SUM(CoreValuesResults[[#This Row],[Identify - Research (CV-IP)]:[Communicate - Fun (CV-RD)]],CoreValuesResults[[#This Row],[Gracious Professionalism Score]])</f>
        <v/>
      </c>
      <c r="T51" s="73">
        <f>_xlfn.RANK.EQ(CoreValuesResults[[#This Row],[Core Values Score]],CoreValuesResults[Core Values Score],0)</f>
        <v/>
      </c>
    </row>
    <row r="52" ht="21" customHeight="1">
      <c r="A52" s="69" t="n"/>
      <c r="B52" s="69">
        <f>INDEX(OfficialTeamList[Pod Number],MATCH(CoreValuesResults[[#This Row],[Team Number]], OfficialTeamList[Team '#],0))</f>
        <v/>
      </c>
      <c r="C52" s="106">
        <f>INDEX(OfficialTeamList[Team Name],MATCH(CoreValuesResults[[#This Row],[Team Number]], OfficialTeamList[Team '#],0))</f>
        <v/>
      </c>
      <c r="D52" s="77">
        <f>INDEX(InnovationProjectResults[Identify - Research (CV)],MATCH(CoreValuesResults[[#This Row],[Team Number]],InnovationProjectResults[Team Number],0))</f>
        <v/>
      </c>
      <c r="E52" s="77">
        <f>INDEX(InnovationProjectResults[Design - Teamwork (CV)],MATCH(CoreValuesResults[[#This Row],[Team Number]],InnovationProjectResults[Team Number],0))</f>
        <v/>
      </c>
      <c r="F52" s="77">
        <f>INDEX(InnovationProjectResults[Create - Innovation (CV)],MATCH(CoreValuesResults[[#This Row],[Team Number]],InnovationProjectResults[Team Number],0))</f>
        <v/>
      </c>
      <c r="G52" s="77">
        <f>INDEX(InnovationProjectResults[Communicate - Impact (CV)],MATCH(CoreValuesResults[[#This Row],[Team Number]],InnovationProjectResults[Team Number],0))</f>
        <v/>
      </c>
      <c r="H52" s="77">
        <f>INDEX(InnovationProjectResults[Communicate - Fun (CV)],MATCH(CoreValuesResults[[#This Row],[Team Number]],InnovationProjectResults[Team Number],0))</f>
        <v/>
      </c>
      <c r="I52" s="77">
        <f>INDEX(RobotDesignResults[Identify - Research (CV)],MATCH(CoreValuesResults[[#This Row],[Team Number]],RobotDesignResults[Team Number],0))</f>
        <v/>
      </c>
      <c r="J52" s="77">
        <f>INDEX(RobotDesignResults[Design - Ideas (CV)],MATCH(CoreValuesResults[[#This Row],[Team Number]],RobotDesignResults[Team Number],0))</f>
        <v/>
      </c>
      <c r="K52" s="77">
        <f>INDEX(RobotDesignResults[Iterate - Improvements (CV)],MATCH(CoreValuesResults[[#This Row],[Team Number]],RobotDesignResults[Team Number],0))</f>
        <v/>
      </c>
      <c r="L52" s="77">
        <f>INDEX(RobotDesignResults[Communicate - Impact (CV)],MATCH(CoreValuesResults[[#This Row],[Team Number]],RobotDesignResults[Team Number],0))</f>
        <v/>
      </c>
      <c r="M52" s="77">
        <f>INDEX(RobotDesignResults[Communicate - Fun (CV)],MATCH(CoreValuesResults[[#This Row],[Team Number]],RobotDesignResults[Team Number],0))</f>
        <v/>
      </c>
      <c r="N52" s="86" t="n"/>
      <c r="O52" s="86" t="n"/>
      <c r="P52" s="86" t="n"/>
      <c r="Q52" s="69">
        <f>SUM(CoreValuesResults[[#This Row],[Gracious Professionalism 1]:[Gracious Professionalism 3]])</f>
        <v/>
      </c>
      <c r="R52" s="69">
        <f>SUM(N52:Q52)</f>
        <v/>
      </c>
      <c r="S52" s="83">
        <f>SUM(CoreValuesResults[[#This Row],[Identify - Research (CV-IP)]:[Communicate - Fun (CV-RD)]],CoreValuesResults[[#This Row],[Gracious Professionalism Score]])</f>
        <v/>
      </c>
      <c r="T52" s="73">
        <f>_xlfn.RANK.EQ(CoreValuesResults[[#This Row],[Core Values Score]],CoreValuesResults[Core Values Score],0)</f>
        <v/>
      </c>
    </row>
    <row r="53" ht="21" customHeight="1">
      <c r="A53" s="69" t="n"/>
      <c r="B53" s="69">
        <f>INDEX(OfficialTeamList[Pod Number],MATCH(CoreValuesResults[[#This Row],[Team Number]], OfficialTeamList[Team '#],0))</f>
        <v/>
      </c>
      <c r="C53" s="106">
        <f>INDEX(OfficialTeamList[Team Name],MATCH(CoreValuesResults[[#This Row],[Team Number]], OfficialTeamList[Team '#],0))</f>
        <v/>
      </c>
      <c r="D53" s="77">
        <f>INDEX(InnovationProjectResults[Identify - Research (CV)],MATCH(CoreValuesResults[[#This Row],[Team Number]],InnovationProjectResults[Team Number],0))</f>
        <v/>
      </c>
      <c r="E53" s="77">
        <f>INDEX(InnovationProjectResults[Design - Teamwork (CV)],MATCH(CoreValuesResults[[#This Row],[Team Number]],InnovationProjectResults[Team Number],0))</f>
        <v/>
      </c>
      <c r="F53" s="77">
        <f>INDEX(InnovationProjectResults[Create - Innovation (CV)],MATCH(CoreValuesResults[[#This Row],[Team Number]],InnovationProjectResults[Team Number],0))</f>
        <v/>
      </c>
      <c r="G53" s="77">
        <f>INDEX(InnovationProjectResults[Communicate - Impact (CV)],MATCH(CoreValuesResults[[#This Row],[Team Number]],InnovationProjectResults[Team Number],0))</f>
        <v/>
      </c>
      <c r="H53" s="77">
        <f>INDEX(InnovationProjectResults[Communicate - Fun (CV)],MATCH(CoreValuesResults[[#This Row],[Team Number]],InnovationProjectResults[Team Number],0))</f>
        <v/>
      </c>
      <c r="I53" s="77">
        <f>INDEX(RobotDesignResults[Identify - Research (CV)],MATCH(CoreValuesResults[[#This Row],[Team Number]],RobotDesignResults[Team Number],0))</f>
        <v/>
      </c>
      <c r="J53" s="77">
        <f>INDEX(RobotDesignResults[Design - Ideas (CV)],MATCH(CoreValuesResults[[#This Row],[Team Number]],RobotDesignResults[Team Number],0))</f>
        <v/>
      </c>
      <c r="K53" s="77">
        <f>INDEX(RobotDesignResults[Iterate - Improvements (CV)],MATCH(CoreValuesResults[[#This Row],[Team Number]],RobotDesignResults[Team Number],0))</f>
        <v/>
      </c>
      <c r="L53" s="77">
        <f>INDEX(RobotDesignResults[Communicate - Impact (CV)],MATCH(CoreValuesResults[[#This Row],[Team Number]],RobotDesignResults[Team Number],0))</f>
        <v/>
      </c>
      <c r="M53" s="77">
        <f>INDEX(RobotDesignResults[Communicate - Fun (CV)],MATCH(CoreValuesResults[[#This Row],[Team Number]],RobotDesignResults[Team Number],0))</f>
        <v/>
      </c>
      <c r="N53" s="86" t="n"/>
      <c r="O53" s="86" t="n"/>
      <c r="P53" s="86" t="n"/>
      <c r="Q53" s="69">
        <f>SUM(CoreValuesResults[[#This Row],[Gracious Professionalism 1]:[Gracious Professionalism 3]])</f>
        <v/>
      </c>
      <c r="R53" s="69">
        <f>SUM(N53:Q53)</f>
        <v/>
      </c>
      <c r="S53" s="83">
        <f>SUM(CoreValuesResults[[#This Row],[Identify - Research (CV-IP)]:[Communicate - Fun (CV-RD)]],CoreValuesResults[[#This Row],[Gracious Professionalism Score]])</f>
        <v/>
      </c>
      <c r="T53" s="73">
        <f>_xlfn.RANK.EQ(CoreValuesResults[[#This Row],[Core Values Score]],CoreValuesResults[Core Values Score],0)</f>
        <v/>
      </c>
    </row>
    <row r="54" ht="21" customHeight="1">
      <c r="A54" s="69" t="n"/>
      <c r="B54" s="69">
        <f>INDEX(OfficialTeamList[Pod Number],MATCH(CoreValuesResults[[#This Row],[Team Number]], OfficialTeamList[Team '#],0))</f>
        <v/>
      </c>
      <c r="C54" s="106">
        <f>INDEX(OfficialTeamList[Team Name],MATCH(CoreValuesResults[[#This Row],[Team Number]], OfficialTeamList[Team '#],0))</f>
        <v/>
      </c>
      <c r="D54" s="77">
        <f>INDEX(InnovationProjectResults[Identify - Research (CV)],MATCH(CoreValuesResults[[#This Row],[Team Number]],InnovationProjectResults[Team Number],0))</f>
        <v/>
      </c>
      <c r="E54" s="77">
        <f>INDEX(InnovationProjectResults[Design - Teamwork (CV)],MATCH(CoreValuesResults[[#This Row],[Team Number]],InnovationProjectResults[Team Number],0))</f>
        <v/>
      </c>
      <c r="F54" s="77">
        <f>INDEX(InnovationProjectResults[Create - Innovation (CV)],MATCH(CoreValuesResults[[#This Row],[Team Number]],InnovationProjectResults[Team Number],0))</f>
        <v/>
      </c>
      <c r="G54" s="77">
        <f>INDEX(InnovationProjectResults[Communicate - Impact (CV)],MATCH(CoreValuesResults[[#This Row],[Team Number]],InnovationProjectResults[Team Number],0))</f>
        <v/>
      </c>
      <c r="H54" s="77">
        <f>INDEX(InnovationProjectResults[Communicate - Fun (CV)],MATCH(CoreValuesResults[[#This Row],[Team Number]],InnovationProjectResults[Team Number],0))</f>
        <v/>
      </c>
      <c r="I54" s="77">
        <f>INDEX(RobotDesignResults[Identify - Research (CV)],MATCH(CoreValuesResults[[#This Row],[Team Number]],RobotDesignResults[Team Number],0))</f>
        <v/>
      </c>
      <c r="J54" s="77">
        <f>INDEX(RobotDesignResults[Design - Ideas (CV)],MATCH(CoreValuesResults[[#This Row],[Team Number]],RobotDesignResults[Team Number],0))</f>
        <v/>
      </c>
      <c r="K54" s="77">
        <f>INDEX(RobotDesignResults[Iterate - Improvements (CV)],MATCH(CoreValuesResults[[#This Row],[Team Number]],RobotDesignResults[Team Number],0))</f>
        <v/>
      </c>
      <c r="L54" s="77">
        <f>INDEX(RobotDesignResults[Communicate - Impact (CV)],MATCH(CoreValuesResults[[#This Row],[Team Number]],RobotDesignResults[Team Number],0))</f>
        <v/>
      </c>
      <c r="M54" s="77">
        <f>INDEX(RobotDesignResults[Communicate - Fun (CV)],MATCH(CoreValuesResults[[#This Row],[Team Number]],RobotDesignResults[Team Number],0))</f>
        <v/>
      </c>
      <c r="N54" s="86" t="n"/>
      <c r="O54" s="86" t="n"/>
      <c r="P54" s="86" t="n"/>
      <c r="Q54" s="69">
        <f>SUM(CoreValuesResults[[#This Row],[Gracious Professionalism 1]:[Gracious Professionalism 3]])</f>
        <v/>
      </c>
      <c r="R54" s="69">
        <f>SUM(N54:Q54)</f>
        <v/>
      </c>
      <c r="S54" s="83">
        <f>SUM(CoreValuesResults[[#This Row],[Identify - Research (CV-IP)]:[Communicate - Fun (CV-RD)]],CoreValuesResults[[#This Row],[Gracious Professionalism Score]])</f>
        <v/>
      </c>
      <c r="T54" s="73">
        <f>_xlfn.RANK.EQ(CoreValuesResults[[#This Row],[Core Values Score]],CoreValuesResults[Core Values Score],0)</f>
        <v/>
      </c>
    </row>
    <row r="55" ht="21" customHeight="1">
      <c r="A55" s="69" t="n"/>
      <c r="B55" s="69">
        <f>INDEX(OfficialTeamList[Pod Number],MATCH(CoreValuesResults[[#This Row],[Team Number]], OfficialTeamList[Team '#],0))</f>
        <v/>
      </c>
      <c r="C55" s="106">
        <f>INDEX(OfficialTeamList[Team Name],MATCH(CoreValuesResults[[#This Row],[Team Number]], OfficialTeamList[Team '#],0))</f>
        <v/>
      </c>
      <c r="D55" s="77">
        <f>INDEX(InnovationProjectResults[Identify - Research (CV)],MATCH(CoreValuesResults[[#This Row],[Team Number]],InnovationProjectResults[Team Number],0))</f>
        <v/>
      </c>
      <c r="E55" s="77">
        <f>INDEX(InnovationProjectResults[Design - Teamwork (CV)],MATCH(CoreValuesResults[[#This Row],[Team Number]],InnovationProjectResults[Team Number],0))</f>
        <v/>
      </c>
      <c r="F55" s="77">
        <f>INDEX(InnovationProjectResults[Create - Innovation (CV)],MATCH(CoreValuesResults[[#This Row],[Team Number]],InnovationProjectResults[Team Number],0))</f>
        <v/>
      </c>
      <c r="G55" s="77">
        <f>INDEX(InnovationProjectResults[Communicate - Impact (CV)],MATCH(CoreValuesResults[[#This Row],[Team Number]],InnovationProjectResults[Team Number],0))</f>
        <v/>
      </c>
      <c r="H55" s="77">
        <f>INDEX(InnovationProjectResults[Communicate - Fun (CV)],MATCH(CoreValuesResults[[#This Row],[Team Number]],InnovationProjectResults[Team Number],0))</f>
        <v/>
      </c>
      <c r="I55" s="77">
        <f>INDEX(RobotDesignResults[Identify - Research (CV)],MATCH(CoreValuesResults[[#This Row],[Team Number]],RobotDesignResults[Team Number],0))</f>
        <v/>
      </c>
      <c r="J55" s="77">
        <f>INDEX(RobotDesignResults[Design - Ideas (CV)],MATCH(CoreValuesResults[[#This Row],[Team Number]],RobotDesignResults[Team Number],0))</f>
        <v/>
      </c>
      <c r="K55" s="77">
        <f>INDEX(RobotDesignResults[Iterate - Improvements (CV)],MATCH(CoreValuesResults[[#This Row],[Team Number]],RobotDesignResults[Team Number],0))</f>
        <v/>
      </c>
      <c r="L55" s="77">
        <f>INDEX(RobotDesignResults[Communicate - Impact (CV)],MATCH(CoreValuesResults[[#This Row],[Team Number]],RobotDesignResults[Team Number],0))</f>
        <v/>
      </c>
      <c r="M55" s="77">
        <f>INDEX(RobotDesignResults[Communicate - Fun (CV)],MATCH(CoreValuesResults[[#This Row],[Team Number]],RobotDesignResults[Team Number],0))</f>
        <v/>
      </c>
      <c r="N55" s="86" t="n"/>
      <c r="O55" s="86" t="n"/>
      <c r="P55" s="86" t="n"/>
      <c r="Q55" s="69">
        <f>SUM(CoreValuesResults[[#This Row],[Gracious Professionalism 1]:[Gracious Professionalism 3]])</f>
        <v/>
      </c>
      <c r="R55" s="69">
        <f>SUM(N55:Q55)</f>
        <v/>
      </c>
      <c r="S55" s="83">
        <f>SUM(CoreValuesResults[[#This Row],[Identify - Research (CV-IP)]:[Communicate - Fun (CV-RD)]],CoreValuesResults[[#This Row],[Gracious Professionalism Score]])</f>
        <v/>
      </c>
      <c r="T55" s="73">
        <f>_xlfn.RANK.EQ(CoreValuesResults[[#This Row],[Core Values Score]],CoreValuesResults[Core Values Score],0)</f>
        <v/>
      </c>
    </row>
    <row r="56" ht="21" customHeight="1">
      <c r="A56" s="69" t="n"/>
      <c r="B56" s="69">
        <f>INDEX(OfficialTeamList[Pod Number],MATCH(CoreValuesResults[[#This Row],[Team Number]], OfficialTeamList[Team '#],0))</f>
        <v/>
      </c>
      <c r="C56" s="106">
        <f>INDEX(OfficialTeamList[Team Name],MATCH(CoreValuesResults[[#This Row],[Team Number]], OfficialTeamList[Team '#],0))</f>
        <v/>
      </c>
      <c r="D56" s="77">
        <f>INDEX(InnovationProjectResults[Identify - Research (CV)],MATCH(CoreValuesResults[[#This Row],[Team Number]],InnovationProjectResults[Team Number],0))</f>
        <v/>
      </c>
      <c r="E56" s="77">
        <f>INDEX(InnovationProjectResults[Design - Teamwork (CV)],MATCH(CoreValuesResults[[#This Row],[Team Number]],InnovationProjectResults[Team Number],0))</f>
        <v/>
      </c>
      <c r="F56" s="77">
        <f>INDEX(InnovationProjectResults[Create - Innovation (CV)],MATCH(CoreValuesResults[[#This Row],[Team Number]],InnovationProjectResults[Team Number],0))</f>
        <v/>
      </c>
      <c r="G56" s="77">
        <f>INDEX(InnovationProjectResults[Communicate - Impact (CV)],MATCH(CoreValuesResults[[#This Row],[Team Number]],InnovationProjectResults[Team Number],0))</f>
        <v/>
      </c>
      <c r="H56" s="77">
        <f>INDEX(InnovationProjectResults[Communicate - Fun (CV)],MATCH(CoreValuesResults[[#This Row],[Team Number]],InnovationProjectResults[Team Number],0))</f>
        <v/>
      </c>
      <c r="I56" s="77">
        <f>INDEX(RobotDesignResults[Identify - Research (CV)],MATCH(CoreValuesResults[[#This Row],[Team Number]],RobotDesignResults[Team Number],0))</f>
        <v/>
      </c>
      <c r="J56" s="77">
        <f>INDEX(RobotDesignResults[Design - Ideas (CV)],MATCH(CoreValuesResults[[#This Row],[Team Number]],RobotDesignResults[Team Number],0))</f>
        <v/>
      </c>
      <c r="K56" s="77">
        <f>INDEX(RobotDesignResults[Iterate - Improvements (CV)],MATCH(CoreValuesResults[[#This Row],[Team Number]],RobotDesignResults[Team Number],0))</f>
        <v/>
      </c>
      <c r="L56" s="77">
        <f>INDEX(RobotDesignResults[Communicate - Impact (CV)],MATCH(CoreValuesResults[[#This Row],[Team Number]],RobotDesignResults[Team Number],0))</f>
        <v/>
      </c>
      <c r="M56" s="77">
        <f>INDEX(RobotDesignResults[Communicate - Fun (CV)],MATCH(CoreValuesResults[[#This Row],[Team Number]],RobotDesignResults[Team Number],0))</f>
        <v/>
      </c>
      <c r="N56" s="86" t="n"/>
      <c r="O56" s="86" t="n"/>
      <c r="P56" s="86" t="n"/>
      <c r="Q56" s="69">
        <f>SUM(CoreValuesResults[[#This Row],[Gracious Professionalism 1]:[Gracious Professionalism 3]])</f>
        <v/>
      </c>
      <c r="R56" s="69">
        <f>SUM(N56:Q56)</f>
        <v/>
      </c>
      <c r="S56" s="83">
        <f>SUM(CoreValuesResults[[#This Row],[Identify - Research (CV-IP)]:[Communicate - Fun (CV-RD)]],CoreValuesResults[[#This Row],[Gracious Professionalism Score]])</f>
        <v/>
      </c>
      <c r="T56" s="73">
        <f>_xlfn.RANK.EQ(CoreValuesResults[[#This Row],[Core Values Score]],CoreValuesResults[Core Values Score],0)</f>
        <v/>
      </c>
    </row>
    <row r="57" ht="21" customHeight="1">
      <c r="A57" s="69" t="n"/>
      <c r="B57" s="69">
        <f>INDEX(OfficialTeamList[Pod Number],MATCH(CoreValuesResults[[#This Row],[Team Number]], OfficialTeamList[Team '#],0))</f>
        <v/>
      </c>
      <c r="C57" s="106">
        <f>INDEX(OfficialTeamList[Team Name],MATCH(CoreValuesResults[[#This Row],[Team Number]], OfficialTeamList[Team '#],0))</f>
        <v/>
      </c>
      <c r="D57" s="77">
        <f>INDEX(InnovationProjectResults[Identify - Research (CV)],MATCH(CoreValuesResults[[#This Row],[Team Number]],InnovationProjectResults[Team Number],0))</f>
        <v/>
      </c>
      <c r="E57" s="77">
        <f>INDEX(InnovationProjectResults[Design - Teamwork (CV)],MATCH(CoreValuesResults[[#This Row],[Team Number]],InnovationProjectResults[Team Number],0))</f>
        <v/>
      </c>
      <c r="F57" s="77">
        <f>INDEX(InnovationProjectResults[Create - Innovation (CV)],MATCH(CoreValuesResults[[#This Row],[Team Number]],InnovationProjectResults[Team Number],0))</f>
        <v/>
      </c>
      <c r="G57" s="77">
        <f>INDEX(InnovationProjectResults[Communicate - Impact (CV)],MATCH(CoreValuesResults[[#This Row],[Team Number]],InnovationProjectResults[Team Number],0))</f>
        <v/>
      </c>
      <c r="H57" s="77">
        <f>INDEX(InnovationProjectResults[Communicate - Fun (CV)],MATCH(CoreValuesResults[[#This Row],[Team Number]],InnovationProjectResults[Team Number],0))</f>
        <v/>
      </c>
      <c r="I57" s="77">
        <f>INDEX(RobotDesignResults[Identify - Research (CV)],MATCH(CoreValuesResults[[#This Row],[Team Number]],RobotDesignResults[Team Number],0))</f>
        <v/>
      </c>
      <c r="J57" s="77">
        <f>INDEX(RobotDesignResults[Design - Ideas (CV)],MATCH(CoreValuesResults[[#This Row],[Team Number]],RobotDesignResults[Team Number],0))</f>
        <v/>
      </c>
      <c r="K57" s="77">
        <f>INDEX(RobotDesignResults[Iterate - Improvements (CV)],MATCH(CoreValuesResults[[#This Row],[Team Number]],RobotDesignResults[Team Number],0))</f>
        <v/>
      </c>
      <c r="L57" s="77">
        <f>INDEX(RobotDesignResults[Communicate - Impact (CV)],MATCH(CoreValuesResults[[#This Row],[Team Number]],RobotDesignResults[Team Number],0))</f>
        <v/>
      </c>
      <c r="M57" s="77">
        <f>INDEX(RobotDesignResults[Communicate - Fun (CV)],MATCH(CoreValuesResults[[#This Row],[Team Number]],RobotDesignResults[Team Number],0))</f>
        <v/>
      </c>
      <c r="N57" s="86" t="n"/>
      <c r="O57" s="86" t="n"/>
      <c r="P57" s="86" t="n"/>
      <c r="Q57" s="69">
        <f>SUM(CoreValuesResults[[#This Row],[Gracious Professionalism 1]:[Gracious Professionalism 3]])</f>
        <v/>
      </c>
      <c r="R57" s="69">
        <f>SUM(N57:Q57)</f>
        <v/>
      </c>
      <c r="S57" s="83">
        <f>SUM(CoreValuesResults[[#This Row],[Identify - Research (CV-IP)]:[Communicate - Fun (CV-RD)]],CoreValuesResults[[#This Row],[Gracious Professionalism Score]])</f>
        <v/>
      </c>
      <c r="T57" s="73">
        <f>_xlfn.RANK.EQ(CoreValuesResults[[#This Row],[Core Values Score]],CoreValuesResults[Core Values Score],0)</f>
        <v/>
      </c>
    </row>
    <row r="58" ht="21" customHeight="1">
      <c r="A58" s="69" t="n"/>
      <c r="B58" s="69">
        <f>INDEX(OfficialTeamList[Pod Number],MATCH(CoreValuesResults[[#This Row],[Team Number]], OfficialTeamList[Team '#],0))</f>
        <v/>
      </c>
      <c r="C58" s="106">
        <f>INDEX(OfficialTeamList[Team Name],MATCH(CoreValuesResults[[#This Row],[Team Number]], OfficialTeamList[Team '#],0))</f>
        <v/>
      </c>
      <c r="D58" s="77">
        <f>INDEX(InnovationProjectResults[Identify - Research (CV)],MATCH(CoreValuesResults[[#This Row],[Team Number]],InnovationProjectResults[Team Number],0))</f>
        <v/>
      </c>
      <c r="E58" s="77">
        <f>INDEX(InnovationProjectResults[Design - Teamwork (CV)],MATCH(CoreValuesResults[[#This Row],[Team Number]],InnovationProjectResults[Team Number],0))</f>
        <v/>
      </c>
      <c r="F58" s="77">
        <f>INDEX(InnovationProjectResults[Create - Innovation (CV)],MATCH(CoreValuesResults[[#This Row],[Team Number]],InnovationProjectResults[Team Number],0))</f>
        <v/>
      </c>
      <c r="G58" s="77">
        <f>INDEX(InnovationProjectResults[Communicate - Impact (CV)],MATCH(CoreValuesResults[[#This Row],[Team Number]],InnovationProjectResults[Team Number],0))</f>
        <v/>
      </c>
      <c r="H58" s="77">
        <f>INDEX(InnovationProjectResults[Communicate - Fun (CV)],MATCH(CoreValuesResults[[#This Row],[Team Number]],InnovationProjectResults[Team Number],0))</f>
        <v/>
      </c>
      <c r="I58" s="77">
        <f>INDEX(RobotDesignResults[Identify - Research (CV)],MATCH(CoreValuesResults[[#This Row],[Team Number]],RobotDesignResults[Team Number],0))</f>
        <v/>
      </c>
      <c r="J58" s="77">
        <f>INDEX(RobotDesignResults[Design - Ideas (CV)],MATCH(CoreValuesResults[[#This Row],[Team Number]],RobotDesignResults[Team Number],0))</f>
        <v/>
      </c>
      <c r="K58" s="77">
        <f>INDEX(RobotDesignResults[Iterate - Improvements (CV)],MATCH(CoreValuesResults[[#This Row],[Team Number]],RobotDesignResults[Team Number],0))</f>
        <v/>
      </c>
      <c r="L58" s="77">
        <f>INDEX(RobotDesignResults[Communicate - Impact (CV)],MATCH(CoreValuesResults[[#This Row],[Team Number]],RobotDesignResults[Team Number],0))</f>
        <v/>
      </c>
      <c r="M58" s="77">
        <f>INDEX(RobotDesignResults[Communicate - Fun (CV)],MATCH(CoreValuesResults[[#This Row],[Team Number]],RobotDesignResults[Team Number],0))</f>
        <v/>
      </c>
      <c r="N58" s="86" t="n"/>
      <c r="O58" s="86" t="n"/>
      <c r="P58" s="86" t="n"/>
      <c r="Q58" s="69">
        <f>SUM(CoreValuesResults[[#This Row],[Gracious Professionalism 1]:[Gracious Professionalism 3]])</f>
        <v/>
      </c>
      <c r="R58" s="69">
        <f>SUM(N58:Q58)</f>
        <v/>
      </c>
      <c r="S58" s="83">
        <f>SUM(CoreValuesResults[[#This Row],[Identify - Research (CV-IP)]:[Communicate - Fun (CV-RD)]],CoreValuesResults[[#This Row],[Gracious Professionalism Score]])</f>
        <v/>
      </c>
      <c r="T58" s="73">
        <f>_xlfn.RANK.EQ(CoreValuesResults[[#This Row],[Core Values Score]],CoreValuesResults[Core Values Score],0)</f>
        <v/>
      </c>
    </row>
    <row r="59" ht="21" customHeight="1">
      <c r="A59" s="69" t="n"/>
      <c r="B59" s="69">
        <f>INDEX(OfficialTeamList[Pod Number],MATCH(CoreValuesResults[[#This Row],[Team Number]], OfficialTeamList[Team '#],0))</f>
        <v/>
      </c>
      <c r="C59" s="106">
        <f>INDEX(OfficialTeamList[Team Name],MATCH(CoreValuesResults[[#This Row],[Team Number]], OfficialTeamList[Team '#],0))</f>
        <v/>
      </c>
      <c r="D59" s="77">
        <f>INDEX(InnovationProjectResults[Identify - Research (CV)],MATCH(CoreValuesResults[[#This Row],[Team Number]],InnovationProjectResults[Team Number],0))</f>
        <v/>
      </c>
      <c r="E59" s="77">
        <f>INDEX(InnovationProjectResults[Design - Teamwork (CV)],MATCH(CoreValuesResults[[#This Row],[Team Number]],InnovationProjectResults[Team Number],0))</f>
        <v/>
      </c>
      <c r="F59" s="77">
        <f>INDEX(InnovationProjectResults[Create - Innovation (CV)],MATCH(CoreValuesResults[[#This Row],[Team Number]],InnovationProjectResults[Team Number],0))</f>
        <v/>
      </c>
      <c r="G59" s="77">
        <f>INDEX(InnovationProjectResults[Communicate - Impact (CV)],MATCH(CoreValuesResults[[#This Row],[Team Number]],InnovationProjectResults[Team Number],0))</f>
        <v/>
      </c>
      <c r="H59" s="77">
        <f>INDEX(InnovationProjectResults[Communicate - Fun (CV)],MATCH(CoreValuesResults[[#This Row],[Team Number]],InnovationProjectResults[Team Number],0))</f>
        <v/>
      </c>
      <c r="I59" s="77">
        <f>INDEX(RobotDesignResults[Identify - Research (CV)],MATCH(CoreValuesResults[[#This Row],[Team Number]],RobotDesignResults[Team Number],0))</f>
        <v/>
      </c>
      <c r="J59" s="77">
        <f>INDEX(RobotDesignResults[Design - Ideas (CV)],MATCH(CoreValuesResults[[#This Row],[Team Number]],RobotDesignResults[Team Number],0))</f>
        <v/>
      </c>
      <c r="K59" s="77">
        <f>INDEX(RobotDesignResults[Iterate - Improvements (CV)],MATCH(CoreValuesResults[[#This Row],[Team Number]],RobotDesignResults[Team Number],0))</f>
        <v/>
      </c>
      <c r="L59" s="77">
        <f>INDEX(RobotDesignResults[Communicate - Impact (CV)],MATCH(CoreValuesResults[[#This Row],[Team Number]],RobotDesignResults[Team Number],0))</f>
        <v/>
      </c>
      <c r="M59" s="77">
        <f>INDEX(RobotDesignResults[Communicate - Fun (CV)],MATCH(CoreValuesResults[[#This Row],[Team Number]],RobotDesignResults[Team Number],0))</f>
        <v/>
      </c>
      <c r="N59" s="86" t="n"/>
      <c r="O59" s="86" t="n"/>
      <c r="P59" s="86" t="n"/>
      <c r="Q59" s="69">
        <f>SUM(CoreValuesResults[[#This Row],[Gracious Professionalism 1]:[Gracious Professionalism 3]])</f>
        <v/>
      </c>
      <c r="R59" s="69">
        <f>SUM(N59:Q59)</f>
        <v/>
      </c>
      <c r="S59" s="83">
        <f>SUM(CoreValuesResults[[#This Row],[Identify - Research (CV-IP)]:[Communicate - Fun (CV-RD)]],CoreValuesResults[[#This Row],[Gracious Professionalism Score]])</f>
        <v/>
      </c>
      <c r="T59" s="73">
        <f>_xlfn.RANK.EQ(CoreValuesResults[[#This Row],[Core Values Score]],CoreValuesResults[Core Values Score],0)</f>
        <v/>
      </c>
    </row>
    <row r="60" ht="21" customHeight="1">
      <c r="A60" s="69" t="n"/>
      <c r="B60" s="69">
        <f>INDEX(OfficialTeamList[Pod Number],MATCH(CoreValuesResults[[#This Row],[Team Number]], OfficialTeamList[Team '#],0))</f>
        <v/>
      </c>
      <c r="C60" s="106">
        <f>INDEX(OfficialTeamList[Team Name],MATCH(CoreValuesResults[[#This Row],[Team Number]], OfficialTeamList[Team '#],0))</f>
        <v/>
      </c>
      <c r="D60" s="77">
        <f>INDEX(InnovationProjectResults[Identify - Research (CV)],MATCH(CoreValuesResults[[#This Row],[Team Number]],InnovationProjectResults[Team Number],0))</f>
        <v/>
      </c>
      <c r="E60" s="77">
        <f>INDEX(InnovationProjectResults[Design - Teamwork (CV)],MATCH(CoreValuesResults[[#This Row],[Team Number]],InnovationProjectResults[Team Number],0))</f>
        <v/>
      </c>
      <c r="F60" s="77">
        <f>INDEX(InnovationProjectResults[Create - Innovation (CV)],MATCH(CoreValuesResults[[#This Row],[Team Number]],InnovationProjectResults[Team Number],0))</f>
        <v/>
      </c>
      <c r="G60" s="77">
        <f>INDEX(InnovationProjectResults[Communicate - Impact (CV)],MATCH(CoreValuesResults[[#This Row],[Team Number]],InnovationProjectResults[Team Number],0))</f>
        <v/>
      </c>
      <c r="H60" s="77">
        <f>INDEX(InnovationProjectResults[Communicate - Fun (CV)],MATCH(CoreValuesResults[[#This Row],[Team Number]],InnovationProjectResults[Team Number],0))</f>
        <v/>
      </c>
      <c r="I60" s="77">
        <f>INDEX(RobotDesignResults[Identify - Research (CV)],MATCH(CoreValuesResults[[#This Row],[Team Number]],RobotDesignResults[Team Number],0))</f>
        <v/>
      </c>
      <c r="J60" s="77">
        <f>INDEX(RobotDesignResults[Design - Ideas (CV)],MATCH(CoreValuesResults[[#This Row],[Team Number]],RobotDesignResults[Team Number],0))</f>
        <v/>
      </c>
      <c r="K60" s="77">
        <f>INDEX(RobotDesignResults[Iterate - Improvements (CV)],MATCH(CoreValuesResults[[#This Row],[Team Number]],RobotDesignResults[Team Number],0))</f>
        <v/>
      </c>
      <c r="L60" s="77">
        <f>INDEX(RobotDesignResults[Communicate - Impact (CV)],MATCH(CoreValuesResults[[#This Row],[Team Number]],RobotDesignResults[Team Number],0))</f>
        <v/>
      </c>
      <c r="M60" s="77">
        <f>INDEX(RobotDesignResults[Communicate - Fun (CV)],MATCH(CoreValuesResults[[#This Row],[Team Number]],RobotDesignResults[Team Number],0))</f>
        <v/>
      </c>
      <c r="N60" s="86" t="n"/>
      <c r="O60" s="86" t="n"/>
      <c r="P60" s="86" t="n"/>
      <c r="Q60" s="69">
        <f>SUM(CoreValuesResults[[#This Row],[Gracious Professionalism 1]:[Gracious Professionalism 3]])</f>
        <v/>
      </c>
      <c r="R60" s="69">
        <f>SUM(N60:Q60)</f>
        <v/>
      </c>
      <c r="S60" s="83">
        <f>SUM(CoreValuesResults[[#This Row],[Identify - Research (CV-IP)]:[Communicate - Fun (CV-RD)]],CoreValuesResults[[#This Row],[Gracious Professionalism Score]])</f>
        <v/>
      </c>
      <c r="T60" s="73">
        <f>_xlfn.RANK.EQ(CoreValuesResults[[#This Row],[Core Values Score]],CoreValuesResults[Core Values Score],0)</f>
        <v/>
      </c>
    </row>
    <row r="61" ht="21" customHeight="1">
      <c r="A61" s="69" t="n"/>
      <c r="B61" s="69">
        <f>INDEX(OfficialTeamList[Pod Number],MATCH(CoreValuesResults[[#This Row],[Team Number]], OfficialTeamList[Team '#],0))</f>
        <v/>
      </c>
      <c r="C61" s="106">
        <f>INDEX(OfficialTeamList[Team Name],MATCH(CoreValuesResults[[#This Row],[Team Number]], OfficialTeamList[Team '#],0))</f>
        <v/>
      </c>
      <c r="D61" s="77">
        <f>INDEX(InnovationProjectResults[Identify - Research (CV)],MATCH(CoreValuesResults[[#This Row],[Team Number]],InnovationProjectResults[Team Number],0))</f>
        <v/>
      </c>
      <c r="E61" s="77">
        <f>INDEX(InnovationProjectResults[Design - Teamwork (CV)],MATCH(CoreValuesResults[[#This Row],[Team Number]],InnovationProjectResults[Team Number],0))</f>
        <v/>
      </c>
      <c r="F61" s="77">
        <f>INDEX(InnovationProjectResults[Create - Innovation (CV)],MATCH(CoreValuesResults[[#This Row],[Team Number]],InnovationProjectResults[Team Number],0))</f>
        <v/>
      </c>
      <c r="G61" s="77">
        <f>INDEX(InnovationProjectResults[Communicate - Impact (CV)],MATCH(CoreValuesResults[[#This Row],[Team Number]],InnovationProjectResults[Team Number],0))</f>
        <v/>
      </c>
      <c r="H61" s="77">
        <f>INDEX(InnovationProjectResults[Communicate - Fun (CV)],MATCH(CoreValuesResults[[#This Row],[Team Number]],InnovationProjectResults[Team Number],0))</f>
        <v/>
      </c>
      <c r="I61" s="77">
        <f>INDEX(RobotDesignResults[Identify - Research (CV)],MATCH(CoreValuesResults[[#This Row],[Team Number]],RobotDesignResults[Team Number],0))</f>
        <v/>
      </c>
      <c r="J61" s="77">
        <f>INDEX(RobotDesignResults[Design - Ideas (CV)],MATCH(CoreValuesResults[[#This Row],[Team Number]],RobotDesignResults[Team Number],0))</f>
        <v/>
      </c>
      <c r="K61" s="77">
        <f>INDEX(RobotDesignResults[Iterate - Improvements (CV)],MATCH(CoreValuesResults[[#This Row],[Team Number]],RobotDesignResults[Team Number],0))</f>
        <v/>
      </c>
      <c r="L61" s="77">
        <f>INDEX(RobotDesignResults[Communicate - Impact (CV)],MATCH(CoreValuesResults[[#This Row],[Team Number]],RobotDesignResults[Team Number],0))</f>
        <v/>
      </c>
      <c r="M61" s="77">
        <f>INDEX(RobotDesignResults[Communicate - Fun (CV)],MATCH(CoreValuesResults[[#This Row],[Team Number]],RobotDesignResults[Team Number],0))</f>
        <v/>
      </c>
      <c r="N61" s="86" t="n"/>
      <c r="O61" s="86" t="n"/>
      <c r="P61" s="86" t="n"/>
      <c r="Q61" s="69">
        <f>SUM(CoreValuesResults[[#This Row],[Gracious Professionalism 1]:[Gracious Professionalism 3]])</f>
        <v/>
      </c>
      <c r="R61" s="69">
        <f>SUM(N61:Q61)</f>
        <v/>
      </c>
      <c r="S61" s="83">
        <f>SUM(CoreValuesResults[[#This Row],[Identify - Research (CV-IP)]:[Communicate - Fun (CV-RD)]],CoreValuesResults[[#This Row],[Gracious Professionalism Score]])</f>
        <v/>
      </c>
      <c r="T61" s="73">
        <f>_xlfn.RANK.EQ(CoreValuesResults[[#This Row],[Core Values Score]],CoreValuesResults[Core Values Score],0)</f>
        <v/>
      </c>
    </row>
    <row r="62" ht="21" customHeight="1">
      <c r="A62" s="69" t="n"/>
      <c r="B62" s="69">
        <f>INDEX(OfficialTeamList[Pod Number],MATCH(CoreValuesResults[[#This Row],[Team Number]], OfficialTeamList[Team '#],0))</f>
        <v/>
      </c>
      <c r="C62" s="106">
        <f>INDEX(OfficialTeamList[Team Name],MATCH(CoreValuesResults[[#This Row],[Team Number]], OfficialTeamList[Team '#],0))</f>
        <v/>
      </c>
      <c r="D62" s="77">
        <f>INDEX(InnovationProjectResults[Identify - Research (CV)],MATCH(CoreValuesResults[[#This Row],[Team Number]],InnovationProjectResults[Team Number],0))</f>
        <v/>
      </c>
      <c r="E62" s="77">
        <f>INDEX(InnovationProjectResults[Design - Teamwork (CV)],MATCH(CoreValuesResults[[#This Row],[Team Number]],InnovationProjectResults[Team Number],0))</f>
        <v/>
      </c>
      <c r="F62" s="77">
        <f>INDEX(InnovationProjectResults[Create - Innovation (CV)],MATCH(CoreValuesResults[[#This Row],[Team Number]],InnovationProjectResults[Team Number],0))</f>
        <v/>
      </c>
      <c r="G62" s="77">
        <f>INDEX(InnovationProjectResults[Communicate - Impact (CV)],MATCH(CoreValuesResults[[#This Row],[Team Number]],InnovationProjectResults[Team Number],0))</f>
        <v/>
      </c>
      <c r="H62" s="77">
        <f>INDEX(InnovationProjectResults[Communicate - Fun (CV)],MATCH(CoreValuesResults[[#This Row],[Team Number]],InnovationProjectResults[Team Number],0))</f>
        <v/>
      </c>
      <c r="I62" s="77">
        <f>INDEX(RobotDesignResults[Identify - Research (CV)],MATCH(CoreValuesResults[[#This Row],[Team Number]],RobotDesignResults[Team Number],0))</f>
        <v/>
      </c>
      <c r="J62" s="77">
        <f>INDEX(RobotDesignResults[Design - Ideas (CV)],MATCH(CoreValuesResults[[#This Row],[Team Number]],RobotDesignResults[Team Number],0))</f>
        <v/>
      </c>
      <c r="K62" s="77">
        <f>INDEX(RobotDesignResults[Iterate - Improvements (CV)],MATCH(CoreValuesResults[[#This Row],[Team Number]],RobotDesignResults[Team Number],0))</f>
        <v/>
      </c>
      <c r="L62" s="77">
        <f>INDEX(RobotDesignResults[Communicate - Impact (CV)],MATCH(CoreValuesResults[[#This Row],[Team Number]],RobotDesignResults[Team Number],0))</f>
        <v/>
      </c>
      <c r="M62" s="77">
        <f>INDEX(RobotDesignResults[Communicate - Fun (CV)],MATCH(CoreValuesResults[[#This Row],[Team Number]],RobotDesignResults[Team Number],0))</f>
        <v/>
      </c>
      <c r="N62" s="86" t="n"/>
      <c r="O62" s="86" t="n"/>
      <c r="P62" s="86" t="n"/>
      <c r="Q62" s="69">
        <f>SUM(CoreValuesResults[[#This Row],[Gracious Professionalism 1]:[Gracious Professionalism 3]])</f>
        <v/>
      </c>
      <c r="R62" s="69">
        <f>SUM(N62:Q62)</f>
        <v/>
      </c>
      <c r="S62" s="83">
        <f>SUM(CoreValuesResults[[#This Row],[Identify - Research (CV-IP)]:[Communicate - Fun (CV-RD)]],CoreValuesResults[[#This Row],[Gracious Professionalism Score]])</f>
        <v/>
      </c>
      <c r="T62" s="73">
        <f>_xlfn.RANK.EQ(CoreValuesResults[[#This Row],[Core Values Score]],CoreValuesResults[Core Values Score],0)</f>
        <v/>
      </c>
    </row>
    <row r="63" ht="21" customHeight="1">
      <c r="A63" s="69" t="n"/>
      <c r="B63" s="69">
        <f>INDEX(OfficialTeamList[Pod Number],MATCH(CoreValuesResults[[#This Row],[Team Number]], OfficialTeamList[Team '#],0))</f>
        <v/>
      </c>
      <c r="C63" s="106">
        <f>INDEX(OfficialTeamList[Team Name],MATCH(CoreValuesResults[[#This Row],[Team Number]], OfficialTeamList[Team '#],0))</f>
        <v/>
      </c>
      <c r="D63" s="77">
        <f>INDEX(InnovationProjectResults[Identify - Research (CV)],MATCH(CoreValuesResults[[#This Row],[Team Number]],InnovationProjectResults[Team Number],0))</f>
        <v/>
      </c>
      <c r="E63" s="77">
        <f>INDEX(InnovationProjectResults[Design - Teamwork (CV)],MATCH(CoreValuesResults[[#This Row],[Team Number]],InnovationProjectResults[Team Number],0))</f>
        <v/>
      </c>
      <c r="F63" s="77">
        <f>INDEX(InnovationProjectResults[Create - Innovation (CV)],MATCH(CoreValuesResults[[#This Row],[Team Number]],InnovationProjectResults[Team Number],0))</f>
        <v/>
      </c>
      <c r="G63" s="77">
        <f>INDEX(InnovationProjectResults[Communicate - Impact (CV)],MATCH(CoreValuesResults[[#This Row],[Team Number]],InnovationProjectResults[Team Number],0))</f>
        <v/>
      </c>
      <c r="H63" s="77">
        <f>INDEX(InnovationProjectResults[Communicate - Fun (CV)],MATCH(CoreValuesResults[[#This Row],[Team Number]],InnovationProjectResults[Team Number],0))</f>
        <v/>
      </c>
      <c r="I63" s="77">
        <f>INDEX(RobotDesignResults[Identify - Research (CV)],MATCH(CoreValuesResults[[#This Row],[Team Number]],RobotDesignResults[Team Number],0))</f>
        <v/>
      </c>
      <c r="J63" s="77">
        <f>INDEX(RobotDesignResults[Design - Ideas (CV)],MATCH(CoreValuesResults[[#This Row],[Team Number]],RobotDesignResults[Team Number],0))</f>
        <v/>
      </c>
      <c r="K63" s="77">
        <f>INDEX(RobotDesignResults[Iterate - Improvements (CV)],MATCH(CoreValuesResults[[#This Row],[Team Number]],RobotDesignResults[Team Number],0))</f>
        <v/>
      </c>
      <c r="L63" s="77">
        <f>INDEX(RobotDesignResults[Communicate - Impact (CV)],MATCH(CoreValuesResults[[#This Row],[Team Number]],RobotDesignResults[Team Number],0))</f>
        <v/>
      </c>
      <c r="M63" s="77">
        <f>INDEX(RobotDesignResults[Communicate - Fun (CV)],MATCH(CoreValuesResults[[#This Row],[Team Number]],RobotDesignResults[Team Number],0))</f>
        <v/>
      </c>
      <c r="N63" s="86" t="n"/>
      <c r="O63" s="86" t="n"/>
      <c r="P63" s="86" t="n"/>
      <c r="Q63" s="69">
        <f>SUM(CoreValuesResults[[#This Row],[Gracious Professionalism 1]:[Gracious Professionalism 3]])</f>
        <v/>
      </c>
      <c r="R63" s="69">
        <f>SUM(N63:Q63)</f>
        <v/>
      </c>
      <c r="S63" s="83">
        <f>SUM(CoreValuesResults[[#This Row],[Identify - Research (CV-IP)]:[Communicate - Fun (CV-RD)]],CoreValuesResults[[#This Row],[Gracious Professionalism Score]])</f>
        <v/>
      </c>
      <c r="T63" s="73">
        <f>_xlfn.RANK.EQ(CoreValuesResults[[#This Row],[Core Values Score]],CoreValuesResults[Core Values Score],0)</f>
        <v/>
      </c>
    </row>
    <row r="64" ht="21" customHeight="1">
      <c r="A64" s="69" t="n"/>
      <c r="B64" s="69">
        <f>INDEX(OfficialTeamList[Pod Number],MATCH(CoreValuesResults[[#This Row],[Team Number]], OfficialTeamList[Team '#],0))</f>
        <v/>
      </c>
      <c r="C64" s="106">
        <f>INDEX(OfficialTeamList[Team Name],MATCH(CoreValuesResults[[#This Row],[Team Number]], OfficialTeamList[Team '#],0))</f>
        <v/>
      </c>
      <c r="D64" s="77">
        <f>INDEX(InnovationProjectResults[Identify - Research (CV)],MATCH(CoreValuesResults[[#This Row],[Team Number]],InnovationProjectResults[Team Number],0))</f>
        <v/>
      </c>
      <c r="E64" s="77">
        <f>INDEX(InnovationProjectResults[Design - Teamwork (CV)],MATCH(CoreValuesResults[[#This Row],[Team Number]],InnovationProjectResults[Team Number],0))</f>
        <v/>
      </c>
      <c r="F64" s="77">
        <f>INDEX(InnovationProjectResults[Create - Innovation (CV)],MATCH(CoreValuesResults[[#This Row],[Team Number]],InnovationProjectResults[Team Number],0))</f>
        <v/>
      </c>
      <c r="G64" s="77">
        <f>INDEX(InnovationProjectResults[Communicate - Impact (CV)],MATCH(CoreValuesResults[[#This Row],[Team Number]],InnovationProjectResults[Team Number],0))</f>
        <v/>
      </c>
      <c r="H64" s="77">
        <f>INDEX(InnovationProjectResults[Communicate - Fun (CV)],MATCH(CoreValuesResults[[#This Row],[Team Number]],InnovationProjectResults[Team Number],0))</f>
        <v/>
      </c>
      <c r="I64" s="77">
        <f>INDEX(RobotDesignResults[Identify - Research (CV)],MATCH(CoreValuesResults[[#This Row],[Team Number]],RobotDesignResults[Team Number],0))</f>
        <v/>
      </c>
      <c r="J64" s="77">
        <f>INDEX(RobotDesignResults[Design - Ideas (CV)],MATCH(CoreValuesResults[[#This Row],[Team Number]],RobotDesignResults[Team Number],0))</f>
        <v/>
      </c>
      <c r="K64" s="77">
        <f>INDEX(RobotDesignResults[Iterate - Improvements (CV)],MATCH(CoreValuesResults[[#This Row],[Team Number]],RobotDesignResults[Team Number],0))</f>
        <v/>
      </c>
      <c r="L64" s="77">
        <f>INDEX(RobotDesignResults[Communicate - Impact (CV)],MATCH(CoreValuesResults[[#This Row],[Team Number]],RobotDesignResults[Team Number],0))</f>
        <v/>
      </c>
      <c r="M64" s="77">
        <f>INDEX(RobotDesignResults[Communicate - Fun (CV)],MATCH(CoreValuesResults[[#This Row],[Team Number]],RobotDesignResults[Team Number],0))</f>
        <v/>
      </c>
      <c r="N64" s="86" t="n"/>
      <c r="O64" s="86" t="n"/>
      <c r="P64" s="86" t="n"/>
      <c r="Q64" s="69">
        <f>SUM(CoreValuesResults[[#This Row],[Gracious Professionalism 1]:[Gracious Professionalism 3]])</f>
        <v/>
      </c>
      <c r="R64" s="69">
        <f>SUM(N64:Q64)</f>
        <v/>
      </c>
      <c r="S64" s="83">
        <f>SUM(CoreValuesResults[[#This Row],[Identify - Research (CV-IP)]:[Communicate - Fun (CV-RD)]],CoreValuesResults[[#This Row],[Gracious Professionalism Score]])</f>
        <v/>
      </c>
      <c r="T64" s="73">
        <f>_xlfn.RANK.EQ(CoreValuesResults[[#This Row],[Core Values Score]],CoreValuesResults[Core Values Score],0)</f>
        <v/>
      </c>
    </row>
    <row r="65" ht="21" customHeight="1">
      <c r="A65" s="69" t="n"/>
      <c r="B65" s="69">
        <f>INDEX(OfficialTeamList[Pod Number],MATCH(CoreValuesResults[[#This Row],[Team Number]], OfficialTeamList[Team '#],0))</f>
        <v/>
      </c>
      <c r="C65" s="106">
        <f>INDEX(OfficialTeamList[Team Name],MATCH(CoreValuesResults[[#This Row],[Team Number]], OfficialTeamList[Team '#],0))</f>
        <v/>
      </c>
      <c r="D65" s="77">
        <f>INDEX(InnovationProjectResults[Identify - Research (CV)],MATCH(CoreValuesResults[[#This Row],[Team Number]],InnovationProjectResults[Team Number],0))</f>
        <v/>
      </c>
      <c r="E65" s="77">
        <f>INDEX(InnovationProjectResults[Design - Teamwork (CV)],MATCH(CoreValuesResults[[#This Row],[Team Number]],InnovationProjectResults[Team Number],0))</f>
        <v/>
      </c>
      <c r="F65" s="77">
        <f>INDEX(InnovationProjectResults[Create - Innovation (CV)],MATCH(CoreValuesResults[[#This Row],[Team Number]],InnovationProjectResults[Team Number],0))</f>
        <v/>
      </c>
      <c r="G65" s="77">
        <f>INDEX(InnovationProjectResults[Communicate - Impact (CV)],MATCH(CoreValuesResults[[#This Row],[Team Number]],InnovationProjectResults[Team Number],0))</f>
        <v/>
      </c>
      <c r="H65" s="77">
        <f>INDEX(InnovationProjectResults[Communicate - Fun (CV)],MATCH(CoreValuesResults[[#This Row],[Team Number]],InnovationProjectResults[Team Number],0))</f>
        <v/>
      </c>
      <c r="I65" s="77">
        <f>INDEX(RobotDesignResults[Identify - Research (CV)],MATCH(CoreValuesResults[[#This Row],[Team Number]],RobotDesignResults[Team Number],0))</f>
        <v/>
      </c>
      <c r="J65" s="77">
        <f>INDEX(RobotDesignResults[Design - Ideas (CV)],MATCH(CoreValuesResults[[#This Row],[Team Number]],RobotDesignResults[Team Number],0))</f>
        <v/>
      </c>
      <c r="K65" s="77">
        <f>INDEX(RobotDesignResults[Iterate - Improvements (CV)],MATCH(CoreValuesResults[[#This Row],[Team Number]],RobotDesignResults[Team Number],0))</f>
        <v/>
      </c>
      <c r="L65" s="77">
        <f>INDEX(RobotDesignResults[Communicate - Impact (CV)],MATCH(CoreValuesResults[[#This Row],[Team Number]],RobotDesignResults[Team Number],0))</f>
        <v/>
      </c>
      <c r="M65" s="77">
        <f>INDEX(RobotDesignResults[Communicate - Fun (CV)],MATCH(CoreValuesResults[[#This Row],[Team Number]],RobotDesignResults[Team Number],0))</f>
        <v/>
      </c>
      <c r="N65" s="86" t="n"/>
      <c r="O65" s="86" t="n"/>
      <c r="P65" s="86" t="n"/>
      <c r="Q65" s="69">
        <f>SUM(CoreValuesResults[[#This Row],[Gracious Professionalism 1]:[Gracious Professionalism 3]])</f>
        <v/>
      </c>
      <c r="R65" s="69">
        <f>SUM(N65:Q65)</f>
        <v/>
      </c>
      <c r="S65" s="83">
        <f>SUM(CoreValuesResults[[#This Row],[Identify - Research (CV-IP)]:[Communicate - Fun (CV-RD)]],CoreValuesResults[[#This Row],[Gracious Professionalism Score]])</f>
        <v/>
      </c>
      <c r="T65" s="73">
        <f>_xlfn.RANK.EQ(CoreValuesResults[[#This Row],[Core Values Score]],CoreValuesResults[Core Values Score],0)</f>
        <v/>
      </c>
    </row>
    <row r="66" ht="21" customHeight="1">
      <c r="A66" s="69" t="n"/>
      <c r="B66" s="69">
        <f>INDEX(OfficialTeamList[Pod Number],MATCH(CoreValuesResults[[#This Row],[Team Number]], OfficialTeamList[Team '#],0))</f>
        <v/>
      </c>
      <c r="C66" s="106">
        <f>INDEX(OfficialTeamList[Team Name],MATCH(CoreValuesResults[[#This Row],[Team Number]], OfficialTeamList[Team '#],0))</f>
        <v/>
      </c>
      <c r="D66" s="77">
        <f>INDEX(InnovationProjectResults[Identify - Research (CV)],MATCH(CoreValuesResults[[#This Row],[Team Number]],InnovationProjectResults[Team Number],0))</f>
        <v/>
      </c>
      <c r="E66" s="77">
        <f>INDEX(InnovationProjectResults[Design - Teamwork (CV)],MATCH(CoreValuesResults[[#This Row],[Team Number]],InnovationProjectResults[Team Number],0))</f>
        <v/>
      </c>
      <c r="F66" s="77">
        <f>INDEX(InnovationProjectResults[Create - Innovation (CV)],MATCH(CoreValuesResults[[#This Row],[Team Number]],InnovationProjectResults[Team Number],0))</f>
        <v/>
      </c>
      <c r="G66" s="77">
        <f>INDEX(InnovationProjectResults[Communicate - Impact (CV)],MATCH(CoreValuesResults[[#This Row],[Team Number]],InnovationProjectResults[Team Number],0))</f>
        <v/>
      </c>
      <c r="H66" s="77">
        <f>INDEX(InnovationProjectResults[Communicate - Fun (CV)],MATCH(CoreValuesResults[[#This Row],[Team Number]],InnovationProjectResults[Team Number],0))</f>
        <v/>
      </c>
      <c r="I66" s="77">
        <f>INDEX(RobotDesignResults[Identify - Research (CV)],MATCH(CoreValuesResults[[#This Row],[Team Number]],RobotDesignResults[Team Number],0))</f>
        <v/>
      </c>
      <c r="J66" s="77">
        <f>INDEX(RobotDesignResults[Design - Ideas (CV)],MATCH(CoreValuesResults[[#This Row],[Team Number]],RobotDesignResults[Team Number],0))</f>
        <v/>
      </c>
      <c r="K66" s="77">
        <f>INDEX(RobotDesignResults[Iterate - Improvements (CV)],MATCH(CoreValuesResults[[#This Row],[Team Number]],RobotDesignResults[Team Number],0))</f>
        <v/>
      </c>
      <c r="L66" s="77">
        <f>INDEX(RobotDesignResults[Communicate - Impact (CV)],MATCH(CoreValuesResults[[#This Row],[Team Number]],RobotDesignResults[Team Number],0))</f>
        <v/>
      </c>
      <c r="M66" s="77">
        <f>INDEX(RobotDesignResults[Communicate - Fun (CV)],MATCH(CoreValuesResults[[#This Row],[Team Number]],RobotDesignResults[Team Number],0))</f>
        <v/>
      </c>
      <c r="N66" s="86" t="n"/>
      <c r="O66" s="86" t="n"/>
      <c r="P66" s="86" t="n"/>
      <c r="Q66" s="69">
        <f>SUM(CoreValuesResults[[#This Row],[Gracious Professionalism 1]:[Gracious Professionalism 3]])</f>
        <v/>
      </c>
      <c r="R66" s="69">
        <f>SUM(N66:Q66)</f>
        <v/>
      </c>
      <c r="S66" s="83">
        <f>SUM(CoreValuesResults[[#This Row],[Identify - Research (CV-IP)]:[Communicate - Fun (CV-RD)]],CoreValuesResults[[#This Row],[Gracious Professionalism Score]])</f>
        <v/>
      </c>
      <c r="T66" s="73">
        <f>_xlfn.RANK.EQ(CoreValuesResults[[#This Row],[Core Values Score]],CoreValuesResults[Core Values Score],0)</f>
        <v/>
      </c>
    </row>
    <row r="67" ht="21" customHeight="1">
      <c r="A67" s="69" t="n"/>
      <c r="B67" s="69">
        <f>INDEX(OfficialTeamList[Pod Number],MATCH(CoreValuesResults[[#This Row],[Team Number]], OfficialTeamList[Team '#],0))</f>
        <v/>
      </c>
      <c r="C67" s="106">
        <f>INDEX(OfficialTeamList[Team Name],MATCH(CoreValuesResults[[#This Row],[Team Number]], OfficialTeamList[Team '#],0))</f>
        <v/>
      </c>
      <c r="D67" s="77">
        <f>INDEX(InnovationProjectResults[Identify - Research (CV)],MATCH(CoreValuesResults[[#This Row],[Team Number]],InnovationProjectResults[Team Number],0))</f>
        <v/>
      </c>
      <c r="E67" s="77">
        <f>INDEX(InnovationProjectResults[Design - Teamwork (CV)],MATCH(CoreValuesResults[[#This Row],[Team Number]],InnovationProjectResults[Team Number],0))</f>
        <v/>
      </c>
      <c r="F67" s="77">
        <f>INDEX(InnovationProjectResults[Create - Innovation (CV)],MATCH(CoreValuesResults[[#This Row],[Team Number]],InnovationProjectResults[Team Number],0))</f>
        <v/>
      </c>
      <c r="G67" s="77">
        <f>INDEX(InnovationProjectResults[Communicate - Impact (CV)],MATCH(CoreValuesResults[[#This Row],[Team Number]],InnovationProjectResults[Team Number],0))</f>
        <v/>
      </c>
      <c r="H67" s="77">
        <f>INDEX(InnovationProjectResults[Communicate - Fun (CV)],MATCH(CoreValuesResults[[#This Row],[Team Number]],InnovationProjectResults[Team Number],0))</f>
        <v/>
      </c>
      <c r="I67" s="77">
        <f>INDEX(RobotDesignResults[Identify - Research (CV)],MATCH(CoreValuesResults[[#This Row],[Team Number]],RobotDesignResults[Team Number],0))</f>
        <v/>
      </c>
      <c r="J67" s="77">
        <f>INDEX(RobotDesignResults[Design - Ideas (CV)],MATCH(CoreValuesResults[[#This Row],[Team Number]],RobotDesignResults[Team Number],0))</f>
        <v/>
      </c>
      <c r="K67" s="77">
        <f>INDEX(RobotDesignResults[Iterate - Improvements (CV)],MATCH(CoreValuesResults[[#This Row],[Team Number]],RobotDesignResults[Team Number],0))</f>
        <v/>
      </c>
      <c r="L67" s="77">
        <f>INDEX(RobotDesignResults[Communicate - Impact (CV)],MATCH(CoreValuesResults[[#This Row],[Team Number]],RobotDesignResults[Team Number],0))</f>
        <v/>
      </c>
      <c r="M67" s="77">
        <f>INDEX(RobotDesignResults[Communicate - Fun (CV)],MATCH(CoreValuesResults[[#This Row],[Team Number]],RobotDesignResults[Team Number],0))</f>
        <v/>
      </c>
      <c r="N67" s="86" t="n"/>
      <c r="O67" s="86" t="n"/>
      <c r="P67" s="86" t="n"/>
      <c r="Q67" s="69">
        <f>SUM(CoreValuesResults[[#This Row],[Gracious Professionalism 1]:[Gracious Professionalism 3]])</f>
        <v/>
      </c>
      <c r="R67" s="69">
        <f>SUM(N67:Q67)</f>
        <v/>
      </c>
      <c r="S67" s="83">
        <f>SUM(CoreValuesResults[[#This Row],[Identify - Research (CV-IP)]:[Communicate - Fun (CV-RD)]],CoreValuesResults[[#This Row],[Gracious Professionalism Score]])</f>
        <v/>
      </c>
      <c r="T67" s="73">
        <f>_xlfn.RANK.EQ(CoreValuesResults[[#This Row],[Core Values Score]],CoreValuesResults[Core Values Score],0)</f>
        <v/>
      </c>
    </row>
    <row r="68" ht="21" customHeight="1">
      <c r="A68" s="69" t="n"/>
      <c r="B68" s="69">
        <f>INDEX(OfficialTeamList[Pod Number],MATCH(CoreValuesResults[[#This Row],[Team Number]], OfficialTeamList[Team '#],0))</f>
        <v/>
      </c>
      <c r="C68" s="106">
        <f>INDEX(OfficialTeamList[Team Name],MATCH(CoreValuesResults[[#This Row],[Team Number]], OfficialTeamList[Team '#],0))</f>
        <v/>
      </c>
      <c r="D68" s="77">
        <f>INDEX(InnovationProjectResults[Identify - Research (CV)],MATCH(CoreValuesResults[[#This Row],[Team Number]],InnovationProjectResults[Team Number],0))</f>
        <v/>
      </c>
      <c r="E68" s="77">
        <f>INDEX(InnovationProjectResults[Design - Teamwork (CV)],MATCH(CoreValuesResults[[#This Row],[Team Number]],InnovationProjectResults[Team Number],0))</f>
        <v/>
      </c>
      <c r="F68" s="77">
        <f>INDEX(InnovationProjectResults[Create - Innovation (CV)],MATCH(CoreValuesResults[[#This Row],[Team Number]],InnovationProjectResults[Team Number],0))</f>
        <v/>
      </c>
      <c r="G68" s="77">
        <f>INDEX(InnovationProjectResults[Communicate - Impact (CV)],MATCH(CoreValuesResults[[#This Row],[Team Number]],InnovationProjectResults[Team Number],0))</f>
        <v/>
      </c>
      <c r="H68" s="77">
        <f>INDEX(InnovationProjectResults[Communicate - Fun (CV)],MATCH(CoreValuesResults[[#This Row],[Team Number]],InnovationProjectResults[Team Number],0))</f>
        <v/>
      </c>
      <c r="I68" s="77">
        <f>INDEX(RobotDesignResults[Identify - Research (CV)],MATCH(CoreValuesResults[[#This Row],[Team Number]],RobotDesignResults[Team Number],0))</f>
        <v/>
      </c>
      <c r="J68" s="77">
        <f>INDEX(RobotDesignResults[Design - Ideas (CV)],MATCH(CoreValuesResults[[#This Row],[Team Number]],RobotDesignResults[Team Number],0))</f>
        <v/>
      </c>
      <c r="K68" s="77">
        <f>INDEX(RobotDesignResults[Iterate - Improvements (CV)],MATCH(CoreValuesResults[[#This Row],[Team Number]],RobotDesignResults[Team Number],0))</f>
        <v/>
      </c>
      <c r="L68" s="77">
        <f>INDEX(RobotDesignResults[Communicate - Impact (CV)],MATCH(CoreValuesResults[[#This Row],[Team Number]],RobotDesignResults[Team Number],0))</f>
        <v/>
      </c>
      <c r="M68" s="77">
        <f>INDEX(RobotDesignResults[Communicate - Fun (CV)],MATCH(CoreValuesResults[[#This Row],[Team Number]],RobotDesignResults[Team Number],0))</f>
        <v/>
      </c>
      <c r="N68" s="86" t="n"/>
      <c r="O68" s="86" t="n"/>
      <c r="P68" s="86" t="n"/>
      <c r="Q68" s="69">
        <f>SUM(CoreValuesResults[[#This Row],[Gracious Professionalism 1]:[Gracious Professionalism 3]])</f>
        <v/>
      </c>
      <c r="R68" s="69">
        <f>SUM(N68:Q68)</f>
        <v/>
      </c>
      <c r="S68" s="83">
        <f>SUM(CoreValuesResults[[#This Row],[Identify - Research (CV-IP)]:[Communicate - Fun (CV-RD)]],CoreValuesResults[[#This Row],[Gracious Professionalism Score]])</f>
        <v/>
      </c>
      <c r="T68" s="73">
        <f>_xlfn.RANK.EQ(CoreValuesResults[[#This Row],[Core Values Score]],CoreValuesResults[Core Values Score],0)</f>
        <v/>
      </c>
    </row>
    <row r="69" ht="21" customHeight="1">
      <c r="A69" s="69" t="n"/>
      <c r="B69" s="69">
        <f>INDEX(OfficialTeamList[Pod Number],MATCH(CoreValuesResults[[#This Row],[Team Number]], OfficialTeamList[Team '#],0))</f>
        <v/>
      </c>
      <c r="C69" s="106">
        <f>INDEX(OfficialTeamList[Team Name],MATCH(CoreValuesResults[[#This Row],[Team Number]], OfficialTeamList[Team '#],0))</f>
        <v/>
      </c>
      <c r="D69" s="77">
        <f>INDEX(InnovationProjectResults[Identify - Research (CV)],MATCH(CoreValuesResults[[#This Row],[Team Number]],InnovationProjectResults[Team Number],0))</f>
        <v/>
      </c>
      <c r="E69" s="77">
        <f>INDEX(InnovationProjectResults[Design - Teamwork (CV)],MATCH(CoreValuesResults[[#This Row],[Team Number]],InnovationProjectResults[Team Number],0))</f>
        <v/>
      </c>
      <c r="F69" s="77">
        <f>INDEX(InnovationProjectResults[Create - Innovation (CV)],MATCH(CoreValuesResults[[#This Row],[Team Number]],InnovationProjectResults[Team Number],0))</f>
        <v/>
      </c>
      <c r="G69" s="77">
        <f>INDEX(InnovationProjectResults[Communicate - Impact (CV)],MATCH(CoreValuesResults[[#This Row],[Team Number]],InnovationProjectResults[Team Number],0))</f>
        <v/>
      </c>
      <c r="H69" s="77">
        <f>INDEX(InnovationProjectResults[Communicate - Fun (CV)],MATCH(CoreValuesResults[[#This Row],[Team Number]],InnovationProjectResults[Team Number],0))</f>
        <v/>
      </c>
      <c r="I69" s="77">
        <f>INDEX(RobotDesignResults[Identify - Research (CV)],MATCH(CoreValuesResults[[#This Row],[Team Number]],RobotDesignResults[Team Number],0))</f>
        <v/>
      </c>
      <c r="J69" s="77">
        <f>INDEX(RobotDesignResults[Design - Ideas (CV)],MATCH(CoreValuesResults[[#This Row],[Team Number]],RobotDesignResults[Team Number],0))</f>
        <v/>
      </c>
      <c r="K69" s="77">
        <f>INDEX(RobotDesignResults[Iterate - Improvements (CV)],MATCH(CoreValuesResults[[#This Row],[Team Number]],RobotDesignResults[Team Number],0))</f>
        <v/>
      </c>
      <c r="L69" s="77">
        <f>INDEX(RobotDesignResults[Communicate - Impact (CV)],MATCH(CoreValuesResults[[#This Row],[Team Number]],RobotDesignResults[Team Number],0))</f>
        <v/>
      </c>
      <c r="M69" s="77">
        <f>INDEX(RobotDesignResults[Communicate - Fun (CV)],MATCH(CoreValuesResults[[#This Row],[Team Number]],RobotDesignResults[Team Number],0))</f>
        <v/>
      </c>
      <c r="N69" s="86" t="n"/>
      <c r="O69" s="86" t="n"/>
      <c r="P69" s="86" t="n"/>
      <c r="Q69" s="69">
        <f>SUM(CoreValuesResults[[#This Row],[Gracious Professionalism 1]:[Gracious Professionalism 3]])</f>
        <v/>
      </c>
      <c r="R69" s="69">
        <f>SUM(N69:Q69)</f>
        <v/>
      </c>
      <c r="S69" s="83">
        <f>SUM(CoreValuesResults[[#This Row],[Identify - Research (CV-IP)]:[Communicate - Fun (CV-RD)]],CoreValuesResults[[#This Row],[Gracious Professionalism Score]])</f>
        <v/>
      </c>
      <c r="T69" s="73">
        <f>_xlfn.RANK.EQ(CoreValuesResults[[#This Row],[Core Values Score]],CoreValuesResults[Core Values Score],0)</f>
        <v/>
      </c>
    </row>
    <row r="70" ht="21" customHeight="1">
      <c r="A70" s="69" t="n"/>
      <c r="B70" s="69">
        <f>INDEX(OfficialTeamList[Pod Number],MATCH(CoreValuesResults[[#This Row],[Team Number]], OfficialTeamList[Team '#],0))</f>
        <v/>
      </c>
      <c r="C70" s="106">
        <f>INDEX(OfficialTeamList[Team Name],MATCH(CoreValuesResults[[#This Row],[Team Number]], OfficialTeamList[Team '#],0))</f>
        <v/>
      </c>
      <c r="D70" s="77">
        <f>INDEX(InnovationProjectResults[Identify - Research (CV)],MATCH(CoreValuesResults[[#This Row],[Team Number]],InnovationProjectResults[Team Number],0))</f>
        <v/>
      </c>
      <c r="E70" s="77">
        <f>INDEX(InnovationProjectResults[Design - Teamwork (CV)],MATCH(CoreValuesResults[[#This Row],[Team Number]],InnovationProjectResults[Team Number],0))</f>
        <v/>
      </c>
      <c r="F70" s="77">
        <f>INDEX(InnovationProjectResults[Create - Innovation (CV)],MATCH(CoreValuesResults[[#This Row],[Team Number]],InnovationProjectResults[Team Number],0))</f>
        <v/>
      </c>
      <c r="G70" s="77">
        <f>INDEX(InnovationProjectResults[Communicate - Impact (CV)],MATCH(CoreValuesResults[[#This Row],[Team Number]],InnovationProjectResults[Team Number],0))</f>
        <v/>
      </c>
      <c r="H70" s="77">
        <f>INDEX(InnovationProjectResults[Communicate - Fun (CV)],MATCH(CoreValuesResults[[#This Row],[Team Number]],InnovationProjectResults[Team Number],0))</f>
        <v/>
      </c>
      <c r="I70" s="77">
        <f>INDEX(RobotDesignResults[Identify - Research (CV)],MATCH(CoreValuesResults[[#This Row],[Team Number]],RobotDesignResults[Team Number],0))</f>
        <v/>
      </c>
      <c r="J70" s="77">
        <f>INDEX(RobotDesignResults[Design - Ideas (CV)],MATCH(CoreValuesResults[[#This Row],[Team Number]],RobotDesignResults[Team Number],0))</f>
        <v/>
      </c>
      <c r="K70" s="77">
        <f>INDEX(RobotDesignResults[Iterate - Improvements (CV)],MATCH(CoreValuesResults[[#This Row],[Team Number]],RobotDesignResults[Team Number],0))</f>
        <v/>
      </c>
      <c r="L70" s="77">
        <f>INDEX(RobotDesignResults[Communicate - Impact (CV)],MATCH(CoreValuesResults[[#This Row],[Team Number]],RobotDesignResults[Team Number],0))</f>
        <v/>
      </c>
      <c r="M70" s="77">
        <f>INDEX(RobotDesignResults[Communicate - Fun (CV)],MATCH(CoreValuesResults[[#This Row],[Team Number]],RobotDesignResults[Team Number],0))</f>
        <v/>
      </c>
      <c r="N70" s="86" t="n"/>
      <c r="O70" s="86" t="n"/>
      <c r="P70" s="86" t="n"/>
      <c r="Q70" s="69">
        <f>SUM(CoreValuesResults[[#This Row],[Gracious Professionalism 1]:[Gracious Professionalism 3]])</f>
        <v/>
      </c>
      <c r="R70" s="69">
        <f>SUM(N70:Q70)</f>
        <v/>
      </c>
      <c r="S70" s="83">
        <f>SUM(CoreValuesResults[[#This Row],[Identify - Research (CV-IP)]:[Communicate - Fun (CV-RD)]],CoreValuesResults[[#This Row],[Gracious Professionalism Score]])</f>
        <v/>
      </c>
      <c r="T70" s="73">
        <f>_xlfn.RANK.EQ(CoreValuesResults[[#This Row],[Core Values Score]],CoreValuesResults[Core Values Score],0)</f>
        <v/>
      </c>
    </row>
    <row r="71" ht="21" customHeight="1">
      <c r="A71" s="69" t="n"/>
      <c r="B71" s="69">
        <f>INDEX(OfficialTeamList[Pod Number],MATCH(CoreValuesResults[[#This Row],[Team Number]], OfficialTeamList[Team '#],0))</f>
        <v/>
      </c>
      <c r="C71" s="106">
        <f>INDEX(OfficialTeamList[Team Name],MATCH(CoreValuesResults[[#This Row],[Team Number]], OfficialTeamList[Team '#],0))</f>
        <v/>
      </c>
      <c r="D71" s="77">
        <f>INDEX(InnovationProjectResults[Identify - Research (CV)],MATCH(CoreValuesResults[[#This Row],[Team Number]],InnovationProjectResults[Team Number],0))</f>
        <v/>
      </c>
      <c r="E71" s="77">
        <f>INDEX(InnovationProjectResults[Design - Teamwork (CV)],MATCH(CoreValuesResults[[#This Row],[Team Number]],InnovationProjectResults[Team Number],0))</f>
        <v/>
      </c>
      <c r="F71" s="77">
        <f>INDEX(InnovationProjectResults[Create - Innovation (CV)],MATCH(CoreValuesResults[[#This Row],[Team Number]],InnovationProjectResults[Team Number],0))</f>
        <v/>
      </c>
      <c r="G71" s="77">
        <f>INDEX(InnovationProjectResults[Communicate - Impact (CV)],MATCH(CoreValuesResults[[#This Row],[Team Number]],InnovationProjectResults[Team Number],0))</f>
        <v/>
      </c>
      <c r="H71" s="77">
        <f>INDEX(InnovationProjectResults[Communicate - Fun (CV)],MATCH(CoreValuesResults[[#This Row],[Team Number]],InnovationProjectResults[Team Number],0))</f>
        <v/>
      </c>
      <c r="I71" s="77">
        <f>INDEX(RobotDesignResults[Identify - Research (CV)],MATCH(CoreValuesResults[[#This Row],[Team Number]],RobotDesignResults[Team Number],0))</f>
        <v/>
      </c>
      <c r="J71" s="77">
        <f>INDEX(RobotDesignResults[Design - Ideas (CV)],MATCH(CoreValuesResults[[#This Row],[Team Number]],RobotDesignResults[Team Number],0))</f>
        <v/>
      </c>
      <c r="K71" s="77">
        <f>INDEX(RobotDesignResults[Iterate - Improvements (CV)],MATCH(CoreValuesResults[[#This Row],[Team Number]],RobotDesignResults[Team Number],0))</f>
        <v/>
      </c>
      <c r="L71" s="77">
        <f>INDEX(RobotDesignResults[Communicate - Impact (CV)],MATCH(CoreValuesResults[[#This Row],[Team Number]],RobotDesignResults[Team Number],0))</f>
        <v/>
      </c>
      <c r="M71" s="77">
        <f>INDEX(RobotDesignResults[Communicate - Fun (CV)],MATCH(CoreValuesResults[[#This Row],[Team Number]],RobotDesignResults[Team Number],0))</f>
        <v/>
      </c>
      <c r="N71" s="86" t="n"/>
      <c r="O71" s="86" t="n"/>
      <c r="P71" s="86" t="n"/>
      <c r="Q71" s="69">
        <f>SUM(CoreValuesResults[[#This Row],[Gracious Professionalism 1]:[Gracious Professionalism 3]])</f>
        <v/>
      </c>
      <c r="R71" s="69">
        <f>SUM(N71:Q71)</f>
        <v/>
      </c>
      <c r="S71" s="83">
        <f>SUM(CoreValuesResults[[#This Row],[Identify - Research (CV-IP)]:[Communicate - Fun (CV-RD)]],CoreValuesResults[[#This Row],[Gracious Professionalism Score]])</f>
        <v/>
      </c>
      <c r="T71" s="73">
        <f>_xlfn.RANK.EQ(CoreValuesResults[[#This Row],[Core Values Score]],CoreValuesResults[Core Values Score],0)</f>
        <v/>
      </c>
    </row>
    <row r="72" ht="21" customHeight="1">
      <c r="A72" s="69" t="n"/>
      <c r="B72" s="69">
        <f>INDEX(OfficialTeamList[Pod Number],MATCH(CoreValuesResults[[#This Row],[Team Number]], OfficialTeamList[Team '#],0))</f>
        <v/>
      </c>
      <c r="C72" s="106">
        <f>INDEX(OfficialTeamList[Team Name],MATCH(CoreValuesResults[[#This Row],[Team Number]], OfficialTeamList[Team '#],0))</f>
        <v/>
      </c>
      <c r="D72" s="77">
        <f>INDEX(InnovationProjectResults[Identify - Research (CV)],MATCH(CoreValuesResults[[#This Row],[Team Number]],InnovationProjectResults[Team Number],0))</f>
        <v/>
      </c>
      <c r="E72" s="77">
        <f>INDEX(InnovationProjectResults[Design - Teamwork (CV)],MATCH(CoreValuesResults[[#This Row],[Team Number]],InnovationProjectResults[Team Number],0))</f>
        <v/>
      </c>
      <c r="F72" s="77">
        <f>INDEX(InnovationProjectResults[Create - Innovation (CV)],MATCH(CoreValuesResults[[#This Row],[Team Number]],InnovationProjectResults[Team Number],0))</f>
        <v/>
      </c>
      <c r="G72" s="77">
        <f>INDEX(InnovationProjectResults[Communicate - Impact (CV)],MATCH(CoreValuesResults[[#This Row],[Team Number]],InnovationProjectResults[Team Number],0))</f>
        <v/>
      </c>
      <c r="H72" s="77">
        <f>INDEX(InnovationProjectResults[Communicate - Fun (CV)],MATCH(CoreValuesResults[[#This Row],[Team Number]],InnovationProjectResults[Team Number],0))</f>
        <v/>
      </c>
      <c r="I72" s="77">
        <f>INDEX(RobotDesignResults[Identify - Research (CV)],MATCH(CoreValuesResults[[#This Row],[Team Number]],RobotDesignResults[Team Number],0))</f>
        <v/>
      </c>
      <c r="J72" s="77">
        <f>INDEX(RobotDesignResults[Design - Ideas (CV)],MATCH(CoreValuesResults[[#This Row],[Team Number]],RobotDesignResults[Team Number],0))</f>
        <v/>
      </c>
      <c r="K72" s="77">
        <f>INDEX(RobotDesignResults[Iterate - Improvements (CV)],MATCH(CoreValuesResults[[#This Row],[Team Number]],RobotDesignResults[Team Number],0))</f>
        <v/>
      </c>
      <c r="L72" s="77">
        <f>INDEX(RobotDesignResults[Communicate - Impact (CV)],MATCH(CoreValuesResults[[#This Row],[Team Number]],RobotDesignResults[Team Number],0))</f>
        <v/>
      </c>
      <c r="M72" s="77">
        <f>INDEX(RobotDesignResults[Communicate - Fun (CV)],MATCH(CoreValuesResults[[#This Row],[Team Number]],RobotDesignResults[Team Number],0))</f>
        <v/>
      </c>
      <c r="N72" s="86" t="n"/>
      <c r="O72" s="86" t="n"/>
      <c r="P72" s="86" t="n"/>
      <c r="Q72" s="69">
        <f>SUM(CoreValuesResults[[#This Row],[Gracious Professionalism 1]:[Gracious Professionalism 3]])</f>
        <v/>
      </c>
      <c r="R72" s="69">
        <f>SUM(N72:Q72)</f>
        <v/>
      </c>
      <c r="S72" s="83">
        <f>SUM(CoreValuesResults[[#This Row],[Identify - Research (CV-IP)]:[Communicate - Fun (CV-RD)]],CoreValuesResults[[#This Row],[Gracious Professionalism Score]])</f>
        <v/>
      </c>
      <c r="T72" s="73">
        <f>_xlfn.RANK.EQ(CoreValuesResults[[#This Row],[Core Values Score]],CoreValuesResults[Core Values Score],0)</f>
        <v/>
      </c>
    </row>
    <row r="73" ht="21" customHeight="1">
      <c r="A73" s="69" t="n"/>
      <c r="B73" s="69">
        <f>INDEX(OfficialTeamList[Pod Number],MATCH(CoreValuesResults[[#This Row],[Team Number]], OfficialTeamList[Team '#],0))</f>
        <v/>
      </c>
      <c r="C73" s="106">
        <f>INDEX(OfficialTeamList[Team Name],MATCH(CoreValuesResults[[#This Row],[Team Number]], OfficialTeamList[Team '#],0))</f>
        <v/>
      </c>
      <c r="D73" s="77">
        <f>INDEX(InnovationProjectResults[Identify - Research (CV)],MATCH(CoreValuesResults[[#This Row],[Team Number]],InnovationProjectResults[Team Number],0))</f>
        <v/>
      </c>
      <c r="E73" s="77">
        <f>INDEX(InnovationProjectResults[Design - Teamwork (CV)],MATCH(CoreValuesResults[[#This Row],[Team Number]],InnovationProjectResults[Team Number],0))</f>
        <v/>
      </c>
      <c r="F73" s="77">
        <f>INDEX(InnovationProjectResults[Create - Innovation (CV)],MATCH(CoreValuesResults[[#This Row],[Team Number]],InnovationProjectResults[Team Number],0))</f>
        <v/>
      </c>
      <c r="G73" s="77">
        <f>INDEX(InnovationProjectResults[Communicate - Impact (CV)],MATCH(CoreValuesResults[[#This Row],[Team Number]],InnovationProjectResults[Team Number],0))</f>
        <v/>
      </c>
      <c r="H73" s="77">
        <f>INDEX(InnovationProjectResults[Communicate - Fun (CV)],MATCH(CoreValuesResults[[#This Row],[Team Number]],InnovationProjectResults[Team Number],0))</f>
        <v/>
      </c>
      <c r="I73" s="77">
        <f>INDEX(RobotDesignResults[Identify - Research (CV)],MATCH(CoreValuesResults[[#This Row],[Team Number]],RobotDesignResults[Team Number],0))</f>
        <v/>
      </c>
      <c r="J73" s="77">
        <f>INDEX(RobotDesignResults[Design - Ideas (CV)],MATCH(CoreValuesResults[[#This Row],[Team Number]],RobotDesignResults[Team Number],0))</f>
        <v/>
      </c>
      <c r="K73" s="77">
        <f>INDEX(RobotDesignResults[Iterate - Improvements (CV)],MATCH(CoreValuesResults[[#This Row],[Team Number]],RobotDesignResults[Team Number],0))</f>
        <v/>
      </c>
      <c r="L73" s="77">
        <f>INDEX(RobotDesignResults[Communicate - Impact (CV)],MATCH(CoreValuesResults[[#This Row],[Team Number]],RobotDesignResults[Team Number],0))</f>
        <v/>
      </c>
      <c r="M73" s="77">
        <f>INDEX(RobotDesignResults[Communicate - Fun (CV)],MATCH(CoreValuesResults[[#This Row],[Team Number]],RobotDesignResults[Team Number],0))</f>
        <v/>
      </c>
      <c r="N73" s="86" t="n"/>
      <c r="O73" s="86" t="n"/>
      <c r="P73" s="86" t="n"/>
      <c r="Q73" s="69">
        <f>SUM(CoreValuesResults[[#This Row],[Gracious Professionalism 1]:[Gracious Professionalism 3]])</f>
        <v/>
      </c>
      <c r="R73" s="69">
        <f>SUM(N73:Q73)</f>
        <v/>
      </c>
      <c r="S73" s="83">
        <f>SUM(CoreValuesResults[[#This Row],[Identify - Research (CV-IP)]:[Communicate - Fun (CV-RD)]],CoreValuesResults[[#This Row],[Gracious Professionalism Score]])</f>
        <v/>
      </c>
      <c r="T73" s="73">
        <f>_xlfn.RANK.EQ(CoreValuesResults[[#This Row],[Core Values Score]],CoreValuesResults[Core Values Score],0)</f>
        <v/>
      </c>
    </row>
    <row r="74" ht="21" customHeight="1">
      <c r="A74" s="69" t="n"/>
      <c r="B74" s="69">
        <f>INDEX(OfficialTeamList[Pod Number],MATCH(CoreValuesResults[[#This Row],[Team Number]], OfficialTeamList[Team '#],0))</f>
        <v/>
      </c>
      <c r="C74" s="106">
        <f>INDEX(OfficialTeamList[Team Name],MATCH(CoreValuesResults[[#This Row],[Team Number]], OfficialTeamList[Team '#],0))</f>
        <v/>
      </c>
      <c r="D74" s="77">
        <f>INDEX(InnovationProjectResults[Identify - Research (CV)],MATCH(CoreValuesResults[[#This Row],[Team Number]],InnovationProjectResults[Team Number],0))</f>
        <v/>
      </c>
      <c r="E74" s="77">
        <f>INDEX(InnovationProjectResults[Design - Teamwork (CV)],MATCH(CoreValuesResults[[#This Row],[Team Number]],InnovationProjectResults[Team Number],0))</f>
        <v/>
      </c>
      <c r="F74" s="77">
        <f>INDEX(InnovationProjectResults[Create - Innovation (CV)],MATCH(CoreValuesResults[[#This Row],[Team Number]],InnovationProjectResults[Team Number],0))</f>
        <v/>
      </c>
      <c r="G74" s="77">
        <f>INDEX(InnovationProjectResults[Communicate - Impact (CV)],MATCH(CoreValuesResults[[#This Row],[Team Number]],InnovationProjectResults[Team Number],0))</f>
        <v/>
      </c>
      <c r="H74" s="77">
        <f>INDEX(InnovationProjectResults[Communicate - Fun (CV)],MATCH(CoreValuesResults[[#This Row],[Team Number]],InnovationProjectResults[Team Number],0))</f>
        <v/>
      </c>
      <c r="I74" s="77">
        <f>INDEX(RobotDesignResults[Identify - Research (CV)],MATCH(CoreValuesResults[[#This Row],[Team Number]],RobotDesignResults[Team Number],0))</f>
        <v/>
      </c>
      <c r="J74" s="77">
        <f>INDEX(RobotDesignResults[Design - Ideas (CV)],MATCH(CoreValuesResults[[#This Row],[Team Number]],RobotDesignResults[Team Number],0))</f>
        <v/>
      </c>
      <c r="K74" s="77">
        <f>INDEX(RobotDesignResults[Iterate - Improvements (CV)],MATCH(CoreValuesResults[[#This Row],[Team Number]],RobotDesignResults[Team Number],0))</f>
        <v/>
      </c>
      <c r="L74" s="77">
        <f>INDEX(RobotDesignResults[Communicate - Impact (CV)],MATCH(CoreValuesResults[[#This Row],[Team Number]],RobotDesignResults[Team Number],0))</f>
        <v/>
      </c>
      <c r="M74" s="77">
        <f>INDEX(RobotDesignResults[Communicate - Fun (CV)],MATCH(CoreValuesResults[[#This Row],[Team Number]],RobotDesignResults[Team Number],0))</f>
        <v/>
      </c>
      <c r="N74" s="86" t="n"/>
      <c r="O74" s="86" t="n"/>
      <c r="P74" s="86" t="n"/>
      <c r="Q74" s="69">
        <f>SUM(CoreValuesResults[[#This Row],[Gracious Professionalism 1]:[Gracious Professionalism 3]])</f>
        <v/>
      </c>
      <c r="R74" s="69">
        <f>SUM(N74:Q74)</f>
        <v/>
      </c>
      <c r="S74" s="83">
        <f>SUM(CoreValuesResults[[#This Row],[Identify - Research (CV-IP)]:[Communicate - Fun (CV-RD)]],CoreValuesResults[[#This Row],[Gracious Professionalism Score]])</f>
        <v/>
      </c>
      <c r="T74" s="73">
        <f>_xlfn.RANK.EQ(CoreValuesResults[[#This Row],[Core Values Score]],CoreValuesResults[Core Values Score],0)</f>
        <v/>
      </c>
    </row>
    <row r="75" ht="21" customHeight="1">
      <c r="A75" s="69" t="n"/>
      <c r="B75" s="69">
        <f>INDEX(OfficialTeamList[Pod Number],MATCH(CoreValuesResults[[#This Row],[Team Number]], OfficialTeamList[Team '#],0))</f>
        <v/>
      </c>
      <c r="C75" s="106">
        <f>INDEX(OfficialTeamList[Team Name],MATCH(CoreValuesResults[[#This Row],[Team Number]], OfficialTeamList[Team '#],0))</f>
        <v/>
      </c>
      <c r="D75" s="77">
        <f>INDEX(InnovationProjectResults[Identify - Research (CV)],MATCH(CoreValuesResults[[#This Row],[Team Number]],InnovationProjectResults[Team Number],0))</f>
        <v/>
      </c>
      <c r="E75" s="77">
        <f>INDEX(InnovationProjectResults[Design - Teamwork (CV)],MATCH(CoreValuesResults[[#This Row],[Team Number]],InnovationProjectResults[Team Number],0))</f>
        <v/>
      </c>
      <c r="F75" s="77">
        <f>INDEX(InnovationProjectResults[Create - Innovation (CV)],MATCH(CoreValuesResults[[#This Row],[Team Number]],InnovationProjectResults[Team Number],0))</f>
        <v/>
      </c>
      <c r="G75" s="77">
        <f>INDEX(InnovationProjectResults[Communicate - Impact (CV)],MATCH(CoreValuesResults[[#This Row],[Team Number]],InnovationProjectResults[Team Number],0))</f>
        <v/>
      </c>
      <c r="H75" s="77">
        <f>INDEX(InnovationProjectResults[Communicate - Fun (CV)],MATCH(CoreValuesResults[[#This Row],[Team Number]],InnovationProjectResults[Team Number],0))</f>
        <v/>
      </c>
      <c r="I75" s="77">
        <f>INDEX(RobotDesignResults[Identify - Research (CV)],MATCH(CoreValuesResults[[#This Row],[Team Number]],RobotDesignResults[Team Number],0))</f>
        <v/>
      </c>
      <c r="J75" s="77">
        <f>INDEX(RobotDesignResults[Design - Ideas (CV)],MATCH(CoreValuesResults[[#This Row],[Team Number]],RobotDesignResults[Team Number],0))</f>
        <v/>
      </c>
      <c r="K75" s="77">
        <f>INDEX(RobotDesignResults[Iterate - Improvements (CV)],MATCH(CoreValuesResults[[#This Row],[Team Number]],RobotDesignResults[Team Number],0))</f>
        <v/>
      </c>
      <c r="L75" s="77">
        <f>INDEX(RobotDesignResults[Communicate - Impact (CV)],MATCH(CoreValuesResults[[#This Row],[Team Number]],RobotDesignResults[Team Number],0))</f>
        <v/>
      </c>
      <c r="M75" s="77">
        <f>INDEX(RobotDesignResults[Communicate - Fun (CV)],MATCH(CoreValuesResults[[#This Row],[Team Number]],RobotDesignResults[Team Number],0))</f>
        <v/>
      </c>
      <c r="N75" s="86" t="n"/>
      <c r="O75" s="86" t="n"/>
      <c r="P75" s="86" t="n"/>
      <c r="Q75" s="69">
        <f>SUM(CoreValuesResults[[#This Row],[Gracious Professionalism 1]:[Gracious Professionalism 3]])</f>
        <v/>
      </c>
      <c r="R75" s="69">
        <f>SUM(N75:Q75)</f>
        <v/>
      </c>
      <c r="S75" s="83">
        <f>SUM(CoreValuesResults[[#This Row],[Identify - Research (CV-IP)]:[Communicate - Fun (CV-RD)]],CoreValuesResults[[#This Row],[Gracious Professionalism Score]])</f>
        <v/>
      </c>
      <c r="T75" s="73">
        <f>_xlfn.RANK.EQ(CoreValuesResults[[#This Row],[Core Values Score]],CoreValuesResults[Core Values Score],0)</f>
        <v/>
      </c>
    </row>
    <row r="76" ht="21" customHeight="1">
      <c r="A76" s="69" t="n"/>
      <c r="B76" s="69">
        <f>INDEX(OfficialTeamList[Pod Number],MATCH(CoreValuesResults[[#This Row],[Team Number]], OfficialTeamList[Team '#],0))</f>
        <v/>
      </c>
      <c r="C76" s="106">
        <f>INDEX(OfficialTeamList[Team Name],MATCH(CoreValuesResults[[#This Row],[Team Number]], OfficialTeamList[Team '#],0))</f>
        <v/>
      </c>
      <c r="D76" s="77">
        <f>INDEX(InnovationProjectResults[Identify - Research (CV)],MATCH(CoreValuesResults[[#This Row],[Team Number]],InnovationProjectResults[Team Number],0))</f>
        <v/>
      </c>
      <c r="E76" s="77">
        <f>INDEX(InnovationProjectResults[Design - Teamwork (CV)],MATCH(CoreValuesResults[[#This Row],[Team Number]],InnovationProjectResults[Team Number],0))</f>
        <v/>
      </c>
      <c r="F76" s="77">
        <f>INDEX(InnovationProjectResults[Create - Innovation (CV)],MATCH(CoreValuesResults[[#This Row],[Team Number]],InnovationProjectResults[Team Number],0))</f>
        <v/>
      </c>
      <c r="G76" s="77">
        <f>INDEX(InnovationProjectResults[Communicate - Impact (CV)],MATCH(CoreValuesResults[[#This Row],[Team Number]],InnovationProjectResults[Team Number],0))</f>
        <v/>
      </c>
      <c r="H76" s="77">
        <f>INDEX(InnovationProjectResults[Communicate - Fun (CV)],MATCH(CoreValuesResults[[#This Row],[Team Number]],InnovationProjectResults[Team Number],0))</f>
        <v/>
      </c>
      <c r="I76" s="77">
        <f>INDEX(RobotDesignResults[Identify - Research (CV)],MATCH(CoreValuesResults[[#This Row],[Team Number]],RobotDesignResults[Team Number],0))</f>
        <v/>
      </c>
      <c r="J76" s="77">
        <f>INDEX(RobotDesignResults[Design - Ideas (CV)],MATCH(CoreValuesResults[[#This Row],[Team Number]],RobotDesignResults[Team Number],0))</f>
        <v/>
      </c>
      <c r="K76" s="77">
        <f>INDEX(RobotDesignResults[Iterate - Improvements (CV)],MATCH(CoreValuesResults[[#This Row],[Team Number]],RobotDesignResults[Team Number],0))</f>
        <v/>
      </c>
      <c r="L76" s="77">
        <f>INDEX(RobotDesignResults[Communicate - Impact (CV)],MATCH(CoreValuesResults[[#This Row],[Team Number]],RobotDesignResults[Team Number],0))</f>
        <v/>
      </c>
      <c r="M76" s="77">
        <f>INDEX(RobotDesignResults[Communicate - Fun (CV)],MATCH(CoreValuesResults[[#This Row],[Team Number]],RobotDesignResults[Team Number],0))</f>
        <v/>
      </c>
      <c r="N76" s="86" t="n"/>
      <c r="O76" s="86" t="n"/>
      <c r="P76" s="86" t="n"/>
      <c r="Q76" s="69">
        <f>SUM(CoreValuesResults[[#This Row],[Gracious Professionalism 1]:[Gracious Professionalism 3]])</f>
        <v/>
      </c>
      <c r="R76" s="69">
        <f>SUM(N76:Q76)</f>
        <v/>
      </c>
      <c r="S76" s="83">
        <f>SUM(CoreValuesResults[[#This Row],[Identify - Research (CV-IP)]:[Communicate - Fun (CV-RD)]],CoreValuesResults[[#This Row],[Gracious Professionalism Score]])</f>
        <v/>
      </c>
      <c r="T76" s="73">
        <f>_xlfn.RANK.EQ(CoreValuesResults[[#This Row],[Core Values Score]],CoreValuesResults[Core Values Score],0)</f>
        <v/>
      </c>
    </row>
    <row r="77" ht="21" customHeight="1">
      <c r="A77" s="69" t="n"/>
      <c r="B77" s="69">
        <f>INDEX(OfficialTeamList[Pod Number],MATCH(CoreValuesResults[[#This Row],[Team Number]], OfficialTeamList[Team '#],0))</f>
        <v/>
      </c>
      <c r="C77" s="106">
        <f>INDEX(OfficialTeamList[Team Name],MATCH(CoreValuesResults[[#This Row],[Team Number]], OfficialTeamList[Team '#],0))</f>
        <v/>
      </c>
      <c r="D77" s="77">
        <f>INDEX(InnovationProjectResults[Identify - Research (CV)],MATCH(CoreValuesResults[[#This Row],[Team Number]],InnovationProjectResults[Team Number],0))</f>
        <v/>
      </c>
      <c r="E77" s="77">
        <f>INDEX(InnovationProjectResults[Design - Teamwork (CV)],MATCH(CoreValuesResults[[#This Row],[Team Number]],InnovationProjectResults[Team Number],0))</f>
        <v/>
      </c>
      <c r="F77" s="77">
        <f>INDEX(InnovationProjectResults[Create - Innovation (CV)],MATCH(CoreValuesResults[[#This Row],[Team Number]],InnovationProjectResults[Team Number],0))</f>
        <v/>
      </c>
      <c r="G77" s="77">
        <f>INDEX(InnovationProjectResults[Communicate - Impact (CV)],MATCH(CoreValuesResults[[#This Row],[Team Number]],InnovationProjectResults[Team Number],0))</f>
        <v/>
      </c>
      <c r="H77" s="77">
        <f>INDEX(InnovationProjectResults[Communicate - Fun (CV)],MATCH(CoreValuesResults[[#This Row],[Team Number]],InnovationProjectResults[Team Number],0))</f>
        <v/>
      </c>
      <c r="I77" s="77">
        <f>INDEX(RobotDesignResults[Identify - Research (CV)],MATCH(CoreValuesResults[[#This Row],[Team Number]],RobotDesignResults[Team Number],0))</f>
        <v/>
      </c>
      <c r="J77" s="77">
        <f>INDEX(RobotDesignResults[Design - Ideas (CV)],MATCH(CoreValuesResults[[#This Row],[Team Number]],RobotDesignResults[Team Number],0))</f>
        <v/>
      </c>
      <c r="K77" s="77">
        <f>INDEX(RobotDesignResults[Iterate - Improvements (CV)],MATCH(CoreValuesResults[[#This Row],[Team Number]],RobotDesignResults[Team Number],0))</f>
        <v/>
      </c>
      <c r="L77" s="77">
        <f>INDEX(RobotDesignResults[Communicate - Impact (CV)],MATCH(CoreValuesResults[[#This Row],[Team Number]],RobotDesignResults[Team Number],0))</f>
        <v/>
      </c>
      <c r="M77" s="77">
        <f>INDEX(RobotDesignResults[Communicate - Fun (CV)],MATCH(CoreValuesResults[[#This Row],[Team Number]],RobotDesignResults[Team Number],0))</f>
        <v/>
      </c>
      <c r="N77" s="86" t="n"/>
      <c r="O77" s="86" t="n"/>
      <c r="P77" s="86" t="n"/>
      <c r="Q77" s="69">
        <f>SUM(CoreValuesResults[[#This Row],[Gracious Professionalism 1]:[Gracious Professionalism 3]])</f>
        <v/>
      </c>
      <c r="R77" s="69">
        <f>SUM(N77:Q77)</f>
        <v/>
      </c>
      <c r="S77" s="83">
        <f>SUM(CoreValuesResults[[#This Row],[Identify - Research (CV-IP)]:[Communicate - Fun (CV-RD)]],CoreValuesResults[[#This Row],[Gracious Professionalism Score]])</f>
        <v/>
      </c>
      <c r="T77" s="73">
        <f>_xlfn.RANK.EQ(CoreValuesResults[[#This Row],[Core Values Score]],CoreValuesResults[Core Values Score],0)</f>
        <v/>
      </c>
    </row>
    <row r="78" ht="21" customHeight="1">
      <c r="A78" s="69" t="n"/>
      <c r="B78" s="69">
        <f>INDEX(OfficialTeamList[Pod Number],MATCH(CoreValuesResults[[#This Row],[Team Number]], OfficialTeamList[Team '#],0))</f>
        <v/>
      </c>
      <c r="C78" s="106">
        <f>INDEX(OfficialTeamList[Team Name],MATCH(CoreValuesResults[[#This Row],[Team Number]], OfficialTeamList[Team '#],0))</f>
        <v/>
      </c>
      <c r="D78" s="77">
        <f>INDEX(InnovationProjectResults[Identify - Research (CV)],MATCH(CoreValuesResults[[#This Row],[Team Number]],InnovationProjectResults[Team Number],0))</f>
        <v/>
      </c>
      <c r="E78" s="77">
        <f>INDEX(InnovationProjectResults[Design - Teamwork (CV)],MATCH(CoreValuesResults[[#This Row],[Team Number]],InnovationProjectResults[Team Number],0))</f>
        <v/>
      </c>
      <c r="F78" s="77">
        <f>INDEX(InnovationProjectResults[Create - Innovation (CV)],MATCH(CoreValuesResults[[#This Row],[Team Number]],InnovationProjectResults[Team Number],0))</f>
        <v/>
      </c>
      <c r="G78" s="77">
        <f>INDEX(InnovationProjectResults[Communicate - Impact (CV)],MATCH(CoreValuesResults[[#This Row],[Team Number]],InnovationProjectResults[Team Number],0))</f>
        <v/>
      </c>
      <c r="H78" s="77">
        <f>INDEX(InnovationProjectResults[Communicate - Fun (CV)],MATCH(CoreValuesResults[[#This Row],[Team Number]],InnovationProjectResults[Team Number],0))</f>
        <v/>
      </c>
      <c r="I78" s="77">
        <f>INDEX(RobotDesignResults[Identify - Research (CV)],MATCH(CoreValuesResults[[#This Row],[Team Number]],RobotDesignResults[Team Number],0))</f>
        <v/>
      </c>
      <c r="J78" s="77">
        <f>INDEX(RobotDesignResults[Design - Ideas (CV)],MATCH(CoreValuesResults[[#This Row],[Team Number]],RobotDesignResults[Team Number],0))</f>
        <v/>
      </c>
      <c r="K78" s="77">
        <f>INDEX(RobotDesignResults[Iterate - Improvements (CV)],MATCH(CoreValuesResults[[#This Row],[Team Number]],RobotDesignResults[Team Number],0))</f>
        <v/>
      </c>
      <c r="L78" s="77">
        <f>INDEX(RobotDesignResults[Communicate - Impact (CV)],MATCH(CoreValuesResults[[#This Row],[Team Number]],RobotDesignResults[Team Number],0))</f>
        <v/>
      </c>
      <c r="M78" s="77">
        <f>INDEX(RobotDesignResults[Communicate - Fun (CV)],MATCH(CoreValuesResults[[#This Row],[Team Number]],RobotDesignResults[Team Number],0))</f>
        <v/>
      </c>
      <c r="N78" s="86" t="n"/>
      <c r="O78" s="86" t="n"/>
      <c r="P78" s="86" t="n"/>
      <c r="Q78" s="69">
        <f>SUM(CoreValuesResults[[#This Row],[Gracious Professionalism 1]:[Gracious Professionalism 3]])</f>
        <v/>
      </c>
      <c r="R78" s="69">
        <f>SUM(N78:Q78)</f>
        <v/>
      </c>
      <c r="S78" s="83">
        <f>SUM(CoreValuesResults[[#This Row],[Identify - Research (CV-IP)]:[Communicate - Fun (CV-RD)]],CoreValuesResults[[#This Row],[Gracious Professionalism Score]])</f>
        <v/>
      </c>
      <c r="T78" s="73">
        <f>_xlfn.RANK.EQ(CoreValuesResults[[#This Row],[Core Values Score]],CoreValuesResults[Core Values Score],0)</f>
        <v/>
      </c>
    </row>
    <row r="79" ht="21" customHeight="1">
      <c r="A79" s="69" t="n"/>
      <c r="B79" s="69">
        <f>INDEX(OfficialTeamList[Pod Number],MATCH(CoreValuesResults[[#This Row],[Team Number]], OfficialTeamList[Team '#],0))</f>
        <v/>
      </c>
      <c r="C79" s="106">
        <f>INDEX(OfficialTeamList[Team Name],MATCH(CoreValuesResults[[#This Row],[Team Number]], OfficialTeamList[Team '#],0))</f>
        <v/>
      </c>
      <c r="D79" s="77">
        <f>INDEX(InnovationProjectResults[Identify - Research (CV)],MATCH(CoreValuesResults[[#This Row],[Team Number]],InnovationProjectResults[Team Number],0))</f>
        <v/>
      </c>
      <c r="E79" s="77">
        <f>INDEX(InnovationProjectResults[Design - Teamwork (CV)],MATCH(CoreValuesResults[[#This Row],[Team Number]],InnovationProjectResults[Team Number],0))</f>
        <v/>
      </c>
      <c r="F79" s="77">
        <f>INDEX(InnovationProjectResults[Create - Innovation (CV)],MATCH(CoreValuesResults[[#This Row],[Team Number]],InnovationProjectResults[Team Number],0))</f>
        <v/>
      </c>
      <c r="G79" s="77">
        <f>INDEX(InnovationProjectResults[Communicate - Impact (CV)],MATCH(CoreValuesResults[[#This Row],[Team Number]],InnovationProjectResults[Team Number],0))</f>
        <v/>
      </c>
      <c r="H79" s="77">
        <f>INDEX(InnovationProjectResults[Communicate - Fun (CV)],MATCH(CoreValuesResults[[#This Row],[Team Number]],InnovationProjectResults[Team Number],0))</f>
        <v/>
      </c>
      <c r="I79" s="77">
        <f>INDEX(RobotDesignResults[Identify - Research (CV)],MATCH(CoreValuesResults[[#This Row],[Team Number]],RobotDesignResults[Team Number],0))</f>
        <v/>
      </c>
      <c r="J79" s="77">
        <f>INDEX(RobotDesignResults[Design - Ideas (CV)],MATCH(CoreValuesResults[[#This Row],[Team Number]],RobotDesignResults[Team Number],0))</f>
        <v/>
      </c>
      <c r="K79" s="77">
        <f>INDEX(RobotDesignResults[Iterate - Improvements (CV)],MATCH(CoreValuesResults[[#This Row],[Team Number]],RobotDesignResults[Team Number],0))</f>
        <v/>
      </c>
      <c r="L79" s="77">
        <f>INDEX(RobotDesignResults[Communicate - Impact (CV)],MATCH(CoreValuesResults[[#This Row],[Team Number]],RobotDesignResults[Team Number],0))</f>
        <v/>
      </c>
      <c r="M79" s="77">
        <f>INDEX(RobotDesignResults[Communicate - Fun (CV)],MATCH(CoreValuesResults[[#This Row],[Team Number]],RobotDesignResults[Team Number],0))</f>
        <v/>
      </c>
      <c r="N79" s="86" t="n"/>
      <c r="O79" s="86" t="n"/>
      <c r="P79" s="86" t="n"/>
      <c r="Q79" s="69">
        <f>SUM(CoreValuesResults[[#This Row],[Gracious Professionalism 1]:[Gracious Professionalism 3]])</f>
        <v/>
      </c>
      <c r="R79" s="69">
        <f>SUM(N79:Q79)</f>
        <v/>
      </c>
      <c r="S79" s="83">
        <f>SUM(CoreValuesResults[[#This Row],[Identify - Research (CV-IP)]:[Communicate - Fun (CV-RD)]],CoreValuesResults[[#This Row],[Gracious Professionalism Score]])</f>
        <v/>
      </c>
      <c r="T79" s="73">
        <f>_xlfn.RANK.EQ(CoreValuesResults[[#This Row],[Core Values Score]],CoreValuesResults[Core Values Score],0)</f>
        <v/>
      </c>
    </row>
    <row r="80" ht="21" customHeight="1">
      <c r="A80" s="69" t="n"/>
      <c r="B80" s="69">
        <f>INDEX(OfficialTeamList[Pod Number],MATCH(CoreValuesResults[[#This Row],[Team Number]], OfficialTeamList[Team '#],0))</f>
        <v/>
      </c>
      <c r="C80" s="106">
        <f>INDEX(OfficialTeamList[Team Name],MATCH(CoreValuesResults[[#This Row],[Team Number]], OfficialTeamList[Team '#],0))</f>
        <v/>
      </c>
      <c r="D80" s="77">
        <f>INDEX(InnovationProjectResults[Identify - Research (CV)],MATCH(CoreValuesResults[[#This Row],[Team Number]],InnovationProjectResults[Team Number],0))</f>
        <v/>
      </c>
      <c r="E80" s="77">
        <f>INDEX(InnovationProjectResults[Design - Teamwork (CV)],MATCH(CoreValuesResults[[#This Row],[Team Number]],InnovationProjectResults[Team Number],0))</f>
        <v/>
      </c>
      <c r="F80" s="77">
        <f>INDEX(InnovationProjectResults[Create - Innovation (CV)],MATCH(CoreValuesResults[[#This Row],[Team Number]],InnovationProjectResults[Team Number],0))</f>
        <v/>
      </c>
      <c r="G80" s="77">
        <f>INDEX(InnovationProjectResults[Communicate - Impact (CV)],MATCH(CoreValuesResults[[#This Row],[Team Number]],InnovationProjectResults[Team Number],0))</f>
        <v/>
      </c>
      <c r="H80" s="77">
        <f>INDEX(InnovationProjectResults[Communicate - Fun (CV)],MATCH(CoreValuesResults[[#This Row],[Team Number]],InnovationProjectResults[Team Number],0))</f>
        <v/>
      </c>
      <c r="I80" s="77">
        <f>INDEX(RobotDesignResults[Identify - Research (CV)],MATCH(CoreValuesResults[[#This Row],[Team Number]],RobotDesignResults[Team Number],0))</f>
        <v/>
      </c>
      <c r="J80" s="77">
        <f>INDEX(RobotDesignResults[Design - Ideas (CV)],MATCH(CoreValuesResults[[#This Row],[Team Number]],RobotDesignResults[Team Number],0))</f>
        <v/>
      </c>
      <c r="K80" s="77">
        <f>INDEX(RobotDesignResults[Iterate - Improvements (CV)],MATCH(CoreValuesResults[[#This Row],[Team Number]],RobotDesignResults[Team Number],0))</f>
        <v/>
      </c>
      <c r="L80" s="77">
        <f>INDEX(RobotDesignResults[Communicate - Impact (CV)],MATCH(CoreValuesResults[[#This Row],[Team Number]],RobotDesignResults[Team Number],0))</f>
        <v/>
      </c>
      <c r="M80" s="77">
        <f>INDEX(RobotDesignResults[Communicate - Fun (CV)],MATCH(CoreValuesResults[[#This Row],[Team Number]],RobotDesignResults[Team Number],0))</f>
        <v/>
      </c>
      <c r="N80" s="86" t="n"/>
      <c r="O80" s="86" t="n"/>
      <c r="P80" s="86" t="n"/>
      <c r="Q80" s="69">
        <f>SUM(CoreValuesResults[[#This Row],[Gracious Professionalism 1]:[Gracious Professionalism 3]])</f>
        <v/>
      </c>
      <c r="R80" s="69">
        <f>SUM(N80:Q80)</f>
        <v/>
      </c>
      <c r="S80" s="83">
        <f>SUM(CoreValuesResults[[#This Row],[Identify - Research (CV-IP)]:[Communicate - Fun (CV-RD)]],CoreValuesResults[[#This Row],[Gracious Professionalism Score]])</f>
        <v/>
      </c>
      <c r="T80" s="73">
        <f>_xlfn.RANK.EQ(CoreValuesResults[[#This Row],[Core Values Score]],CoreValuesResults[Core Values Score],0)</f>
        <v/>
      </c>
    </row>
    <row r="81" ht="21" customHeight="1">
      <c r="A81" s="69" t="n"/>
      <c r="B81" s="69">
        <f>INDEX(OfficialTeamList[Pod Number],MATCH(CoreValuesResults[[#This Row],[Team Number]], OfficialTeamList[Team '#],0))</f>
        <v/>
      </c>
      <c r="C81" s="106">
        <f>INDEX(OfficialTeamList[Team Name],MATCH(CoreValuesResults[[#This Row],[Team Number]], OfficialTeamList[Team '#],0))</f>
        <v/>
      </c>
      <c r="D81" s="77">
        <f>INDEX(InnovationProjectResults[Identify - Research (CV)],MATCH(CoreValuesResults[[#This Row],[Team Number]],InnovationProjectResults[Team Number],0))</f>
        <v/>
      </c>
      <c r="E81" s="77">
        <f>INDEX(InnovationProjectResults[Design - Teamwork (CV)],MATCH(CoreValuesResults[[#This Row],[Team Number]],InnovationProjectResults[Team Number],0))</f>
        <v/>
      </c>
      <c r="F81" s="77">
        <f>INDEX(InnovationProjectResults[Create - Innovation (CV)],MATCH(CoreValuesResults[[#This Row],[Team Number]],InnovationProjectResults[Team Number],0))</f>
        <v/>
      </c>
      <c r="G81" s="77">
        <f>INDEX(InnovationProjectResults[Communicate - Impact (CV)],MATCH(CoreValuesResults[[#This Row],[Team Number]],InnovationProjectResults[Team Number],0))</f>
        <v/>
      </c>
      <c r="H81" s="77">
        <f>INDEX(InnovationProjectResults[Communicate - Fun (CV)],MATCH(CoreValuesResults[[#This Row],[Team Number]],InnovationProjectResults[Team Number],0))</f>
        <v/>
      </c>
      <c r="I81" s="77">
        <f>INDEX(RobotDesignResults[Identify - Research (CV)],MATCH(CoreValuesResults[[#This Row],[Team Number]],RobotDesignResults[Team Number],0))</f>
        <v/>
      </c>
      <c r="J81" s="77">
        <f>INDEX(RobotDesignResults[Design - Ideas (CV)],MATCH(CoreValuesResults[[#This Row],[Team Number]],RobotDesignResults[Team Number],0))</f>
        <v/>
      </c>
      <c r="K81" s="77">
        <f>INDEX(RobotDesignResults[Iterate - Improvements (CV)],MATCH(CoreValuesResults[[#This Row],[Team Number]],RobotDesignResults[Team Number],0))</f>
        <v/>
      </c>
      <c r="L81" s="77">
        <f>INDEX(RobotDesignResults[Communicate - Impact (CV)],MATCH(CoreValuesResults[[#This Row],[Team Number]],RobotDesignResults[Team Number],0))</f>
        <v/>
      </c>
      <c r="M81" s="77">
        <f>INDEX(RobotDesignResults[Communicate - Fun (CV)],MATCH(CoreValuesResults[[#This Row],[Team Number]],RobotDesignResults[Team Number],0))</f>
        <v/>
      </c>
      <c r="N81" s="86" t="n"/>
      <c r="O81" s="86" t="n"/>
      <c r="P81" s="86" t="n"/>
      <c r="Q81" s="69">
        <f>SUM(CoreValuesResults[[#This Row],[Gracious Professionalism 1]:[Gracious Professionalism 3]])</f>
        <v/>
      </c>
      <c r="R81" s="69">
        <f>SUM(N81:Q81)</f>
        <v/>
      </c>
      <c r="S81" s="83">
        <f>SUM(CoreValuesResults[[#This Row],[Identify - Research (CV-IP)]:[Communicate - Fun (CV-RD)]],CoreValuesResults[[#This Row],[Gracious Professionalism Score]])</f>
        <v/>
      </c>
      <c r="T81" s="73">
        <f>_xlfn.RANK.EQ(CoreValuesResults[[#This Row],[Core Values Score]],CoreValuesResults[Core Values Score],0)</f>
        <v/>
      </c>
    </row>
    <row r="82" ht="21" customHeight="1">
      <c r="A82" s="69" t="n"/>
      <c r="B82" s="69">
        <f>INDEX(OfficialTeamList[Pod Number],MATCH(CoreValuesResults[[#This Row],[Team Number]], OfficialTeamList[Team '#],0))</f>
        <v/>
      </c>
      <c r="C82" s="106">
        <f>INDEX(OfficialTeamList[Team Name],MATCH(CoreValuesResults[[#This Row],[Team Number]], OfficialTeamList[Team '#],0))</f>
        <v/>
      </c>
      <c r="D82" s="77">
        <f>INDEX(InnovationProjectResults[Identify - Research (CV)],MATCH(CoreValuesResults[[#This Row],[Team Number]],InnovationProjectResults[Team Number],0))</f>
        <v/>
      </c>
      <c r="E82" s="77">
        <f>INDEX(InnovationProjectResults[Design - Teamwork (CV)],MATCH(CoreValuesResults[[#This Row],[Team Number]],InnovationProjectResults[Team Number],0))</f>
        <v/>
      </c>
      <c r="F82" s="77">
        <f>INDEX(InnovationProjectResults[Create - Innovation (CV)],MATCH(CoreValuesResults[[#This Row],[Team Number]],InnovationProjectResults[Team Number],0))</f>
        <v/>
      </c>
      <c r="G82" s="77">
        <f>INDEX(InnovationProjectResults[Communicate - Impact (CV)],MATCH(CoreValuesResults[[#This Row],[Team Number]],InnovationProjectResults[Team Number],0))</f>
        <v/>
      </c>
      <c r="H82" s="77">
        <f>INDEX(InnovationProjectResults[Communicate - Fun (CV)],MATCH(CoreValuesResults[[#This Row],[Team Number]],InnovationProjectResults[Team Number],0))</f>
        <v/>
      </c>
      <c r="I82" s="77">
        <f>INDEX(RobotDesignResults[Identify - Research (CV)],MATCH(CoreValuesResults[[#This Row],[Team Number]],RobotDesignResults[Team Number],0))</f>
        <v/>
      </c>
      <c r="J82" s="77">
        <f>INDEX(RobotDesignResults[Design - Ideas (CV)],MATCH(CoreValuesResults[[#This Row],[Team Number]],RobotDesignResults[Team Number],0))</f>
        <v/>
      </c>
      <c r="K82" s="77">
        <f>INDEX(RobotDesignResults[Iterate - Improvements (CV)],MATCH(CoreValuesResults[[#This Row],[Team Number]],RobotDesignResults[Team Number],0))</f>
        <v/>
      </c>
      <c r="L82" s="77">
        <f>INDEX(RobotDesignResults[Communicate - Impact (CV)],MATCH(CoreValuesResults[[#This Row],[Team Number]],RobotDesignResults[Team Number],0))</f>
        <v/>
      </c>
      <c r="M82" s="77">
        <f>INDEX(RobotDesignResults[Communicate - Fun (CV)],MATCH(CoreValuesResults[[#This Row],[Team Number]],RobotDesignResults[Team Number],0))</f>
        <v/>
      </c>
      <c r="N82" s="86" t="n"/>
      <c r="O82" s="86" t="n"/>
      <c r="P82" s="86" t="n"/>
      <c r="Q82" s="69">
        <f>SUM(CoreValuesResults[[#This Row],[Gracious Professionalism 1]:[Gracious Professionalism 3]])</f>
        <v/>
      </c>
      <c r="R82" s="69">
        <f>SUM(N82:Q82)</f>
        <v/>
      </c>
      <c r="S82" s="83">
        <f>SUM(CoreValuesResults[[#This Row],[Identify - Research (CV-IP)]:[Communicate - Fun (CV-RD)]],CoreValuesResults[[#This Row],[Gracious Professionalism Score]])</f>
        <v/>
      </c>
      <c r="T82" s="73">
        <f>_xlfn.RANK.EQ(CoreValuesResults[[#This Row],[Core Values Score]],CoreValuesResults[Core Values Score],0)</f>
        <v/>
      </c>
    </row>
    <row r="83" ht="21" customHeight="1">
      <c r="A83" s="69" t="n"/>
      <c r="B83" s="69">
        <f>INDEX(OfficialTeamList[Pod Number],MATCH(CoreValuesResults[[#This Row],[Team Number]], OfficialTeamList[Team '#],0))</f>
        <v/>
      </c>
      <c r="C83" s="106">
        <f>INDEX(OfficialTeamList[Team Name],MATCH(CoreValuesResults[[#This Row],[Team Number]], OfficialTeamList[Team '#],0))</f>
        <v/>
      </c>
      <c r="D83" s="77">
        <f>INDEX(InnovationProjectResults[Identify - Research (CV)],MATCH(CoreValuesResults[[#This Row],[Team Number]],InnovationProjectResults[Team Number],0))</f>
        <v/>
      </c>
      <c r="E83" s="77">
        <f>INDEX(InnovationProjectResults[Design - Teamwork (CV)],MATCH(CoreValuesResults[[#This Row],[Team Number]],InnovationProjectResults[Team Number],0))</f>
        <v/>
      </c>
      <c r="F83" s="77">
        <f>INDEX(InnovationProjectResults[Create - Innovation (CV)],MATCH(CoreValuesResults[[#This Row],[Team Number]],InnovationProjectResults[Team Number],0))</f>
        <v/>
      </c>
      <c r="G83" s="77">
        <f>INDEX(InnovationProjectResults[Communicate - Impact (CV)],MATCH(CoreValuesResults[[#This Row],[Team Number]],InnovationProjectResults[Team Number],0))</f>
        <v/>
      </c>
      <c r="H83" s="77">
        <f>INDEX(InnovationProjectResults[Communicate - Fun (CV)],MATCH(CoreValuesResults[[#This Row],[Team Number]],InnovationProjectResults[Team Number],0))</f>
        <v/>
      </c>
      <c r="I83" s="77">
        <f>INDEX(RobotDesignResults[Identify - Research (CV)],MATCH(CoreValuesResults[[#This Row],[Team Number]],RobotDesignResults[Team Number],0))</f>
        <v/>
      </c>
      <c r="J83" s="77">
        <f>INDEX(RobotDesignResults[Design - Ideas (CV)],MATCH(CoreValuesResults[[#This Row],[Team Number]],RobotDesignResults[Team Number],0))</f>
        <v/>
      </c>
      <c r="K83" s="77">
        <f>INDEX(RobotDesignResults[Iterate - Improvements (CV)],MATCH(CoreValuesResults[[#This Row],[Team Number]],RobotDesignResults[Team Number],0))</f>
        <v/>
      </c>
      <c r="L83" s="77">
        <f>INDEX(RobotDesignResults[Communicate - Impact (CV)],MATCH(CoreValuesResults[[#This Row],[Team Number]],RobotDesignResults[Team Number],0))</f>
        <v/>
      </c>
      <c r="M83" s="77">
        <f>INDEX(RobotDesignResults[Communicate - Fun (CV)],MATCH(CoreValuesResults[[#This Row],[Team Number]],RobotDesignResults[Team Number],0))</f>
        <v/>
      </c>
      <c r="N83" s="86" t="n"/>
      <c r="O83" s="86" t="n"/>
      <c r="P83" s="86" t="n"/>
      <c r="Q83" s="69">
        <f>SUM(CoreValuesResults[[#This Row],[Gracious Professionalism 1]:[Gracious Professionalism 3]])</f>
        <v/>
      </c>
      <c r="R83" s="69">
        <f>SUM(N83:Q83)</f>
        <v/>
      </c>
      <c r="S83" s="83">
        <f>SUM(CoreValuesResults[[#This Row],[Identify - Research (CV-IP)]:[Communicate - Fun (CV-RD)]],CoreValuesResults[[#This Row],[Gracious Professionalism Score]])</f>
        <v/>
      </c>
      <c r="T83" s="73">
        <f>_xlfn.RANK.EQ(CoreValuesResults[[#This Row],[Core Values Score]],CoreValuesResults[Core Values Score],0)</f>
        <v/>
      </c>
    </row>
    <row r="84" ht="21" customHeight="1">
      <c r="A84" s="69" t="n"/>
      <c r="B84" s="69">
        <f>INDEX(OfficialTeamList[Pod Number],MATCH(CoreValuesResults[[#This Row],[Team Number]], OfficialTeamList[Team '#],0))</f>
        <v/>
      </c>
      <c r="C84" s="106">
        <f>INDEX(OfficialTeamList[Team Name],MATCH(CoreValuesResults[[#This Row],[Team Number]], OfficialTeamList[Team '#],0))</f>
        <v/>
      </c>
      <c r="D84" s="77">
        <f>INDEX(InnovationProjectResults[Identify - Research (CV)],MATCH(CoreValuesResults[[#This Row],[Team Number]],InnovationProjectResults[Team Number],0))</f>
        <v/>
      </c>
      <c r="E84" s="77">
        <f>INDEX(InnovationProjectResults[Design - Teamwork (CV)],MATCH(CoreValuesResults[[#This Row],[Team Number]],InnovationProjectResults[Team Number],0))</f>
        <v/>
      </c>
      <c r="F84" s="77">
        <f>INDEX(InnovationProjectResults[Create - Innovation (CV)],MATCH(CoreValuesResults[[#This Row],[Team Number]],InnovationProjectResults[Team Number],0))</f>
        <v/>
      </c>
      <c r="G84" s="77">
        <f>INDEX(InnovationProjectResults[Communicate - Impact (CV)],MATCH(CoreValuesResults[[#This Row],[Team Number]],InnovationProjectResults[Team Number],0))</f>
        <v/>
      </c>
      <c r="H84" s="77">
        <f>INDEX(InnovationProjectResults[Communicate - Fun (CV)],MATCH(CoreValuesResults[[#This Row],[Team Number]],InnovationProjectResults[Team Number],0))</f>
        <v/>
      </c>
      <c r="I84" s="77">
        <f>INDEX(RobotDesignResults[Identify - Research (CV)],MATCH(CoreValuesResults[[#This Row],[Team Number]],RobotDesignResults[Team Number],0))</f>
        <v/>
      </c>
      <c r="J84" s="77">
        <f>INDEX(RobotDesignResults[Design - Ideas (CV)],MATCH(CoreValuesResults[[#This Row],[Team Number]],RobotDesignResults[Team Number],0))</f>
        <v/>
      </c>
      <c r="K84" s="77">
        <f>INDEX(RobotDesignResults[Iterate - Improvements (CV)],MATCH(CoreValuesResults[[#This Row],[Team Number]],RobotDesignResults[Team Number],0))</f>
        <v/>
      </c>
      <c r="L84" s="77">
        <f>INDEX(RobotDesignResults[Communicate - Impact (CV)],MATCH(CoreValuesResults[[#This Row],[Team Number]],RobotDesignResults[Team Number],0))</f>
        <v/>
      </c>
      <c r="M84" s="77">
        <f>INDEX(RobotDesignResults[Communicate - Fun (CV)],MATCH(CoreValuesResults[[#This Row],[Team Number]],RobotDesignResults[Team Number],0))</f>
        <v/>
      </c>
      <c r="N84" s="86" t="n"/>
      <c r="O84" s="86" t="n"/>
      <c r="P84" s="86" t="n"/>
      <c r="Q84" s="69">
        <f>SUM(CoreValuesResults[[#This Row],[Gracious Professionalism 1]:[Gracious Professionalism 3]])</f>
        <v/>
      </c>
      <c r="R84" s="69">
        <f>SUM(N84:Q84)</f>
        <v/>
      </c>
      <c r="S84" s="83">
        <f>SUM(CoreValuesResults[[#This Row],[Identify - Research (CV-IP)]:[Communicate - Fun (CV-RD)]],CoreValuesResults[[#This Row],[Gracious Professionalism Score]])</f>
        <v/>
      </c>
      <c r="T84" s="73">
        <f>_xlfn.RANK.EQ(CoreValuesResults[[#This Row],[Core Values Score]],CoreValuesResults[Core Values Score],0)</f>
        <v/>
      </c>
    </row>
    <row r="85" ht="21" customHeight="1">
      <c r="A85" s="69" t="n"/>
      <c r="B85" s="69">
        <f>INDEX(OfficialTeamList[Pod Number],MATCH(CoreValuesResults[[#This Row],[Team Number]], OfficialTeamList[Team '#],0))</f>
        <v/>
      </c>
      <c r="C85" s="106">
        <f>INDEX(OfficialTeamList[Team Name],MATCH(CoreValuesResults[[#This Row],[Team Number]], OfficialTeamList[Team '#],0))</f>
        <v/>
      </c>
      <c r="D85" s="77">
        <f>INDEX(InnovationProjectResults[Identify - Research (CV)],MATCH(CoreValuesResults[[#This Row],[Team Number]],InnovationProjectResults[Team Number],0))</f>
        <v/>
      </c>
      <c r="E85" s="77">
        <f>INDEX(InnovationProjectResults[Design - Teamwork (CV)],MATCH(CoreValuesResults[[#This Row],[Team Number]],InnovationProjectResults[Team Number],0))</f>
        <v/>
      </c>
      <c r="F85" s="77">
        <f>INDEX(InnovationProjectResults[Create - Innovation (CV)],MATCH(CoreValuesResults[[#This Row],[Team Number]],InnovationProjectResults[Team Number],0))</f>
        <v/>
      </c>
      <c r="G85" s="77">
        <f>INDEX(InnovationProjectResults[Communicate - Impact (CV)],MATCH(CoreValuesResults[[#This Row],[Team Number]],InnovationProjectResults[Team Number],0))</f>
        <v/>
      </c>
      <c r="H85" s="77">
        <f>INDEX(InnovationProjectResults[Communicate - Fun (CV)],MATCH(CoreValuesResults[[#This Row],[Team Number]],InnovationProjectResults[Team Number],0))</f>
        <v/>
      </c>
      <c r="I85" s="77">
        <f>INDEX(RobotDesignResults[Identify - Research (CV)],MATCH(CoreValuesResults[[#This Row],[Team Number]],RobotDesignResults[Team Number],0))</f>
        <v/>
      </c>
      <c r="J85" s="77">
        <f>INDEX(RobotDesignResults[Design - Ideas (CV)],MATCH(CoreValuesResults[[#This Row],[Team Number]],RobotDesignResults[Team Number],0))</f>
        <v/>
      </c>
      <c r="K85" s="77">
        <f>INDEX(RobotDesignResults[Iterate - Improvements (CV)],MATCH(CoreValuesResults[[#This Row],[Team Number]],RobotDesignResults[Team Number],0))</f>
        <v/>
      </c>
      <c r="L85" s="77">
        <f>INDEX(RobotDesignResults[Communicate - Impact (CV)],MATCH(CoreValuesResults[[#This Row],[Team Number]],RobotDesignResults[Team Number],0))</f>
        <v/>
      </c>
      <c r="M85" s="77">
        <f>INDEX(RobotDesignResults[Communicate - Fun (CV)],MATCH(CoreValuesResults[[#This Row],[Team Number]],RobotDesignResults[Team Number],0))</f>
        <v/>
      </c>
      <c r="N85" s="86" t="n"/>
      <c r="O85" s="86" t="n"/>
      <c r="P85" s="86" t="n"/>
      <c r="Q85" s="69">
        <f>SUM(CoreValuesResults[[#This Row],[Gracious Professionalism 1]:[Gracious Professionalism 3]])</f>
        <v/>
      </c>
      <c r="R85" s="69">
        <f>SUM(N85:Q85)</f>
        <v/>
      </c>
      <c r="S85" s="83">
        <f>SUM(CoreValuesResults[[#This Row],[Identify - Research (CV-IP)]:[Communicate - Fun (CV-RD)]],CoreValuesResults[[#This Row],[Gracious Professionalism Score]])</f>
        <v/>
      </c>
      <c r="T85" s="73">
        <f>_xlfn.RANK.EQ(CoreValuesResults[[#This Row],[Core Values Score]],CoreValuesResults[Core Values Score],0)</f>
        <v/>
      </c>
    </row>
    <row r="86" ht="21" customHeight="1">
      <c r="A86" s="69" t="n"/>
      <c r="B86" s="69">
        <f>INDEX(OfficialTeamList[Pod Number],MATCH(CoreValuesResults[[#This Row],[Team Number]], OfficialTeamList[Team '#],0))</f>
        <v/>
      </c>
      <c r="C86" s="106">
        <f>INDEX(OfficialTeamList[Team Name],MATCH(CoreValuesResults[[#This Row],[Team Number]], OfficialTeamList[Team '#],0))</f>
        <v/>
      </c>
      <c r="D86" s="77">
        <f>INDEX(InnovationProjectResults[Identify - Research (CV)],MATCH(CoreValuesResults[[#This Row],[Team Number]],InnovationProjectResults[Team Number],0))</f>
        <v/>
      </c>
      <c r="E86" s="77">
        <f>INDEX(InnovationProjectResults[Design - Teamwork (CV)],MATCH(CoreValuesResults[[#This Row],[Team Number]],InnovationProjectResults[Team Number],0))</f>
        <v/>
      </c>
      <c r="F86" s="77">
        <f>INDEX(InnovationProjectResults[Create - Innovation (CV)],MATCH(CoreValuesResults[[#This Row],[Team Number]],InnovationProjectResults[Team Number],0))</f>
        <v/>
      </c>
      <c r="G86" s="77">
        <f>INDEX(InnovationProjectResults[Communicate - Impact (CV)],MATCH(CoreValuesResults[[#This Row],[Team Number]],InnovationProjectResults[Team Number],0))</f>
        <v/>
      </c>
      <c r="H86" s="77">
        <f>INDEX(InnovationProjectResults[Communicate - Fun (CV)],MATCH(CoreValuesResults[[#This Row],[Team Number]],InnovationProjectResults[Team Number],0))</f>
        <v/>
      </c>
      <c r="I86" s="77">
        <f>INDEX(RobotDesignResults[Identify - Research (CV)],MATCH(CoreValuesResults[[#This Row],[Team Number]],RobotDesignResults[Team Number],0))</f>
        <v/>
      </c>
      <c r="J86" s="77">
        <f>INDEX(RobotDesignResults[Design - Ideas (CV)],MATCH(CoreValuesResults[[#This Row],[Team Number]],RobotDesignResults[Team Number],0))</f>
        <v/>
      </c>
      <c r="K86" s="77">
        <f>INDEX(RobotDesignResults[Iterate - Improvements (CV)],MATCH(CoreValuesResults[[#This Row],[Team Number]],RobotDesignResults[Team Number],0))</f>
        <v/>
      </c>
      <c r="L86" s="77">
        <f>INDEX(RobotDesignResults[Communicate - Impact (CV)],MATCH(CoreValuesResults[[#This Row],[Team Number]],RobotDesignResults[Team Number],0))</f>
        <v/>
      </c>
      <c r="M86" s="77">
        <f>INDEX(RobotDesignResults[Communicate - Fun (CV)],MATCH(CoreValuesResults[[#This Row],[Team Number]],RobotDesignResults[Team Number],0))</f>
        <v/>
      </c>
      <c r="N86" s="86" t="n"/>
      <c r="O86" s="86" t="n"/>
      <c r="P86" s="86" t="n"/>
      <c r="Q86" s="69">
        <f>SUM(CoreValuesResults[[#This Row],[Gracious Professionalism 1]:[Gracious Professionalism 3]])</f>
        <v/>
      </c>
      <c r="R86" s="69">
        <f>SUM(N86:Q86)</f>
        <v/>
      </c>
      <c r="S86" s="83">
        <f>SUM(CoreValuesResults[[#This Row],[Identify - Research (CV-IP)]:[Communicate - Fun (CV-RD)]],CoreValuesResults[[#This Row],[Gracious Professionalism Score]])</f>
        <v/>
      </c>
      <c r="T86" s="73">
        <f>_xlfn.RANK.EQ(CoreValuesResults[[#This Row],[Core Values Score]],CoreValuesResults[Core Values Score],0)</f>
        <v/>
      </c>
    </row>
    <row r="87" ht="21" customHeight="1">
      <c r="A87" s="69" t="n"/>
      <c r="B87" s="69">
        <f>INDEX(OfficialTeamList[Pod Number],MATCH(CoreValuesResults[[#This Row],[Team Number]], OfficialTeamList[Team '#],0))</f>
        <v/>
      </c>
      <c r="C87" s="106">
        <f>INDEX(OfficialTeamList[Team Name],MATCH(CoreValuesResults[[#This Row],[Team Number]], OfficialTeamList[Team '#],0))</f>
        <v/>
      </c>
      <c r="D87" s="77">
        <f>INDEX(InnovationProjectResults[Identify - Research (CV)],MATCH(CoreValuesResults[[#This Row],[Team Number]],InnovationProjectResults[Team Number],0))</f>
        <v/>
      </c>
      <c r="E87" s="77">
        <f>INDEX(InnovationProjectResults[Design - Teamwork (CV)],MATCH(CoreValuesResults[[#This Row],[Team Number]],InnovationProjectResults[Team Number],0))</f>
        <v/>
      </c>
      <c r="F87" s="77">
        <f>INDEX(InnovationProjectResults[Create - Innovation (CV)],MATCH(CoreValuesResults[[#This Row],[Team Number]],InnovationProjectResults[Team Number],0))</f>
        <v/>
      </c>
      <c r="G87" s="77">
        <f>INDEX(InnovationProjectResults[Communicate - Impact (CV)],MATCH(CoreValuesResults[[#This Row],[Team Number]],InnovationProjectResults[Team Number],0))</f>
        <v/>
      </c>
      <c r="H87" s="77">
        <f>INDEX(InnovationProjectResults[Communicate - Fun (CV)],MATCH(CoreValuesResults[[#This Row],[Team Number]],InnovationProjectResults[Team Number],0))</f>
        <v/>
      </c>
      <c r="I87" s="77">
        <f>INDEX(RobotDesignResults[Identify - Research (CV)],MATCH(CoreValuesResults[[#This Row],[Team Number]],RobotDesignResults[Team Number],0))</f>
        <v/>
      </c>
      <c r="J87" s="77">
        <f>INDEX(RobotDesignResults[Design - Ideas (CV)],MATCH(CoreValuesResults[[#This Row],[Team Number]],RobotDesignResults[Team Number],0))</f>
        <v/>
      </c>
      <c r="K87" s="77">
        <f>INDEX(RobotDesignResults[Iterate - Improvements (CV)],MATCH(CoreValuesResults[[#This Row],[Team Number]],RobotDesignResults[Team Number],0))</f>
        <v/>
      </c>
      <c r="L87" s="77">
        <f>INDEX(RobotDesignResults[Communicate - Impact (CV)],MATCH(CoreValuesResults[[#This Row],[Team Number]],RobotDesignResults[Team Number],0))</f>
        <v/>
      </c>
      <c r="M87" s="77">
        <f>INDEX(RobotDesignResults[Communicate - Fun (CV)],MATCH(CoreValuesResults[[#This Row],[Team Number]],RobotDesignResults[Team Number],0))</f>
        <v/>
      </c>
      <c r="N87" s="86" t="n"/>
      <c r="O87" s="86" t="n"/>
      <c r="P87" s="86" t="n"/>
      <c r="Q87" s="69">
        <f>SUM(CoreValuesResults[[#This Row],[Gracious Professionalism 1]:[Gracious Professionalism 3]])</f>
        <v/>
      </c>
      <c r="R87" s="69">
        <f>SUM(N87:Q87)</f>
        <v/>
      </c>
      <c r="S87" s="83">
        <f>SUM(CoreValuesResults[[#This Row],[Identify - Research (CV-IP)]:[Communicate - Fun (CV-RD)]],CoreValuesResults[[#This Row],[Gracious Professionalism Score]])</f>
        <v/>
      </c>
      <c r="T87" s="73">
        <f>_xlfn.RANK.EQ(CoreValuesResults[[#This Row],[Core Values Score]],CoreValuesResults[Core Values Score],0)</f>
        <v/>
      </c>
    </row>
    <row r="88" ht="21" customHeight="1">
      <c r="A88" s="69" t="n"/>
      <c r="B88" s="69">
        <f>INDEX(OfficialTeamList[Pod Number],MATCH(CoreValuesResults[[#This Row],[Team Number]], OfficialTeamList[Team '#],0))</f>
        <v/>
      </c>
      <c r="C88" s="106">
        <f>INDEX(OfficialTeamList[Team Name],MATCH(CoreValuesResults[[#This Row],[Team Number]], OfficialTeamList[Team '#],0))</f>
        <v/>
      </c>
      <c r="D88" s="77">
        <f>INDEX(InnovationProjectResults[Identify - Research (CV)],MATCH(CoreValuesResults[[#This Row],[Team Number]],InnovationProjectResults[Team Number],0))</f>
        <v/>
      </c>
      <c r="E88" s="77">
        <f>INDEX(InnovationProjectResults[Design - Teamwork (CV)],MATCH(CoreValuesResults[[#This Row],[Team Number]],InnovationProjectResults[Team Number],0))</f>
        <v/>
      </c>
      <c r="F88" s="77">
        <f>INDEX(InnovationProjectResults[Create - Innovation (CV)],MATCH(CoreValuesResults[[#This Row],[Team Number]],InnovationProjectResults[Team Number],0))</f>
        <v/>
      </c>
      <c r="G88" s="77">
        <f>INDEX(InnovationProjectResults[Communicate - Impact (CV)],MATCH(CoreValuesResults[[#This Row],[Team Number]],InnovationProjectResults[Team Number],0))</f>
        <v/>
      </c>
      <c r="H88" s="77">
        <f>INDEX(InnovationProjectResults[Communicate - Fun (CV)],MATCH(CoreValuesResults[[#This Row],[Team Number]],InnovationProjectResults[Team Number],0))</f>
        <v/>
      </c>
      <c r="I88" s="77">
        <f>INDEX(RobotDesignResults[Identify - Research (CV)],MATCH(CoreValuesResults[[#This Row],[Team Number]],RobotDesignResults[Team Number],0))</f>
        <v/>
      </c>
      <c r="J88" s="77">
        <f>INDEX(RobotDesignResults[Design - Ideas (CV)],MATCH(CoreValuesResults[[#This Row],[Team Number]],RobotDesignResults[Team Number],0))</f>
        <v/>
      </c>
      <c r="K88" s="77">
        <f>INDEX(RobotDesignResults[Iterate - Improvements (CV)],MATCH(CoreValuesResults[[#This Row],[Team Number]],RobotDesignResults[Team Number],0))</f>
        <v/>
      </c>
      <c r="L88" s="77">
        <f>INDEX(RobotDesignResults[Communicate - Impact (CV)],MATCH(CoreValuesResults[[#This Row],[Team Number]],RobotDesignResults[Team Number],0))</f>
        <v/>
      </c>
      <c r="M88" s="77">
        <f>INDEX(RobotDesignResults[Communicate - Fun (CV)],MATCH(CoreValuesResults[[#This Row],[Team Number]],RobotDesignResults[Team Number],0))</f>
        <v/>
      </c>
      <c r="N88" s="86" t="n"/>
      <c r="O88" s="86" t="n"/>
      <c r="P88" s="86" t="n"/>
      <c r="Q88" s="69">
        <f>SUM(CoreValuesResults[[#This Row],[Gracious Professionalism 1]:[Gracious Professionalism 3]])</f>
        <v/>
      </c>
      <c r="R88" s="69">
        <f>SUM(N88:Q88)</f>
        <v/>
      </c>
      <c r="S88" s="83">
        <f>SUM(CoreValuesResults[[#This Row],[Identify - Research (CV-IP)]:[Communicate - Fun (CV-RD)]],CoreValuesResults[[#This Row],[Gracious Professionalism Score]])</f>
        <v/>
      </c>
      <c r="T88" s="73">
        <f>_xlfn.RANK.EQ(CoreValuesResults[[#This Row],[Core Values Score]],CoreValuesResults[Core Values Score],0)</f>
        <v/>
      </c>
    </row>
    <row r="89" ht="21" customHeight="1">
      <c r="A89" s="69" t="n"/>
      <c r="B89" s="69">
        <f>INDEX(OfficialTeamList[Pod Number],MATCH(CoreValuesResults[[#This Row],[Team Number]], OfficialTeamList[Team '#],0))</f>
        <v/>
      </c>
      <c r="C89" s="106">
        <f>INDEX(OfficialTeamList[Team Name],MATCH(CoreValuesResults[[#This Row],[Team Number]], OfficialTeamList[Team '#],0))</f>
        <v/>
      </c>
      <c r="D89" s="77">
        <f>INDEX(InnovationProjectResults[Identify - Research (CV)],MATCH(CoreValuesResults[[#This Row],[Team Number]],InnovationProjectResults[Team Number],0))</f>
        <v/>
      </c>
      <c r="E89" s="77">
        <f>INDEX(InnovationProjectResults[Design - Teamwork (CV)],MATCH(CoreValuesResults[[#This Row],[Team Number]],InnovationProjectResults[Team Number],0))</f>
        <v/>
      </c>
      <c r="F89" s="77">
        <f>INDEX(InnovationProjectResults[Create - Innovation (CV)],MATCH(CoreValuesResults[[#This Row],[Team Number]],InnovationProjectResults[Team Number],0))</f>
        <v/>
      </c>
      <c r="G89" s="77">
        <f>INDEX(InnovationProjectResults[Communicate - Impact (CV)],MATCH(CoreValuesResults[[#This Row],[Team Number]],InnovationProjectResults[Team Number],0))</f>
        <v/>
      </c>
      <c r="H89" s="77">
        <f>INDEX(InnovationProjectResults[Communicate - Fun (CV)],MATCH(CoreValuesResults[[#This Row],[Team Number]],InnovationProjectResults[Team Number],0))</f>
        <v/>
      </c>
      <c r="I89" s="77">
        <f>INDEX(RobotDesignResults[Identify - Research (CV)],MATCH(CoreValuesResults[[#This Row],[Team Number]],RobotDesignResults[Team Number],0))</f>
        <v/>
      </c>
      <c r="J89" s="77">
        <f>INDEX(RobotDesignResults[Design - Ideas (CV)],MATCH(CoreValuesResults[[#This Row],[Team Number]],RobotDesignResults[Team Number],0))</f>
        <v/>
      </c>
      <c r="K89" s="77">
        <f>INDEX(RobotDesignResults[Iterate - Improvements (CV)],MATCH(CoreValuesResults[[#This Row],[Team Number]],RobotDesignResults[Team Number],0))</f>
        <v/>
      </c>
      <c r="L89" s="77">
        <f>INDEX(RobotDesignResults[Communicate - Impact (CV)],MATCH(CoreValuesResults[[#This Row],[Team Number]],RobotDesignResults[Team Number],0))</f>
        <v/>
      </c>
      <c r="M89" s="77">
        <f>INDEX(RobotDesignResults[Communicate - Fun (CV)],MATCH(CoreValuesResults[[#This Row],[Team Number]],RobotDesignResults[Team Number],0))</f>
        <v/>
      </c>
      <c r="N89" s="86" t="n"/>
      <c r="O89" s="86" t="n"/>
      <c r="P89" s="86" t="n"/>
      <c r="Q89" s="69">
        <f>SUM(CoreValuesResults[[#This Row],[Gracious Professionalism 1]:[Gracious Professionalism 3]])</f>
        <v/>
      </c>
      <c r="R89" s="69">
        <f>SUM(N89:Q89)</f>
        <v/>
      </c>
      <c r="S89" s="83">
        <f>SUM(CoreValuesResults[[#This Row],[Identify - Research (CV-IP)]:[Communicate - Fun (CV-RD)]],CoreValuesResults[[#This Row],[Gracious Professionalism Score]])</f>
        <v/>
      </c>
      <c r="T89" s="73">
        <f>_xlfn.RANK.EQ(CoreValuesResults[[#This Row],[Core Values Score]],CoreValuesResults[Core Values Score],0)</f>
        <v/>
      </c>
    </row>
    <row r="90" ht="21" customHeight="1">
      <c r="A90" s="69" t="n"/>
      <c r="B90" s="69">
        <f>INDEX(OfficialTeamList[Pod Number],MATCH(CoreValuesResults[[#This Row],[Team Number]], OfficialTeamList[Team '#],0))</f>
        <v/>
      </c>
      <c r="C90" s="106">
        <f>INDEX(OfficialTeamList[Team Name],MATCH(CoreValuesResults[[#This Row],[Team Number]], OfficialTeamList[Team '#],0))</f>
        <v/>
      </c>
      <c r="D90" s="77">
        <f>INDEX(InnovationProjectResults[Identify - Research (CV)],MATCH(CoreValuesResults[[#This Row],[Team Number]],InnovationProjectResults[Team Number],0))</f>
        <v/>
      </c>
      <c r="E90" s="77">
        <f>INDEX(InnovationProjectResults[Design - Teamwork (CV)],MATCH(CoreValuesResults[[#This Row],[Team Number]],InnovationProjectResults[Team Number],0))</f>
        <v/>
      </c>
      <c r="F90" s="77">
        <f>INDEX(InnovationProjectResults[Create - Innovation (CV)],MATCH(CoreValuesResults[[#This Row],[Team Number]],InnovationProjectResults[Team Number],0))</f>
        <v/>
      </c>
      <c r="G90" s="77">
        <f>INDEX(InnovationProjectResults[Communicate - Impact (CV)],MATCH(CoreValuesResults[[#This Row],[Team Number]],InnovationProjectResults[Team Number],0))</f>
        <v/>
      </c>
      <c r="H90" s="77">
        <f>INDEX(InnovationProjectResults[Communicate - Fun (CV)],MATCH(CoreValuesResults[[#This Row],[Team Number]],InnovationProjectResults[Team Number],0))</f>
        <v/>
      </c>
      <c r="I90" s="77">
        <f>INDEX(RobotDesignResults[Identify - Research (CV)],MATCH(CoreValuesResults[[#This Row],[Team Number]],RobotDesignResults[Team Number],0))</f>
        <v/>
      </c>
      <c r="J90" s="77">
        <f>INDEX(RobotDesignResults[Design - Ideas (CV)],MATCH(CoreValuesResults[[#This Row],[Team Number]],RobotDesignResults[Team Number],0))</f>
        <v/>
      </c>
      <c r="K90" s="77">
        <f>INDEX(RobotDesignResults[Iterate - Improvements (CV)],MATCH(CoreValuesResults[[#This Row],[Team Number]],RobotDesignResults[Team Number],0))</f>
        <v/>
      </c>
      <c r="L90" s="77">
        <f>INDEX(RobotDesignResults[Communicate - Impact (CV)],MATCH(CoreValuesResults[[#This Row],[Team Number]],RobotDesignResults[Team Number],0))</f>
        <v/>
      </c>
      <c r="M90" s="77">
        <f>INDEX(RobotDesignResults[Communicate - Fun (CV)],MATCH(CoreValuesResults[[#This Row],[Team Number]],RobotDesignResults[Team Number],0))</f>
        <v/>
      </c>
      <c r="N90" s="86" t="n"/>
      <c r="O90" s="86" t="n"/>
      <c r="P90" s="86" t="n"/>
      <c r="Q90" s="69">
        <f>SUM(CoreValuesResults[[#This Row],[Gracious Professionalism 1]:[Gracious Professionalism 3]])</f>
        <v/>
      </c>
      <c r="R90" s="69">
        <f>SUM(N90:Q90)</f>
        <v/>
      </c>
      <c r="S90" s="83">
        <f>SUM(CoreValuesResults[[#This Row],[Identify - Research (CV-IP)]:[Communicate - Fun (CV-RD)]],CoreValuesResults[[#This Row],[Gracious Professionalism Score]])</f>
        <v/>
      </c>
      <c r="T90" s="73">
        <f>_xlfn.RANK.EQ(CoreValuesResults[[#This Row],[Core Values Score]],CoreValuesResults[Core Values Score],0)</f>
        <v/>
      </c>
    </row>
    <row r="91" ht="21" customHeight="1">
      <c r="A91" s="69" t="n"/>
      <c r="B91" s="69">
        <f>INDEX(OfficialTeamList[Pod Number],MATCH(CoreValuesResults[[#This Row],[Team Number]], OfficialTeamList[Team '#],0))</f>
        <v/>
      </c>
      <c r="C91" s="106">
        <f>INDEX(OfficialTeamList[Team Name],MATCH(CoreValuesResults[[#This Row],[Team Number]], OfficialTeamList[Team '#],0))</f>
        <v/>
      </c>
      <c r="D91" s="77">
        <f>INDEX(InnovationProjectResults[Identify - Research (CV)],MATCH(CoreValuesResults[[#This Row],[Team Number]],InnovationProjectResults[Team Number],0))</f>
        <v/>
      </c>
      <c r="E91" s="77">
        <f>INDEX(InnovationProjectResults[Design - Teamwork (CV)],MATCH(CoreValuesResults[[#This Row],[Team Number]],InnovationProjectResults[Team Number],0))</f>
        <v/>
      </c>
      <c r="F91" s="77">
        <f>INDEX(InnovationProjectResults[Create - Innovation (CV)],MATCH(CoreValuesResults[[#This Row],[Team Number]],InnovationProjectResults[Team Number],0))</f>
        <v/>
      </c>
      <c r="G91" s="77">
        <f>INDEX(InnovationProjectResults[Communicate - Impact (CV)],MATCH(CoreValuesResults[[#This Row],[Team Number]],InnovationProjectResults[Team Number],0))</f>
        <v/>
      </c>
      <c r="H91" s="77">
        <f>INDEX(InnovationProjectResults[Communicate - Fun (CV)],MATCH(CoreValuesResults[[#This Row],[Team Number]],InnovationProjectResults[Team Number],0))</f>
        <v/>
      </c>
      <c r="I91" s="77">
        <f>INDEX(RobotDesignResults[Identify - Research (CV)],MATCH(CoreValuesResults[[#This Row],[Team Number]],RobotDesignResults[Team Number],0))</f>
        <v/>
      </c>
      <c r="J91" s="77">
        <f>INDEX(RobotDesignResults[Design - Ideas (CV)],MATCH(CoreValuesResults[[#This Row],[Team Number]],RobotDesignResults[Team Number],0))</f>
        <v/>
      </c>
      <c r="K91" s="77">
        <f>INDEX(RobotDesignResults[Iterate - Improvements (CV)],MATCH(CoreValuesResults[[#This Row],[Team Number]],RobotDesignResults[Team Number],0))</f>
        <v/>
      </c>
      <c r="L91" s="77">
        <f>INDEX(RobotDesignResults[Communicate - Impact (CV)],MATCH(CoreValuesResults[[#This Row],[Team Number]],RobotDesignResults[Team Number],0))</f>
        <v/>
      </c>
      <c r="M91" s="77">
        <f>INDEX(RobotDesignResults[Communicate - Fun (CV)],MATCH(CoreValuesResults[[#This Row],[Team Number]],RobotDesignResults[Team Number],0))</f>
        <v/>
      </c>
      <c r="N91" s="86" t="n"/>
      <c r="O91" s="86" t="n"/>
      <c r="P91" s="86" t="n"/>
      <c r="Q91" s="69">
        <f>SUM(CoreValuesResults[[#This Row],[Gracious Professionalism 1]:[Gracious Professionalism 3]])</f>
        <v/>
      </c>
      <c r="R91" s="69">
        <f>SUM(N91:Q91)</f>
        <v/>
      </c>
      <c r="S91" s="83">
        <f>SUM(CoreValuesResults[[#This Row],[Identify - Research (CV-IP)]:[Communicate - Fun (CV-RD)]],CoreValuesResults[[#This Row],[Gracious Professionalism Score]])</f>
        <v/>
      </c>
      <c r="T91" s="73">
        <f>_xlfn.RANK.EQ(CoreValuesResults[[#This Row],[Core Values Score]],CoreValuesResults[Core Values Score],0)</f>
        <v/>
      </c>
    </row>
    <row r="92" ht="21" customHeight="1">
      <c r="A92" s="69" t="n"/>
      <c r="B92" s="69">
        <f>INDEX(OfficialTeamList[Pod Number],MATCH(CoreValuesResults[[#This Row],[Team Number]], OfficialTeamList[Team '#],0))</f>
        <v/>
      </c>
      <c r="C92" s="106">
        <f>INDEX(OfficialTeamList[Team Name],MATCH(CoreValuesResults[[#This Row],[Team Number]], OfficialTeamList[Team '#],0))</f>
        <v/>
      </c>
      <c r="D92" s="77">
        <f>INDEX(InnovationProjectResults[Identify - Research (CV)],MATCH(CoreValuesResults[[#This Row],[Team Number]],InnovationProjectResults[Team Number],0))</f>
        <v/>
      </c>
      <c r="E92" s="77">
        <f>INDEX(InnovationProjectResults[Design - Teamwork (CV)],MATCH(CoreValuesResults[[#This Row],[Team Number]],InnovationProjectResults[Team Number],0))</f>
        <v/>
      </c>
      <c r="F92" s="77">
        <f>INDEX(InnovationProjectResults[Create - Innovation (CV)],MATCH(CoreValuesResults[[#This Row],[Team Number]],InnovationProjectResults[Team Number],0))</f>
        <v/>
      </c>
      <c r="G92" s="77">
        <f>INDEX(InnovationProjectResults[Communicate - Impact (CV)],MATCH(CoreValuesResults[[#This Row],[Team Number]],InnovationProjectResults[Team Number],0))</f>
        <v/>
      </c>
      <c r="H92" s="77">
        <f>INDEX(InnovationProjectResults[Communicate - Fun (CV)],MATCH(CoreValuesResults[[#This Row],[Team Number]],InnovationProjectResults[Team Number],0))</f>
        <v/>
      </c>
      <c r="I92" s="77">
        <f>INDEX(RobotDesignResults[Identify - Research (CV)],MATCH(CoreValuesResults[[#This Row],[Team Number]],RobotDesignResults[Team Number],0))</f>
        <v/>
      </c>
      <c r="J92" s="77">
        <f>INDEX(RobotDesignResults[Design - Ideas (CV)],MATCH(CoreValuesResults[[#This Row],[Team Number]],RobotDesignResults[Team Number],0))</f>
        <v/>
      </c>
      <c r="K92" s="77">
        <f>INDEX(RobotDesignResults[Iterate - Improvements (CV)],MATCH(CoreValuesResults[[#This Row],[Team Number]],RobotDesignResults[Team Number],0))</f>
        <v/>
      </c>
      <c r="L92" s="77">
        <f>INDEX(RobotDesignResults[Communicate - Impact (CV)],MATCH(CoreValuesResults[[#This Row],[Team Number]],RobotDesignResults[Team Number],0))</f>
        <v/>
      </c>
      <c r="M92" s="77">
        <f>INDEX(RobotDesignResults[Communicate - Fun (CV)],MATCH(CoreValuesResults[[#This Row],[Team Number]],RobotDesignResults[Team Number],0))</f>
        <v/>
      </c>
      <c r="N92" s="86" t="n"/>
      <c r="O92" s="86" t="n"/>
      <c r="P92" s="86" t="n"/>
      <c r="Q92" s="69">
        <f>SUM(CoreValuesResults[[#This Row],[Gracious Professionalism 1]:[Gracious Professionalism 3]])</f>
        <v/>
      </c>
      <c r="R92" s="69">
        <f>SUM(N92:Q92)</f>
        <v/>
      </c>
      <c r="S92" s="83">
        <f>SUM(CoreValuesResults[[#This Row],[Identify - Research (CV-IP)]:[Communicate - Fun (CV-RD)]],CoreValuesResults[[#This Row],[Gracious Professionalism Score]])</f>
        <v/>
      </c>
      <c r="T92" s="73">
        <f>_xlfn.RANK.EQ(CoreValuesResults[[#This Row],[Core Values Score]],CoreValuesResults[Core Values Score],0)</f>
        <v/>
      </c>
    </row>
    <row r="93" ht="21" customHeight="1">
      <c r="A93" s="69" t="n"/>
      <c r="B93" s="69">
        <f>INDEX(OfficialTeamList[Pod Number],MATCH(CoreValuesResults[[#This Row],[Team Number]], OfficialTeamList[Team '#],0))</f>
        <v/>
      </c>
      <c r="C93" s="106">
        <f>INDEX(OfficialTeamList[Team Name],MATCH(CoreValuesResults[[#This Row],[Team Number]], OfficialTeamList[Team '#],0))</f>
        <v/>
      </c>
      <c r="D93" s="77">
        <f>INDEX(InnovationProjectResults[Identify - Research (CV)],MATCH(CoreValuesResults[[#This Row],[Team Number]],InnovationProjectResults[Team Number],0))</f>
        <v/>
      </c>
      <c r="E93" s="77">
        <f>INDEX(InnovationProjectResults[Design - Teamwork (CV)],MATCH(CoreValuesResults[[#This Row],[Team Number]],InnovationProjectResults[Team Number],0))</f>
        <v/>
      </c>
      <c r="F93" s="77">
        <f>INDEX(InnovationProjectResults[Create - Innovation (CV)],MATCH(CoreValuesResults[[#This Row],[Team Number]],InnovationProjectResults[Team Number],0))</f>
        <v/>
      </c>
      <c r="G93" s="77">
        <f>INDEX(InnovationProjectResults[Communicate - Impact (CV)],MATCH(CoreValuesResults[[#This Row],[Team Number]],InnovationProjectResults[Team Number],0))</f>
        <v/>
      </c>
      <c r="H93" s="77">
        <f>INDEX(InnovationProjectResults[Communicate - Fun (CV)],MATCH(CoreValuesResults[[#This Row],[Team Number]],InnovationProjectResults[Team Number],0))</f>
        <v/>
      </c>
      <c r="I93" s="77">
        <f>INDEX(RobotDesignResults[Identify - Research (CV)],MATCH(CoreValuesResults[[#This Row],[Team Number]],RobotDesignResults[Team Number],0))</f>
        <v/>
      </c>
      <c r="J93" s="77">
        <f>INDEX(RobotDesignResults[Design - Ideas (CV)],MATCH(CoreValuesResults[[#This Row],[Team Number]],RobotDesignResults[Team Number],0))</f>
        <v/>
      </c>
      <c r="K93" s="77">
        <f>INDEX(RobotDesignResults[Iterate - Improvements (CV)],MATCH(CoreValuesResults[[#This Row],[Team Number]],RobotDesignResults[Team Number],0))</f>
        <v/>
      </c>
      <c r="L93" s="77">
        <f>INDEX(RobotDesignResults[Communicate - Impact (CV)],MATCH(CoreValuesResults[[#This Row],[Team Number]],RobotDesignResults[Team Number],0))</f>
        <v/>
      </c>
      <c r="M93" s="77">
        <f>INDEX(RobotDesignResults[Communicate - Fun (CV)],MATCH(CoreValuesResults[[#This Row],[Team Number]],RobotDesignResults[Team Number],0))</f>
        <v/>
      </c>
      <c r="N93" s="86" t="n"/>
      <c r="O93" s="86" t="n"/>
      <c r="P93" s="86" t="n"/>
      <c r="Q93" s="69">
        <f>SUM(CoreValuesResults[[#This Row],[Gracious Professionalism 1]:[Gracious Professionalism 3]])</f>
        <v/>
      </c>
      <c r="R93" s="69">
        <f>SUM(N93:Q93)</f>
        <v/>
      </c>
      <c r="S93" s="83">
        <f>SUM(CoreValuesResults[[#This Row],[Identify - Research (CV-IP)]:[Communicate - Fun (CV-RD)]],CoreValuesResults[[#This Row],[Gracious Professionalism Score]])</f>
        <v/>
      </c>
      <c r="T93" s="73">
        <f>_xlfn.RANK.EQ(CoreValuesResults[[#This Row],[Core Values Score]],CoreValuesResults[Core Values Score],0)</f>
        <v/>
      </c>
    </row>
    <row r="94" ht="21" customHeight="1">
      <c r="A94" s="69" t="n"/>
      <c r="B94" s="69">
        <f>INDEX(OfficialTeamList[Pod Number],MATCH(CoreValuesResults[[#This Row],[Team Number]], OfficialTeamList[Team '#],0))</f>
        <v/>
      </c>
      <c r="C94" s="106">
        <f>INDEX(OfficialTeamList[Team Name],MATCH(CoreValuesResults[[#This Row],[Team Number]], OfficialTeamList[Team '#],0))</f>
        <v/>
      </c>
      <c r="D94" s="77">
        <f>INDEX(InnovationProjectResults[Identify - Research (CV)],MATCH(CoreValuesResults[[#This Row],[Team Number]],InnovationProjectResults[Team Number],0))</f>
        <v/>
      </c>
      <c r="E94" s="77">
        <f>INDEX(InnovationProjectResults[Design - Teamwork (CV)],MATCH(CoreValuesResults[[#This Row],[Team Number]],InnovationProjectResults[Team Number],0))</f>
        <v/>
      </c>
      <c r="F94" s="77">
        <f>INDEX(InnovationProjectResults[Create - Innovation (CV)],MATCH(CoreValuesResults[[#This Row],[Team Number]],InnovationProjectResults[Team Number],0))</f>
        <v/>
      </c>
      <c r="G94" s="77">
        <f>INDEX(InnovationProjectResults[Communicate - Impact (CV)],MATCH(CoreValuesResults[[#This Row],[Team Number]],InnovationProjectResults[Team Number],0))</f>
        <v/>
      </c>
      <c r="H94" s="77">
        <f>INDEX(InnovationProjectResults[Communicate - Fun (CV)],MATCH(CoreValuesResults[[#This Row],[Team Number]],InnovationProjectResults[Team Number],0))</f>
        <v/>
      </c>
      <c r="I94" s="77">
        <f>INDEX(RobotDesignResults[Identify - Research (CV)],MATCH(CoreValuesResults[[#This Row],[Team Number]],RobotDesignResults[Team Number],0))</f>
        <v/>
      </c>
      <c r="J94" s="77">
        <f>INDEX(RobotDesignResults[Design - Ideas (CV)],MATCH(CoreValuesResults[[#This Row],[Team Number]],RobotDesignResults[Team Number],0))</f>
        <v/>
      </c>
      <c r="K94" s="77">
        <f>INDEX(RobotDesignResults[Iterate - Improvements (CV)],MATCH(CoreValuesResults[[#This Row],[Team Number]],RobotDesignResults[Team Number],0))</f>
        <v/>
      </c>
      <c r="L94" s="77">
        <f>INDEX(RobotDesignResults[Communicate - Impact (CV)],MATCH(CoreValuesResults[[#This Row],[Team Number]],RobotDesignResults[Team Number],0))</f>
        <v/>
      </c>
      <c r="M94" s="77">
        <f>INDEX(RobotDesignResults[Communicate - Fun (CV)],MATCH(CoreValuesResults[[#This Row],[Team Number]],RobotDesignResults[Team Number],0))</f>
        <v/>
      </c>
      <c r="N94" s="86" t="n"/>
      <c r="O94" s="86" t="n"/>
      <c r="P94" s="86" t="n"/>
      <c r="Q94" s="69">
        <f>SUM(CoreValuesResults[[#This Row],[Gracious Professionalism 1]:[Gracious Professionalism 3]])</f>
        <v/>
      </c>
      <c r="R94" s="69">
        <f>SUM(N94:Q94)</f>
        <v/>
      </c>
      <c r="S94" s="83">
        <f>SUM(CoreValuesResults[[#This Row],[Identify - Research (CV-IP)]:[Communicate - Fun (CV-RD)]],CoreValuesResults[[#This Row],[Gracious Professionalism Score]])</f>
        <v/>
      </c>
      <c r="T94" s="73">
        <f>_xlfn.RANK.EQ(CoreValuesResults[[#This Row],[Core Values Score]],CoreValuesResults[Core Values Score],0)</f>
        <v/>
      </c>
    </row>
    <row r="95" ht="21" customHeight="1">
      <c r="A95" s="69" t="n"/>
      <c r="B95" s="69">
        <f>INDEX(OfficialTeamList[Pod Number],MATCH(CoreValuesResults[[#This Row],[Team Number]], OfficialTeamList[Team '#],0))</f>
        <v/>
      </c>
      <c r="C95" s="106">
        <f>INDEX(OfficialTeamList[Team Name],MATCH(CoreValuesResults[[#This Row],[Team Number]], OfficialTeamList[Team '#],0))</f>
        <v/>
      </c>
      <c r="D95" s="77">
        <f>INDEX(InnovationProjectResults[Identify - Research (CV)],MATCH(CoreValuesResults[[#This Row],[Team Number]],InnovationProjectResults[Team Number],0))</f>
        <v/>
      </c>
      <c r="E95" s="77">
        <f>INDEX(InnovationProjectResults[Design - Teamwork (CV)],MATCH(CoreValuesResults[[#This Row],[Team Number]],InnovationProjectResults[Team Number],0))</f>
        <v/>
      </c>
      <c r="F95" s="77">
        <f>INDEX(InnovationProjectResults[Create - Innovation (CV)],MATCH(CoreValuesResults[[#This Row],[Team Number]],InnovationProjectResults[Team Number],0))</f>
        <v/>
      </c>
      <c r="G95" s="77">
        <f>INDEX(InnovationProjectResults[Communicate - Impact (CV)],MATCH(CoreValuesResults[[#This Row],[Team Number]],InnovationProjectResults[Team Number],0))</f>
        <v/>
      </c>
      <c r="H95" s="77">
        <f>INDEX(InnovationProjectResults[Communicate - Fun (CV)],MATCH(CoreValuesResults[[#This Row],[Team Number]],InnovationProjectResults[Team Number],0))</f>
        <v/>
      </c>
      <c r="I95" s="77">
        <f>INDEX(RobotDesignResults[Identify - Research (CV)],MATCH(CoreValuesResults[[#This Row],[Team Number]],RobotDesignResults[Team Number],0))</f>
        <v/>
      </c>
      <c r="J95" s="77">
        <f>INDEX(RobotDesignResults[Design - Ideas (CV)],MATCH(CoreValuesResults[[#This Row],[Team Number]],RobotDesignResults[Team Number],0))</f>
        <v/>
      </c>
      <c r="K95" s="77">
        <f>INDEX(RobotDesignResults[Iterate - Improvements (CV)],MATCH(CoreValuesResults[[#This Row],[Team Number]],RobotDesignResults[Team Number],0))</f>
        <v/>
      </c>
      <c r="L95" s="77">
        <f>INDEX(RobotDesignResults[Communicate - Impact (CV)],MATCH(CoreValuesResults[[#This Row],[Team Number]],RobotDesignResults[Team Number],0))</f>
        <v/>
      </c>
      <c r="M95" s="77">
        <f>INDEX(RobotDesignResults[Communicate - Fun (CV)],MATCH(CoreValuesResults[[#This Row],[Team Number]],RobotDesignResults[Team Number],0))</f>
        <v/>
      </c>
      <c r="N95" s="86" t="n"/>
      <c r="O95" s="86" t="n"/>
      <c r="P95" s="86" t="n"/>
      <c r="Q95" s="69">
        <f>SUM(CoreValuesResults[[#This Row],[Gracious Professionalism 1]:[Gracious Professionalism 3]])</f>
        <v/>
      </c>
      <c r="R95" s="69">
        <f>SUM(N95:Q95)</f>
        <v/>
      </c>
      <c r="S95" s="83">
        <f>SUM(CoreValuesResults[[#This Row],[Identify - Research (CV-IP)]:[Communicate - Fun (CV-RD)]],CoreValuesResults[[#This Row],[Gracious Professionalism Score]])</f>
        <v/>
      </c>
      <c r="T95" s="73">
        <f>_xlfn.RANK.EQ(CoreValuesResults[[#This Row],[Core Values Score]],CoreValuesResults[Core Values Score],0)</f>
        <v/>
      </c>
    </row>
    <row r="96" ht="21" customHeight="1">
      <c r="A96" s="69" t="n"/>
      <c r="B96" s="69">
        <f>INDEX(OfficialTeamList[Pod Number],MATCH(CoreValuesResults[[#This Row],[Team Number]], OfficialTeamList[Team '#],0))</f>
        <v/>
      </c>
      <c r="C96" s="106">
        <f>INDEX(OfficialTeamList[Team Name],MATCH(CoreValuesResults[[#This Row],[Team Number]], OfficialTeamList[Team '#],0))</f>
        <v/>
      </c>
      <c r="D96" s="77">
        <f>INDEX(InnovationProjectResults[Identify - Research (CV)],MATCH(CoreValuesResults[[#This Row],[Team Number]],InnovationProjectResults[Team Number],0))</f>
        <v/>
      </c>
      <c r="E96" s="77">
        <f>INDEX(InnovationProjectResults[Design - Teamwork (CV)],MATCH(CoreValuesResults[[#This Row],[Team Number]],InnovationProjectResults[Team Number],0))</f>
        <v/>
      </c>
      <c r="F96" s="77">
        <f>INDEX(InnovationProjectResults[Create - Innovation (CV)],MATCH(CoreValuesResults[[#This Row],[Team Number]],InnovationProjectResults[Team Number],0))</f>
        <v/>
      </c>
      <c r="G96" s="77">
        <f>INDEX(InnovationProjectResults[Communicate - Impact (CV)],MATCH(CoreValuesResults[[#This Row],[Team Number]],InnovationProjectResults[Team Number],0))</f>
        <v/>
      </c>
      <c r="H96" s="77">
        <f>INDEX(InnovationProjectResults[Communicate - Fun (CV)],MATCH(CoreValuesResults[[#This Row],[Team Number]],InnovationProjectResults[Team Number],0))</f>
        <v/>
      </c>
      <c r="I96" s="77">
        <f>INDEX(RobotDesignResults[Identify - Research (CV)],MATCH(CoreValuesResults[[#This Row],[Team Number]],RobotDesignResults[Team Number],0))</f>
        <v/>
      </c>
      <c r="J96" s="77">
        <f>INDEX(RobotDesignResults[Design - Ideas (CV)],MATCH(CoreValuesResults[[#This Row],[Team Number]],RobotDesignResults[Team Number],0))</f>
        <v/>
      </c>
      <c r="K96" s="77">
        <f>INDEX(RobotDesignResults[Iterate - Improvements (CV)],MATCH(CoreValuesResults[[#This Row],[Team Number]],RobotDesignResults[Team Number],0))</f>
        <v/>
      </c>
      <c r="L96" s="77">
        <f>INDEX(RobotDesignResults[Communicate - Impact (CV)],MATCH(CoreValuesResults[[#This Row],[Team Number]],RobotDesignResults[Team Number],0))</f>
        <v/>
      </c>
      <c r="M96" s="77">
        <f>INDEX(RobotDesignResults[Communicate - Fun (CV)],MATCH(CoreValuesResults[[#This Row],[Team Number]],RobotDesignResults[Team Number],0))</f>
        <v/>
      </c>
      <c r="N96" s="86" t="n"/>
      <c r="O96" s="86" t="n"/>
      <c r="P96" s="86" t="n"/>
      <c r="Q96" s="69">
        <f>SUM(CoreValuesResults[[#This Row],[Gracious Professionalism 1]:[Gracious Professionalism 3]])</f>
        <v/>
      </c>
      <c r="R96" s="69">
        <f>SUM(N96:Q96)</f>
        <v/>
      </c>
      <c r="S96" s="83">
        <f>SUM(CoreValuesResults[[#This Row],[Identify - Research (CV-IP)]:[Communicate - Fun (CV-RD)]],CoreValuesResults[[#This Row],[Gracious Professionalism Score]])</f>
        <v/>
      </c>
      <c r="T96" s="73">
        <f>_xlfn.RANK.EQ(CoreValuesResults[[#This Row],[Core Values Score]],CoreValuesResults[Core Values Score],0)</f>
        <v/>
      </c>
    </row>
    <row r="97" ht="21" customHeight="1">
      <c r="A97" s="69" t="n"/>
      <c r="B97" s="69">
        <f>INDEX(OfficialTeamList[Pod Number],MATCH(CoreValuesResults[[#This Row],[Team Number]], OfficialTeamList[Team '#],0))</f>
        <v/>
      </c>
      <c r="C97" s="106">
        <f>INDEX(OfficialTeamList[Team Name],MATCH(CoreValuesResults[[#This Row],[Team Number]], OfficialTeamList[Team '#],0))</f>
        <v/>
      </c>
      <c r="D97" s="77">
        <f>INDEX(InnovationProjectResults[Identify - Research (CV)],MATCH(CoreValuesResults[[#This Row],[Team Number]],InnovationProjectResults[Team Number],0))</f>
        <v/>
      </c>
      <c r="E97" s="77">
        <f>INDEX(InnovationProjectResults[Design - Teamwork (CV)],MATCH(CoreValuesResults[[#This Row],[Team Number]],InnovationProjectResults[Team Number],0))</f>
        <v/>
      </c>
      <c r="F97" s="77">
        <f>INDEX(InnovationProjectResults[Create - Innovation (CV)],MATCH(CoreValuesResults[[#This Row],[Team Number]],InnovationProjectResults[Team Number],0))</f>
        <v/>
      </c>
      <c r="G97" s="77">
        <f>INDEX(InnovationProjectResults[Communicate - Impact (CV)],MATCH(CoreValuesResults[[#This Row],[Team Number]],InnovationProjectResults[Team Number],0))</f>
        <v/>
      </c>
      <c r="H97" s="77">
        <f>INDEX(InnovationProjectResults[Communicate - Fun (CV)],MATCH(CoreValuesResults[[#This Row],[Team Number]],InnovationProjectResults[Team Number],0))</f>
        <v/>
      </c>
      <c r="I97" s="77">
        <f>INDEX(RobotDesignResults[Identify - Research (CV)],MATCH(CoreValuesResults[[#This Row],[Team Number]],RobotDesignResults[Team Number],0))</f>
        <v/>
      </c>
      <c r="J97" s="77">
        <f>INDEX(RobotDesignResults[Design - Ideas (CV)],MATCH(CoreValuesResults[[#This Row],[Team Number]],RobotDesignResults[Team Number],0))</f>
        <v/>
      </c>
      <c r="K97" s="77">
        <f>INDEX(RobotDesignResults[Iterate - Improvements (CV)],MATCH(CoreValuesResults[[#This Row],[Team Number]],RobotDesignResults[Team Number],0))</f>
        <v/>
      </c>
      <c r="L97" s="77">
        <f>INDEX(RobotDesignResults[Communicate - Impact (CV)],MATCH(CoreValuesResults[[#This Row],[Team Number]],RobotDesignResults[Team Number],0))</f>
        <v/>
      </c>
      <c r="M97" s="77">
        <f>INDEX(RobotDesignResults[Communicate - Fun (CV)],MATCH(CoreValuesResults[[#This Row],[Team Number]],RobotDesignResults[Team Number],0))</f>
        <v/>
      </c>
      <c r="N97" s="86" t="n"/>
      <c r="O97" s="86" t="n"/>
      <c r="P97" s="86" t="n"/>
      <c r="Q97" s="69">
        <f>SUM(CoreValuesResults[[#This Row],[Gracious Professionalism 1]:[Gracious Professionalism 3]])</f>
        <v/>
      </c>
      <c r="R97" s="69">
        <f>SUM(N97:Q97)</f>
        <v/>
      </c>
      <c r="S97" s="83">
        <f>SUM(CoreValuesResults[[#This Row],[Identify - Research (CV-IP)]:[Communicate - Fun (CV-RD)]],CoreValuesResults[[#This Row],[Gracious Professionalism Score]])</f>
        <v/>
      </c>
      <c r="T97" s="73">
        <f>_xlfn.RANK.EQ(CoreValuesResults[[#This Row],[Core Values Score]],CoreValuesResults[Core Values Score],0)</f>
        <v/>
      </c>
    </row>
    <row r="98" ht="21" customHeight="1">
      <c r="A98" s="69" t="n"/>
      <c r="B98" s="69">
        <f>INDEX(OfficialTeamList[Pod Number],MATCH(CoreValuesResults[[#This Row],[Team Number]], OfficialTeamList[Team '#],0))</f>
        <v/>
      </c>
      <c r="C98" s="106">
        <f>INDEX(OfficialTeamList[Team Name],MATCH(CoreValuesResults[[#This Row],[Team Number]], OfficialTeamList[Team '#],0))</f>
        <v/>
      </c>
      <c r="D98" s="77">
        <f>INDEX(InnovationProjectResults[Identify - Research (CV)],MATCH(CoreValuesResults[[#This Row],[Team Number]],InnovationProjectResults[Team Number],0))</f>
        <v/>
      </c>
      <c r="E98" s="77">
        <f>INDEX(InnovationProjectResults[Design - Teamwork (CV)],MATCH(CoreValuesResults[[#This Row],[Team Number]],InnovationProjectResults[Team Number],0))</f>
        <v/>
      </c>
      <c r="F98" s="77">
        <f>INDEX(InnovationProjectResults[Create - Innovation (CV)],MATCH(CoreValuesResults[[#This Row],[Team Number]],InnovationProjectResults[Team Number],0))</f>
        <v/>
      </c>
      <c r="G98" s="77">
        <f>INDEX(InnovationProjectResults[Communicate - Impact (CV)],MATCH(CoreValuesResults[[#This Row],[Team Number]],InnovationProjectResults[Team Number],0))</f>
        <v/>
      </c>
      <c r="H98" s="77">
        <f>INDEX(InnovationProjectResults[Communicate - Fun (CV)],MATCH(CoreValuesResults[[#This Row],[Team Number]],InnovationProjectResults[Team Number],0))</f>
        <v/>
      </c>
      <c r="I98" s="77">
        <f>INDEX(RobotDesignResults[Identify - Research (CV)],MATCH(CoreValuesResults[[#This Row],[Team Number]],RobotDesignResults[Team Number],0))</f>
        <v/>
      </c>
      <c r="J98" s="77">
        <f>INDEX(RobotDesignResults[Design - Ideas (CV)],MATCH(CoreValuesResults[[#This Row],[Team Number]],RobotDesignResults[Team Number],0))</f>
        <v/>
      </c>
      <c r="K98" s="77">
        <f>INDEX(RobotDesignResults[Iterate - Improvements (CV)],MATCH(CoreValuesResults[[#This Row],[Team Number]],RobotDesignResults[Team Number],0))</f>
        <v/>
      </c>
      <c r="L98" s="77">
        <f>INDEX(RobotDesignResults[Communicate - Impact (CV)],MATCH(CoreValuesResults[[#This Row],[Team Number]],RobotDesignResults[Team Number],0))</f>
        <v/>
      </c>
      <c r="M98" s="77">
        <f>INDEX(RobotDesignResults[Communicate - Fun (CV)],MATCH(CoreValuesResults[[#This Row],[Team Number]],RobotDesignResults[Team Number],0))</f>
        <v/>
      </c>
      <c r="N98" s="86" t="n"/>
      <c r="O98" s="86" t="n"/>
      <c r="P98" s="86" t="n"/>
      <c r="Q98" s="69">
        <f>SUM(CoreValuesResults[[#This Row],[Gracious Professionalism 1]:[Gracious Professionalism 3]])</f>
        <v/>
      </c>
      <c r="R98" s="69">
        <f>SUM(N98:Q98)</f>
        <v/>
      </c>
      <c r="S98" s="83">
        <f>SUM(CoreValuesResults[[#This Row],[Identify - Research (CV-IP)]:[Communicate - Fun (CV-RD)]],CoreValuesResults[[#This Row],[Gracious Professionalism Score]])</f>
        <v/>
      </c>
      <c r="T98" s="73">
        <f>_xlfn.RANK.EQ(CoreValuesResults[[#This Row],[Core Values Score]],CoreValuesResults[Core Values Score],0)</f>
        <v/>
      </c>
    </row>
    <row r="99" ht="21" customHeight="1">
      <c r="A99" s="69" t="n"/>
      <c r="B99" s="69">
        <f>INDEX(OfficialTeamList[Pod Number],MATCH(CoreValuesResults[[#This Row],[Team Number]], OfficialTeamList[Team '#],0))</f>
        <v/>
      </c>
      <c r="C99" s="106">
        <f>INDEX(OfficialTeamList[Team Name],MATCH(CoreValuesResults[[#This Row],[Team Number]], OfficialTeamList[Team '#],0))</f>
        <v/>
      </c>
      <c r="D99" s="77">
        <f>INDEX(InnovationProjectResults[Identify - Research (CV)],MATCH(CoreValuesResults[[#This Row],[Team Number]],InnovationProjectResults[Team Number],0))</f>
        <v/>
      </c>
      <c r="E99" s="77">
        <f>INDEX(InnovationProjectResults[Design - Teamwork (CV)],MATCH(CoreValuesResults[[#This Row],[Team Number]],InnovationProjectResults[Team Number],0))</f>
        <v/>
      </c>
      <c r="F99" s="77">
        <f>INDEX(InnovationProjectResults[Create - Innovation (CV)],MATCH(CoreValuesResults[[#This Row],[Team Number]],InnovationProjectResults[Team Number],0))</f>
        <v/>
      </c>
      <c r="G99" s="77">
        <f>INDEX(InnovationProjectResults[Communicate - Impact (CV)],MATCH(CoreValuesResults[[#This Row],[Team Number]],InnovationProjectResults[Team Number],0))</f>
        <v/>
      </c>
      <c r="H99" s="77">
        <f>INDEX(InnovationProjectResults[Communicate - Fun (CV)],MATCH(CoreValuesResults[[#This Row],[Team Number]],InnovationProjectResults[Team Number],0))</f>
        <v/>
      </c>
      <c r="I99" s="77">
        <f>INDEX(RobotDesignResults[Identify - Research (CV)],MATCH(CoreValuesResults[[#This Row],[Team Number]],RobotDesignResults[Team Number],0))</f>
        <v/>
      </c>
      <c r="J99" s="77">
        <f>INDEX(RobotDesignResults[Design - Ideas (CV)],MATCH(CoreValuesResults[[#This Row],[Team Number]],RobotDesignResults[Team Number],0))</f>
        <v/>
      </c>
      <c r="K99" s="77">
        <f>INDEX(RobotDesignResults[Iterate - Improvements (CV)],MATCH(CoreValuesResults[[#This Row],[Team Number]],RobotDesignResults[Team Number],0))</f>
        <v/>
      </c>
      <c r="L99" s="77">
        <f>INDEX(RobotDesignResults[Communicate - Impact (CV)],MATCH(CoreValuesResults[[#This Row],[Team Number]],RobotDesignResults[Team Number],0))</f>
        <v/>
      </c>
      <c r="M99" s="77">
        <f>INDEX(RobotDesignResults[Communicate - Fun (CV)],MATCH(CoreValuesResults[[#This Row],[Team Number]],RobotDesignResults[Team Number],0))</f>
        <v/>
      </c>
      <c r="N99" s="86" t="n"/>
      <c r="O99" s="86" t="n"/>
      <c r="P99" s="86" t="n"/>
      <c r="Q99" s="69">
        <f>SUM(CoreValuesResults[[#This Row],[Gracious Professionalism 1]:[Gracious Professionalism 3]])</f>
        <v/>
      </c>
      <c r="R99" s="69">
        <f>SUM(N99:Q99)</f>
        <v/>
      </c>
      <c r="S99" s="83">
        <f>SUM(CoreValuesResults[[#This Row],[Identify - Research (CV-IP)]:[Communicate - Fun (CV-RD)]],CoreValuesResults[[#This Row],[Gracious Professionalism Score]])</f>
        <v/>
      </c>
      <c r="T99" s="73">
        <f>_xlfn.RANK.EQ(CoreValuesResults[[#This Row],[Core Values Score]],CoreValuesResults[Core Values Score],0)</f>
        <v/>
      </c>
    </row>
    <row r="100" ht="21" customHeight="1">
      <c r="A100" s="69" t="n"/>
      <c r="B100" s="69">
        <f>INDEX(OfficialTeamList[Pod Number],MATCH(CoreValuesResults[[#This Row],[Team Number]], OfficialTeamList[Team '#],0))</f>
        <v/>
      </c>
      <c r="C100" s="106">
        <f>INDEX(OfficialTeamList[Team Name],MATCH(CoreValuesResults[[#This Row],[Team Number]], OfficialTeamList[Team '#],0))</f>
        <v/>
      </c>
      <c r="D100" s="77">
        <f>INDEX(InnovationProjectResults[Identify - Research (CV)],MATCH(CoreValuesResults[[#This Row],[Team Number]],InnovationProjectResults[Team Number],0))</f>
        <v/>
      </c>
      <c r="E100" s="77">
        <f>INDEX(InnovationProjectResults[Design - Teamwork (CV)],MATCH(CoreValuesResults[[#This Row],[Team Number]],InnovationProjectResults[Team Number],0))</f>
        <v/>
      </c>
      <c r="F100" s="77">
        <f>INDEX(InnovationProjectResults[Create - Innovation (CV)],MATCH(CoreValuesResults[[#This Row],[Team Number]],InnovationProjectResults[Team Number],0))</f>
        <v/>
      </c>
      <c r="G100" s="77">
        <f>INDEX(InnovationProjectResults[Communicate - Impact (CV)],MATCH(CoreValuesResults[[#This Row],[Team Number]],InnovationProjectResults[Team Number],0))</f>
        <v/>
      </c>
      <c r="H100" s="77">
        <f>INDEX(InnovationProjectResults[Communicate - Fun (CV)],MATCH(CoreValuesResults[[#This Row],[Team Number]],InnovationProjectResults[Team Number],0))</f>
        <v/>
      </c>
      <c r="I100" s="77">
        <f>INDEX(RobotDesignResults[Identify - Research (CV)],MATCH(CoreValuesResults[[#This Row],[Team Number]],RobotDesignResults[Team Number],0))</f>
        <v/>
      </c>
      <c r="J100" s="77">
        <f>INDEX(RobotDesignResults[Design - Ideas (CV)],MATCH(CoreValuesResults[[#This Row],[Team Number]],RobotDesignResults[Team Number],0))</f>
        <v/>
      </c>
      <c r="K100" s="77">
        <f>INDEX(RobotDesignResults[Iterate - Improvements (CV)],MATCH(CoreValuesResults[[#This Row],[Team Number]],RobotDesignResults[Team Number],0))</f>
        <v/>
      </c>
      <c r="L100" s="77">
        <f>INDEX(RobotDesignResults[Communicate - Impact (CV)],MATCH(CoreValuesResults[[#This Row],[Team Number]],RobotDesignResults[Team Number],0))</f>
        <v/>
      </c>
      <c r="M100" s="77">
        <f>INDEX(RobotDesignResults[Communicate - Fun (CV)],MATCH(CoreValuesResults[[#This Row],[Team Number]],RobotDesignResults[Team Number],0))</f>
        <v/>
      </c>
      <c r="N100" s="86" t="n"/>
      <c r="O100" s="86" t="n"/>
      <c r="P100" s="86" t="n"/>
      <c r="Q100" s="69">
        <f>SUM(CoreValuesResults[[#This Row],[Gracious Professionalism 1]:[Gracious Professionalism 3]])</f>
        <v/>
      </c>
      <c r="R100" s="69">
        <f>SUM(N100:Q100)</f>
        <v/>
      </c>
      <c r="S100" s="83">
        <f>SUM(CoreValuesResults[[#This Row],[Identify - Research (CV-IP)]:[Communicate - Fun (CV-RD)]],CoreValuesResults[[#This Row],[Gracious Professionalism Score]])</f>
        <v/>
      </c>
      <c r="T100" s="73">
        <f>_xlfn.RANK.EQ(CoreValuesResults[[#This Row],[Core Values Score]],CoreValuesResults[Core Values Score],0)</f>
        <v/>
      </c>
    </row>
    <row r="101" ht="21" customHeight="1">
      <c r="A101" s="69" t="n"/>
      <c r="B101" s="69">
        <f>INDEX(OfficialTeamList[Pod Number],MATCH(CoreValuesResults[[#This Row],[Team Number]], OfficialTeamList[Team '#],0))</f>
        <v/>
      </c>
      <c r="C101" s="106">
        <f>INDEX(OfficialTeamList[Team Name],MATCH(CoreValuesResults[[#This Row],[Team Number]], OfficialTeamList[Team '#],0))</f>
        <v/>
      </c>
      <c r="D101" s="77">
        <f>INDEX(InnovationProjectResults[Identify - Research (CV)],MATCH(CoreValuesResults[[#This Row],[Team Number]],InnovationProjectResults[Team Number],0))</f>
        <v/>
      </c>
      <c r="E101" s="77">
        <f>INDEX(InnovationProjectResults[Design - Teamwork (CV)],MATCH(CoreValuesResults[[#This Row],[Team Number]],InnovationProjectResults[Team Number],0))</f>
        <v/>
      </c>
      <c r="F101" s="77">
        <f>INDEX(InnovationProjectResults[Create - Innovation (CV)],MATCH(CoreValuesResults[[#This Row],[Team Number]],InnovationProjectResults[Team Number],0))</f>
        <v/>
      </c>
      <c r="G101" s="77">
        <f>INDEX(InnovationProjectResults[Communicate - Impact (CV)],MATCH(CoreValuesResults[[#This Row],[Team Number]],InnovationProjectResults[Team Number],0))</f>
        <v/>
      </c>
      <c r="H101" s="77">
        <f>INDEX(InnovationProjectResults[Communicate - Fun (CV)],MATCH(CoreValuesResults[[#This Row],[Team Number]],InnovationProjectResults[Team Number],0))</f>
        <v/>
      </c>
      <c r="I101" s="77">
        <f>INDEX(RobotDesignResults[Identify - Research (CV)],MATCH(CoreValuesResults[[#This Row],[Team Number]],RobotDesignResults[Team Number],0))</f>
        <v/>
      </c>
      <c r="J101" s="77">
        <f>INDEX(RobotDesignResults[Design - Ideas (CV)],MATCH(CoreValuesResults[[#This Row],[Team Number]],RobotDesignResults[Team Number],0))</f>
        <v/>
      </c>
      <c r="K101" s="77">
        <f>INDEX(RobotDesignResults[Iterate - Improvements (CV)],MATCH(CoreValuesResults[[#This Row],[Team Number]],RobotDesignResults[Team Number],0))</f>
        <v/>
      </c>
      <c r="L101" s="77">
        <f>INDEX(RobotDesignResults[Communicate - Impact (CV)],MATCH(CoreValuesResults[[#This Row],[Team Number]],RobotDesignResults[Team Number],0))</f>
        <v/>
      </c>
      <c r="M101" s="77">
        <f>INDEX(RobotDesignResults[Communicate - Fun (CV)],MATCH(CoreValuesResults[[#This Row],[Team Number]],RobotDesignResults[Team Number],0))</f>
        <v/>
      </c>
      <c r="N101" s="86" t="n"/>
      <c r="O101" s="86" t="n"/>
      <c r="P101" s="86" t="n"/>
      <c r="Q101" s="69">
        <f>SUM(CoreValuesResults[[#This Row],[Gracious Professionalism 1]:[Gracious Professionalism 3]])</f>
        <v/>
      </c>
      <c r="R101" s="69">
        <f>SUM(N101:Q101)</f>
        <v/>
      </c>
      <c r="S101" s="83">
        <f>SUM(CoreValuesResults[[#This Row],[Identify - Research (CV-IP)]:[Communicate - Fun (CV-RD)]],CoreValuesResults[[#This Row],[Gracious Professionalism Score]])</f>
        <v/>
      </c>
      <c r="T101" s="73">
        <f>_xlfn.RANK.EQ(CoreValuesResults[[#This Row],[Core Values Score]],CoreValuesResults[Core Values Score],0)</f>
        <v/>
      </c>
    </row>
    <row r="102" ht="21" customHeight="1">
      <c r="A102" s="69" t="n"/>
      <c r="B102" s="69">
        <f>INDEX(OfficialTeamList[Pod Number],MATCH(CoreValuesResults[[#This Row],[Team Number]], OfficialTeamList[Team '#],0))</f>
        <v/>
      </c>
      <c r="C102" s="106">
        <f>INDEX(OfficialTeamList[Team Name],MATCH(CoreValuesResults[[#This Row],[Team Number]], OfficialTeamList[Team '#],0))</f>
        <v/>
      </c>
      <c r="D102" s="77">
        <f>INDEX(InnovationProjectResults[Identify - Research (CV)],MATCH(CoreValuesResults[[#This Row],[Team Number]],InnovationProjectResults[Team Number],0))</f>
        <v/>
      </c>
      <c r="E102" s="77">
        <f>INDEX(InnovationProjectResults[Design - Teamwork (CV)],MATCH(CoreValuesResults[[#This Row],[Team Number]],InnovationProjectResults[Team Number],0))</f>
        <v/>
      </c>
      <c r="F102" s="77">
        <f>INDEX(InnovationProjectResults[Create - Innovation (CV)],MATCH(CoreValuesResults[[#This Row],[Team Number]],InnovationProjectResults[Team Number],0))</f>
        <v/>
      </c>
      <c r="G102" s="77">
        <f>INDEX(InnovationProjectResults[Communicate - Impact (CV)],MATCH(CoreValuesResults[[#This Row],[Team Number]],InnovationProjectResults[Team Number],0))</f>
        <v/>
      </c>
      <c r="H102" s="77">
        <f>INDEX(InnovationProjectResults[Communicate - Fun (CV)],MATCH(CoreValuesResults[[#This Row],[Team Number]],InnovationProjectResults[Team Number],0))</f>
        <v/>
      </c>
      <c r="I102" s="77">
        <f>INDEX(RobotDesignResults[Identify - Research (CV)],MATCH(CoreValuesResults[[#This Row],[Team Number]],RobotDesignResults[Team Number],0))</f>
        <v/>
      </c>
      <c r="J102" s="77">
        <f>INDEX(RobotDesignResults[Design - Ideas (CV)],MATCH(CoreValuesResults[[#This Row],[Team Number]],RobotDesignResults[Team Number],0))</f>
        <v/>
      </c>
      <c r="K102" s="77">
        <f>INDEX(RobotDesignResults[Iterate - Improvements (CV)],MATCH(CoreValuesResults[[#This Row],[Team Number]],RobotDesignResults[Team Number],0))</f>
        <v/>
      </c>
      <c r="L102" s="77">
        <f>INDEX(RobotDesignResults[Communicate - Impact (CV)],MATCH(CoreValuesResults[[#This Row],[Team Number]],RobotDesignResults[Team Number],0))</f>
        <v/>
      </c>
      <c r="M102" s="77">
        <f>INDEX(RobotDesignResults[Communicate - Fun (CV)],MATCH(CoreValuesResults[[#This Row],[Team Number]],RobotDesignResults[Team Number],0))</f>
        <v/>
      </c>
      <c r="N102" s="86" t="n"/>
      <c r="O102" s="86" t="n"/>
      <c r="P102" s="86" t="n"/>
      <c r="Q102" s="69">
        <f>SUM(CoreValuesResults[[#This Row],[Gracious Professionalism 1]:[Gracious Professionalism 3]])</f>
        <v/>
      </c>
      <c r="R102" s="69">
        <f>SUM(N102:Q102)</f>
        <v/>
      </c>
      <c r="S102" s="83">
        <f>SUM(CoreValuesResults[[#This Row],[Identify - Research (CV-IP)]:[Communicate - Fun (CV-RD)]],CoreValuesResults[[#This Row],[Gracious Professionalism Score]])</f>
        <v/>
      </c>
      <c r="T102" s="73">
        <f>_xlfn.RANK.EQ(CoreValuesResults[[#This Row],[Core Values Score]],CoreValuesResults[Core Values Score],0)</f>
        <v/>
      </c>
    </row>
    <row r="103" ht="21" customHeight="1">
      <c r="A103" s="69" t="n"/>
      <c r="B103" s="69">
        <f>INDEX(OfficialTeamList[Pod Number],MATCH(CoreValuesResults[[#This Row],[Team Number]], OfficialTeamList[Team '#],0))</f>
        <v/>
      </c>
      <c r="C103" s="106">
        <f>INDEX(OfficialTeamList[Team Name],MATCH(CoreValuesResults[[#This Row],[Team Number]], OfficialTeamList[Team '#],0))</f>
        <v/>
      </c>
      <c r="D103" s="77">
        <f>INDEX(InnovationProjectResults[Identify - Research (CV)],MATCH(CoreValuesResults[[#This Row],[Team Number]],InnovationProjectResults[Team Number],0))</f>
        <v/>
      </c>
      <c r="E103" s="77">
        <f>INDEX(InnovationProjectResults[Design - Teamwork (CV)],MATCH(CoreValuesResults[[#This Row],[Team Number]],InnovationProjectResults[Team Number],0))</f>
        <v/>
      </c>
      <c r="F103" s="77">
        <f>INDEX(InnovationProjectResults[Create - Innovation (CV)],MATCH(CoreValuesResults[[#This Row],[Team Number]],InnovationProjectResults[Team Number],0))</f>
        <v/>
      </c>
      <c r="G103" s="77">
        <f>INDEX(InnovationProjectResults[Communicate - Impact (CV)],MATCH(CoreValuesResults[[#This Row],[Team Number]],InnovationProjectResults[Team Number],0))</f>
        <v/>
      </c>
      <c r="H103" s="77">
        <f>INDEX(InnovationProjectResults[Communicate - Fun (CV)],MATCH(CoreValuesResults[[#This Row],[Team Number]],InnovationProjectResults[Team Number],0))</f>
        <v/>
      </c>
      <c r="I103" s="77">
        <f>INDEX(RobotDesignResults[Identify - Research (CV)],MATCH(CoreValuesResults[[#This Row],[Team Number]],RobotDesignResults[Team Number],0))</f>
        <v/>
      </c>
      <c r="J103" s="77">
        <f>INDEX(RobotDesignResults[Design - Ideas (CV)],MATCH(CoreValuesResults[[#This Row],[Team Number]],RobotDesignResults[Team Number],0))</f>
        <v/>
      </c>
      <c r="K103" s="77">
        <f>INDEX(RobotDesignResults[Iterate - Improvements (CV)],MATCH(CoreValuesResults[[#This Row],[Team Number]],RobotDesignResults[Team Number],0))</f>
        <v/>
      </c>
      <c r="L103" s="77">
        <f>INDEX(RobotDesignResults[Communicate - Impact (CV)],MATCH(CoreValuesResults[[#This Row],[Team Number]],RobotDesignResults[Team Number],0))</f>
        <v/>
      </c>
      <c r="M103" s="77">
        <f>INDEX(RobotDesignResults[Communicate - Fun (CV)],MATCH(CoreValuesResults[[#This Row],[Team Number]],RobotDesignResults[Team Number],0))</f>
        <v/>
      </c>
      <c r="N103" s="86" t="n"/>
      <c r="O103" s="86" t="n"/>
      <c r="P103" s="86" t="n"/>
      <c r="Q103" s="69">
        <f>SUM(CoreValuesResults[[#This Row],[Gracious Professionalism 1]:[Gracious Professionalism 3]])</f>
        <v/>
      </c>
      <c r="R103" s="69">
        <f>SUM(N103:Q103)</f>
        <v/>
      </c>
      <c r="S103" s="83">
        <f>SUM(CoreValuesResults[[#This Row],[Identify - Research (CV-IP)]:[Communicate - Fun (CV-RD)]],CoreValuesResults[[#This Row],[Gracious Professionalism Score]])</f>
        <v/>
      </c>
      <c r="T103" s="73">
        <f>_xlfn.RANK.EQ(CoreValuesResults[[#This Row],[Core Values Score]],CoreValuesResults[Core Values Score],0)</f>
        <v/>
      </c>
    </row>
    <row r="104" ht="21" customHeight="1">
      <c r="A104" s="69" t="n"/>
      <c r="B104" s="69">
        <f>INDEX(OfficialTeamList[Pod Number],MATCH(CoreValuesResults[[#This Row],[Team Number]], OfficialTeamList[Team '#],0))</f>
        <v/>
      </c>
      <c r="C104" s="106">
        <f>INDEX(OfficialTeamList[Team Name],MATCH(CoreValuesResults[[#This Row],[Team Number]], OfficialTeamList[Team '#],0))</f>
        <v/>
      </c>
      <c r="D104" s="77">
        <f>INDEX(InnovationProjectResults[Identify - Research (CV)],MATCH(CoreValuesResults[[#This Row],[Team Number]],InnovationProjectResults[Team Number],0))</f>
        <v/>
      </c>
      <c r="E104" s="77">
        <f>INDEX(InnovationProjectResults[Design - Teamwork (CV)],MATCH(CoreValuesResults[[#This Row],[Team Number]],InnovationProjectResults[Team Number],0))</f>
        <v/>
      </c>
      <c r="F104" s="77">
        <f>INDEX(InnovationProjectResults[Create - Innovation (CV)],MATCH(CoreValuesResults[[#This Row],[Team Number]],InnovationProjectResults[Team Number],0))</f>
        <v/>
      </c>
      <c r="G104" s="77">
        <f>INDEX(InnovationProjectResults[Communicate - Impact (CV)],MATCH(CoreValuesResults[[#This Row],[Team Number]],InnovationProjectResults[Team Number],0))</f>
        <v/>
      </c>
      <c r="H104" s="77">
        <f>INDEX(InnovationProjectResults[Communicate - Fun (CV)],MATCH(CoreValuesResults[[#This Row],[Team Number]],InnovationProjectResults[Team Number],0))</f>
        <v/>
      </c>
      <c r="I104" s="77">
        <f>INDEX(RobotDesignResults[Identify - Research (CV)],MATCH(CoreValuesResults[[#This Row],[Team Number]],RobotDesignResults[Team Number],0))</f>
        <v/>
      </c>
      <c r="J104" s="77">
        <f>INDEX(RobotDesignResults[Design - Ideas (CV)],MATCH(CoreValuesResults[[#This Row],[Team Number]],RobotDesignResults[Team Number],0))</f>
        <v/>
      </c>
      <c r="K104" s="77">
        <f>INDEX(RobotDesignResults[Iterate - Improvements (CV)],MATCH(CoreValuesResults[[#This Row],[Team Number]],RobotDesignResults[Team Number],0))</f>
        <v/>
      </c>
      <c r="L104" s="77">
        <f>INDEX(RobotDesignResults[Communicate - Impact (CV)],MATCH(CoreValuesResults[[#This Row],[Team Number]],RobotDesignResults[Team Number],0))</f>
        <v/>
      </c>
      <c r="M104" s="77">
        <f>INDEX(RobotDesignResults[Communicate - Fun (CV)],MATCH(CoreValuesResults[[#This Row],[Team Number]],RobotDesignResults[Team Number],0))</f>
        <v/>
      </c>
      <c r="N104" s="86" t="n"/>
      <c r="O104" s="86" t="n"/>
      <c r="P104" s="86" t="n"/>
      <c r="Q104" s="69">
        <f>SUM(CoreValuesResults[[#This Row],[Gracious Professionalism 1]:[Gracious Professionalism 3]])</f>
        <v/>
      </c>
      <c r="R104" s="69">
        <f>SUM(N104:Q104)</f>
        <v/>
      </c>
      <c r="S104" s="83">
        <f>SUM(CoreValuesResults[[#This Row],[Identify - Research (CV-IP)]:[Communicate - Fun (CV-RD)]],CoreValuesResults[[#This Row],[Gracious Professionalism Score]])</f>
        <v/>
      </c>
      <c r="T104" s="73">
        <f>_xlfn.RANK.EQ(CoreValuesResults[[#This Row],[Core Values Score]],CoreValuesResults[Core Values Score],0)</f>
        <v/>
      </c>
    </row>
    <row r="105" ht="21" customHeight="1">
      <c r="A105" s="69" t="n"/>
      <c r="B105" s="69">
        <f>INDEX(OfficialTeamList[Pod Number],MATCH(CoreValuesResults[[#This Row],[Team Number]], OfficialTeamList[Team '#],0))</f>
        <v/>
      </c>
      <c r="C105" s="106">
        <f>INDEX(OfficialTeamList[Team Name],MATCH(CoreValuesResults[[#This Row],[Team Number]], OfficialTeamList[Team '#],0))</f>
        <v/>
      </c>
      <c r="D105" s="77">
        <f>INDEX(InnovationProjectResults[Identify - Research (CV)],MATCH(CoreValuesResults[[#This Row],[Team Number]],InnovationProjectResults[Team Number],0))</f>
        <v/>
      </c>
      <c r="E105" s="77">
        <f>INDEX(InnovationProjectResults[Design - Teamwork (CV)],MATCH(CoreValuesResults[[#This Row],[Team Number]],InnovationProjectResults[Team Number],0))</f>
        <v/>
      </c>
      <c r="F105" s="77">
        <f>INDEX(InnovationProjectResults[Create - Innovation (CV)],MATCH(CoreValuesResults[[#This Row],[Team Number]],InnovationProjectResults[Team Number],0))</f>
        <v/>
      </c>
      <c r="G105" s="77">
        <f>INDEX(InnovationProjectResults[Communicate - Impact (CV)],MATCH(CoreValuesResults[[#This Row],[Team Number]],InnovationProjectResults[Team Number],0))</f>
        <v/>
      </c>
      <c r="H105" s="77">
        <f>INDEX(InnovationProjectResults[Communicate - Fun (CV)],MATCH(CoreValuesResults[[#This Row],[Team Number]],InnovationProjectResults[Team Number],0))</f>
        <v/>
      </c>
      <c r="I105" s="77">
        <f>INDEX(RobotDesignResults[Identify - Research (CV)],MATCH(CoreValuesResults[[#This Row],[Team Number]],RobotDesignResults[Team Number],0))</f>
        <v/>
      </c>
      <c r="J105" s="77">
        <f>INDEX(RobotDesignResults[Design - Ideas (CV)],MATCH(CoreValuesResults[[#This Row],[Team Number]],RobotDesignResults[Team Number],0))</f>
        <v/>
      </c>
      <c r="K105" s="77">
        <f>INDEX(RobotDesignResults[Iterate - Improvements (CV)],MATCH(CoreValuesResults[[#This Row],[Team Number]],RobotDesignResults[Team Number],0))</f>
        <v/>
      </c>
      <c r="L105" s="77">
        <f>INDEX(RobotDesignResults[Communicate - Impact (CV)],MATCH(CoreValuesResults[[#This Row],[Team Number]],RobotDesignResults[Team Number],0))</f>
        <v/>
      </c>
      <c r="M105" s="77">
        <f>INDEX(RobotDesignResults[Communicate - Fun (CV)],MATCH(CoreValuesResults[[#This Row],[Team Number]],RobotDesignResults[Team Number],0))</f>
        <v/>
      </c>
      <c r="N105" s="86" t="n"/>
      <c r="O105" s="86" t="n"/>
      <c r="P105" s="86" t="n"/>
      <c r="Q105" s="69">
        <f>SUM(CoreValuesResults[[#This Row],[Gracious Professionalism 1]:[Gracious Professionalism 3]])</f>
        <v/>
      </c>
      <c r="R105" s="69">
        <f>SUM(N105:Q105)</f>
        <v/>
      </c>
      <c r="S105" s="83">
        <f>SUM(CoreValuesResults[[#This Row],[Identify - Research (CV-IP)]:[Communicate - Fun (CV-RD)]],CoreValuesResults[[#This Row],[Gracious Professionalism Score]])</f>
        <v/>
      </c>
      <c r="T105" s="73">
        <f>_xlfn.RANK.EQ(CoreValuesResults[[#This Row],[Core Values Score]],CoreValuesResults[Core Values Score],0)</f>
        <v/>
      </c>
    </row>
    <row r="106" ht="21" customHeight="1">
      <c r="A106" s="69" t="n"/>
      <c r="B106" s="69">
        <f>INDEX(OfficialTeamList[Pod Number],MATCH(CoreValuesResults[[#This Row],[Team Number]], OfficialTeamList[Team '#],0))</f>
        <v/>
      </c>
      <c r="C106" s="106">
        <f>INDEX(OfficialTeamList[Team Name],MATCH(CoreValuesResults[[#This Row],[Team Number]], OfficialTeamList[Team '#],0))</f>
        <v/>
      </c>
      <c r="D106" s="77">
        <f>INDEX(InnovationProjectResults[Identify - Research (CV)],MATCH(CoreValuesResults[[#This Row],[Team Number]],InnovationProjectResults[Team Number],0))</f>
        <v/>
      </c>
      <c r="E106" s="77">
        <f>INDEX(InnovationProjectResults[Design - Teamwork (CV)],MATCH(CoreValuesResults[[#This Row],[Team Number]],InnovationProjectResults[Team Number],0))</f>
        <v/>
      </c>
      <c r="F106" s="77">
        <f>INDEX(InnovationProjectResults[Create - Innovation (CV)],MATCH(CoreValuesResults[[#This Row],[Team Number]],InnovationProjectResults[Team Number],0))</f>
        <v/>
      </c>
      <c r="G106" s="77">
        <f>INDEX(InnovationProjectResults[Communicate - Impact (CV)],MATCH(CoreValuesResults[[#This Row],[Team Number]],InnovationProjectResults[Team Number],0))</f>
        <v/>
      </c>
      <c r="H106" s="77">
        <f>INDEX(InnovationProjectResults[Communicate - Fun (CV)],MATCH(CoreValuesResults[[#This Row],[Team Number]],InnovationProjectResults[Team Number],0))</f>
        <v/>
      </c>
      <c r="I106" s="77">
        <f>INDEX(RobotDesignResults[Identify - Research (CV)],MATCH(CoreValuesResults[[#This Row],[Team Number]],RobotDesignResults[Team Number],0))</f>
        <v/>
      </c>
      <c r="J106" s="77">
        <f>INDEX(RobotDesignResults[Design - Ideas (CV)],MATCH(CoreValuesResults[[#This Row],[Team Number]],RobotDesignResults[Team Number],0))</f>
        <v/>
      </c>
      <c r="K106" s="77">
        <f>INDEX(RobotDesignResults[Iterate - Improvements (CV)],MATCH(CoreValuesResults[[#This Row],[Team Number]],RobotDesignResults[Team Number],0))</f>
        <v/>
      </c>
      <c r="L106" s="77">
        <f>INDEX(RobotDesignResults[Communicate - Impact (CV)],MATCH(CoreValuesResults[[#This Row],[Team Number]],RobotDesignResults[Team Number],0))</f>
        <v/>
      </c>
      <c r="M106" s="77">
        <f>INDEX(RobotDesignResults[Communicate - Fun (CV)],MATCH(CoreValuesResults[[#This Row],[Team Number]],RobotDesignResults[Team Number],0))</f>
        <v/>
      </c>
      <c r="N106" s="86" t="n"/>
      <c r="O106" s="86" t="n"/>
      <c r="P106" s="86" t="n"/>
      <c r="Q106" s="69">
        <f>SUM(CoreValuesResults[[#This Row],[Gracious Professionalism 1]:[Gracious Professionalism 3]])</f>
        <v/>
      </c>
      <c r="R106" s="69">
        <f>SUM(N106:Q106)</f>
        <v/>
      </c>
      <c r="S106" s="83">
        <f>SUM(CoreValuesResults[[#This Row],[Identify - Research (CV-IP)]:[Communicate - Fun (CV-RD)]],CoreValuesResults[[#This Row],[Gracious Professionalism Score]])</f>
        <v/>
      </c>
      <c r="T106" s="73">
        <f>_xlfn.RANK.EQ(CoreValuesResults[[#This Row],[Core Values Score]],CoreValuesResults[Core Values Score],0)</f>
        <v/>
      </c>
    </row>
    <row r="107" ht="21" customHeight="1">
      <c r="A107" s="69" t="n"/>
      <c r="B107" s="69">
        <f>INDEX(OfficialTeamList[Pod Number],MATCH(CoreValuesResults[[#This Row],[Team Number]], OfficialTeamList[Team '#],0))</f>
        <v/>
      </c>
      <c r="C107" s="106">
        <f>INDEX(OfficialTeamList[Team Name],MATCH(CoreValuesResults[[#This Row],[Team Number]], OfficialTeamList[Team '#],0))</f>
        <v/>
      </c>
      <c r="D107" s="77">
        <f>INDEX(InnovationProjectResults[Identify - Research (CV)],MATCH(CoreValuesResults[[#This Row],[Team Number]],InnovationProjectResults[Team Number],0))</f>
        <v/>
      </c>
      <c r="E107" s="77">
        <f>INDEX(InnovationProjectResults[Design - Teamwork (CV)],MATCH(CoreValuesResults[[#This Row],[Team Number]],InnovationProjectResults[Team Number],0))</f>
        <v/>
      </c>
      <c r="F107" s="77">
        <f>INDEX(InnovationProjectResults[Create - Innovation (CV)],MATCH(CoreValuesResults[[#This Row],[Team Number]],InnovationProjectResults[Team Number],0))</f>
        <v/>
      </c>
      <c r="G107" s="77">
        <f>INDEX(InnovationProjectResults[Communicate - Impact (CV)],MATCH(CoreValuesResults[[#This Row],[Team Number]],InnovationProjectResults[Team Number],0))</f>
        <v/>
      </c>
      <c r="H107" s="77">
        <f>INDEX(InnovationProjectResults[Communicate - Fun (CV)],MATCH(CoreValuesResults[[#This Row],[Team Number]],InnovationProjectResults[Team Number],0))</f>
        <v/>
      </c>
      <c r="I107" s="77">
        <f>INDEX(RobotDesignResults[Identify - Research (CV)],MATCH(CoreValuesResults[[#This Row],[Team Number]],RobotDesignResults[Team Number],0))</f>
        <v/>
      </c>
      <c r="J107" s="77">
        <f>INDEX(RobotDesignResults[Design - Ideas (CV)],MATCH(CoreValuesResults[[#This Row],[Team Number]],RobotDesignResults[Team Number],0))</f>
        <v/>
      </c>
      <c r="K107" s="77">
        <f>INDEX(RobotDesignResults[Iterate - Improvements (CV)],MATCH(CoreValuesResults[[#This Row],[Team Number]],RobotDesignResults[Team Number],0))</f>
        <v/>
      </c>
      <c r="L107" s="77">
        <f>INDEX(RobotDesignResults[Communicate - Impact (CV)],MATCH(CoreValuesResults[[#This Row],[Team Number]],RobotDesignResults[Team Number],0))</f>
        <v/>
      </c>
      <c r="M107" s="77">
        <f>INDEX(RobotDesignResults[Communicate - Fun (CV)],MATCH(CoreValuesResults[[#This Row],[Team Number]],RobotDesignResults[Team Number],0))</f>
        <v/>
      </c>
      <c r="N107" s="86" t="n"/>
      <c r="O107" s="86" t="n"/>
      <c r="P107" s="86" t="n"/>
      <c r="Q107" s="69">
        <f>SUM(CoreValuesResults[[#This Row],[Gracious Professionalism 1]:[Gracious Professionalism 3]])</f>
        <v/>
      </c>
      <c r="R107" s="69">
        <f>SUM(N107:Q107)</f>
        <v/>
      </c>
      <c r="S107" s="83">
        <f>SUM(CoreValuesResults[[#This Row],[Identify - Research (CV-IP)]:[Communicate - Fun (CV-RD)]],CoreValuesResults[[#This Row],[Gracious Professionalism Score]])</f>
        <v/>
      </c>
      <c r="T107" s="73">
        <f>_xlfn.RANK.EQ(CoreValuesResults[[#This Row],[Core Values Score]],CoreValuesResults[Core Values Score],0)</f>
        <v/>
      </c>
    </row>
    <row r="108" ht="21" customHeight="1">
      <c r="A108" s="69" t="n"/>
      <c r="B108" s="69">
        <f>INDEX(OfficialTeamList[Pod Number],MATCH(CoreValuesResults[[#This Row],[Team Number]], OfficialTeamList[Team '#],0))</f>
        <v/>
      </c>
      <c r="C108" s="106">
        <f>INDEX(OfficialTeamList[Team Name],MATCH(CoreValuesResults[[#This Row],[Team Number]], OfficialTeamList[Team '#],0))</f>
        <v/>
      </c>
      <c r="D108" s="77">
        <f>INDEX(InnovationProjectResults[Identify - Research (CV)],MATCH(CoreValuesResults[[#This Row],[Team Number]],InnovationProjectResults[Team Number],0))</f>
        <v/>
      </c>
      <c r="E108" s="77">
        <f>INDEX(InnovationProjectResults[Design - Teamwork (CV)],MATCH(CoreValuesResults[[#This Row],[Team Number]],InnovationProjectResults[Team Number],0))</f>
        <v/>
      </c>
      <c r="F108" s="77">
        <f>INDEX(InnovationProjectResults[Create - Innovation (CV)],MATCH(CoreValuesResults[[#This Row],[Team Number]],InnovationProjectResults[Team Number],0))</f>
        <v/>
      </c>
      <c r="G108" s="77">
        <f>INDEX(InnovationProjectResults[Communicate - Impact (CV)],MATCH(CoreValuesResults[[#This Row],[Team Number]],InnovationProjectResults[Team Number],0))</f>
        <v/>
      </c>
      <c r="H108" s="77">
        <f>INDEX(InnovationProjectResults[Communicate - Fun (CV)],MATCH(CoreValuesResults[[#This Row],[Team Number]],InnovationProjectResults[Team Number],0))</f>
        <v/>
      </c>
      <c r="I108" s="77">
        <f>INDEX(RobotDesignResults[Identify - Research (CV)],MATCH(CoreValuesResults[[#This Row],[Team Number]],RobotDesignResults[Team Number],0))</f>
        <v/>
      </c>
      <c r="J108" s="77">
        <f>INDEX(RobotDesignResults[Design - Ideas (CV)],MATCH(CoreValuesResults[[#This Row],[Team Number]],RobotDesignResults[Team Number],0))</f>
        <v/>
      </c>
      <c r="K108" s="77">
        <f>INDEX(RobotDesignResults[Iterate - Improvements (CV)],MATCH(CoreValuesResults[[#This Row],[Team Number]],RobotDesignResults[Team Number],0))</f>
        <v/>
      </c>
      <c r="L108" s="77">
        <f>INDEX(RobotDesignResults[Communicate - Impact (CV)],MATCH(CoreValuesResults[[#This Row],[Team Number]],RobotDesignResults[Team Number],0))</f>
        <v/>
      </c>
      <c r="M108" s="77">
        <f>INDEX(RobotDesignResults[Communicate - Fun (CV)],MATCH(CoreValuesResults[[#This Row],[Team Number]],RobotDesignResults[Team Number],0))</f>
        <v/>
      </c>
      <c r="N108" s="86" t="n"/>
      <c r="O108" s="86" t="n"/>
      <c r="P108" s="86" t="n"/>
      <c r="Q108" s="69">
        <f>SUM(CoreValuesResults[[#This Row],[Gracious Professionalism 1]:[Gracious Professionalism 3]])</f>
        <v/>
      </c>
      <c r="R108" s="69">
        <f>SUM(N108:Q108)</f>
        <v/>
      </c>
      <c r="S108" s="83">
        <f>SUM(CoreValuesResults[[#This Row],[Identify - Research (CV-IP)]:[Communicate - Fun (CV-RD)]],CoreValuesResults[[#This Row],[Gracious Professionalism Score]])</f>
        <v/>
      </c>
      <c r="T108" s="73">
        <f>_xlfn.RANK.EQ(CoreValuesResults[[#This Row],[Core Values Score]],CoreValuesResults[Core Values Score],0)</f>
        <v/>
      </c>
    </row>
    <row r="109" ht="21" customHeight="1">
      <c r="A109" s="69" t="n"/>
      <c r="B109" s="69">
        <f>INDEX(OfficialTeamList[Pod Number],MATCH(CoreValuesResults[[#This Row],[Team Number]], OfficialTeamList[Team '#],0))</f>
        <v/>
      </c>
      <c r="C109" s="106">
        <f>INDEX(OfficialTeamList[Team Name],MATCH(CoreValuesResults[[#This Row],[Team Number]], OfficialTeamList[Team '#],0))</f>
        <v/>
      </c>
      <c r="D109" s="77">
        <f>INDEX(InnovationProjectResults[Identify - Research (CV)],MATCH(CoreValuesResults[[#This Row],[Team Number]],InnovationProjectResults[Team Number],0))</f>
        <v/>
      </c>
      <c r="E109" s="77">
        <f>INDEX(InnovationProjectResults[Design - Teamwork (CV)],MATCH(CoreValuesResults[[#This Row],[Team Number]],InnovationProjectResults[Team Number],0))</f>
        <v/>
      </c>
      <c r="F109" s="77">
        <f>INDEX(InnovationProjectResults[Create - Innovation (CV)],MATCH(CoreValuesResults[[#This Row],[Team Number]],InnovationProjectResults[Team Number],0))</f>
        <v/>
      </c>
      <c r="G109" s="77">
        <f>INDEX(InnovationProjectResults[Communicate - Impact (CV)],MATCH(CoreValuesResults[[#This Row],[Team Number]],InnovationProjectResults[Team Number],0))</f>
        <v/>
      </c>
      <c r="H109" s="77">
        <f>INDEX(InnovationProjectResults[Communicate - Fun (CV)],MATCH(CoreValuesResults[[#This Row],[Team Number]],InnovationProjectResults[Team Number],0))</f>
        <v/>
      </c>
      <c r="I109" s="77">
        <f>INDEX(RobotDesignResults[Identify - Research (CV)],MATCH(CoreValuesResults[[#This Row],[Team Number]],RobotDesignResults[Team Number],0))</f>
        <v/>
      </c>
      <c r="J109" s="77">
        <f>INDEX(RobotDesignResults[Design - Ideas (CV)],MATCH(CoreValuesResults[[#This Row],[Team Number]],RobotDesignResults[Team Number],0))</f>
        <v/>
      </c>
      <c r="K109" s="77">
        <f>INDEX(RobotDesignResults[Iterate - Improvements (CV)],MATCH(CoreValuesResults[[#This Row],[Team Number]],RobotDesignResults[Team Number],0))</f>
        <v/>
      </c>
      <c r="L109" s="77">
        <f>INDEX(RobotDesignResults[Communicate - Impact (CV)],MATCH(CoreValuesResults[[#This Row],[Team Number]],RobotDesignResults[Team Number],0))</f>
        <v/>
      </c>
      <c r="M109" s="77">
        <f>INDEX(RobotDesignResults[Communicate - Fun (CV)],MATCH(CoreValuesResults[[#This Row],[Team Number]],RobotDesignResults[Team Number],0))</f>
        <v/>
      </c>
      <c r="N109" s="86" t="n"/>
      <c r="O109" s="86" t="n"/>
      <c r="P109" s="86" t="n"/>
      <c r="Q109" s="69">
        <f>SUM(CoreValuesResults[[#This Row],[Gracious Professionalism 1]:[Gracious Professionalism 3]])</f>
        <v/>
      </c>
      <c r="R109" s="69">
        <f>SUM(N109:Q109)</f>
        <v/>
      </c>
      <c r="S109" s="83">
        <f>SUM(CoreValuesResults[[#This Row],[Identify - Research (CV-IP)]:[Communicate - Fun (CV-RD)]],CoreValuesResults[[#This Row],[Gracious Professionalism Score]])</f>
        <v/>
      </c>
      <c r="T109" s="73">
        <f>_xlfn.RANK.EQ(CoreValuesResults[[#This Row],[Core Values Score]],CoreValuesResults[Core Values Score],0)</f>
        <v/>
      </c>
    </row>
    <row r="110" ht="21" customHeight="1">
      <c r="A110" s="69" t="n"/>
      <c r="B110" s="69">
        <f>INDEX(OfficialTeamList[Pod Number],MATCH(CoreValuesResults[[#This Row],[Team Number]], OfficialTeamList[Team '#],0))</f>
        <v/>
      </c>
      <c r="C110" s="106">
        <f>INDEX(OfficialTeamList[Team Name],MATCH(CoreValuesResults[[#This Row],[Team Number]], OfficialTeamList[Team '#],0))</f>
        <v/>
      </c>
      <c r="D110" s="77">
        <f>INDEX(InnovationProjectResults[Identify - Research (CV)],MATCH(CoreValuesResults[[#This Row],[Team Number]],InnovationProjectResults[Team Number],0))</f>
        <v/>
      </c>
      <c r="E110" s="77">
        <f>INDEX(InnovationProjectResults[Design - Teamwork (CV)],MATCH(CoreValuesResults[[#This Row],[Team Number]],InnovationProjectResults[Team Number],0))</f>
        <v/>
      </c>
      <c r="F110" s="77">
        <f>INDEX(InnovationProjectResults[Create - Innovation (CV)],MATCH(CoreValuesResults[[#This Row],[Team Number]],InnovationProjectResults[Team Number],0))</f>
        <v/>
      </c>
      <c r="G110" s="77">
        <f>INDEX(InnovationProjectResults[Communicate - Impact (CV)],MATCH(CoreValuesResults[[#This Row],[Team Number]],InnovationProjectResults[Team Number],0))</f>
        <v/>
      </c>
      <c r="H110" s="77">
        <f>INDEX(InnovationProjectResults[Communicate - Fun (CV)],MATCH(CoreValuesResults[[#This Row],[Team Number]],InnovationProjectResults[Team Number],0))</f>
        <v/>
      </c>
      <c r="I110" s="77">
        <f>INDEX(RobotDesignResults[Identify - Research (CV)],MATCH(CoreValuesResults[[#This Row],[Team Number]],RobotDesignResults[Team Number],0))</f>
        <v/>
      </c>
      <c r="J110" s="77">
        <f>INDEX(RobotDesignResults[Design - Ideas (CV)],MATCH(CoreValuesResults[[#This Row],[Team Number]],RobotDesignResults[Team Number],0))</f>
        <v/>
      </c>
      <c r="K110" s="77">
        <f>INDEX(RobotDesignResults[Iterate - Improvements (CV)],MATCH(CoreValuesResults[[#This Row],[Team Number]],RobotDesignResults[Team Number],0))</f>
        <v/>
      </c>
      <c r="L110" s="77">
        <f>INDEX(RobotDesignResults[Communicate - Impact (CV)],MATCH(CoreValuesResults[[#This Row],[Team Number]],RobotDesignResults[Team Number],0))</f>
        <v/>
      </c>
      <c r="M110" s="77">
        <f>INDEX(RobotDesignResults[Communicate - Fun (CV)],MATCH(CoreValuesResults[[#This Row],[Team Number]],RobotDesignResults[Team Number],0))</f>
        <v/>
      </c>
      <c r="N110" s="86" t="n"/>
      <c r="O110" s="86" t="n"/>
      <c r="P110" s="86" t="n"/>
      <c r="Q110" s="69">
        <f>SUM(CoreValuesResults[[#This Row],[Gracious Professionalism 1]:[Gracious Professionalism 3]])</f>
        <v/>
      </c>
      <c r="R110" s="69">
        <f>SUM(N110:Q110)</f>
        <v/>
      </c>
      <c r="S110" s="83">
        <f>SUM(CoreValuesResults[[#This Row],[Identify - Research (CV-IP)]:[Communicate - Fun (CV-RD)]],CoreValuesResults[[#This Row],[Gracious Professionalism Score]])</f>
        <v/>
      </c>
      <c r="T110" s="73">
        <f>_xlfn.RANK.EQ(CoreValuesResults[[#This Row],[Core Values Score]],CoreValuesResults[Core Values Score],0)</f>
        <v/>
      </c>
    </row>
    <row r="111" ht="21" customHeight="1">
      <c r="A111" s="69" t="n"/>
      <c r="B111" s="69">
        <f>INDEX(OfficialTeamList[Pod Number],MATCH(CoreValuesResults[[#This Row],[Team Number]], OfficialTeamList[Team '#],0))</f>
        <v/>
      </c>
      <c r="C111" s="106">
        <f>INDEX(OfficialTeamList[Team Name],MATCH(CoreValuesResults[[#This Row],[Team Number]], OfficialTeamList[Team '#],0))</f>
        <v/>
      </c>
      <c r="D111" s="77">
        <f>INDEX(InnovationProjectResults[Identify - Research (CV)],MATCH(CoreValuesResults[[#This Row],[Team Number]],InnovationProjectResults[Team Number],0))</f>
        <v/>
      </c>
      <c r="E111" s="77">
        <f>INDEX(InnovationProjectResults[Design - Teamwork (CV)],MATCH(CoreValuesResults[[#This Row],[Team Number]],InnovationProjectResults[Team Number],0))</f>
        <v/>
      </c>
      <c r="F111" s="77">
        <f>INDEX(InnovationProjectResults[Create - Innovation (CV)],MATCH(CoreValuesResults[[#This Row],[Team Number]],InnovationProjectResults[Team Number],0))</f>
        <v/>
      </c>
      <c r="G111" s="77">
        <f>INDEX(InnovationProjectResults[Communicate - Impact (CV)],MATCH(CoreValuesResults[[#This Row],[Team Number]],InnovationProjectResults[Team Number],0))</f>
        <v/>
      </c>
      <c r="H111" s="77">
        <f>INDEX(InnovationProjectResults[Communicate - Fun (CV)],MATCH(CoreValuesResults[[#This Row],[Team Number]],InnovationProjectResults[Team Number],0))</f>
        <v/>
      </c>
      <c r="I111" s="77">
        <f>INDEX(RobotDesignResults[Identify - Research (CV)],MATCH(CoreValuesResults[[#This Row],[Team Number]],RobotDesignResults[Team Number],0))</f>
        <v/>
      </c>
      <c r="J111" s="77">
        <f>INDEX(RobotDesignResults[Design - Ideas (CV)],MATCH(CoreValuesResults[[#This Row],[Team Number]],RobotDesignResults[Team Number],0))</f>
        <v/>
      </c>
      <c r="K111" s="77">
        <f>INDEX(RobotDesignResults[Iterate - Improvements (CV)],MATCH(CoreValuesResults[[#This Row],[Team Number]],RobotDesignResults[Team Number],0))</f>
        <v/>
      </c>
      <c r="L111" s="77">
        <f>INDEX(RobotDesignResults[Communicate - Impact (CV)],MATCH(CoreValuesResults[[#This Row],[Team Number]],RobotDesignResults[Team Number],0))</f>
        <v/>
      </c>
      <c r="M111" s="77">
        <f>INDEX(RobotDesignResults[Communicate - Fun (CV)],MATCH(CoreValuesResults[[#This Row],[Team Number]],RobotDesignResults[Team Number],0))</f>
        <v/>
      </c>
      <c r="N111" s="86" t="n"/>
      <c r="O111" s="86" t="n"/>
      <c r="P111" s="86" t="n"/>
      <c r="Q111" s="69">
        <f>SUM(CoreValuesResults[[#This Row],[Gracious Professionalism 1]:[Gracious Professionalism 3]])</f>
        <v/>
      </c>
      <c r="R111" s="69">
        <f>SUM(N111:Q111)</f>
        <v/>
      </c>
      <c r="S111" s="83">
        <f>SUM(CoreValuesResults[[#This Row],[Identify - Research (CV-IP)]:[Communicate - Fun (CV-RD)]],CoreValuesResults[[#This Row],[Gracious Professionalism Score]])</f>
        <v/>
      </c>
      <c r="T111" s="73">
        <f>_xlfn.RANK.EQ(CoreValuesResults[[#This Row],[Core Values Score]],CoreValuesResults[Core Values Score],0)</f>
        <v/>
      </c>
    </row>
    <row r="112" ht="21" customHeight="1">
      <c r="A112" s="69" t="n"/>
      <c r="B112" s="69">
        <f>INDEX(OfficialTeamList[Pod Number],MATCH(CoreValuesResults[[#This Row],[Team Number]], OfficialTeamList[Team '#],0))</f>
        <v/>
      </c>
      <c r="C112" s="106">
        <f>INDEX(OfficialTeamList[Team Name],MATCH(CoreValuesResults[[#This Row],[Team Number]], OfficialTeamList[Team '#],0))</f>
        <v/>
      </c>
      <c r="D112" s="77">
        <f>INDEX(InnovationProjectResults[Identify - Research (CV)],MATCH(CoreValuesResults[[#This Row],[Team Number]],InnovationProjectResults[Team Number],0))</f>
        <v/>
      </c>
      <c r="E112" s="77">
        <f>INDEX(InnovationProjectResults[Design - Teamwork (CV)],MATCH(CoreValuesResults[[#This Row],[Team Number]],InnovationProjectResults[Team Number],0))</f>
        <v/>
      </c>
      <c r="F112" s="77">
        <f>INDEX(InnovationProjectResults[Create - Innovation (CV)],MATCH(CoreValuesResults[[#This Row],[Team Number]],InnovationProjectResults[Team Number],0))</f>
        <v/>
      </c>
      <c r="G112" s="77">
        <f>INDEX(InnovationProjectResults[Communicate - Impact (CV)],MATCH(CoreValuesResults[[#This Row],[Team Number]],InnovationProjectResults[Team Number],0))</f>
        <v/>
      </c>
      <c r="H112" s="77">
        <f>INDEX(InnovationProjectResults[Communicate - Fun (CV)],MATCH(CoreValuesResults[[#This Row],[Team Number]],InnovationProjectResults[Team Number],0))</f>
        <v/>
      </c>
      <c r="I112" s="77">
        <f>INDEX(RobotDesignResults[Identify - Research (CV)],MATCH(CoreValuesResults[[#This Row],[Team Number]],RobotDesignResults[Team Number],0))</f>
        <v/>
      </c>
      <c r="J112" s="77">
        <f>INDEX(RobotDesignResults[Design - Ideas (CV)],MATCH(CoreValuesResults[[#This Row],[Team Number]],RobotDesignResults[Team Number],0))</f>
        <v/>
      </c>
      <c r="K112" s="77">
        <f>INDEX(RobotDesignResults[Iterate - Improvements (CV)],MATCH(CoreValuesResults[[#This Row],[Team Number]],RobotDesignResults[Team Number],0))</f>
        <v/>
      </c>
      <c r="L112" s="77">
        <f>INDEX(RobotDesignResults[Communicate - Impact (CV)],MATCH(CoreValuesResults[[#This Row],[Team Number]],RobotDesignResults[Team Number],0))</f>
        <v/>
      </c>
      <c r="M112" s="77">
        <f>INDEX(RobotDesignResults[Communicate - Fun (CV)],MATCH(CoreValuesResults[[#This Row],[Team Number]],RobotDesignResults[Team Number],0))</f>
        <v/>
      </c>
      <c r="N112" s="86" t="n"/>
      <c r="O112" s="86" t="n"/>
      <c r="P112" s="86" t="n"/>
      <c r="Q112" s="69">
        <f>SUM(CoreValuesResults[[#This Row],[Gracious Professionalism 1]:[Gracious Professionalism 3]])</f>
        <v/>
      </c>
      <c r="R112" s="69">
        <f>SUM(N112:Q112)</f>
        <v/>
      </c>
      <c r="S112" s="83">
        <f>SUM(CoreValuesResults[[#This Row],[Identify - Research (CV-IP)]:[Communicate - Fun (CV-RD)]],CoreValuesResults[[#This Row],[Gracious Professionalism Score]])</f>
        <v/>
      </c>
      <c r="T112" s="73">
        <f>_xlfn.RANK.EQ(CoreValuesResults[[#This Row],[Core Values Score]],CoreValuesResults[Core Values Score],0)</f>
        <v/>
      </c>
    </row>
    <row r="113" ht="21" customHeight="1">
      <c r="A113" s="69" t="n"/>
      <c r="B113" s="69">
        <f>INDEX(OfficialTeamList[Pod Number],MATCH(CoreValuesResults[[#This Row],[Team Number]], OfficialTeamList[Team '#],0))</f>
        <v/>
      </c>
      <c r="C113" s="106">
        <f>INDEX(OfficialTeamList[Team Name],MATCH(CoreValuesResults[[#This Row],[Team Number]], OfficialTeamList[Team '#],0))</f>
        <v/>
      </c>
      <c r="D113" s="77">
        <f>INDEX(InnovationProjectResults[Identify - Research (CV)],MATCH(CoreValuesResults[[#This Row],[Team Number]],InnovationProjectResults[Team Number],0))</f>
        <v/>
      </c>
      <c r="E113" s="77">
        <f>INDEX(InnovationProjectResults[Design - Teamwork (CV)],MATCH(CoreValuesResults[[#This Row],[Team Number]],InnovationProjectResults[Team Number],0))</f>
        <v/>
      </c>
      <c r="F113" s="77">
        <f>INDEX(InnovationProjectResults[Create - Innovation (CV)],MATCH(CoreValuesResults[[#This Row],[Team Number]],InnovationProjectResults[Team Number],0))</f>
        <v/>
      </c>
      <c r="G113" s="77">
        <f>INDEX(InnovationProjectResults[Communicate - Impact (CV)],MATCH(CoreValuesResults[[#This Row],[Team Number]],InnovationProjectResults[Team Number],0))</f>
        <v/>
      </c>
      <c r="H113" s="77">
        <f>INDEX(InnovationProjectResults[Communicate - Fun (CV)],MATCH(CoreValuesResults[[#This Row],[Team Number]],InnovationProjectResults[Team Number],0))</f>
        <v/>
      </c>
      <c r="I113" s="77">
        <f>INDEX(RobotDesignResults[Identify - Research (CV)],MATCH(CoreValuesResults[[#This Row],[Team Number]],RobotDesignResults[Team Number],0))</f>
        <v/>
      </c>
      <c r="J113" s="77">
        <f>INDEX(RobotDesignResults[Design - Ideas (CV)],MATCH(CoreValuesResults[[#This Row],[Team Number]],RobotDesignResults[Team Number],0))</f>
        <v/>
      </c>
      <c r="K113" s="77">
        <f>INDEX(RobotDesignResults[Iterate - Improvements (CV)],MATCH(CoreValuesResults[[#This Row],[Team Number]],RobotDesignResults[Team Number],0))</f>
        <v/>
      </c>
      <c r="L113" s="77">
        <f>INDEX(RobotDesignResults[Communicate - Impact (CV)],MATCH(CoreValuesResults[[#This Row],[Team Number]],RobotDesignResults[Team Number],0))</f>
        <v/>
      </c>
      <c r="M113" s="77">
        <f>INDEX(RobotDesignResults[Communicate - Fun (CV)],MATCH(CoreValuesResults[[#This Row],[Team Number]],RobotDesignResults[Team Number],0))</f>
        <v/>
      </c>
      <c r="N113" s="86" t="n"/>
      <c r="O113" s="86" t="n"/>
      <c r="P113" s="86" t="n"/>
      <c r="Q113" s="69">
        <f>SUM(CoreValuesResults[[#This Row],[Gracious Professionalism 1]:[Gracious Professionalism 3]])</f>
        <v/>
      </c>
      <c r="R113" s="69">
        <f>SUM(N113:Q113)</f>
        <v/>
      </c>
      <c r="S113" s="83">
        <f>SUM(CoreValuesResults[[#This Row],[Identify - Research (CV-IP)]:[Communicate - Fun (CV-RD)]],CoreValuesResults[[#This Row],[Gracious Professionalism Score]])</f>
        <v/>
      </c>
      <c r="T113" s="73">
        <f>_xlfn.RANK.EQ(CoreValuesResults[[#This Row],[Core Values Score]],CoreValuesResults[Core Values Score],0)</f>
        <v/>
      </c>
    </row>
    <row r="114" ht="21" customHeight="1">
      <c r="A114" s="69" t="n"/>
      <c r="B114" s="69">
        <f>INDEX(OfficialTeamList[Pod Number],MATCH(CoreValuesResults[[#This Row],[Team Number]], OfficialTeamList[Team '#],0))</f>
        <v/>
      </c>
      <c r="C114" s="106">
        <f>INDEX(OfficialTeamList[Team Name],MATCH(CoreValuesResults[[#This Row],[Team Number]], OfficialTeamList[Team '#],0))</f>
        <v/>
      </c>
      <c r="D114" s="77">
        <f>INDEX(InnovationProjectResults[Identify - Research (CV)],MATCH(CoreValuesResults[[#This Row],[Team Number]],InnovationProjectResults[Team Number],0))</f>
        <v/>
      </c>
      <c r="E114" s="77">
        <f>INDEX(InnovationProjectResults[Design - Teamwork (CV)],MATCH(CoreValuesResults[[#This Row],[Team Number]],InnovationProjectResults[Team Number],0))</f>
        <v/>
      </c>
      <c r="F114" s="77">
        <f>INDEX(InnovationProjectResults[Create - Innovation (CV)],MATCH(CoreValuesResults[[#This Row],[Team Number]],InnovationProjectResults[Team Number],0))</f>
        <v/>
      </c>
      <c r="G114" s="77">
        <f>INDEX(InnovationProjectResults[Communicate - Impact (CV)],MATCH(CoreValuesResults[[#This Row],[Team Number]],InnovationProjectResults[Team Number],0))</f>
        <v/>
      </c>
      <c r="H114" s="77">
        <f>INDEX(InnovationProjectResults[Communicate - Fun (CV)],MATCH(CoreValuesResults[[#This Row],[Team Number]],InnovationProjectResults[Team Number],0))</f>
        <v/>
      </c>
      <c r="I114" s="77">
        <f>INDEX(RobotDesignResults[Identify - Research (CV)],MATCH(CoreValuesResults[[#This Row],[Team Number]],RobotDesignResults[Team Number],0))</f>
        <v/>
      </c>
      <c r="J114" s="77">
        <f>INDEX(RobotDesignResults[Design - Ideas (CV)],MATCH(CoreValuesResults[[#This Row],[Team Number]],RobotDesignResults[Team Number],0))</f>
        <v/>
      </c>
      <c r="K114" s="77">
        <f>INDEX(RobotDesignResults[Iterate - Improvements (CV)],MATCH(CoreValuesResults[[#This Row],[Team Number]],RobotDesignResults[Team Number],0))</f>
        <v/>
      </c>
      <c r="L114" s="77">
        <f>INDEX(RobotDesignResults[Communicate - Impact (CV)],MATCH(CoreValuesResults[[#This Row],[Team Number]],RobotDesignResults[Team Number],0))</f>
        <v/>
      </c>
      <c r="M114" s="77">
        <f>INDEX(RobotDesignResults[Communicate - Fun (CV)],MATCH(CoreValuesResults[[#This Row],[Team Number]],RobotDesignResults[Team Number],0))</f>
        <v/>
      </c>
      <c r="N114" s="86" t="n"/>
      <c r="O114" s="86" t="n"/>
      <c r="P114" s="86" t="n"/>
      <c r="Q114" s="69">
        <f>SUM(CoreValuesResults[[#This Row],[Gracious Professionalism 1]:[Gracious Professionalism 3]])</f>
        <v/>
      </c>
      <c r="R114" s="69">
        <f>SUM(N114:Q114)</f>
        <v/>
      </c>
      <c r="S114" s="83">
        <f>SUM(CoreValuesResults[[#This Row],[Identify - Research (CV-IP)]:[Communicate - Fun (CV-RD)]],CoreValuesResults[[#This Row],[Gracious Professionalism Score]])</f>
        <v/>
      </c>
      <c r="T114" s="73">
        <f>_xlfn.RANK.EQ(CoreValuesResults[[#This Row],[Core Values Score]],CoreValuesResults[Core Values Score],0)</f>
        <v/>
      </c>
    </row>
    <row r="115" ht="21" customHeight="1">
      <c r="A115" s="69" t="n"/>
      <c r="B115" s="69">
        <f>INDEX(OfficialTeamList[Pod Number],MATCH(CoreValuesResults[[#This Row],[Team Number]], OfficialTeamList[Team '#],0))</f>
        <v/>
      </c>
      <c r="C115" s="106">
        <f>INDEX(OfficialTeamList[Team Name],MATCH(CoreValuesResults[[#This Row],[Team Number]], OfficialTeamList[Team '#],0))</f>
        <v/>
      </c>
      <c r="D115" s="77">
        <f>INDEX(InnovationProjectResults[Identify - Research (CV)],MATCH(CoreValuesResults[[#This Row],[Team Number]],InnovationProjectResults[Team Number],0))</f>
        <v/>
      </c>
      <c r="E115" s="77">
        <f>INDEX(InnovationProjectResults[Design - Teamwork (CV)],MATCH(CoreValuesResults[[#This Row],[Team Number]],InnovationProjectResults[Team Number],0))</f>
        <v/>
      </c>
      <c r="F115" s="77">
        <f>INDEX(InnovationProjectResults[Create - Innovation (CV)],MATCH(CoreValuesResults[[#This Row],[Team Number]],InnovationProjectResults[Team Number],0))</f>
        <v/>
      </c>
      <c r="G115" s="77">
        <f>INDEX(InnovationProjectResults[Communicate - Impact (CV)],MATCH(CoreValuesResults[[#This Row],[Team Number]],InnovationProjectResults[Team Number],0))</f>
        <v/>
      </c>
      <c r="H115" s="77">
        <f>INDEX(InnovationProjectResults[Communicate - Fun (CV)],MATCH(CoreValuesResults[[#This Row],[Team Number]],InnovationProjectResults[Team Number],0))</f>
        <v/>
      </c>
      <c r="I115" s="77">
        <f>INDEX(RobotDesignResults[Identify - Research (CV)],MATCH(CoreValuesResults[[#This Row],[Team Number]],RobotDesignResults[Team Number],0))</f>
        <v/>
      </c>
      <c r="J115" s="77">
        <f>INDEX(RobotDesignResults[Design - Ideas (CV)],MATCH(CoreValuesResults[[#This Row],[Team Number]],RobotDesignResults[Team Number],0))</f>
        <v/>
      </c>
      <c r="K115" s="77">
        <f>INDEX(RobotDesignResults[Iterate - Improvements (CV)],MATCH(CoreValuesResults[[#This Row],[Team Number]],RobotDesignResults[Team Number],0))</f>
        <v/>
      </c>
      <c r="L115" s="77">
        <f>INDEX(RobotDesignResults[Communicate - Impact (CV)],MATCH(CoreValuesResults[[#This Row],[Team Number]],RobotDesignResults[Team Number],0))</f>
        <v/>
      </c>
      <c r="M115" s="77">
        <f>INDEX(RobotDesignResults[Communicate - Fun (CV)],MATCH(CoreValuesResults[[#This Row],[Team Number]],RobotDesignResults[Team Number],0))</f>
        <v/>
      </c>
      <c r="N115" s="86" t="n"/>
      <c r="O115" s="86" t="n"/>
      <c r="P115" s="86" t="n"/>
      <c r="Q115" s="69">
        <f>SUM(CoreValuesResults[[#This Row],[Gracious Professionalism 1]:[Gracious Professionalism 3]])</f>
        <v/>
      </c>
      <c r="R115" s="69">
        <f>SUM(N115:Q115)</f>
        <v/>
      </c>
      <c r="S115" s="83">
        <f>SUM(CoreValuesResults[[#This Row],[Identify - Research (CV-IP)]:[Communicate - Fun (CV-RD)]],CoreValuesResults[[#This Row],[Gracious Professionalism Score]])</f>
        <v/>
      </c>
      <c r="T115" s="73">
        <f>_xlfn.RANK.EQ(CoreValuesResults[[#This Row],[Core Values Score]],CoreValuesResults[Core Values Score],0)</f>
        <v/>
      </c>
    </row>
    <row r="116" ht="21" customHeight="1">
      <c r="A116" s="69" t="n"/>
      <c r="B116" s="69">
        <f>INDEX(OfficialTeamList[Pod Number],MATCH(CoreValuesResults[[#This Row],[Team Number]], OfficialTeamList[Team '#],0))</f>
        <v/>
      </c>
      <c r="C116" s="106">
        <f>INDEX(OfficialTeamList[Team Name],MATCH(CoreValuesResults[[#This Row],[Team Number]], OfficialTeamList[Team '#],0))</f>
        <v/>
      </c>
      <c r="D116" s="77">
        <f>INDEX(InnovationProjectResults[Identify - Research (CV)],MATCH(CoreValuesResults[[#This Row],[Team Number]],InnovationProjectResults[Team Number],0))</f>
        <v/>
      </c>
      <c r="E116" s="77">
        <f>INDEX(InnovationProjectResults[Design - Teamwork (CV)],MATCH(CoreValuesResults[[#This Row],[Team Number]],InnovationProjectResults[Team Number],0))</f>
        <v/>
      </c>
      <c r="F116" s="77">
        <f>INDEX(InnovationProjectResults[Create - Innovation (CV)],MATCH(CoreValuesResults[[#This Row],[Team Number]],InnovationProjectResults[Team Number],0))</f>
        <v/>
      </c>
      <c r="G116" s="77">
        <f>INDEX(InnovationProjectResults[Communicate - Impact (CV)],MATCH(CoreValuesResults[[#This Row],[Team Number]],InnovationProjectResults[Team Number],0))</f>
        <v/>
      </c>
      <c r="H116" s="77">
        <f>INDEX(InnovationProjectResults[Communicate - Fun (CV)],MATCH(CoreValuesResults[[#This Row],[Team Number]],InnovationProjectResults[Team Number],0))</f>
        <v/>
      </c>
      <c r="I116" s="77">
        <f>INDEX(RobotDesignResults[Identify - Research (CV)],MATCH(CoreValuesResults[[#This Row],[Team Number]],RobotDesignResults[Team Number],0))</f>
        <v/>
      </c>
      <c r="J116" s="77">
        <f>INDEX(RobotDesignResults[Design - Ideas (CV)],MATCH(CoreValuesResults[[#This Row],[Team Number]],RobotDesignResults[Team Number],0))</f>
        <v/>
      </c>
      <c r="K116" s="77">
        <f>INDEX(RobotDesignResults[Iterate - Improvements (CV)],MATCH(CoreValuesResults[[#This Row],[Team Number]],RobotDesignResults[Team Number],0))</f>
        <v/>
      </c>
      <c r="L116" s="77">
        <f>INDEX(RobotDesignResults[Communicate - Impact (CV)],MATCH(CoreValuesResults[[#This Row],[Team Number]],RobotDesignResults[Team Number],0))</f>
        <v/>
      </c>
      <c r="M116" s="77">
        <f>INDEX(RobotDesignResults[Communicate - Fun (CV)],MATCH(CoreValuesResults[[#This Row],[Team Number]],RobotDesignResults[Team Number],0))</f>
        <v/>
      </c>
      <c r="N116" s="86" t="n"/>
      <c r="O116" s="86" t="n"/>
      <c r="P116" s="86" t="n"/>
      <c r="Q116" s="69">
        <f>SUM(CoreValuesResults[[#This Row],[Gracious Professionalism 1]:[Gracious Professionalism 3]])</f>
        <v/>
      </c>
      <c r="R116" s="69">
        <f>SUM(N116:Q116)</f>
        <v/>
      </c>
      <c r="S116" s="83">
        <f>SUM(CoreValuesResults[[#This Row],[Identify - Research (CV-IP)]:[Communicate - Fun (CV-RD)]],CoreValuesResults[[#This Row],[Gracious Professionalism Score]])</f>
        <v/>
      </c>
      <c r="T116" s="73">
        <f>_xlfn.RANK.EQ(CoreValuesResults[[#This Row],[Core Values Score]],CoreValuesResults[Core Values Score],0)</f>
        <v/>
      </c>
    </row>
    <row r="117" ht="21" customHeight="1">
      <c r="A117" s="69" t="n"/>
      <c r="B117" s="69">
        <f>INDEX(OfficialTeamList[Pod Number],MATCH(CoreValuesResults[[#This Row],[Team Number]], OfficialTeamList[Team '#],0))</f>
        <v/>
      </c>
      <c r="C117" s="106">
        <f>INDEX(OfficialTeamList[Team Name],MATCH(CoreValuesResults[[#This Row],[Team Number]], OfficialTeamList[Team '#],0))</f>
        <v/>
      </c>
      <c r="D117" s="77">
        <f>INDEX(InnovationProjectResults[Identify - Research (CV)],MATCH(CoreValuesResults[[#This Row],[Team Number]],InnovationProjectResults[Team Number],0))</f>
        <v/>
      </c>
      <c r="E117" s="77">
        <f>INDEX(InnovationProjectResults[Design - Teamwork (CV)],MATCH(CoreValuesResults[[#This Row],[Team Number]],InnovationProjectResults[Team Number],0))</f>
        <v/>
      </c>
      <c r="F117" s="77">
        <f>INDEX(InnovationProjectResults[Create - Innovation (CV)],MATCH(CoreValuesResults[[#This Row],[Team Number]],InnovationProjectResults[Team Number],0))</f>
        <v/>
      </c>
      <c r="G117" s="77">
        <f>INDEX(InnovationProjectResults[Communicate - Impact (CV)],MATCH(CoreValuesResults[[#This Row],[Team Number]],InnovationProjectResults[Team Number],0))</f>
        <v/>
      </c>
      <c r="H117" s="77">
        <f>INDEX(InnovationProjectResults[Communicate - Fun (CV)],MATCH(CoreValuesResults[[#This Row],[Team Number]],InnovationProjectResults[Team Number],0))</f>
        <v/>
      </c>
      <c r="I117" s="77">
        <f>INDEX(RobotDesignResults[Identify - Research (CV)],MATCH(CoreValuesResults[[#This Row],[Team Number]],RobotDesignResults[Team Number],0))</f>
        <v/>
      </c>
      <c r="J117" s="77">
        <f>INDEX(RobotDesignResults[Design - Ideas (CV)],MATCH(CoreValuesResults[[#This Row],[Team Number]],RobotDesignResults[Team Number],0))</f>
        <v/>
      </c>
      <c r="K117" s="77">
        <f>INDEX(RobotDesignResults[Iterate - Improvements (CV)],MATCH(CoreValuesResults[[#This Row],[Team Number]],RobotDesignResults[Team Number],0))</f>
        <v/>
      </c>
      <c r="L117" s="77">
        <f>INDEX(RobotDesignResults[Communicate - Impact (CV)],MATCH(CoreValuesResults[[#This Row],[Team Number]],RobotDesignResults[Team Number],0))</f>
        <v/>
      </c>
      <c r="M117" s="77">
        <f>INDEX(RobotDesignResults[Communicate - Fun (CV)],MATCH(CoreValuesResults[[#This Row],[Team Number]],RobotDesignResults[Team Number],0))</f>
        <v/>
      </c>
      <c r="N117" s="86" t="n"/>
      <c r="O117" s="86" t="n"/>
      <c r="P117" s="86" t="n"/>
      <c r="Q117" s="69">
        <f>SUM(CoreValuesResults[[#This Row],[Gracious Professionalism 1]:[Gracious Professionalism 3]])</f>
        <v/>
      </c>
      <c r="R117" s="69">
        <f>SUM(N117:Q117)</f>
        <v/>
      </c>
      <c r="S117" s="83">
        <f>SUM(CoreValuesResults[[#This Row],[Identify - Research (CV-IP)]:[Communicate - Fun (CV-RD)]],CoreValuesResults[[#This Row],[Gracious Professionalism Score]])</f>
        <v/>
      </c>
      <c r="T117" s="73">
        <f>_xlfn.RANK.EQ(CoreValuesResults[[#This Row],[Core Values Score]],CoreValuesResults[Core Values Score],0)</f>
        <v/>
      </c>
    </row>
    <row r="118" ht="21" customHeight="1">
      <c r="A118" s="69" t="n"/>
      <c r="B118" s="69">
        <f>INDEX(OfficialTeamList[Pod Number],MATCH(CoreValuesResults[[#This Row],[Team Number]], OfficialTeamList[Team '#],0))</f>
        <v/>
      </c>
      <c r="C118" s="106">
        <f>INDEX(OfficialTeamList[Team Name],MATCH(CoreValuesResults[[#This Row],[Team Number]], OfficialTeamList[Team '#],0))</f>
        <v/>
      </c>
      <c r="D118" s="77">
        <f>INDEX(InnovationProjectResults[Identify - Research (CV)],MATCH(CoreValuesResults[[#This Row],[Team Number]],InnovationProjectResults[Team Number],0))</f>
        <v/>
      </c>
      <c r="E118" s="77">
        <f>INDEX(InnovationProjectResults[Design - Teamwork (CV)],MATCH(CoreValuesResults[[#This Row],[Team Number]],InnovationProjectResults[Team Number],0))</f>
        <v/>
      </c>
      <c r="F118" s="77">
        <f>INDEX(InnovationProjectResults[Create - Innovation (CV)],MATCH(CoreValuesResults[[#This Row],[Team Number]],InnovationProjectResults[Team Number],0))</f>
        <v/>
      </c>
      <c r="G118" s="77">
        <f>INDEX(InnovationProjectResults[Communicate - Impact (CV)],MATCH(CoreValuesResults[[#This Row],[Team Number]],InnovationProjectResults[Team Number],0))</f>
        <v/>
      </c>
      <c r="H118" s="77">
        <f>INDEX(InnovationProjectResults[Communicate - Fun (CV)],MATCH(CoreValuesResults[[#This Row],[Team Number]],InnovationProjectResults[Team Number],0))</f>
        <v/>
      </c>
      <c r="I118" s="77">
        <f>INDEX(RobotDesignResults[Identify - Research (CV)],MATCH(CoreValuesResults[[#This Row],[Team Number]],RobotDesignResults[Team Number],0))</f>
        <v/>
      </c>
      <c r="J118" s="77">
        <f>INDEX(RobotDesignResults[Design - Ideas (CV)],MATCH(CoreValuesResults[[#This Row],[Team Number]],RobotDesignResults[Team Number],0))</f>
        <v/>
      </c>
      <c r="K118" s="77">
        <f>INDEX(RobotDesignResults[Iterate - Improvements (CV)],MATCH(CoreValuesResults[[#This Row],[Team Number]],RobotDesignResults[Team Number],0))</f>
        <v/>
      </c>
      <c r="L118" s="77">
        <f>INDEX(RobotDesignResults[Communicate - Impact (CV)],MATCH(CoreValuesResults[[#This Row],[Team Number]],RobotDesignResults[Team Number],0))</f>
        <v/>
      </c>
      <c r="M118" s="77">
        <f>INDEX(RobotDesignResults[Communicate - Fun (CV)],MATCH(CoreValuesResults[[#This Row],[Team Number]],RobotDesignResults[Team Number],0))</f>
        <v/>
      </c>
      <c r="N118" s="86" t="n"/>
      <c r="O118" s="86" t="n"/>
      <c r="P118" s="86" t="n"/>
      <c r="Q118" s="69">
        <f>SUM(CoreValuesResults[[#This Row],[Gracious Professionalism 1]:[Gracious Professionalism 3]])</f>
        <v/>
      </c>
      <c r="R118" s="69">
        <f>SUM(N118:Q118)</f>
        <v/>
      </c>
      <c r="S118" s="83">
        <f>SUM(CoreValuesResults[[#This Row],[Identify - Research (CV-IP)]:[Communicate - Fun (CV-RD)]],CoreValuesResults[[#This Row],[Gracious Professionalism Score]])</f>
        <v/>
      </c>
      <c r="T118" s="73">
        <f>_xlfn.RANK.EQ(CoreValuesResults[[#This Row],[Core Values Score]],CoreValuesResults[Core Values Score],0)</f>
        <v/>
      </c>
    </row>
    <row r="119" ht="21" customHeight="1">
      <c r="A119" s="69" t="n"/>
      <c r="B119" s="69">
        <f>INDEX(OfficialTeamList[Pod Number],MATCH(CoreValuesResults[[#This Row],[Team Number]], OfficialTeamList[Team '#],0))</f>
        <v/>
      </c>
      <c r="C119" s="106">
        <f>INDEX(OfficialTeamList[Team Name],MATCH(CoreValuesResults[[#This Row],[Team Number]], OfficialTeamList[Team '#],0))</f>
        <v/>
      </c>
      <c r="D119" s="77">
        <f>INDEX(InnovationProjectResults[Identify - Research (CV)],MATCH(CoreValuesResults[[#This Row],[Team Number]],InnovationProjectResults[Team Number],0))</f>
        <v/>
      </c>
      <c r="E119" s="77">
        <f>INDEX(InnovationProjectResults[Design - Teamwork (CV)],MATCH(CoreValuesResults[[#This Row],[Team Number]],InnovationProjectResults[Team Number],0))</f>
        <v/>
      </c>
      <c r="F119" s="77">
        <f>INDEX(InnovationProjectResults[Create - Innovation (CV)],MATCH(CoreValuesResults[[#This Row],[Team Number]],InnovationProjectResults[Team Number],0))</f>
        <v/>
      </c>
      <c r="G119" s="77">
        <f>INDEX(InnovationProjectResults[Communicate - Impact (CV)],MATCH(CoreValuesResults[[#This Row],[Team Number]],InnovationProjectResults[Team Number],0))</f>
        <v/>
      </c>
      <c r="H119" s="77">
        <f>INDEX(InnovationProjectResults[Communicate - Fun (CV)],MATCH(CoreValuesResults[[#This Row],[Team Number]],InnovationProjectResults[Team Number],0))</f>
        <v/>
      </c>
      <c r="I119" s="77">
        <f>INDEX(RobotDesignResults[Identify - Research (CV)],MATCH(CoreValuesResults[[#This Row],[Team Number]],RobotDesignResults[Team Number],0))</f>
        <v/>
      </c>
      <c r="J119" s="77">
        <f>INDEX(RobotDesignResults[Design - Ideas (CV)],MATCH(CoreValuesResults[[#This Row],[Team Number]],RobotDesignResults[Team Number],0))</f>
        <v/>
      </c>
      <c r="K119" s="77">
        <f>INDEX(RobotDesignResults[Iterate - Improvements (CV)],MATCH(CoreValuesResults[[#This Row],[Team Number]],RobotDesignResults[Team Number],0))</f>
        <v/>
      </c>
      <c r="L119" s="77">
        <f>INDEX(RobotDesignResults[Communicate - Impact (CV)],MATCH(CoreValuesResults[[#This Row],[Team Number]],RobotDesignResults[Team Number],0))</f>
        <v/>
      </c>
      <c r="M119" s="77">
        <f>INDEX(RobotDesignResults[Communicate - Fun (CV)],MATCH(CoreValuesResults[[#This Row],[Team Number]],RobotDesignResults[Team Number],0))</f>
        <v/>
      </c>
      <c r="N119" s="109" t="n"/>
      <c r="O119" s="108" t="n"/>
      <c r="P119" s="108" t="n"/>
      <c r="Q119" s="69">
        <f>SUM(CoreValuesResults[[#This Row],[Gracious Professionalism 1]:[Gracious Professionalism 3]])</f>
        <v/>
      </c>
      <c r="R119" s="69">
        <f>SUM(N119:Q119)</f>
        <v/>
      </c>
      <c r="S119" s="83">
        <f>SUM(CoreValuesResults[[#This Row],[Identify - Research (CV-IP)]:[Communicate - Fun (CV-RD)]],CoreValuesResults[[#This Row],[Gracious Professionalism Score]])</f>
        <v/>
      </c>
      <c r="T119" s="73">
        <f>_xlfn.RANK.EQ(CoreValuesResults[[#This Row],[Core Values Score]],CoreValuesResults[Core Values Score],0)</f>
        <v/>
      </c>
    </row>
    <row r="120" ht="21" customHeight="1">
      <c r="A120" s="69" t="n"/>
      <c r="B120" s="69">
        <f>INDEX(OfficialTeamList[Pod Number],MATCH(CoreValuesResults[[#This Row],[Team Number]], OfficialTeamList[Team '#],0))</f>
        <v/>
      </c>
      <c r="C120" s="106">
        <f>INDEX(OfficialTeamList[Team Name],MATCH(CoreValuesResults[[#This Row],[Team Number]], OfficialTeamList[Team '#],0))</f>
        <v/>
      </c>
      <c r="D120" s="77">
        <f>INDEX(InnovationProjectResults[Identify - Research (CV)],MATCH(CoreValuesResults[[#This Row],[Team Number]],InnovationProjectResults[Team Number],0))</f>
        <v/>
      </c>
      <c r="E120" s="77">
        <f>INDEX(InnovationProjectResults[Design - Teamwork (CV)],MATCH(CoreValuesResults[[#This Row],[Team Number]],InnovationProjectResults[Team Number],0))</f>
        <v/>
      </c>
      <c r="F120" s="77">
        <f>INDEX(InnovationProjectResults[Create - Innovation (CV)],MATCH(CoreValuesResults[[#This Row],[Team Number]],InnovationProjectResults[Team Number],0))</f>
        <v/>
      </c>
      <c r="G120" s="77">
        <f>INDEX(InnovationProjectResults[Communicate - Impact (CV)],MATCH(CoreValuesResults[[#This Row],[Team Number]],InnovationProjectResults[Team Number],0))</f>
        <v/>
      </c>
      <c r="H120" s="77">
        <f>INDEX(InnovationProjectResults[Communicate - Fun (CV)],MATCH(CoreValuesResults[[#This Row],[Team Number]],InnovationProjectResults[Team Number],0))</f>
        <v/>
      </c>
      <c r="I120" s="77">
        <f>INDEX(RobotDesignResults[Identify - Research (CV)],MATCH(CoreValuesResults[[#This Row],[Team Number]],RobotDesignResults[Team Number],0))</f>
        <v/>
      </c>
      <c r="J120" s="77">
        <f>INDEX(RobotDesignResults[Design - Ideas (CV)],MATCH(CoreValuesResults[[#This Row],[Team Number]],RobotDesignResults[Team Number],0))</f>
        <v/>
      </c>
      <c r="K120" s="77">
        <f>INDEX(RobotDesignResults[Iterate - Improvements (CV)],MATCH(CoreValuesResults[[#This Row],[Team Number]],RobotDesignResults[Team Number],0))</f>
        <v/>
      </c>
      <c r="L120" s="77">
        <f>INDEX(RobotDesignResults[Communicate - Impact (CV)],MATCH(CoreValuesResults[[#This Row],[Team Number]],RobotDesignResults[Team Number],0))</f>
        <v/>
      </c>
      <c r="M120" s="77">
        <f>INDEX(RobotDesignResults[Communicate - Fun (CV)],MATCH(CoreValuesResults[[#This Row],[Team Number]],RobotDesignResults[Team Number],0))</f>
        <v/>
      </c>
      <c r="N120" s="86" t="n"/>
      <c r="O120" s="86" t="n"/>
      <c r="P120" s="86" t="n"/>
      <c r="Q120" s="69">
        <f>SUM(CoreValuesResults[[#This Row],[Gracious Professionalism 1]:[Gracious Professionalism 3]])</f>
        <v/>
      </c>
      <c r="R120" s="69">
        <f>SUM(N120:Q120)</f>
        <v/>
      </c>
      <c r="S120" s="83">
        <f>SUM(CoreValuesResults[[#This Row],[Identify - Research (CV-IP)]:[Communicate - Fun (CV-RD)]],CoreValuesResults[[#This Row],[Gracious Professionalism Score]])</f>
        <v/>
      </c>
      <c r="T120" s="73">
        <f>_xlfn.RANK.EQ(CoreValuesResults[[#This Row],[Core Values Score]],CoreValuesResults[Core Values Score],0)</f>
        <v/>
      </c>
    </row>
    <row r="121" ht="21" customHeight="1">
      <c r="A121" s="69" t="n"/>
      <c r="B121" s="69">
        <f>INDEX(OfficialTeamList[Pod Number],MATCH(CoreValuesResults[[#This Row],[Team Number]], OfficialTeamList[Team '#],0))</f>
        <v/>
      </c>
      <c r="C121" s="106">
        <f>INDEX(OfficialTeamList[Team Name],MATCH(CoreValuesResults[[#This Row],[Team Number]], OfficialTeamList[Team '#],0))</f>
        <v/>
      </c>
      <c r="D121" s="77">
        <f>INDEX(InnovationProjectResults[Identify - Research (CV)],MATCH(CoreValuesResults[[#This Row],[Team Number]],InnovationProjectResults[Team Number],0))</f>
        <v/>
      </c>
      <c r="E121" s="77">
        <f>INDEX(InnovationProjectResults[Design - Teamwork (CV)],MATCH(CoreValuesResults[[#This Row],[Team Number]],InnovationProjectResults[Team Number],0))</f>
        <v/>
      </c>
      <c r="F121" s="77">
        <f>INDEX(InnovationProjectResults[Create - Innovation (CV)],MATCH(CoreValuesResults[[#This Row],[Team Number]],InnovationProjectResults[Team Number],0))</f>
        <v/>
      </c>
      <c r="G121" s="77">
        <f>INDEX(InnovationProjectResults[Communicate - Impact (CV)],MATCH(CoreValuesResults[[#This Row],[Team Number]],InnovationProjectResults[Team Number],0))</f>
        <v/>
      </c>
      <c r="H121" s="77">
        <f>INDEX(InnovationProjectResults[Communicate - Fun (CV)],MATCH(CoreValuesResults[[#This Row],[Team Number]],InnovationProjectResults[Team Number],0))</f>
        <v/>
      </c>
      <c r="I121" s="77">
        <f>INDEX(RobotDesignResults[Identify - Research (CV)],MATCH(CoreValuesResults[[#This Row],[Team Number]],RobotDesignResults[Team Number],0))</f>
        <v/>
      </c>
      <c r="J121" s="77">
        <f>INDEX(RobotDesignResults[Design - Ideas (CV)],MATCH(CoreValuesResults[[#This Row],[Team Number]],RobotDesignResults[Team Number],0))</f>
        <v/>
      </c>
      <c r="K121" s="77">
        <f>INDEX(RobotDesignResults[Iterate - Improvements (CV)],MATCH(CoreValuesResults[[#This Row],[Team Number]],RobotDesignResults[Team Number],0))</f>
        <v/>
      </c>
      <c r="L121" s="77">
        <f>INDEX(RobotDesignResults[Communicate - Impact (CV)],MATCH(CoreValuesResults[[#This Row],[Team Number]],RobotDesignResults[Team Number],0))</f>
        <v/>
      </c>
      <c r="M121" s="77">
        <f>INDEX(RobotDesignResults[Communicate - Fun (CV)],MATCH(CoreValuesResults[[#This Row],[Team Number]],RobotDesignResults[Team Number],0))</f>
        <v/>
      </c>
      <c r="N121" s="86" t="n"/>
      <c r="O121" s="86" t="n"/>
      <c r="P121" s="86" t="n"/>
      <c r="Q121" s="69">
        <f>SUM(CoreValuesResults[[#This Row],[Gracious Professionalism 1]:[Gracious Professionalism 3]])</f>
        <v/>
      </c>
      <c r="R121" s="69">
        <f>SUM(N121:Q121)</f>
        <v/>
      </c>
      <c r="S121" s="83">
        <f>SUM(CoreValuesResults[[#This Row],[Identify - Research (CV-IP)]:[Communicate - Fun (CV-RD)]],CoreValuesResults[[#This Row],[Gracious Professionalism Score]])</f>
        <v/>
      </c>
      <c r="T121" s="73">
        <f>_xlfn.RANK.EQ(CoreValuesResults[[#This Row],[Core Values Score]],CoreValuesResults[Core Values Score],0)</f>
        <v/>
      </c>
    </row>
    <row r="122" ht="21" customHeight="1">
      <c r="A122" s="69" t="n"/>
      <c r="B122" s="69">
        <f>INDEX(OfficialTeamList[Pod Number],MATCH(CoreValuesResults[[#This Row],[Team Number]], OfficialTeamList[Team '#],0))</f>
        <v/>
      </c>
      <c r="C122" s="106">
        <f>INDEX(OfficialTeamList[Team Name],MATCH(CoreValuesResults[[#This Row],[Team Number]], OfficialTeamList[Team '#],0))</f>
        <v/>
      </c>
      <c r="D122" s="77">
        <f>INDEX(InnovationProjectResults[Identify - Research (CV)],MATCH(CoreValuesResults[[#This Row],[Team Number]],InnovationProjectResults[Team Number],0))</f>
        <v/>
      </c>
      <c r="E122" s="77">
        <f>INDEX(InnovationProjectResults[Design - Teamwork (CV)],MATCH(CoreValuesResults[[#This Row],[Team Number]],InnovationProjectResults[Team Number],0))</f>
        <v/>
      </c>
      <c r="F122" s="77">
        <f>INDEX(InnovationProjectResults[Create - Innovation (CV)],MATCH(CoreValuesResults[[#This Row],[Team Number]],InnovationProjectResults[Team Number],0))</f>
        <v/>
      </c>
      <c r="G122" s="77">
        <f>INDEX(InnovationProjectResults[Communicate - Impact (CV)],MATCH(CoreValuesResults[[#This Row],[Team Number]],InnovationProjectResults[Team Number],0))</f>
        <v/>
      </c>
      <c r="H122" s="77">
        <f>INDEX(InnovationProjectResults[Communicate - Fun (CV)],MATCH(CoreValuesResults[[#This Row],[Team Number]],InnovationProjectResults[Team Number],0))</f>
        <v/>
      </c>
      <c r="I122" s="77">
        <f>INDEX(RobotDesignResults[Identify - Research (CV)],MATCH(CoreValuesResults[[#This Row],[Team Number]],RobotDesignResults[Team Number],0))</f>
        <v/>
      </c>
      <c r="J122" s="77">
        <f>INDEX(RobotDesignResults[Design - Ideas (CV)],MATCH(CoreValuesResults[[#This Row],[Team Number]],RobotDesignResults[Team Number],0))</f>
        <v/>
      </c>
      <c r="K122" s="77">
        <f>INDEX(RobotDesignResults[Iterate - Improvements (CV)],MATCH(CoreValuesResults[[#This Row],[Team Number]],RobotDesignResults[Team Number],0))</f>
        <v/>
      </c>
      <c r="L122" s="77">
        <f>INDEX(RobotDesignResults[Communicate - Impact (CV)],MATCH(CoreValuesResults[[#This Row],[Team Number]],RobotDesignResults[Team Number],0))</f>
        <v/>
      </c>
      <c r="M122" s="77">
        <f>INDEX(RobotDesignResults[Communicate - Fun (CV)],MATCH(CoreValuesResults[[#This Row],[Team Number]],RobotDesignResults[Team Number],0))</f>
        <v/>
      </c>
      <c r="N122" s="86" t="n"/>
      <c r="O122" s="86" t="n"/>
      <c r="P122" s="86" t="n"/>
      <c r="Q122" s="69">
        <f>SUM(CoreValuesResults[[#This Row],[Gracious Professionalism 1]:[Gracious Professionalism 3]])</f>
        <v/>
      </c>
      <c r="R122" s="69">
        <f>SUM(N122:Q122)</f>
        <v/>
      </c>
      <c r="S122" s="83">
        <f>SUM(CoreValuesResults[[#This Row],[Identify - Research (CV-IP)]:[Communicate - Fun (CV-RD)]],CoreValuesResults[[#This Row],[Gracious Professionalism Score]])</f>
        <v/>
      </c>
      <c r="T122" s="73">
        <f>_xlfn.RANK.EQ(CoreValuesResults[[#This Row],[Core Values Score]],CoreValuesResults[Core Values Score],0)</f>
        <v/>
      </c>
    </row>
    <row r="123" ht="21" customHeight="1">
      <c r="A123" s="69" t="n"/>
      <c r="B123" s="69">
        <f>INDEX(OfficialTeamList[Pod Number],MATCH(CoreValuesResults[[#This Row],[Team Number]], OfficialTeamList[Team '#],0))</f>
        <v/>
      </c>
      <c r="C123" s="106">
        <f>INDEX(OfficialTeamList[Team Name],MATCH(CoreValuesResults[[#This Row],[Team Number]], OfficialTeamList[Team '#],0))</f>
        <v/>
      </c>
      <c r="D123" s="77">
        <f>INDEX(InnovationProjectResults[Identify - Research (CV)],MATCH(CoreValuesResults[[#This Row],[Team Number]],InnovationProjectResults[Team Number],0))</f>
        <v/>
      </c>
      <c r="E123" s="77">
        <f>INDEX(InnovationProjectResults[Design - Teamwork (CV)],MATCH(CoreValuesResults[[#This Row],[Team Number]],InnovationProjectResults[Team Number],0))</f>
        <v/>
      </c>
      <c r="F123" s="77">
        <f>INDEX(InnovationProjectResults[Create - Innovation (CV)],MATCH(CoreValuesResults[[#This Row],[Team Number]],InnovationProjectResults[Team Number],0))</f>
        <v/>
      </c>
      <c r="G123" s="77">
        <f>INDEX(InnovationProjectResults[Communicate - Impact (CV)],MATCH(CoreValuesResults[[#This Row],[Team Number]],InnovationProjectResults[Team Number],0))</f>
        <v/>
      </c>
      <c r="H123" s="77">
        <f>INDEX(InnovationProjectResults[Communicate - Fun (CV)],MATCH(CoreValuesResults[[#This Row],[Team Number]],InnovationProjectResults[Team Number],0))</f>
        <v/>
      </c>
      <c r="I123" s="77">
        <f>INDEX(RobotDesignResults[Identify - Research (CV)],MATCH(CoreValuesResults[[#This Row],[Team Number]],RobotDesignResults[Team Number],0))</f>
        <v/>
      </c>
      <c r="J123" s="77">
        <f>INDEX(RobotDesignResults[Design - Ideas (CV)],MATCH(CoreValuesResults[[#This Row],[Team Number]],RobotDesignResults[Team Number],0))</f>
        <v/>
      </c>
      <c r="K123" s="77">
        <f>INDEX(RobotDesignResults[Iterate - Improvements (CV)],MATCH(CoreValuesResults[[#This Row],[Team Number]],RobotDesignResults[Team Number],0))</f>
        <v/>
      </c>
      <c r="L123" s="77">
        <f>INDEX(RobotDesignResults[Communicate - Impact (CV)],MATCH(CoreValuesResults[[#This Row],[Team Number]],RobotDesignResults[Team Number],0))</f>
        <v/>
      </c>
      <c r="M123" s="77">
        <f>INDEX(RobotDesignResults[Communicate - Fun (CV)],MATCH(CoreValuesResults[[#This Row],[Team Number]],RobotDesignResults[Team Number],0))</f>
        <v/>
      </c>
      <c r="N123" s="86" t="n"/>
      <c r="O123" s="86" t="n"/>
      <c r="P123" s="86" t="n"/>
      <c r="Q123" s="69">
        <f>SUM(CoreValuesResults[[#This Row],[Gracious Professionalism 1]:[Gracious Professionalism 3]])</f>
        <v/>
      </c>
      <c r="R123" s="69">
        <f>SUM(N123:Q123)</f>
        <v/>
      </c>
      <c r="S123" s="83">
        <f>SUM(CoreValuesResults[[#This Row],[Identify - Research (CV-IP)]:[Communicate - Fun (CV-RD)]],CoreValuesResults[[#This Row],[Gracious Professionalism Score]])</f>
        <v/>
      </c>
      <c r="T123" s="73">
        <f>_xlfn.RANK.EQ(CoreValuesResults[[#This Row],[Core Values Score]],CoreValuesResults[Core Values Score],0)</f>
        <v/>
      </c>
    </row>
    <row r="124" ht="21" customHeight="1">
      <c r="A124" s="69" t="n"/>
      <c r="B124" s="69">
        <f>INDEX(OfficialTeamList[Pod Number],MATCH(CoreValuesResults[[#This Row],[Team Number]], OfficialTeamList[Team '#],0))</f>
        <v/>
      </c>
      <c r="C124" s="106">
        <f>INDEX(OfficialTeamList[Team Name],MATCH(CoreValuesResults[[#This Row],[Team Number]], OfficialTeamList[Team '#],0))</f>
        <v/>
      </c>
      <c r="D124" s="77">
        <f>INDEX(InnovationProjectResults[Identify - Research (CV)],MATCH(CoreValuesResults[[#This Row],[Team Number]],InnovationProjectResults[Team Number],0))</f>
        <v/>
      </c>
      <c r="E124" s="77">
        <f>INDEX(InnovationProjectResults[Design - Teamwork (CV)],MATCH(CoreValuesResults[[#This Row],[Team Number]],InnovationProjectResults[Team Number],0))</f>
        <v/>
      </c>
      <c r="F124" s="77">
        <f>INDEX(InnovationProjectResults[Create - Innovation (CV)],MATCH(CoreValuesResults[[#This Row],[Team Number]],InnovationProjectResults[Team Number],0))</f>
        <v/>
      </c>
      <c r="G124" s="77">
        <f>INDEX(InnovationProjectResults[Communicate - Impact (CV)],MATCH(CoreValuesResults[[#This Row],[Team Number]],InnovationProjectResults[Team Number],0))</f>
        <v/>
      </c>
      <c r="H124" s="77">
        <f>INDEX(InnovationProjectResults[Communicate - Fun (CV)],MATCH(CoreValuesResults[[#This Row],[Team Number]],InnovationProjectResults[Team Number],0))</f>
        <v/>
      </c>
      <c r="I124" s="77">
        <f>INDEX(RobotDesignResults[Identify - Research (CV)],MATCH(CoreValuesResults[[#This Row],[Team Number]],RobotDesignResults[Team Number],0))</f>
        <v/>
      </c>
      <c r="J124" s="77">
        <f>INDEX(RobotDesignResults[Design - Ideas (CV)],MATCH(CoreValuesResults[[#This Row],[Team Number]],RobotDesignResults[Team Number],0))</f>
        <v/>
      </c>
      <c r="K124" s="77">
        <f>INDEX(RobotDesignResults[Iterate - Improvements (CV)],MATCH(CoreValuesResults[[#This Row],[Team Number]],RobotDesignResults[Team Number],0))</f>
        <v/>
      </c>
      <c r="L124" s="77">
        <f>INDEX(RobotDesignResults[Communicate - Impact (CV)],MATCH(CoreValuesResults[[#This Row],[Team Number]],RobotDesignResults[Team Number],0))</f>
        <v/>
      </c>
      <c r="M124" s="77">
        <f>INDEX(RobotDesignResults[Communicate - Fun (CV)],MATCH(CoreValuesResults[[#This Row],[Team Number]],RobotDesignResults[Team Number],0))</f>
        <v/>
      </c>
      <c r="N124" s="86" t="n"/>
      <c r="O124" s="86" t="n"/>
      <c r="P124" s="86" t="n"/>
      <c r="Q124" s="69">
        <f>SUM(CoreValuesResults[[#This Row],[Gracious Professionalism 1]:[Gracious Professionalism 3]])</f>
        <v/>
      </c>
      <c r="R124" s="69">
        <f>SUM(N124:Q124)</f>
        <v/>
      </c>
      <c r="S124" s="83">
        <f>SUM(CoreValuesResults[[#This Row],[Identify - Research (CV-IP)]:[Communicate - Fun (CV-RD)]],CoreValuesResults[[#This Row],[Gracious Professionalism Score]])</f>
        <v/>
      </c>
      <c r="T124" s="73">
        <f>_xlfn.RANK.EQ(CoreValuesResults[[#This Row],[Core Values Score]],CoreValuesResults[Core Values Score],0)</f>
        <v/>
      </c>
    </row>
    <row r="125" ht="21" customHeight="1">
      <c r="A125" s="69" t="n"/>
      <c r="B125" s="69">
        <f>INDEX(OfficialTeamList[Pod Number],MATCH(CoreValuesResults[[#This Row],[Team Number]], OfficialTeamList[Team '#],0))</f>
        <v/>
      </c>
      <c r="C125" s="106">
        <f>INDEX(OfficialTeamList[Team Name],MATCH(CoreValuesResults[[#This Row],[Team Number]], OfficialTeamList[Team '#],0))</f>
        <v/>
      </c>
      <c r="D125" s="77">
        <f>INDEX(InnovationProjectResults[Identify - Research (CV)],MATCH(CoreValuesResults[[#This Row],[Team Number]],InnovationProjectResults[Team Number],0))</f>
        <v/>
      </c>
      <c r="E125" s="77">
        <f>INDEX(InnovationProjectResults[Design - Teamwork (CV)],MATCH(CoreValuesResults[[#This Row],[Team Number]],InnovationProjectResults[Team Number],0))</f>
        <v/>
      </c>
      <c r="F125" s="77">
        <f>INDEX(InnovationProjectResults[Create - Innovation (CV)],MATCH(CoreValuesResults[[#This Row],[Team Number]],InnovationProjectResults[Team Number],0))</f>
        <v/>
      </c>
      <c r="G125" s="77">
        <f>INDEX(InnovationProjectResults[Communicate - Impact (CV)],MATCH(CoreValuesResults[[#This Row],[Team Number]],InnovationProjectResults[Team Number],0))</f>
        <v/>
      </c>
      <c r="H125" s="77">
        <f>INDEX(InnovationProjectResults[Communicate - Fun (CV)],MATCH(CoreValuesResults[[#This Row],[Team Number]],InnovationProjectResults[Team Number],0))</f>
        <v/>
      </c>
      <c r="I125" s="77">
        <f>INDEX(RobotDesignResults[Identify - Research (CV)],MATCH(CoreValuesResults[[#This Row],[Team Number]],RobotDesignResults[Team Number],0))</f>
        <v/>
      </c>
      <c r="J125" s="77">
        <f>INDEX(RobotDesignResults[Design - Ideas (CV)],MATCH(CoreValuesResults[[#This Row],[Team Number]],RobotDesignResults[Team Number],0))</f>
        <v/>
      </c>
      <c r="K125" s="77">
        <f>INDEX(RobotDesignResults[Iterate - Improvements (CV)],MATCH(CoreValuesResults[[#This Row],[Team Number]],RobotDesignResults[Team Number],0))</f>
        <v/>
      </c>
      <c r="L125" s="77">
        <f>INDEX(RobotDesignResults[Communicate - Impact (CV)],MATCH(CoreValuesResults[[#This Row],[Team Number]],RobotDesignResults[Team Number],0))</f>
        <v/>
      </c>
      <c r="M125" s="77">
        <f>INDEX(RobotDesignResults[Communicate - Fun (CV)],MATCH(CoreValuesResults[[#This Row],[Team Number]],RobotDesignResults[Team Number],0))</f>
        <v/>
      </c>
      <c r="N125" s="86" t="n"/>
      <c r="O125" s="86" t="n"/>
      <c r="P125" s="86" t="n"/>
      <c r="Q125" s="69">
        <f>SUM(CoreValuesResults[[#This Row],[Gracious Professionalism 1]:[Gracious Professionalism 3]])</f>
        <v/>
      </c>
      <c r="R125" s="69">
        <f>SUM(N125:Q125)</f>
        <v/>
      </c>
      <c r="S125" s="83">
        <f>SUM(CoreValuesResults[[#This Row],[Identify - Research (CV-IP)]:[Communicate - Fun (CV-RD)]],CoreValuesResults[[#This Row],[Gracious Professionalism Score]])</f>
        <v/>
      </c>
      <c r="T125" s="73">
        <f>_xlfn.RANK.EQ(CoreValuesResults[[#This Row],[Core Values Score]],CoreValuesResults[Core Values Score],0)</f>
        <v/>
      </c>
    </row>
    <row r="126" ht="21" customHeight="1">
      <c r="A126" s="69" t="n"/>
      <c r="B126" s="69">
        <f>INDEX(OfficialTeamList[Pod Number],MATCH(CoreValuesResults[[#This Row],[Team Number]], OfficialTeamList[Team '#],0))</f>
        <v/>
      </c>
      <c r="C126" s="106">
        <f>INDEX(OfficialTeamList[Team Name],MATCH(CoreValuesResults[[#This Row],[Team Number]], OfficialTeamList[Team '#],0))</f>
        <v/>
      </c>
      <c r="D126" s="77">
        <f>INDEX(InnovationProjectResults[Identify - Research (CV)],MATCH(CoreValuesResults[[#This Row],[Team Number]],InnovationProjectResults[Team Number],0))</f>
        <v/>
      </c>
      <c r="E126" s="77">
        <f>INDEX(InnovationProjectResults[Design - Teamwork (CV)],MATCH(CoreValuesResults[[#This Row],[Team Number]],InnovationProjectResults[Team Number],0))</f>
        <v/>
      </c>
      <c r="F126" s="77">
        <f>INDEX(InnovationProjectResults[Create - Innovation (CV)],MATCH(CoreValuesResults[[#This Row],[Team Number]],InnovationProjectResults[Team Number],0))</f>
        <v/>
      </c>
      <c r="G126" s="77">
        <f>INDEX(InnovationProjectResults[Communicate - Impact (CV)],MATCH(CoreValuesResults[[#This Row],[Team Number]],InnovationProjectResults[Team Number],0))</f>
        <v/>
      </c>
      <c r="H126" s="77">
        <f>INDEX(InnovationProjectResults[Communicate - Fun (CV)],MATCH(CoreValuesResults[[#This Row],[Team Number]],InnovationProjectResults[Team Number],0))</f>
        <v/>
      </c>
      <c r="I126" s="77">
        <f>INDEX(RobotDesignResults[Identify - Research (CV)],MATCH(CoreValuesResults[[#This Row],[Team Number]],RobotDesignResults[Team Number],0))</f>
        <v/>
      </c>
      <c r="J126" s="77">
        <f>INDEX(RobotDesignResults[Design - Ideas (CV)],MATCH(CoreValuesResults[[#This Row],[Team Number]],RobotDesignResults[Team Number],0))</f>
        <v/>
      </c>
      <c r="K126" s="77">
        <f>INDEX(RobotDesignResults[Iterate - Improvements (CV)],MATCH(CoreValuesResults[[#This Row],[Team Number]],RobotDesignResults[Team Number],0))</f>
        <v/>
      </c>
      <c r="L126" s="77">
        <f>INDEX(RobotDesignResults[Communicate - Impact (CV)],MATCH(CoreValuesResults[[#This Row],[Team Number]],RobotDesignResults[Team Number],0))</f>
        <v/>
      </c>
      <c r="M126" s="77">
        <f>INDEX(RobotDesignResults[Communicate - Fun (CV)],MATCH(CoreValuesResults[[#This Row],[Team Number]],RobotDesignResults[Team Number],0))</f>
        <v/>
      </c>
      <c r="N126" s="86" t="n"/>
      <c r="O126" s="86" t="n"/>
      <c r="P126" s="86" t="n"/>
      <c r="Q126" s="69">
        <f>SUM(CoreValuesResults[[#This Row],[Gracious Professionalism 1]:[Gracious Professionalism 3]])</f>
        <v/>
      </c>
      <c r="R126" s="69">
        <f>SUM(N126:Q126)</f>
        <v/>
      </c>
      <c r="S126" s="83">
        <f>SUM(CoreValuesResults[[#This Row],[Identify - Research (CV-IP)]:[Communicate - Fun (CV-RD)]],CoreValuesResults[[#This Row],[Gracious Professionalism Score]])</f>
        <v/>
      </c>
      <c r="T126" s="73">
        <f>_xlfn.RANK.EQ(CoreValuesResults[[#This Row],[Core Values Score]],CoreValuesResults[Core Values Score],0)</f>
        <v/>
      </c>
    </row>
    <row r="127" ht="21" customHeight="1">
      <c r="A127" s="69" t="n"/>
      <c r="B127" s="69">
        <f>INDEX(OfficialTeamList[Pod Number],MATCH(CoreValuesResults[[#This Row],[Team Number]], OfficialTeamList[Team '#],0))</f>
        <v/>
      </c>
      <c r="C127" s="106">
        <f>INDEX(OfficialTeamList[Team Name],MATCH(CoreValuesResults[[#This Row],[Team Number]], OfficialTeamList[Team '#],0))</f>
        <v/>
      </c>
      <c r="D127" s="77">
        <f>INDEX(InnovationProjectResults[Identify - Research (CV)],MATCH(CoreValuesResults[[#This Row],[Team Number]],InnovationProjectResults[Team Number],0))</f>
        <v/>
      </c>
      <c r="E127" s="77">
        <f>INDEX(InnovationProjectResults[Design - Teamwork (CV)],MATCH(CoreValuesResults[[#This Row],[Team Number]],InnovationProjectResults[Team Number],0))</f>
        <v/>
      </c>
      <c r="F127" s="77">
        <f>INDEX(InnovationProjectResults[Create - Innovation (CV)],MATCH(CoreValuesResults[[#This Row],[Team Number]],InnovationProjectResults[Team Number],0))</f>
        <v/>
      </c>
      <c r="G127" s="77">
        <f>INDEX(InnovationProjectResults[Communicate - Impact (CV)],MATCH(CoreValuesResults[[#This Row],[Team Number]],InnovationProjectResults[Team Number],0))</f>
        <v/>
      </c>
      <c r="H127" s="77">
        <f>INDEX(InnovationProjectResults[Communicate - Fun (CV)],MATCH(CoreValuesResults[[#This Row],[Team Number]],InnovationProjectResults[Team Number],0))</f>
        <v/>
      </c>
      <c r="I127" s="77">
        <f>INDEX(RobotDesignResults[Identify - Research (CV)],MATCH(CoreValuesResults[[#This Row],[Team Number]],RobotDesignResults[Team Number],0))</f>
        <v/>
      </c>
      <c r="J127" s="77">
        <f>INDEX(RobotDesignResults[Design - Ideas (CV)],MATCH(CoreValuesResults[[#This Row],[Team Number]],RobotDesignResults[Team Number],0))</f>
        <v/>
      </c>
      <c r="K127" s="77">
        <f>INDEX(RobotDesignResults[Iterate - Improvements (CV)],MATCH(CoreValuesResults[[#This Row],[Team Number]],RobotDesignResults[Team Number],0))</f>
        <v/>
      </c>
      <c r="L127" s="77">
        <f>INDEX(RobotDesignResults[Communicate - Impact (CV)],MATCH(CoreValuesResults[[#This Row],[Team Number]],RobotDesignResults[Team Number],0))</f>
        <v/>
      </c>
      <c r="M127" s="77">
        <f>INDEX(RobotDesignResults[Communicate - Fun (CV)],MATCH(CoreValuesResults[[#This Row],[Team Number]],RobotDesignResults[Team Number],0))</f>
        <v/>
      </c>
      <c r="N127" s="86" t="n"/>
      <c r="O127" s="86" t="n"/>
      <c r="P127" s="86" t="n"/>
      <c r="Q127" s="69">
        <f>SUM(CoreValuesResults[[#This Row],[Gracious Professionalism 1]:[Gracious Professionalism 3]])</f>
        <v/>
      </c>
      <c r="R127" s="69">
        <f>SUM(N127:Q127)</f>
        <v/>
      </c>
      <c r="S127" s="83">
        <f>SUM(CoreValuesResults[[#This Row],[Identify - Research (CV-IP)]:[Communicate - Fun (CV-RD)]],CoreValuesResults[[#This Row],[Gracious Professionalism Score]])</f>
        <v/>
      </c>
      <c r="T127" s="73">
        <f>_xlfn.RANK.EQ(CoreValuesResults[[#This Row],[Core Values Score]],CoreValuesResults[Core Values Score],0)</f>
        <v/>
      </c>
    </row>
    <row r="128" ht="21" customHeight="1">
      <c r="A128" s="69" t="n"/>
      <c r="B128" s="69">
        <f>INDEX(OfficialTeamList[Pod Number],MATCH(CoreValuesResults[[#This Row],[Team Number]], OfficialTeamList[Team '#],0))</f>
        <v/>
      </c>
      <c r="C128" s="106">
        <f>INDEX(OfficialTeamList[Team Name],MATCH(CoreValuesResults[[#This Row],[Team Number]], OfficialTeamList[Team '#],0))</f>
        <v/>
      </c>
      <c r="D128" s="77">
        <f>INDEX(InnovationProjectResults[Identify - Research (CV)],MATCH(CoreValuesResults[[#This Row],[Team Number]],InnovationProjectResults[Team Number],0))</f>
        <v/>
      </c>
      <c r="E128" s="77">
        <f>INDEX(InnovationProjectResults[Design - Teamwork (CV)],MATCH(CoreValuesResults[[#This Row],[Team Number]],InnovationProjectResults[Team Number],0))</f>
        <v/>
      </c>
      <c r="F128" s="77">
        <f>INDEX(InnovationProjectResults[Create - Innovation (CV)],MATCH(CoreValuesResults[[#This Row],[Team Number]],InnovationProjectResults[Team Number],0))</f>
        <v/>
      </c>
      <c r="G128" s="77">
        <f>INDEX(InnovationProjectResults[Communicate - Impact (CV)],MATCH(CoreValuesResults[[#This Row],[Team Number]],InnovationProjectResults[Team Number],0))</f>
        <v/>
      </c>
      <c r="H128" s="77">
        <f>INDEX(InnovationProjectResults[Communicate - Fun (CV)],MATCH(CoreValuesResults[[#This Row],[Team Number]],InnovationProjectResults[Team Number],0))</f>
        <v/>
      </c>
      <c r="I128" s="77">
        <f>INDEX(RobotDesignResults[Identify - Research (CV)],MATCH(CoreValuesResults[[#This Row],[Team Number]],RobotDesignResults[Team Number],0))</f>
        <v/>
      </c>
      <c r="J128" s="77">
        <f>INDEX(RobotDesignResults[Design - Ideas (CV)],MATCH(CoreValuesResults[[#This Row],[Team Number]],RobotDesignResults[Team Number],0))</f>
        <v/>
      </c>
      <c r="K128" s="77">
        <f>INDEX(RobotDesignResults[Iterate - Improvements (CV)],MATCH(CoreValuesResults[[#This Row],[Team Number]],RobotDesignResults[Team Number],0))</f>
        <v/>
      </c>
      <c r="L128" s="77">
        <f>INDEX(RobotDesignResults[Communicate - Impact (CV)],MATCH(CoreValuesResults[[#This Row],[Team Number]],RobotDesignResults[Team Number],0))</f>
        <v/>
      </c>
      <c r="M128" s="77">
        <f>INDEX(RobotDesignResults[Communicate - Fun (CV)],MATCH(CoreValuesResults[[#This Row],[Team Number]],RobotDesignResults[Team Number],0))</f>
        <v/>
      </c>
      <c r="N128" s="86" t="n"/>
      <c r="O128" s="86" t="n"/>
      <c r="P128" s="86" t="n"/>
      <c r="Q128" s="69">
        <f>SUM(CoreValuesResults[[#This Row],[Gracious Professionalism 1]:[Gracious Professionalism 3]])</f>
        <v/>
      </c>
      <c r="R128" s="69">
        <f>SUM(N128:Q128)</f>
        <v/>
      </c>
      <c r="S128" s="83">
        <f>SUM(CoreValuesResults[[#This Row],[Identify - Research (CV-IP)]:[Communicate - Fun (CV-RD)]],CoreValuesResults[[#This Row],[Gracious Professionalism Score]])</f>
        <v/>
      </c>
      <c r="T128" s="73">
        <f>_xlfn.RANK.EQ(CoreValuesResults[[#This Row],[Core Values Score]],CoreValuesResults[Core Values Score],0)</f>
        <v/>
      </c>
    </row>
    <row r="129" ht="21" customHeight="1">
      <c r="A129" s="69" t="n"/>
      <c r="B129" s="69">
        <f>INDEX(OfficialTeamList[Pod Number],MATCH(CoreValuesResults[[#This Row],[Team Number]], OfficialTeamList[Team '#],0))</f>
        <v/>
      </c>
      <c r="C129" s="106">
        <f>INDEX(OfficialTeamList[Team Name],MATCH(CoreValuesResults[[#This Row],[Team Number]], OfficialTeamList[Team '#],0))</f>
        <v/>
      </c>
      <c r="D129" s="77">
        <f>INDEX(InnovationProjectResults[Identify - Research (CV)],MATCH(CoreValuesResults[[#This Row],[Team Number]],InnovationProjectResults[Team Number],0))</f>
        <v/>
      </c>
      <c r="E129" s="77">
        <f>INDEX(InnovationProjectResults[Design - Teamwork (CV)],MATCH(CoreValuesResults[[#This Row],[Team Number]],InnovationProjectResults[Team Number],0))</f>
        <v/>
      </c>
      <c r="F129" s="77">
        <f>INDEX(InnovationProjectResults[Create - Innovation (CV)],MATCH(CoreValuesResults[[#This Row],[Team Number]],InnovationProjectResults[Team Number],0))</f>
        <v/>
      </c>
      <c r="G129" s="77">
        <f>INDEX(InnovationProjectResults[Communicate - Impact (CV)],MATCH(CoreValuesResults[[#This Row],[Team Number]],InnovationProjectResults[Team Number],0))</f>
        <v/>
      </c>
      <c r="H129" s="77">
        <f>INDEX(InnovationProjectResults[Communicate - Fun (CV)],MATCH(CoreValuesResults[[#This Row],[Team Number]],InnovationProjectResults[Team Number],0))</f>
        <v/>
      </c>
      <c r="I129" s="77">
        <f>INDEX(RobotDesignResults[Identify - Research (CV)],MATCH(CoreValuesResults[[#This Row],[Team Number]],RobotDesignResults[Team Number],0))</f>
        <v/>
      </c>
      <c r="J129" s="77">
        <f>INDEX(RobotDesignResults[Design - Ideas (CV)],MATCH(CoreValuesResults[[#This Row],[Team Number]],RobotDesignResults[Team Number],0))</f>
        <v/>
      </c>
      <c r="K129" s="77">
        <f>INDEX(RobotDesignResults[Iterate - Improvements (CV)],MATCH(CoreValuesResults[[#This Row],[Team Number]],RobotDesignResults[Team Number],0))</f>
        <v/>
      </c>
      <c r="L129" s="77">
        <f>INDEX(RobotDesignResults[Communicate - Impact (CV)],MATCH(CoreValuesResults[[#This Row],[Team Number]],RobotDesignResults[Team Number],0))</f>
        <v/>
      </c>
      <c r="M129" s="77">
        <f>INDEX(RobotDesignResults[Communicate - Fun (CV)],MATCH(CoreValuesResults[[#This Row],[Team Number]],RobotDesignResults[Team Number],0))</f>
        <v/>
      </c>
      <c r="N129" s="86" t="n"/>
      <c r="O129" s="86" t="n"/>
      <c r="P129" s="86" t="n"/>
      <c r="Q129" s="69">
        <f>SUM(CoreValuesResults[[#This Row],[Gracious Professionalism 1]:[Gracious Professionalism 3]])</f>
        <v/>
      </c>
      <c r="R129" s="69">
        <f>SUM(N129:Q129)</f>
        <v/>
      </c>
      <c r="S129" s="83">
        <f>SUM(CoreValuesResults[[#This Row],[Identify - Research (CV-IP)]:[Communicate - Fun (CV-RD)]],CoreValuesResults[[#This Row],[Gracious Professionalism Score]])</f>
        <v/>
      </c>
      <c r="T129" s="73">
        <f>_xlfn.RANK.EQ(CoreValuesResults[[#This Row],[Core Values Score]],CoreValuesResults[Core Values Score],0)</f>
        <v/>
      </c>
    </row>
    <row r="130" ht="21" customHeight="1">
      <c r="A130" s="69" t="n"/>
      <c r="B130" s="69">
        <f>INDEX(OfficialTeamList[Pod Number],MATCH(CoreValuesResults[[#This Row],[Team Number]], OfficialTeamList[Team '#],0))</f>
        <v/>
      </c>
      <c r="C130" s="106">
        <f>INDEX(OfficialTeamList[Team Name],MATCH(CoreValuesResults[[#This Row],[Team Number]], OfficialTeamList[Team '#],0))</f>
        <v/>
      </c>
      <c r="D130" s="77">
        <f>INDEX(InnovationProjectResults[Identify - Research (CV)],MATCH(CoreValuesResults[[#This Row],[Team Number]],InnovationProjectResults[Team Number],0))</f>
        <v/>
      </c>
      <c r="E130" s="77">
        <f>INDEX(InnovationProjectResults[Design - Teamwork (CV)],MATCH(CoreValuesResults[[#This Row],[Team Number]],InnovationProjectResults[Team Number],0))</f>
        <v/>
      </c>
      <c r="F130" s="77">
        <f>INDEX(InnovationProjectResults[Create - Innovation (CV)],MATCH(CoreValuesResults[[#This Row],[Team Number]],InnovationProjectResults[Team Number],0))</f>
        <v/>
      </c>
      <c r="G130" s="77">
        <f>INDEX(InnovationProjectResults[Communicate - Impact (CV)],MATCH(CoreValuesResults[[#This Row],[Team Number]],InnovationProjectResults[Team Number],0))</f>
        <v/>
      </c>
      <c r="H130" s="77">
        <f>INDEX(InnovationProjectResults[Communicate - Fun (CV)],MATCH(CoreValuesResults[[#This Row],[Team Number]],InnovationProjectResults[Team Number],0))</f>
        <v/>
      </c>
      <c r="I130" s="77">
        <f>INDEX(RobotDesignResults[Identify - Research (CV)],MATCH(CoreValuesResults[[#This Row],[Team Number]],RobotDesignResults[Team Number],0))</f>
        <v/>
      </c>
      <c r="J130" s="77">
        <f>INDEX(RobotDesignResults[Design - Ideas (CV)],MATCH(CoreValuesResults[[#This Row],[Team Number]],RobotDesignResults[Team Number],0))</f>
        <v/>
      </c>
      <c r="K130" s="77">
        <f>INDEX(RobotDesignResults[Iterate - Improvements (CV)],MATCH(CoreValuesResults[[#This Row],[Team Number]],RobotDesignResults[Team Number],0))</f>
        <v/>
      </c>
      <c r="L130" s="77">
        <f>INDEX(RobotDesignResults[Communicate - Impact (CV)],MATCH(CoreValuesResults[[#This Row],[Team Number]],RobotDesignResults[Team Number],0))</f>
        <v/>
      </c>
      <c r="M130" s="77">
        <f>INDEX(RobotDesignResults[Communicate - Fun (CV)],MATCH(CoreValuesResults[[#This Row],[Team Number]],RobotDesignResults[Team Number],0))</f>
        <v/>
      </c>
      <c r="N130" s="86" t="n"/>
      <c r="O130" s="86" t="n"/>
      <c r="P130" s="86" t="n"/>
      <c r="Q130" s="69">
        <f>SUM(CoreValuesResults[[#This Row],[Gracious Professionalism 1]:[Gracious Professionalism 3]])</f>
        <v/>
      </c>
      <c r="R130" s="69">
        <f>SUM(N130:Q130)</f>
        <v/>
      </c>
      <c r="S130" s="83">
        <f>SUM(CoreValuesResults[[#This Row],[Identify - Research (CV-IP)]:[Communicate - Fun (CV-RD)]],CoreValuesResults[[#This Row],[Gracious Professionalism Score]])</f>
        <v/>
      </c>
      <c r="T130" s="73">
        <f>_xlfn.RANK.EQ(CoreValuesResults[[#This Row],[Core Values Score]],CoreValuesResults[Core Values Score],0)</f>
        <v/>
      </c>
    </row>
    <row r="131" ht="21" customHeight="1">
      <c r="A131" s="69" t="n"/>
      <c r="B131" s="69">
        <f>INDEX(OfficialTeamList[Pod Number],MATCH(CoreValuesResults[[#This Row],[Team Number]], OfficialTeamList[Team '#],0))</f>
        <v/>
      </c>
      <c r="C131" s="106">
        <f>INDEX(OfficialTeamList[Team Name],MATCH(CoreValuesResults[[#This Row],[Team Number]], OfficialTeamList[Team '#],0))</f>
        <v/>
      </c>
      <c r="D131" s="77">
        <f>INDEX(InnovationProjectResults[Identify - Research (CV)],MATCH(CoreValuesResults[[#This Row],[Team Number]],InnovationProjectResults[Team Number],0))</f>
        <v/>
      </c>
      <c r="E131" s="77">
        <f>INDEX(InnovationProjectResults[Design - Teamwork (CV)],MATCH(CoreValuesResults[[#This Row],[Team Number]],InnovationProjectResults[Team Number],0))</f>
        <v/>
      </c>
      <c r="F131" s="77">
        <f>INDEX(InnovationProjectResults[Create - Innovation (CV)],MATCH(CoreValuesResults[[#This Row],[Team Number]],InnovationProjectResults[Team Number],0))</f>
        <v/>
      </c>
      <c r="G131" s="77">
        <f>INDEX(InnovationProjectResults[Communicate - Impact (CV)],MATCH(CoreValuesResults[[#This Row],[Team Number]],InnovationProjectResults[Team Number],0))</f>
        <v/>
      </c>
      <c r="H131" s="77">
        <f>INDEX(InnovationProjectResults[Communicate - Fun (CV)],MATCH(CoreValuesResults[[#This Row],[Team Number]],InnovationProjectResults[Team Number],0))</f>
        <v/>
      </c>
      <c r="I131" s="77">
        <f>INDEX(RobotDesignResults[Identify - Research (CV)],MATCH(CoreValuesResults[[#This Row],[Team Number]],RobotDesignResults[Team Number],0))</f>
        <v/>
      </c>
      <c r="J131" s="77">
        <f>INDEX(RobotDesignResults[Design - Ideas (CV)],MATCH(CoreValuesResults[[#This Row],[Team Number]],RobotDesignResults[Team Number],0))</f>
        <v/>
      </c>
      <c r="K131" s="77">
        <f>INDEX(RobotDesignResults[Iterate - Improvements (CV)],MATCH(CoreValuesResults[[#This Row],[Team Number]],RobotDesignResults[Team Number],0))</f>
        <v/>
      </c>
      <c r="L131" s="77">
        <f>INDEX(RobotDesignResults[Communicate - Impact (CV)],MATCH(CoreValuesResults[[#This Row],[Team Number]],RobotDesignResults[Team Number],0))</f>
        <v/>
      </c>
      <c r="M131" s="77">
        <f>INDEX(RobotDesignResults[Communicate - Fun (CV)],MATCH(CoreValuesResults[[#This Row],[Team Number]],RobotDesignResults[Team Number],0))</f>
        <v/>
      </c>
      <c r="N131" s="86" t="n"/>
      <c r="O131" s="86" t="n"/>
      <c r="P131" s="86" t="n"/>
      <c r="Q131" s="69">
        <f>SUM(CoreValuesResults[[#This Row],[Gracious Professionalism 1]:[Gracious Professionalism 3]])</f>
        <v/>
      </c>
      <c r="R131" s="69">
        <f>SUM(N131:Q131)</f>
        <v/>
      </c>
      <c r="S131" s="83">
        <f>SUM(CoreValuesResults[[#This Row],[Identify - Research (CV-IP)]:[Communicate - Fun (CV-RD)]],CoreValuesResults[[#This Row],[Gracious Professionalism Score]])</f>
        <v/>
      </c>
      <c r="T131" s="73">
        <f>_xlfn.RANK.EQ(CoreValuesResults[[#This Row],[Core Values Score]],CoreValuesResults[Core Values Score],0)</f>
        <v/>
      </c>
    </row>
    <row r="132" ht="21" customHeight="1">
      <c r="A132" s="69" t="n"/>
      <c r="B132" s="69">
        <f>INDEX(OfficialTeamList[Pod Number],MATCH(CoreValuesResults[[#This Row],[Team Number]], OfficialTeamList[Team '#],0))</f>
        <v/>
      </c>
      <c r="C132" s="106">
        <f>INDEX(OfficialTeamList[Team Name],MATCH(CoreValuesResults[[#This Row],[Team Number]], OfficialTeamList[Team '#],0))</f>
        <v/>
      </c>
      <c r="D132" s="77">
        <f>INDEX(InnovationProjectResults[Identify - Research (CV)],MATCH(CoreValuesResults[[#This Row],[Team Number]],InnovationProjectResults[Team Number],0))</f>
        <v/>
      </c>
      <c r="E132" s="77">
        <f>INDEX(InnovationProjectResults[Design - Teamwork (CV)],MATCH(CoreValuesResults[[#This Row],[Team Number]],InnovationProjectResults[Team Number],0))</f>
        <v/>
      </c>
      <c r="F132" s="77">
        <f>INDEX(InnovationProjectResults[Create - Innovation (CV)],MATCH(CoreValuesResults[[#This Row],[Team Number]],InnovationProjectResults[Team Number],0))</f>
        <v/>
      </c>
      <c r="G132" s="77">
        <f>INDEX(InnovationProjectResults[Communicate - Impact (CV)],MATCH(CoreValuesResults[[#This Row],[Team Number]],InnovationProjectResults[Team Number],0))</f>
        <v/>
      </c>
      <c r="H132" s="77">
        <f>INDEX(InnovationProjectResults[Communicate - Fun (CV)],MATCH(CoreValuesResults[[#This Row],[Team Number]],InnovationProjectResults[Team Number],0))</f>
        <v/>
      </c>
      <c r="I132" s="77">
        <f>INDEX(RobotDesignResults[Identify - Research (CV)],MATCH(CoreValuesResults[[#This Row],[Team Number]],RobotDesignResults[Team Number],0))</f>
        <v/>
      </c>
      <c r="J132" s="77">
        <f>INDEX(RobotDesignResults[Design - Ideas (CV)],MATCH(CoreValuesResults[[#This Row],[Team Number]],RobotDesignResults[Team Number],0))</f>
        <v/>
      </c>
      <c r="K132" s="77">
        <f>INDEX(RobotDesignResults[Iterate - Improvements (CV)],MATCH(CoreValuesResults[[#This Row],[Team Number]],RobotDesignResults[Team Number],0))</f>
        <v/>
      </c>
      <c r="L132" s="77">
        <f>INDEX(RobotDesignResults[Communicate - Impact (CV)],MATCH(CoreValuesResults[[#This Row],[Team Number]],RobotDesignResults[Team Number],0))</f>
        <v/>
      </c>
      <c r="M132" s="77">
        <f>INDEX(RobotDesignResults[Communicate - Fun (CV)],MATCH(CoreValuesResults[[#This Row],[Team Number]],RobotDesignResults[Team Number],0))</f>
        <v/>
      </c>
      <c r="N132" s="86" t="n"/>
      <c r="O132" s="86" t="n"/>
      <c r="P132" s="86" t="n"/>
      <c r="Q132" s="69">
        <f>SUM(CoreValuesResults[[#This Row],[Gracious Professionalism 1]:[Gracious Professionalism 3]])</f>
        <v/>
      </c>
      <c r="R132" s="69">
        <f>SUM(N132:Q132)</f>
        <v/>
      </c>
      <c r="S132" s="83">
        <f>SUM(CoreValuesResults[[#This Row],[Identify - Research (CV-IP)]:[Communicate - Fun (CV-RD)]],CoreValuesResults[[#This Row],[Gracious Professionalism Score]])</f>
        <v/>
      </c>
      <c r="T132" s="73">
        <f>_xlfn.RANK.EQ(CoreValuesResults[[#This Row],[Core Values Score]],CoreValuesResults[Core Values Score],0)</f>
        <v/>
      </c>
    </row>
    <row r="133" ht="21" customHeight="1">
      <c r="A133" s="69" t="n"/>
      <c r="B133" s="69">
        <f>INDEX(OfficialTeamList[Pod Number],MATCH(CoreValuesResults[[#This Row],[Team Number]], OfficialTeamList[Team '#],0))</f>
        <v/>
      </c>
      <c r="C133" s="106">
        <f>INDEX(OfficialTeamList[Team Name],MATCH(CoreValuesResults[[#This Row],[Team Number]], OfficialTeamList[Team '#],0))</f>
        <v/>
      </c>
      <c r="D133" s="77">
        <f>INDEX(InnovationProjectResults[Identify - Research (CV)],MATCH(CoreValuesResults[[#This Row],[Team Number]],InnovationProjectResults[Team Number],0))</f>
        <v/>
      </c>
      <c r="E133" s="77">
        <f>INDEX(InnovationProjectResults[Design - Teamwork (CV)],MATCH(CoreValuesResults[[#This Row],[Team Number]],InnovationProjectResults[Team Number],0))</f>
        <v/>
      </c>
      <c r="F133" s="77">
        <f>INDEX(InnovationProjectResults[Create - Innovation (CV)],MATCH(CoreValuesResults[[#This Row],[Team Number]],InnovationProjectResults[Team Number],0))</f>
        <v/>
      </c>
      <c r="G133" s="77">
        <f>INDEX(InnovationProjectResults[Communicate - Impact (CV)],MATCH(CoreValuesResults[[#This Row],[Team Number]],InnovationProjectResults[Team Number],0))</f>
        <v/>
      </c>
      <c r="H133" s="77">
        <f>INDEX(InnovationProjectResults[Communicate - Fun (CV)],MATCH(CoreValuesResults[[#This Row],[Team Number]],InnovationProjectResults[Team Number],0))</f>
        <v/>
      </c>
      <c r="I133" s="77">
        <f>INDEX(RobotDesignResults[Identify - Research (CV)],MATCH(CoreValuesResults[[#This Row],[Team Number]],RobotDesignResults[Team Number],0))</f>
        <v/>
      </c>
      <c r="J133" s="77">
        <f>INDEX(RobotDesignResults[Design - Ideas (CV)],MATCH(CoreValuesResults[[#This Row],[Team Number]],RobotDesignResults[Team Number],0))</f>
        <v/>
      </c>
      <c r="K133" s="77">
        <f>INDEX(RobotDesignResults[Iterate - Improvements (CV)],MATCH(CoreValuesResults[[#This Row],[Team Number]],RobotDesignResults[Team Number],0))</f>
        <v/>
      </c>
      <c r="L133" s="77">
        <f>INDEX(RobotDesignResults[Communicate - Impact (CV)],MATCH(CoreValuesResults[[#This Row],[Team Number]],RobotDesignResults[Team Number],0))</f>
        <v/>
      </c>
      <c r="M133" s="77">
        <f>INDEX(RobotDesignResults[Communicate - Fun (CV)],MATCH(CoreValuesResults[[#This Row],[Team Number]],RobotDesignResults[Team Number],0))</f>
        <v/>
      </c>
      <c r="N133" s="86" t="n"/>
      <c r="O133" s="86" t="n"/>
      <c r="P133" s="86" t="n"/>
      <c r="Q133" s="69">
        <f>SUM(CoreValuesResults[[#This Row],[Gracious Professionalism 1]:[Gracious Professionalism 3]])</f>
        <v/>
      </c>
      <c r="R133" s="69">
        <f>SUM(N133:Q133)</f>
        <v/>
      </c>
      <c r="S133" s="83">
        <f>SUM(CoreValuesResults[[#This Row],[Identify - Research (CV-IP)]:[Communicate - Fun (CV-RD)]],CoreValuesResults[[#This Row],[Gracious Professionalism Score]])</f>
        <v/>
      </c>
      <c r="T133" s="73">
        <f>_xlfn.RANK.EQ(CoreValuesResults[[#This Row],[Core Values Score]],CoreValuesResults[Core Values Score],0)</f>
        <v/>
      </c>
    </row>
    <row r="134" ht="21" customHeight="1">
      <c r="A134" s="69" t="n"/>
      <c r="B134" s="69">
        <f>INDEX(OfficialTeamList[Pod Number],MATCH(CoreValuesResults[[#This Row],[Team Number]], OfficialTeamList[Team '#],0))</f>
        <v/>
      </c>
      <c r="C134" s="106">
        <f>INDEX(OfficialTeamList[Team Name],MATCH(CoreValuesResults[[#This Row],[Team Number]], OfficialTeamList[Team '#],0))</f>
        <v/>
      </c>
      <c r="D134" s="77">
        <f>INDEX(InnovationProjectResults[Identify - Research (CV)],MATCH(CoreValuesResults[[#This Row],[Team Number]],InnovationProjectResults[Team Number],0))</f>
        <v/>
      </c>
      <c r="E134" s="77">
        <f>INDEX(InnovationProjectResults[Design - Teamwork (CV)],MATCH(CoreValuesResults[[#This Row],[Team Number]],InnovationProjectResults[Team Number],0))</f>
        <v/>
      </c>
      <c r="F134" s="77">
        <f>INDEX(InnovationProjectResults[Create - Innovation (CV)],MATCH(CoreValuesResults[[#This Row],[Team Number]],InnovationProjectResults[Team Number],0))</f>
        <v/>
      </c>
      <c r="G134" s="77">
        <f>INDEX(InnovationProjectResults[Communicate - Impact (CV)],MATCH(CoreValuesResults[[#This Row],[Team Number]],InnovationProjectResults[Team Number],0))</f>
        <v/>
      </c>
      <c r="H134" s="77">
        <f>INDEX(InnovationProjectResults[Communicate - Fun (CV)],MATCH(CoreValuesResults[[#This Row],[Team Number]],InnovationProjectResults[Team Number],0))</f>
        <v/>
      </c>
      <c r="I134" s="77">
        <f>INDEX(RobotDesignResults[Identify - Research (CV)],MATCH(CoreValuesResults[[#This Row],[Team Number]],RobotDesignResults[Team Number],0))</f>
        <v/>
      </c>
      <c r="J134" s="77">
        <f>INDEX(RobotDesignResults[Design - Ideas (CV)],MATCH(CoreValuesResults[[#This Row],[Team Number]],RobotDesignResults[Team Number],0))</f>
        <v/>
      </c>
      <c r="K134" s="77">
        <f>INDEX(RobotDesignResults[Iterate - Improvements (CV)],MATCH(CoreValuesResults[[#This Row],[Team Number]],RobotDesignResults[Team Number],0))</f>
        <v/>
      </c>
      <c r="L134" s="77">
        <f>INDEX(RobotDesignResults[Communicate - Impact (CV)],MATCH(CoreValuesResults[[#This Row],[Team Number]],RobotDesignResults[Team Number],0))</f>
        <v/>
      </c>
      <c r="M134" s="77">
        <f>INDEX(RobotDesignResults[Communicate - Fun (CV)],MATCH(CoreValuesResults[[#This Row],[Team Number]],RobotDesignResults[Team Number],0))</f>
        <v/>
      </c>
      <c r="N134" s="86" t="n"/>
      <c r="O134" s="86" t="n"/>
      <c r="P134" s="86" t="n"/>
      <c r="Q134" s="69">
        <f>SUM(CoreValuesResults[[#This Row],[Gracious Professionalism 1]:[Gracious Professionalism 3]])</f>
        <v/>
      </c>
      <c r="R134" s="69">
        <f>SUM(N134:Q134)</f>
        <v/>
      </c>
      <c r="S134" s="83">
        <f>SUM(CoreValuesResults[[#This Row],[Identify - Research (CV-IP)]:[Communicate - Fun (CV-RD)]],CoreValuesResults[[#This Row],[Gracious Professionalism Score]])</f>
        <v/>
      </c>
      <c r="T134" s="73">
        <f>_xlfn.RANK.EQ(CoreValuesResults[[#This Row],[Core Values Score]],CoreValuesResults[Core Values Score],0)</f>
        <v/>
      </c>
    </row>
    <row r="135" ht="21" customHeight="1">
      <c r="A135" s="69" t="n"/>
      <c r="B135" s="69">
        <f>INDEX(OfficialTeamList[Pod Number],MATCH(CoreValuesResults[[#This Row],[Team Number]], OfficialTeamList[Team '#],0))</f>
        <v/>
      </c>
      <c r="C135" s="106">
        <f>INDEX(OfficialTeamList[Team Name],MATCH(CoreValuesResults[[#This Row],[Team Number]], OfficialTeamList[Team '#],0))</f>
        <v/>
      </c>
      <c r="D135" s="77">
        <f>INDEX(InnovationProjectResults[Identify - Research (CV)],MATCH(CoreValuesResults[[#This Row],[Team Number]],InnovationProjectResults[Team Number],0))</f>
        <v/>
      </c>
      <c r="E135" s="77">
        <f>INDEX(InnovationProjectResults[Design - Teamwork (CV)],MATCH(CoreValuesResults[[#This Row],[Team Number]],InnovationProjectResults[Team Number],0))</f>
        <v/>
      </c>
      <c r="F135" s="77">
        <f>INDEX(InnovationProjectResults[Create - Innovation (CV)],MATCH(CoreValuesResults[[#This Row],[Team Number]],InnovationProjectResults[Team Number],0))</f>
        <v/>
      </c>
      <c r="G135" s="77">
        <f>INDEX(InnovationProjectResults[Communicate - Impact (CV)],MATCH(CoreValuesResults[[#This Row],[Team Number]],InnovationProjectResults[Team Number],0))</f>
        <v/>
      </c>
      <c r="H135" s="77">
        <f>INDEX(InnovationProjectResults[Communicate - Fun (CV)],MATCH(CoreValuesResults[[#This Row],[Team Number]],InnovationProjectResults[Team Number],0))</f>
        <v/>
      </c>
      <c r="I135" s="77">
        <f>INDEX(RobotDesignResults[Identify - Research (CV)],MATCH(CoreValuesResults[[#This Row],[Team Number]],RobotDesignResults[Team Number],0))</f>
        <v/>
      </c>
      <c r="J135" s="77">
        <f>INDEX(RobotDesignResults[Design - Ideas (CV)],MATCH(CoreValuesResults[[#This Row],[Team Number]],RobotDesignResults[Team Number],0))</f>
        <v/>
      </c>
      <c r="K135" s="77">
        <f>INDEX(RobotDesignResults[Iterate - Improvements (CV)],MATCH(CoreValuesResults[[#This Row],[Team Number]],RobotDesignResults[Team Number],0))</f>
        <v/>
      </c>
      <c r="L135" s="77">
        <f>INDEX(RobotDesignResults[Communicate - Impact (CV)],MATCH(CoreValuesResults[[#This Row],[Team Number]],RobotDesignResults[Team Number],0))</f>
        <v/>
      </c>
      <c r="M135" s="77">
        <f>INDEX(RobotDesignResults[Communicate - Fun (CV)],MATCH(CoreValuesResults[[#This Row],[Team Number]],RobotDesignResults[Team Number],0))</f>
        <v/>
      </c>
      <c r="N135" s="86" t="n"/>
      <c r="O135" s="86" t="n"/>
      <c r="P135" s="86" t="n"/>
      <c r="Q135" s="69">
        <f>SUM(CoreValuesResults[[#This Row],[Gracious Professionalism 1]:[Gracious Professionalism 3]])</f>
        <v/>
      </c>
      <c r="R135" s="69">
        <f>SUM(N135:Q135)</f>
        <v/>
      </c>
      <c r="S135" s="83">
        <f>SUM(CoreValuesResults[[#This Row],[Identify - Research (CV-IP)]:[Communicate - Fun (CV-RD)]],CoreValuesResults[[#This Row],[Gracious Professionalism Score]])</f>
        <v/>
      </c>
      <c r="T135" s="73">
        <f>_xlfn.RANK.EQ(CoreValuesResults[[#This Row],[Core Values Score]],CoreValuesResults[Core Values Score],0)</f>
        <v/>
      </c>
    </row>
    <row r="136" ht="21" customHeight="1">
      <c r="A136" s="69" t="n"/>
      <c r="B136" s="69">
        <f>INDEX(OfficialTeamList[Pod Number],MATCH(CoreValuesResults[[#This Row],[Team Number]], OfficialTeamList[Team '#],0))</f>
        <v/>
      </c>
      <c r="C136" s="106">
        <f>INDEX(OfficialTeamList[Team Name],MATCH(CoreValuesResults[[#This Row],[Team Number]], OfficialTeamList[Team '#],0))</f>
        <v/>
      </c>
      <c r="D136" s="77">
        <f>INDEX(InnovationProjectResults[Identify - Research (CV)],MATCH(CoreValuesResults[[#This Row],[Team Number]],InnovationProjectResults[Team Number],0))</f>
        <v/>
      </c>
      <c r="E136" s="77">
        <f>INDEX(InnovationProjectResults[Design - Teamwork (CV)],MATCH(CoreValuesResults[[#This Row],[Team Number]],InnovationProjectResults[Team Number],0))</f>
        <v/>
      </c>
      <c r="F136" s="77">
        <f>INDEX(InnovationProjectResults[Create - Innovation (CV)],MATCH(CoreValuesResults[[#This Row],[Team Number]],InnovationProjectResults[Team Number],0))</f>
        <v/>
      </c>
      <c r="G136" s="77">
        <f>INDEX(InnovationProjectResults[Communicate - Impact (CV)],MATCH(CoreValuesResults[[#This Row],[Team Number]],InnovationProjectResults[Team Number],0))</f>
        <v/>
      </c>
      <c r="H136" s="77">
        <f>INDEX(InnovationProjectResults[Communicate - Fun (CV)],MATCH(CoreValuesResults[[#This Row],[Team Number]],InnovationProjectResults[Team Number],0))</f>
        <v/>
      </c>
      <c r="I136" s="77">
        <f>INDEX(RobotDesignResults[Identify - Research (CV)],MATCH(CoreValuesResults[[#This Row],[Team Number]],RobotDesignResults[Team Number],0))</f>
        <v/>
      </c>
      <c r="J136" s="77">
        <f>INDEX(RobotDesignResults[Design - Ideas (CV)],MATCH(CoreValuesResults[[#This Row],[Team Number]],RobotDesignResults[Team Number],0))</f>
        <v/>
      </c>
      <c r="K136" s="77">
        <f>INDEX(RobotDesignResults[Iterate - Improvements (CV)],MATCH(CoreValuesResults[[#This Row],[Team Number]],RobotDesignResults[Team Number],0))</f>
        <v/>
      </c>
      <c r="L136" s="77">
        <f>INDEX(RobotDesignResults[Communicate - Impact (CV)],MATCH(CoreValuesResults[[#This Row],[Team Number]],RobotDesignResults[Team Number],0))</f>
        <v/>
      </c>
      <c r="M136" s="77">
        <f>INDEX(RobotDesignResults[Communicate - Fun (CV)],MATCH(CoreValuesResults[[#This Row],[Team Number]],RobotDesignResults[Team Number],0))</f>
        <v/>
      </c>
      <c r="N136" s="86" t="n"/>
      <c r="O136" s="86" t="n"/>
      <c r="P136" s="86" t="n"/>
      <c r="Q136" s="69">
        <f>SUM(CoreValuesResults[[#This Row],[Gracious Professionalism 1]:[Gracious Professionalism 3]])</f>
        <v/>
      </c>
      <c r="R136" s="69">
        <f>SUM(N136:Q136)</f>
        <v/>
      </c>
      <c r="S136" s="83">
        <f>SUM(CoreValuesResults[[#This Row],[Identify - Research (CV-IP)]:[Communicate - Fun (CV-RD)]],CoreValuesResults[[#This Row],[Gracious Professionalism Score]])</f>
        <v/>
      </c>
      <c r="T136" s="73">
        <f>_xlfn.RANK.EQ(CoreValuesResults[[#This Row],[Core Values Score]],CoreValuesResults[Core Values Score],0)</f>
        <v/>
      </c>
    </row>
    <row r="137" ht="21" customHeight="1">
      <c r="A137" s="69" t="n"/>
      <c r="B137" s="69">
        <f>INDEX(OfficialTeamList[Pod Number],MATCH(CoreValuesResults[[#This Row],[Team Number]], OfficialTeamList[Team '#],0))</f>
        <v/>
      </c>
      <c r="C137" s="106">
        <f>INDEX(OfficialTeamList[Team Name],MATCH(CoreValuesResults[[#This Row],[Team Number]], OfficialTeamList[Team '#],0))</f>
        <v/>
      </c>
      <c r="D137" s="77">
        <f>INDEX(InnovationProjectResults[Identify - Research (CV)],MATCH(CoreValuesResults[[#This Row],[Team Number]],InnovationProjectResults[Team Number],0))</f>
        <v/>
      </c>
      <c r="E137" s="77">
        <f>INDEX(InnovationProjectResults[Design - Teamwork (CV)],MATCH(CoreValuesResults[[#This Row],[Team Number]],InnovationProjectResults[Team Number],0))</f>
        <v/>
      </c>
      <c r="F137" s="77">
        <f>INDEX(InnovationProjectResults[Create - Innovation (CV)],MATCH(CoreValuesResults[[#This Row],[Team Number]],InnovationProjectResults[Team Number],0))</f>
        <v/>
      </c>
      <c r="G137" s="77">
        <f>INDEX(InnovationProjectResults[Communicate - Impact (CV)],MATCH(CoreValuesResults[[#This Row],[Team Number]],InnovationProjectResults[Team Number],0))</f>
        <v/>
      </c>
      <c r="H137" s="77">
        <f>INDEX(InnovationProjectResults[Communicate - Fun (CV)],MATCH(CoreValuesResults[[#This Row],[Team Number]],InnovationProjectResults[Team Number],0))</f>
        <v/>
      </c>
      <c r="I137" s="77">
        <f>INDEX(RobotDesignResults[Identify - Research (CV)],MATCH(CoreValuesResults[[#This Row],[Team Number]],RobotDesignResults[Team Number],0))</f>
        <v/>
      </c>
      <c r="J137" s="77">
        <f>INDEX(RobotDesignResults[Design - Ideas (CV)],MATCH(CoreValuesResults[[#This Row],[Team Number]],RobotDesignResults[Team Number],0))</f>
        <v/>
      </c>
      <c r="K137" s="77">
        <f>INDEX(RobotDesignResults[Iterate - Improvements (CV)],MATCH(CoreValuesResults[[#This Row],[Team Number]],RobotDesignResults[Team Number],0))</f>
        <v/>
      </c>
      <c r="L137" s="77">
        <f>INDEX(RobotDesignResults[Communicate - Impact (CV)],MATCH(CoreValuesResults[[#This Row],[Team Number]],RobotDesignResults[Team Number],0))</f>
        <v/>
      </c>
      <c r="M137" s="77">
        <f>INDEX(RobotDesignResults[Communicate - Fun (CV)],MATCH(CoreValuesResults[[#This Row],[Team Number]],RobotDesignResults[Team Number],0))</f>
        <v/>
      </c>
      <c r="N137" s="86" t="n"/>
      <c r="O137" s="86" t="n"/>
      <c r="P137" s="86" t="n"/>
      <c r="Q137" s="69">
        <f>SUM(CoreValuesResults[[#This Row],[Gracious Professionalism 1]:[Gracious Professionalism 3]])</f>
        <v/>
      </c>
      <c r="R137" s="69">
        <f>SUM(N137:Q137)</f>
        <v/>
      </c>
      <c r="S137" s="83">
        <f>SUM(CoreValuesResults[[#This Row],[Identify - Research (CV-IP)]:[Communicate - Fun (CV-RD)]],CoreValuesResults[[#This Row],[Gracious Professionalism Score]])</f>
        <v/>
      </c>
      <c r="T137" s="73">
        <f>_xlfn.RANK.EQ(CoreValuesResults[[#This Row],[Core Values Score]],CoreValuesResults[Core Values Score],0)</f>
        <v/>
      </c>
    </row>
    <row r="138" ht="21" customHeight="1">
      <c r="A138" s="69" t="n"/>
      <c r="B138" s="69">
        <f>INDEX(OfficialTeamList[Pod Number],MATCH(CoreValuesResults[[#This Row],[Team Number]], OfficialTeamList[Team '#],0))</f>
        <v/>
      </c>
      <c r="C138" s="106">
        <f>INDEX(OfficialTeamList[Team Name],MATCH(CoreValuesResults[[#This Row],[Team Number]], OfficialTeamList[Team '#],0))</f>
        <v/>
      </c>
      <c r="D138" s="77">
        <f>INDEX(InnovationProjectResults[Identify - Research (CV)],MATCH(CoreValuesResults[[#This Row],[Team Number]],InnovationProjectResults[Team Number],0))</f>
        <v/>
      </c>
      <c r="E138" s="77">
        <f>INDEX(InnovationProjectResults[Design - Teamwork (CV)],MATCH(CoreValuesResults[[#This Row],[Team Number]],InnovationProjectResults[Team Number],0))</f>
        <v/>
      </c>
      <c r="F138" s="77">
        <f>INDEX(InnovationProjectResults[Create - Innovation (CV)],MATCH(CoreValuesResults[[#This Row],[Team Number]],InnovationProjectResults[Team Number],0))</f>
        <v/>
      </c>
      <c r="G138" s="77">
        <f>INDEX(InnovationProjectResults[Communicate - Impact (CV)],MATCH(CoreValuesResults[[#This Row],[Team Number]],InnovationProjectResults[Team Number],0))</f>
        <v/>
      </c>
      <c r="H138" s="77">
        <f>INDEX(InnovationProjectResults[Communicate - Fun (CV)],MATCH(CoreValuesResults[[#This Row],[Team Number]],InnovationProjectResults[Team Number],0))</f>
        <v/>
      </c>
      <c r="I138" s="77">
        <f>INDEX(RobotDesignResults[Identify - Research (CV)],MATCH(CoreValuesResults[[#This Row],[Team Number]],RobotDesignResults[Team Number],0))</f>
        <v/>
      </c>
      <c r="J138" s="77">
        <f>INDEX(RobotDesignResults[Design - Ideas (CV)],MATCH(CoreValuesResults[[#This Row],[Team Number]],RobotDesignResults[Team Number],0))</f>
        <v/>
      </c>
      <c r="K138" s="77">
        <f>INDEX(RobotDesignResults[Iterate - Improvements (CV)],MATCH(CoreValuesResults[[#This Row],[Team Number]],RobotDesignResults[Team Number],0))</f>
        <v/>
      </c>
      <c r="L138" s="77">
        <f>INDEX(RobotDesignResults[Communicate - Impact (CV)],MATCH(CoreValuesResults[[#This Row],[Team Number]],RobotDesignResults[Team Number],0))</f>
        <v/>
      </c>
      <c r="M138" s="77">
        <f>INDEX(RobotDesignResults[Communicate - Fun (CV)],MATCH(CoreValuesResults[[#This Row],[Team Number]],RobotDesignResults[Team Number],0))</f>
        <v/>
      </c>
      <c r="N138" s="86" t="n"/>
      <c r="O138" s="86" t="n"/>
      <c r="P138" s="86" t="n"/>
      <c r="Q138" s="69">
        <f>SUM(CoreValuesResults[[#This Row],[Gracious Professionalism 1]:[Gracious Professionalism 3]])</f>
        <v/>
      </c>
      <c r="R138" s="69">
        <f>SUM(N138:Q138)</f>
        <v/>
      </c>
      <c r="S138" s="83">
        <f>SUM(CoreValuesResults[[#This Row],[Identify - Research (CV-IP)]:[Communicate - Fun (CV-RD)]],CoreValuesResults[[#This Row],[Gracious Professionalism Score]])</f>
        <v/>
      </c>
      <c r="T138" s="73">
        <f>_xlfn.RANK.EQ(CoreValuesResults[[#This Row],[Core Values Score]],CoreValuesResults[Core Values Score],0)</f>
        <v/>
      </c>
    </row>
    <row r="139" ht="21" customHeight="1">
      <c r="A139" s="69" t="n"/>
      <c r="B139" s="69">
        <f>INDEX(OfficialTeamList[Pod Number],MATCH(CoreValuesResults[[#This Row],[Team Number]], OfficialTeamList[Team '#],0))</f>
        <v/>
      </c>
      <c r="C139" s="106">
        <f>INDEX(OfficialTeamList[Team Name],MATCH(CoreValuesResults[[#This Row],[Team Number]], OfficialTeamList[Team '#],0))</f>
        <v/>
      </c>
      <c r="D139" s="77">
        <f>INDEX(InnovationProjectResults[Identify - Research (CV)],MATCH(CoreValuesResults[[#This Row],[Team Number]],InnovationProjectResults[Team Number],0))</f>
        <v/>
      </c>
      <c r="E139" s="77">
        <f>INDEX(InnovationProjectResults[Design - Teamwork (CV)],MATCH(CoreValuesResults[[#This Row],[Team Number]],InnovationProjectResults[Team Number],0))</f>
        <v/>
      </c>
      <c r="F139" s="77">
        <f>INDEX(InnovationProjectResults[Create - Innovation (CV)],MATCH(CoreValuesResults[[#This Row],[Team Number]],InnovationProjectResults[Team Number],0))</f>
        <v/>
      </c>
      <c r="G139" s="77">
        <f>INDEX(InnovationProjectResults[Communicate - Impact (CV)],MATCH(CoreValuesResults[[#This Row],[Team Number]],InnovationProjectResults[Team Number],0))</f>
        <v/>
      </c>
      <c r="H139" s="77">
        <f>INDEX(InnovationProjectResults[Communicate - Fun (CV)],MATCH(CoreValuesResults[[#This Row],[Team Number]],InnovationProjectResults[Team Number],0))</f>
        <v/>
      </c>
      <c r="I139" s="77">
        <f>INDEX(RobotDesignResults[Identify - Research (CV)],MATCH(CoreValuesResults[[#This Row],[Team Number]],RobotDesignResults[Team Number],0))</f>
        <v/>
      </c>
      <c r="J139" s="77">
        <f>INDEX(RobotDesignResults[Design - Ideas (CV)],MATCH(CoreValuesResults[[#This Row],[Team Number]],RobotDesignResults[Team Number],0))</f>
        <v/>
      </c>
      <c r="K139" s="77">
        <f>INDEX(RobotDesignResults[Iterate - Improvements (CV)],MATCH(CoreValuesResults[[#This Row],[Team Number]],RobotDesignResults[Team Number],0))</f>
        <v/>
      </c>
      <c r="L139" s="77">
        <f>INDEX(RobotDesignResults[Communicate - Impact (CV)],MATCH(CoreValuesResults[[#This Row],[Team Number]],RobotDesignResults[Team Number],0))</f>
        <v/>
      </c>
      <c r="M139" s="77">
        <f>INDEX(RobotDesignResults[Communicate - Fun (CV)],MATCH(CoreValuesResults[[#This Row],[Team Number]],RobotDesignResults[Team Number],0))</f>
        <v/>
      </c>
      <c r="N139" s="86" t="n"/>
      <c r="O139" s="86" t="n"/>
      <c r="P139" s="86" t="n"/>
      <c r="Q139" s="69">
        <f>SUM(CoreValuesResults[[#This Row],[Gracious Professionalism 1]:[Gracious Professionalism 3]])</f>
        <v/>
      </c>
      <c r="R139" s="69">
        <f>SUM(N139:Q139)</f>
        <v/>
      </c>
      <c r="S139" s="83">
        <f>SUM(CoreValuesResults[[#This Row],[Identify - Research (CV-IP)]:[Communicate - Fun (CV-RD)]],CoreValuesResults[[#This Row],[Gracious Professionalism Score]])</f>
        <v/>
      </c>
      <c r="T139" s="73">
        <f>_xlfn.RANK.EQ(CoreValuesResults[[#This Row],[Core Values Score]],CoreValuesResults[Core Values Score],0)</f>
        <v/>
      </c>
    </row>
    <row r="140" ht="21" customHeight="1">
      <c r="A140" s="69" t="n"/>
      <c r="B140" s="69">
        <f>INDEX(OfficialTeamList[Pod Number],MATCH(CoreValuesResults[[#This Row],[Team Number]], OfficialTeamList[Team '#],0))</f>
        <v/>
      </c>
      <c r="C140" s="106">
        <f>INDEX(OfficialTeamList[Team Name],MATCH(CoreValuesResults[[#This Row],[Team Number]], OfficialTeamList[Team '#],0))</f>
        <v/>
      </c>
      <c r="D140" s="77">
        <f>INDEX(InnovationProjectResults[Identify - Research (CV)],MATCH(CoreValuesResults[[#This Row],[Team Number]],InnovationProjectResults[Team Number],0))</f>
        <v/>
      </c>
      <c r="E140" s="77">
        <f>INDEX(InnovationProjectResults[Design - Teamwork (CV)],MATCH(CoreValuesResults[[#This Row],[Team Number]],InnovationProjectResults[Team Number],0))</f>
        <v/>
      </c>
      <c r="F140" s="77">
        <f>INDEX(InnovationProjectResults[Create - Innovation (CV)],MATCH(CoreValuesResults[[#This Row],[Team Number]],InnovationProjectResults[Team Number],0))</f>
        <v/>
      </c>
      <c r="G140" s="77">
        <f>INDEX(InnovationProjectResults[Communicate - Impact (CV)],MATCH(CoreValuesResults[[#This Row],[Team Number]],InnovationProjectResults[Team Number],0))</f>
        <v/>
      </c>
      <c r="H140" s="77">
        <f>INDEX(InnovationProjectResults[Communicate - Fun (CV)],MATCH(CoreValuesResults[[#This Row],[Team Number]],InnovationProjectResults[Team Number],0))</f>
        <v/>
      </c>
      <c r="I140" s="77">
        <f>INDEX(RobotDesignResults[Identify - Research (CV)],MATCH(CoreValuesResults[[#This Row],[Team Number]],RobotDesignResults[Team Number],0))</f>
        <v/>
      </c>
      <c r="J140" s="77">
        <f>INDEX(RobotDesignResults[Design - Ideas (CV)],MATCH(CoreValuesResults[[#This Row],[Team Number]],RobotDesignResults[Team Number],0))</f>
        <v/>
      </c>
      <c r="K140" s="77">
        <f>INDEX(RobotDesignResults[Iterate - Improvements (CV)],MATCH(CoreValuesResults[[#This Row],[Team Number]],RobotDesignResults[Team Number],0))</f>
        <v/>
      </c>
      <c r="L140" s="77">
        <f>INDEX(RobotDesignResults[Communicate - Impact (CV)],MATCH(CoreValuesResults[[#This Row],[Team Number]],RobotDesignResults[Team Number],0))</f>
        <v/>
      </c>
      <c r="M140" s="77">
        <f>INDEX(RobotDesignResults[Communicate - Fun (CV)],MATCH(CoreValuesResults[[#This Row],[Team Number]],RobotDesignResults[Team Number],0))</f>
        <v/>
      </c>
      <c r="N140" s="86" t="n"/>
      <c r="O140" s="86" t="n"/>
      <c r="P140" s="86" t="n"/>
      <c r="Q140" s="69">
        <f>SUM(CoreValuesResults[[#This Row],[Gracious Professionalism 1]:[Gracious Professionalism 3]])</f>
        <v/>
      </c>
      <c r="R140" s="69">
        <f>SUM(N140:Q140)</f>
        <v/>
      </c>
      <c r="S140" s="83">
        <f>SUM(CoreValuesResults[[#This Row],[Identify - Research (CV-IP)]:[Communicate - Fun (CV-RD)]],CoreValuesResults[[#This Row],[Gracious Professionalism Score]])</f>
        <v/>
      </c>
      <c r="T140" s="73">
        <f>_xlfn.RANK.EQ(CoreValuesResults[[#This Row],[Core Values Score]],CoreValuesResults[Core Values Score],0)</f>
        <v/>
      </c>
    </row>
    <row r="141" ht="21" customHeight="1">
      <c r="A141" s="69" t="n"/>
      <c r="B141" s="69">
        <f>INDEX(OfficialTeamList[Pod Number],MATCH(CoreValuesResults[[#This Row],[Team Number]], OfficialTeamList[Team '#],0))</f>
        <v/>
      </c>
      <c r="C141" s="106">
        <f>INDEX(OfficialTeamList[Team Name],MATCH(CoreValuesResults[[#This Row],[Team Number]], OfficialTeamList[Team '#],0))</f>
        <v/>
      </c>
      <c r="D141" s="77">
        <f>INDEX(InnovationProjectResults[Identify - Research (CV)],MATCH(CoreValuesResults[[#This Row],[Team Number]],InnovationProjectResults[Team Number],0))</f>
        <v/>
      </c>
      <c r="E141" s="77">
        <f>INDEX(InnovationProjectResults[Design - Teamwork (CV)],MATCH(CoreValuesResults[[#This Row],[Team Number]],InnovationProjectResults[Team Number],0))</f>
        <v/>
      </c>
      <c r="F141" s="77">
        <f>INDEX(InnovationProjectResults[Create - Innovation (CV)],MATCH(CoreValuesResults[[#This Row],[Team Number]],InnovationProjectResults[Team Number],0))</f>
        <v/>
      </c>
      <c r="G141" s="77">
        <f>INDEX(InnovationProjectResults[Communicate - Impact (CV)],MATCH(CoreValuesResults[[#This Row],[Team Number]],InnovationProjectResults[Team Number],0))</f>
        <v/>
      </c>
      <c r="H141" s="77">
        <f>INDEX(InnovationProjectResults[Communicate - Fun (CV)],MATCH(CoreValuesResults[[#This Row],[Team Number]],InnovationProjectResults[Team Number],0))</f>
        <v/>
      </c>
      <c r="I141" s="77">
        <f>INDEX(RobotDesignResults[Identify - Research (CV)],MATCH(CoreValuesResults[[#This Row],[Team Number]],RobotDesignResults[Team Number],0))</f>
        <v/>
      </c>
      <c r="J141" s="77">
        <f>INDEX(RobotDesignResults[Design - Ideas (CV)],MATCH(CoreValuesResults[[#This Row],[Team Number]],RobotDesignResults[Team Number],0))</f>
        <v/>
      </c>
      <c r="K141" s="77">
        <f>INDEX(RobotDesignResults[Iterate - Improvements (CV)],MATCH(CoreValuesResults[[#This Row],[Team Number]],RobotDesignResults[Team Number],0))</f>
        <v/>
      </c>
      <c r="L141" s="77">
        <f>INDEX(RobotDesignResults[Communicate - Impact (CV)],MATCH(CoreValuesResults[[#This Row],[Team Number]],RobotDesignResults[Team Number],0))</f>
        <v/>
      </c>
      <c r="M141" s="77">
        <f>INDEX(RobotDesignResults[Communicate - Fun (CV)],MATCH(CoreValuesResults[[#This Row],[Team Number]],RobotDesignResults[Team Number],0))</f>
        <v/>
      </c>
      <c r="N141" s="86" t="n"/>
      <c r="O141" s="86" t="n"/>
      <c r="P141" s="86" t="n"/>
      <c r="Q141" s="69">
        <f>SUM(CoreValuesResults[[#This Row],[Gracious Professionalism 1]:[Gracious Professionalism 3]])</f>
        <v/>
      </c>
      <c r="R141" s="69">
        <f>SUM(N141:Q141)</f>
        <v/>
      </c>
      <c r="S141" s="83">
        <f>SUM(CoreValuesResults[[#This Row],[Identify - Research (CV-IP)]:[Communicate - Fun (CV-RD)]],CoreValuesResults[[#This Row],[Gracious Professionalism Score]])</f>
        <v/>
      </c>
      <c r="T141" s="73">
        <f>_xlfn.RANK.EQ(CoreValuesResults[[#This Row],[Core Values Score]],CoreValuesResults[Core Values Score],0)</f>
        <v/>
      </c>
    </row>
    <row r="142" ht="21" customHeight="1">
      <c r="A142" s="69" t="n"/>
      <c r="B142" s="69">
        <f>INDEX(OfficialTeamList[Pod Number],MATCH(CoreValuesResults[[#This Row],[Team Number]], OfficialTeamList[Team '#],0))</f>
        <v/>
      </c>
      <c r="C142" s="106">
        <f>INDEX(OfficialTeamList[Team Name],MATCH(CoreValuesResults[[#This Row],[Team Number]], OfficialTeamList[Team '#],0))</f>
        <v/>
      </c>
      <c r="D142" s="77">
        <f>INDEX(InnovationProjectResults[Identify - Research (CV)],MATCH(CoreValuesResults[[#This Row],[Team Number]],InnovationProjectResults[Team Number],0))</f>
        <v/>
      </c>
      <c r="E142" s="77">
        <f>INDEX(InnovationProjectResults[Design - Teamwork (CV)],MATCH(CoreValuesResults[[#This Row],[Team Number]],InnovationProjectResults[Team Number],0))</f>
        <v/>
      </c>
      <c r="F142" s="77">
        <f>INDEX(InnovationProjectResults[Create - Innovation (CV)],MATCH(CoreValuesResults[[#This Row],[Team Number]],InnovationProjectResults[Team Number],0))</f>
        <v/>
      </c>
      <c r="G142" s="77">
        <f>INDEX(InnovationProjectResults[Communicate - Impact (CV)],MATCH(CoreValuesResults[[#This Row],[Team Number]],InnovationProjectResults[Team Number],0))</f>
        <v/>
      </c>
      <c r="H142" s="77">
        <f>INDEX(InnovationProjectResults[Communicate - Fun (CV)],MATCH(CoreValuesResults[[#This Row],[Team Number]],InnovationProjectResults[Team Number],0))</f>
        <v/>
      </c>
      <c r="I142" s="77">
        <f>INDEX(RobotDesignResults[Identify - Research (CV)],MATCH(CoreValuesResults[[#This Row],[Team Number]],RobotDesignResults[Team Number],0))</f>
        <v/>
      </c>
      <c r="J142" s="77">
        <f>INDEX(RobotDesignResults[Design - Ideas (CV)],MATCH(CoreValuesResults[[#This Row],[Team Number]],RobotDesignResults[Team Number],0))</f>
        <v/>
      </c>
      <c r="K142" s="77">
        <f>INDEX(RobotDesignResults[Iterate - Improvements (CV)],MATCH(CoreValuesResults[[#This Row],[Team Number]],RobotDesignResults[Team Number],0))</f>
        <v/>
      </c>
      <c r="L142" s="77">
        <f>INDEX(RobotDesignResults[Communicate - Impact (CV)],MATCH(CoreValuesResults[[#This Row],[Team Number]],RobotDesignResults[Team Number],0))</f>
        <v/>
      </c>
      <c r="M142" s="77">
        <f>INDEX(RobotDesignResults[Communicate - Fun (CV)],MATCH(CoreValuesResults[[#This Row],[Team Number]],RobotDesignResults[Team Number],0))</f>
        <v/>
      </c>
      <c r="N142" s="86" t="n"/>
      <c r="O142" s="86" t="n"/>
      <c r="P142" s="86" t="n"/>
      <c r="Q142" s="69">
        <f>SUM(CoreValuesResults[[#This Row],[Gracious Professionalism 1]:[Gracious Professionalism 3]])</f>
        <v/>
      </c>
      <c r="R142" s="69">
        <f>SUM(N142:Q142)</f>
        <v/>
      </c>
      <c r="S142" s="83">
        <f>SUM(CoreValuesResults[[#This Row],[Identify - Research (CV-IP)]:[Communicate - Fun (CV-RD)]],CoreValuesResults[[#This Row],[Gracious Professionalism Score]])</f>
        <v/>
      </c>
      <c r="T142" s="73">
        <f>_xlfn.RANK.EQ(CoreValuesResults[[#This Row],[Core Values Score]],CoreValuesResults[Core Values Score],0)</f>
        <v/>
      </c>
    </row>
    <row r="143" ht="21" customHeight="1">
      <c r="A143" s="69" t="n"/>
      <c r="B143" s="69">
        <f>INDEX(OfficialTeamList[Pod Number],MATCH(CoreValuesResults[[#This Row],[Team Number]], OfficialTeamList[Team '#],0))</f>
        <v/>
      </c>
      <c r="C143" s="106">
        <f>INDEX(OfficialTeamList[Team Name],MATCH(CoreValuesResults[[#This Row],[Team Number]], OfficialTeamList[Team '#],0))</f>
        <v/>
      </c>
      <c r="D143" s="77">
        <f>INDEX(InnovationProjectResults[Identify - Research (CV)],MATCH(CoreValuesResults[[#This Row],[Team Number]],InnovationProjectResults[Team Number],0))</f>
        <v/>
      </c>
      <c r="E143" s="77">
        <f>INDEX(InnovationProjectResults[Design - Teamwork (CV)],MATCH(CoreValuesResults[[#This Row],[Team Number]],InnovationProjectResults[Team Number],0))</f>
        <v/>
      </c>
      <c r="F143" s="77">
        <f>INDEX(InnovationProjectResults[Create - Innovation (CV)],MATCH(CoreValuesResults[[#This Row],[Team Number]],InnovationProjectResults[Team Number],0))</f>
        <v/>
      </c>
      <c r="G143" s="77">
        <f>INDEX(InnovationProjectResults[Communicate - Impact (CV)],MATCH(CoreValuesResults[[#This Row],[Team Number]],InnovationProjectResults[Team Number],0))</f>
        <v/>
      </c>
      <c r="H143" s="77">
        <f>INDEX(InnovationProjectResults[Communicate - Fun (CV)],MATCH(CoreValuesResults[[#This Row],[Team Number]],InnovationProjectResults[Team Number],0))</f>
        <v/>
      </c>
      <c r="I143" s="77">
        <f>INDEX(RobotDesignResults[Identify - Research (CV)],MATCH(CoreValuesResults[[#This Row],[Team Number]],RobotDesignResults[Team Number],0))</f>
        <v/>
      </c>
      <c r="J143" s="77">
        <f>INDEX(RobotDesignResults[Design - Ideas (CV)],MATCH(CoreValuesResults[[#This Row],[Team Number]],RobotDesignResults[Team Number],0))</f>
        <v/>
      </c>
      <c r="K143" s="77">
        <f>INDEX(RobotDesignResults[Iterate - Improvements (CV)],MATCH(CoreValuesResults[[#This Row],[Team Number]],RobotDesignResults[Team Number],0))</f>
        <v/>
      </c>
      <c r="L143" s="77">
        <f>INDEX(RobotDesignResults[Communicate - Impact (CV)],MATCH(CoreValuesResults[[#This Row],[Team Number]],RobotDesignResults[Team Number],0))</f>
        <v/>
      </c>
      <c r="M143" s="77">
        <f>INDEX(RobotDesignResults[Communicate - Fun (CV)],MATCH(CoreValuesResults[[#This Row],[Team Number]],RobotDesignResults[Team Number],0))</f>
        <v/>
      </c>
      <c r="N143" s="86" t="n"/>
      <c r="O143" s="86" t="n"/>
      <c r="P143" s="86" t="n"/>
      <c r="Q143" s="69">
        <f>SUM(CoreValuesResults[[#This Row],[Gracious Professionalism 1]:[Gracious Professionalism 3]])</f>
        <v/>
      </c>
      <c r="R143" s="69">
        <f>SUM(N143:Q143)</f>
        <v/>
      </c>
      <c r="S143" s="83">
        <f>SUM(CoreValuesResults[[#This Row],[Identify - Research (CV-IP)]:[Communicate - Fun (CV-RD)]],CoreValuesResults[[#This Row],[Gracious Professionalism Score]])</f>
        <v/>
      </c>
      <c r="T143" s="73">
        <f>_xlfn.RANK.EQ(CoreValuesResults[[#This Row],[Core Values Score]],CoreValuesResults[Core Values Score],0)</f>
        <v/>
      </c>
    </row>
    <row r="144" ht="21" customHeight="1">
      <c r="A144" s="69" t="n"/>
      <c r="B144" s="69">
        <f>INDEX(OfficialTeamList[Pod Number],MATCH(CoreValuesResults[[#This Row],[Team Number]], OfficialTeamList[Team '#],0))</f>
        <v/>
      </c>
      <c r="C144" s="106">
        <f>INDEX(OfficialTeamList[Team Name],MATCH(CoreValuesResults[[#This Row],[Team Number]], OfficialTeamList[Team '#],0))</f>
        <v/>
      </c>
      <c r="D144" s="77">
        <f>INDEX(InnovationProjectResults[Identify - Research (CV)],MATCH(CoreValuesResults[[#This Row],[Team Number]],InnovationProjectResults[Team Number],0))</f>
        <v/>
      </c>
      <c r="E144" s="77">
        <f>INDEX(InnovationProjectResults[Design - Teamwork (CV)],MATCH(CoreValuesResults[[#This Row],[Team Number]],InnovationProjectResults[Team Number],0))</f>
        <v/>
      </c>
      <c r="F144" s="77">
        <f>INDEX(InnovationProjectResults[Create - Innovation (CV)],MATCH(CoreValuesResults[[#This Row],[Team Number]],InnovationProjectResults[Team Number],0))</f>
        <v/>
      </c>
      <c r="G144" s="77">
        <f>INDEX(InnovationProjectResults[Communicate - Impact (CV)],MATCH(CoreValuesResults[[#This Row],[Team Number]],InnovationProjectResults[Team Number],0))</f>
        <v/>
      </c>
      <c r="H144" s="77">
        <f>INDEX(InnovationProjectResults[Communicate - Fun (CV)],MATCH(CoreValuesResults[[#This Row],[Team Number]],InnovationProjectResults[Team Number],0))</f>
        <v/>
      </c>
      <c r="I144" s="77">
        <f>INDEX(RobotDesignResults[Identify - Research (CV)],MATCH(CoreValuesResults[[#This Row],[Team Number]],RobotDesignResults[Team Number],0))</f>
        <v/>
      </c>
      <c r="J144" s="77">
        <f>INDEX(RobotDesignResults[Design - Ideas (CV)],MATCH(CoreValuesResults[[#This Row],[Team Number]],RobotDesignResults[Team Number],0))</f>
        <v/>
      </c>
      <c r="K144" s="77">
        <f>INDEX(RobotDesignResults[Iterate - Improvements (CV)],MATCH(CoreValuesResults[[#This Row],[Team Number]],RobotDesignResults[Team Number],0))</f>
        <v/>
      </c>
      <c r="L144" s="77">
        <f>INDEX(RobotDesignResults[Communicate - Impact (CV)],MATCH(CoreValuesResults[[#This Row],[Team Number]],RobotDesignResults[Team Number],0))</f>
        <v/>
      </c>
      <c r="M144" s="77">
        <f>INDEX(RobotDesignResults[Communicate - Fun (CV)],MATCH(CoreValuesResults[[#This Row],[Team Number]],RobotDesignResults[Team Number],0))</f>
        <v/>
      </c>
      <c r="N144" s="86" t="n"/>
      <c r="O144" s="86" t="n"/>
      <c r="P144" s="86" t="n"/>
      <c r="Q144" s="69">
        <f>SUM(CoreValuesResults[[#This Row],[Gracious Professionalism 1]:[Gracious Professionalism 3]])</f>
        <v/>
      </c>
      <c r="R144" s="69">
        <f>SUM(N144:Q144)</f>
        <v/>
      </c>
      <c r="S144" s="83">
        <f>SUM(CoreValuesResults[[#This Row],[Identify - Research (CV-IP)]:[Communicate - Fun (CV-RD)]],CoreValuesResults[[#This Row],[Gracious Professionalism Score]])</f>
        <v/>
      </c>
      <c r="T144" s="73">
        <f>_xlfn.RANK.EQ(CoreValuesResults[[#This Row],[Core Values Score]],CoreValuesResults[Core Values Score],0)</f>
        <v/>
      </c>
    </row>
    <row r="145" ht="21" customHeight="1">
      <c r="A145" s="69" t="n"/>
      <c r="B145" s="69">
        <f>INDEX(OfficialTeamList[Pod Number],MATCH(CoreValuesResults[[#This Row],[Team Number]], OfficialTeamList[Team '#],0))</f>
        <v/>
      </c>
      <c r="C145" s="106">
        <f>INDEX(OfficialTeamList[Team Name],MATCH(CoreValuesResults[[#This Row],[Team Number]], OfficialTeamList[Team '#],0))</f>
        <v/>
      </c>
      <c r="D145" s="77">
        <f>INDEX(InnovationProjectResults[Identify - Research (CV)],MATCH(CoreValuesResults[[#This Row],[Team Number]],InnovationProjectResults[Team Number],0))</f>
        <v/>
      </c>
      <c r="E145" s="77">
        <f>INDEX(InnovationProjectResults[Design - Teamwork (CV)],MATCH(CoreValuesResults[[#This Row],[Team Number]],InnovationProjectResults[Team Number],0))</f>
        <v/>
      </c>
      <c r="F145" s="77">
        <f>INDEX(InnovationProjectResults[Create - Innovation (CV)],MATCH(CoreValuesResults[[#This Row],[Team Number]],InnovationProjectResults[Team Number],0))</f>
        <v/>
      </c>
      <c r="G145" s="77">
        <f>INDEX(InnovationProjectResults[Communicate - Impact (CV)],MATCH(CoreValuesResults[[#This Row],[Team Number]],InnovationProjectResults[Team Number],0))</f>
        <v/>
      </c>
      <c r="H145" s="77">
        <f>INDEX(InnovationProjectResults[Communicate - Fun (CV)],MATCH(CoreValuesResults[[#This Row],[Team Number]],InnovationProjectResults[Team Number],0))</f>
        <v/>
      </c>
      <c r="I145" s="77">
        <f>INDEX(RobotDesignResults[Identify - Research (CV)],MATCH(CoreValuesResults[[#This Row],[Team Number]],RobotDesignResults[Team Number],0))</f>
        <v/>
      </c>
      <c r="J145" s="77">
        <f>INDEX(RobotDesignResults[Design - Ideas (CV)],MATCH(CoreValuesResults[[#This Row],[Team Number]],RobotDesignResults[Team Number],0))</f>
        <v/>
      </c>
      <c r="K145" s="77">
        <f>INDEX(RobotDesignResults[Iterate - Improvements (CV)],MATCH(CoreValuesResults[[#This Row],[Team Number]],RobotDesignResults[Team Number],0))</f>
        <v/>
      </c>
      <c r="L145" s="77">
        <f>INDEX(RobotDesignResults[Communicate - Impact (CV)],MATCH(CoreValuesResults[[#This Row],[Team Number]],RobotDesignResults[Team Number],0))</f>
        <v/>
      </c>
      <c r="M145" s="77">
        <f>INDEX(RobotDesignResults[Communicate - Fun (CV)],MATCH(CoreValuesResults[[#This Row],[Team Number]],RobotDesignResults[Team Number],0))</f>
        <v/>
      </c>
      <c r="N145" s="86" t="n"/>
      <c r="O145" s="86" t="n"/>
      <c r="P145" s="86" t="n"/>
      <c r="Q145" s="69">
        <f>SUM(CoreValuesResults[[#This Row],[Gracious Professionalism 1]:[Gracious Professionalism 3]])</f>
        <v/>
      </c>
      <c r="R145" s="69">
        <f>SUM(N145:Q145)</f>
        <v/>
      </c>
      <c r="S145" s="83">
        <f>SUM(CoreValuesResults[[#This Row],[Identify - Research (CV-IP)]:[Communicate - Fun (CV-RD)]],CoreValuesResults[[#This Row],[Gracious Professionalism Score]])</f>
        <v/>
      </c>
      <c r="T145" s="73">
        <f>_xlfn.RANK.EQ(CoreValuesResults[[#This Row],[Core Values Score]],CoreValuesResults[Core Values Score],0)</f>
        <v/>
      </c>
    </row>
    <row r="146" ht="21" customHeight="1">
      <c r="A146" s="69" t="n"/>
      <c r="B146" s="69">
        <f>INDEX(OfficialTeamList[Pod Number],MATCH(CoreValuesResults[[#This Row],[Team Number]], OfficialTeamList[Team '#],0))</f>
        <v/>
      </c>
      <c r="C146" s="106">
        <f>INDEX(OfficialTeamList[Team Name],MATCH(CoreValuesResults[[#This Row],[Team Number]], OfficialTeamList[Team '#],0))</f>
        <v/>
      </c>
      <c r="D146" s="77">
        <f>INDEX(InnovationProjectResults[Identify - Research (CV)],MATCH(CoreValuesResults[[#This Row],[Team Number]],InnovationProjectResults[Team Number],0))</f>
        <v/>
      </c>
      <c r="E146" s="77">
        <f>INDEX(InnovationProjectResults[Design - Teamwork (CV)],MATCH(CoreValuesResults[[#This Row],[Team Number]],InnovationProjectResults[Team Number],0))</f>
        <v/>
      </c>
      <c r="F146" s="77">
        <f>INDEX(InnovationProjectResults[Create - Innovation (CV)],MATCH(CoreValuesResults[[#This Row],[Team Number]],InnovationProjectResults[Team Number],0))</f>
        <v/>
      </c>
      <c r="G146" s="77">
        <f>INDEX(InnovationProjectResults[Communicate - Impact (CV)],MATCH(CoreValuesResults[[#This Row],[Team Number]],InnovationProjectResults[Team Number],0))</f>
        <v/>
      </c>
      <c r="H146" s="77">
        <f>INDEX(InnovationProjectResults[Communicate - Fun (CV)],MATCH(CoreValuesResults[[#This Row],[Team Number]],InnovationProjectResults[Team Number],0))</f>
        <v/>
      </c>
      <c r="I146" s="77">
        <f>INDEX(RobotDesignResults[Identify - Research (CV)],MATCH(CoreValuesResults[[#This Row],[Team Number]],RobotDesignResults[Team Number],0))</f>
        <v/>
      </c>
      <c r="J146" s="77">
        <f>INDEX(RobotDesignResults[Design - Ideas (CV)],MATCH(CoreValuesResults[[#This Row],[Team Number]],RobotDesignResults[Team Number],0))</f>
        <v/>
      </c>
      <c r="K146" s="77">
        <f>INDEX(RobotDesignResults[Iterate - Improvements (CV)],MATCH(CoreValuesResults[[#This Row],[Team Number]],RobotDesignResults[Team Number],0))</f>
        <v/>
      </c>
      <c r="L146" s="77">
        <f>INDEX(RobotDesignResults[Communicate - Impact (CV)],MATCH(CoreValuesResults[[#This Row],[Team Number]],RobotDesignResults[Team Number],0))</f>
        <v/>
      </c>
      <c r="M146" s="77">
        <f>INDEX(RobotDesignResults[Communicate - Fun (CV)],MATCH(CoreValuesResults[[#This Row],[Team Number]],RobotDesignResults[Team Number],0))</f>
        <v/>
      </c>
      <c r="N146" s="86" t="n"/>
      <c r="O146" s="86" t="n"/>
      <c r="P146" s="86" t="n"/>
      <c r="Q146" s="69">
        <f>SUM(CoreValuesResults[[#This Row],[Gracious Professionalism 1]:[Gracious Professionalism 3]])</f>
        <v/>
      </c>
      <c r="R146" s="69">
        <f>SUM(N146:Q146)</f>
        <v/>
      </c>
      <c r="S146" s="83">
        <f>SUM(CoreValuesResults[[#This Row],[Identify - Research (CV-IP)]:[Communicate - Fun (CV-RD)]],CoreValuesResults[[#This Row],[Gracious Professionalism Score]])</f>
        <v/>
      </c>
      <c r="T146" s="73">
        <f>_xlfn.RANK.EQ(CoreValuesResults[[#This Row],[Core Values Score]],CoreValuesResults[Core Values Score],0)</f>
        <v/>
      </c>
    </row>
    <row r="147" ht="21" customHeight="1">
      <c r="A147" s="69" t="n"/>
      <c r="B147" s="69">
        <f>INDEX(OfficialTeamList[Pod Number],MATCH(CoreValuesResults[[#This Row],[Team Number]], OfficialTeamList[Team '#],0))</f>
        <v/>
      </c>
      <c r="C147" s="106">
        <f>INDEX(OfficialTeamList[Team Name],MATCH(CoreValuesResults[[#This Row],[Team Number]], OfficialTeamList[Team '#],0))</f>
        <v/>
      </c>
      <c r="D147" s="77">
        <f>INDEX(InnovationProjectResults[Identify - Research (CV)],MATCH(CoreValuesResults[[#This Row],[Team Number]],InnovationProjectResults[Team Number],0))</f>
        <v/>
      </c>
      <c r="E147" s="77">
        <f>INDEX(InnovationProjectResults[Design - Teamwork (CV)],MATCH(CoreValuesResults[[#This Row],[Team Number]],InnovationProjectResults[Team Number],0))</f>
        <v/>
      </c>
      <c r="F147" s="77">
        <f>INDEX(InnovationProjectResults[Create - Innovation (CV)],MATCH(CoreValuesResults[[#This Row],[Team Number]],InnovationProjectResults[Team Number],0))</f>
        <v/>
      </c>
      <c r="G147" s="77">
        <f>INDEX(InnovationProjectResults[Communicate - Impact (CV)],MATCH(CoreValuesResults[[#This Row],[Team Number]],InnovationProjectResults[Team Number],0))</f>
        <v/>
      </c>
      <c r="H147" s="77">
        <f>INDEX(InnovationProjectResults[Communicate - Fun (CV)],MATCH(CoreValuesResults[[#This Row],[Team Number]],InnovationProjectResults[Team Number],0))</f>
        <v/>
      </c>
      <c r="I147" s="77">
        <f>INDEX(RobotDesignResults[Identify - Research (CV)],MATCH(CoreValuesResults[[#This Row],[Team Number]],RobotDesignResults[Team Number],0))</f>
        <v/>
      </c>
      <c r="J147" s="77">
        <f>INDEX(RobotDesignResults[Design - Ideas (CV)],MATCH(CoreValuesResults[[#This Row],[Team Number]],RobotDesignResults[Team Number],0))</f>
        <v/>
      </c>
      <c r="K147" s="77">
        <f>INDEX(RobotDesignResults[Iterate - Improvements (CV)],MATCH(CoreValuesResults[[#This Row],[Team Number]],RobotDesignResults[Team Number],0))</f>
        <v/>
      </c>
      <c r="L147" s="77">
        <f>INDEX(RobotDesignResults[Communicate - Impact (CV)],MATCH(CoreValuesResults[[#This Row],[Team Number]],RobotDesignResults[Team Number],0))</f>
        <v/>
      </c>
      <c r="M147" s="77">
        <f>INDEX(RobotDesignResults[Communicate - Fun (CV)],MATCH(CoreValuesResults[[#This Row],[Team Number]],RobotDesignResults[Team Number],0))</f>
        <v/>
      </c>
      <c r="N147" s="86" t="n"/>
      <c r="O147" s="86" t="n"/>
      <c r="P147" s="86" t="n"/>
      <c r="Q147" s="69">
        <f>SUM(CoreValuesResults[[#This Row],[Gracious Professionalism 1]:[Gracious Professionalism 3]])</f>
        <v/>
      </c>
      <c r="R147" s="69">
        <f>SUM(N147:Q147)</f>
        <v/>
      </c>
      <c r="S147" s="83">
        <f>SUM(CoreValuesResults[[#This Row],[Identify - Research (CV-IP)]:[Communicate - Fun (CV-RD)]],CoreValuesResults[[#This Row],[Gracious Professionalism Score]])</f>
        <v/>
      </c>
      <c r="T147" s="73">
        <f>_xlfn.RANK.EQ(CoreValuesResults[[#This Row],[Core Values Score]],CoreValuesResults[Core Values Score],0)</f>
        <v/>
      </c>
    </row>
    <row r="148" ht="21" customHeight="1">
      <c r="A148" s="69" t="n"/>
      <c r="B148" s="69">
        <f>INDEX(OfficialTeamList[Pod Number],MATCH(CoreValuesResults[[#This Row],[Team Number]], OfficialTeamList[Team '#],0))</f>
        <v/>
      </c>
      <c r="C148" s="106">
        <f>INDEX(OfficialTeamList[Team Name],MATCH(CoreValuesResults[[#This Row],[Team Number]], OfficialTeamList[Team '#],0))</f>
        <v/>
      </c>
      <c r="D148" s="77">
        <f>INDEX(InnovationProjectResults[Identify - Research (CV)],MATCH(CoreValuesResults[[#This Row],[Team Number]],InnovationProjectResults[Team Number],0))</f>
        <v/>
      </c>
      <c r="E148" s="77">
        <f>INDEX(InnovationProjectResults[Design - Teamwork (CV)],MATCH(CoreValuesResults[[#This Row],[Team Number]],InnovationProjectResults[Team Number],0))</f>
        <v/>
      </c>
      <c r="F148" s="77">
        <f>INDEX(InnovationProjectResults[Create - Innovation (CV)],MATCH(CoreValuesResults[[#This Row],[Team Number]],InnovationProjectResults[Team Number],0))</f>
        <v/>
      </c>
      <c r="G148" s="77">
        <f>INDEX(InnovationProjectResults[Communicate - Impact (CV)],MATCH(CoreValuesResults[[#This Row],[Team Number]],InnovationProjectResults[Team Number],0))</f>
        <v/>
      </c>
      <c r="H148" s="77">
        <f>INDEX(InnovationProjectResults[Communicate - Fun (CV)],MATCH(CoreValuesResults[[#This Row],[Team Number]],InnovationProjectResults[Team Number],0))</f>
        <v/>
      </c>
      <c r="I148" s="77">
        <f>INDEX(RobotDesignResults[Identify - Research (CV)],MATCH(CoreValuesResults[[#This Row],[Team Number]],RobotDesignResults[Team Number],0))</f>
        <v/>
      </c>
      <c r="J148" s="77">
        <f>INDEX(RobotDesignResults[Design - Ideas (CV)],MATCH(CoreValuesResults[[#This Row],[Team Number]],RobotDesignResults[Team Number],0))</f>
        <v/>
      </c>
      <c r="K148" s="77">
        <f>INDEX(RobotDesignResults[Iterate - Improvements (CV)],MATCH(CoreValuesResults[[#This Row],[Team Number]],RobotDesignResults[Team Number],0))</f>
        <v/>
      </c>
      <c r="L148" s="77">
        <f>INDEX(RobotDesignResults[Communicate - Impact (CV)],MATCH(CoreValuesResults[[#This Row],[Team Number]],RobotDesignResults[Team Number],0))</f>
        <v/>
      </c>
      <c r="M148" s="77">
        <f>INDEX(RobotDesignResults[Communicate - Fun (CV)],MATCH(CoreValuesResults[[#This Row],[Team Number]],RobotDesignResults[Team Number],0))</f>
        <v/>
      </c>
      <c r="N148" s="86" t="n"/>
      <c r="O148" s="86" t="n"/>
      <c r="P148" s="86" t="n"/>
      <c r="Q148" s="69">
        <f>SUM(CoreValuesResults[[#This Row],[Gracious Professionalism 1]:[Gracious Professionalism 3]])</f>
        <v/>
      </c>
      <c r="R148" s="69">
        <f>SUM(N148:Q148)</f>
        <v/>
      </c>
      <c r="S148" s="83">
        <f>SUM(CoreValuesResults[[#This Row],[Identify - Research (CV-IP)]:[Communicate - Fun (CV-RD)]],CoreValuesResults[[#This Row],[Gracious Professionalism Score]])</f>
        <v/>
      </c>
      <c r="T148" s="73">
        <f>_xlfn.RANK.EQ(CoreValuesResults[[#This Row],[Core Values Score]],CoreValuesResults[Core Values Score],0)</f>
        <v/>
      </c>
    </row>
    <row r="149" ht="21" customHeight="1">
      <c r="A149" s="69" t="n"/>
      <c r="B149" s="69">
        <f>INDEX(OfficialTeamList[Pod Number],MATCH(CoreValuesResults[[#This Row],[Team Number]], OfficialTeamList[Team '#],0))</f>
        <v/>
      </c>
      <c r="C149" s="106">
        <f>INDEX(OfficialTeamList[Team Name],MATCH(CoreValuesResults[[#This Row],[Team Number]], OfficialTeamList[Team '#],0))</f>
        <v/>
      </c>
      <c r="D149" s="77">
        <f>INDEX(InnovationProjectResults[Identify - Research (CV)],MATCH(CoreValuesResults[[#This Row],[Team Number]],InnovationProjectResults[Team Number],0))</f>
        <v/>
      </c>
      <c r="E149" s="77">
        <f>INDEX(InnovationProjectResults[Design - Teamwork (CV)],MATCH(CoreValuesResults[[#This Row],[Team Number]],InnovationProjectResults[Team Number],0))</f>
        <v/>
      </c>
      <c r="F149" s="77">
        <f>INDEX(InnovationProjectResults[Create - Innovation (CV)],MATCH(CoreValuesResults[[#This Row],[Team Number]],InnovationProjectResults[Team Number],0))</f>
        <v/>
      </c>
      <c r="G149" s="77">
        <f>INDEX(InnovationProjectResults[Communicate - Impact (CV)],MATCH(CoreValuesResults[[#This Row],[Team Number]],InnovationProjectResults[Team Number],0))</f>
        <v/>
      </c>
      <c r="H149" s="77">
        <f>INDEX(InnovationProjectResults[Communicate - Fun (CV)],MATCH(CoreValuesResults[[#This Row],[Team Number]],InnovationProjectResults[Team Number],0))</f>
        <v/>
      </c>
      <c r="I149" s="77">
        <f>INDEX(RobotDesignResults[Identify - Research (CV)],MATCH(CoreValuesResults[[#This Row],[Team Number]],RobotDesignResults[Team Number],0))</f>
        <v/>
      </c>
      <c r="J149" s="77">
        <f>INDEX(RobotDesignResults[Design - Ideas (CV)],MATCH(CoreValuesResults[[#This Row],[Team Number]],RobotDesignResults[Team Number],0))</f>
        <v/>
      </c>
      <c r="K149" s="77">
        <f>INDEX(RobotDesignResults[Iterate - Improvements (CV)],MATCH(CoreValuesResults[[#This Row],[Team Number]],RobotDesignResults[Team Number],0))</f>
        <v/>
      </c>
      <c r="L149" s="77">
        <f>INDEX(RobotDesignResults[Communicate - Impact (CV)],MATCH(CoreValuesResults[[#This Row],[Team Number]],RobotDesignResults[Team Number],0))</f>
        <v/>
      </c>
      <c r="M149" s="77">
        <f>INDEX(RobotDesignResults[Communicate - Fun (CV)],MATCH(CoreValuesResults[[#This Row],[Team Number]],RobotDesignResults[Team Number],0))</f>
        <v/>
      </c>
      <c r="N149" s="86" t="n"/>
      <c r="O149" s="86" t="n"/>
      <c r="P149" s="86" t="n"/>
      <c r="Q149" s="69">
        <f>SUM(CoreValuesResults[[#This Row],[Gracious Professionalism 1]:[Gracious Professionalism 3]])</f>
        <v/>
      </c>
      <c r="R149" s="69">
        <f>SUM(N149:Q149)</f>
        <v/>
      </c>
      <c r="S149" s="83">
        <f>SUM(CoreValuesResults[[#This Row],[Identify - Research (CV-IP)]:[Communicate - Fun (CV-RD)]],CoreValuesResults[[#This Row],[Gracious Professionalism Score]])</f>
        <v/>
      </c>
      <c r="T149" s="73">
        <f>_xlfn.RANK.EQ(CoreValuesResults[[#This Row],[Core Values Score]],CoreValuesResults[Core Values Score],0)</f>
        <v/>
      </c>
    </row>
    <row r="150" ht="21" customHeight="1">
      <c r="A150" s="69" t="n"/>
      <c r="B150" s="69">
        <f>INDEX(OfficialTeamList[Pod Number],MATCH(CoreValuesResults[[#This Row],[Team Number]], OfficialTeamList[Team '#],0))</f>
        <v/>
      </c>
      <c r="C150" s="106">
        <f>INDEX(OfficialTeamList[Team Name],MATCH(CoreValuesResults[[#This Row],[Team Number]], OfficialTeamList[Team '#],0))</f>
        <v/>
      </c>
      <c r="D150" s="77">
        <f>INDEX(InnovationProjectResults[Identify - Research (CV)],MATCH(CoreValuesResults[[#This Row],[Team Number]],InnovationProjectResults[Team Number],0))</f>
        <v/>
      </c>
      <c r="E150" s="77">
        <f>INDEX(InnovationProjectResults[Design - Teamwork (CV)],MATCH(CoreValuesResults[[#This Row],[Team Number]],InnovationProjectResults[Team Number],0))</f>
        <v/>
      </c>
      <c r="F150" s="77">
        <f>INDEX(InnovationProjectResults[Create - Innovation (CV)],MATCH(CoreValuesResults[[#This Row],[Team Number]],InnovationProjectResults[Team Number],0))</f>
        <v/>
      </c>
      <c r="G150" s="77">
        <f>INDEX(InnovationProjectResults[Communicate - Impact (CV)],MATCH(CoreValuesResults[[#This Row],[Team Number]],InnovationProjectResults[Team Number],0))</f>
        <v/>
      </c>
      <c r="H150" s="77">
        <f>INDEX(InnovationProjectResults[Communicate - Fun (CV)],MATCH(CoreValuesResults[[#This Row],[Team Number]],InnovationProjectResults[Team Number],0))</f>
        <v/>
      </c>
      <c r="I150" s="77">
        <f>INDEX(RobotDesignResults[Identify - Research (CV)],MATCH(CoreValuesResults[[#This Row],[Team Number]],RobotDesignResults[Team Number],0))</f>
        <v/>
      </c>
      <c r="J150" s="77">
        <f>INDEX(RobotDesignResults[Design - Ideas (CV)],MATCH(CoreValuesResults[[#This Row],[Team Number]],RobotDesignResults[Team Number],0))</f>
        <v/>
      </c>
      <c r="K150" s="77">
        <f>INDEX(RobotDesignResults[Iterate - Improvements (CV)],MATCH(CoreValuesResults[[#This Row],[Team Number]],RobotDesignResults[Team Number],0))</f>
        <v/>
      </c>
      <c r="L150" s="77">
        <f>INDEX(RobotDesignResults[Communicate - Impact (CV)],MATCH(CoreValuesResults[[#This Row],[Team Number]],RobotDesignResults[Team Number],0))</f>
        <v/>
      </c>
      <c r="M150" s="77">
        <f>INDEX(RobotDesignResults[Communicate - Fun (CV)],MATCH(CoreValuesResults[[#This Row],[Team Number]],RobotDesignResults[Team Number],0))</f>
        <v/>
      </c>
      <c r="N150" s="86" t="n"/>
      <c r="O150" s="86" t="n"/>
      <c r="P150" s="86" t="n"/>
      <c r="Q150" s="69">
        <f>SUM(CoreValuesResults[[#This Row],[Gracious Professionalism 1]:[Gracious Professionalism 3]])</f>
        <v/>
      </c>
      <c r="R150" s="69">
        <f>SUM(N150:Q150)</f>
        <v/>
      </c>
      <c r="S150" s="83">
        <f>SUM(CoreValuesResults[[#This Row],[Identify - Research (CV-IP)]:[Communicate - Fun (CV-RD)]],CoreValuesResults[[#This Row],[Gracious Professionalism Score]])</f>
        <v/>
      </c>
      <c r="T150" s="73">
        <f>_xlfn.RANK.EQ(CoreValuesResults[[#This Row],[Core Values Score]],CoreValuesResults[Core Values Score],0)</f>
        <v/>
      </c>
    </row>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sheetData>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outlineLevelCol="0"/>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2025-12-17T02:27:56Z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