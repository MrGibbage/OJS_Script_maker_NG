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5-all\"/>
    </mc:Choice>
  </mc:AlternateContent>
  <xr:revisionPtr revIDLastSave="0" documentId="13_ncr:1_{102D49DC-3BE2-4EF6-BC4E-99842F0E8789}" xr6:coauthVersionLast="47" xr6:coauthVersionMax="47" xr10:uidLastSave="{00000000-0000-0000-0000-000000000000}"/>
  <bookViews>
    <workbookView xWindow="3855" yWindow="3855" windowWidth="28800" windowHeight="15345" tabRatio="879" firstSheet="6" activeTab="7" xr2:uid="{00000000-000D-0000-FFFF-FFFF00000000}"/>
  </bookViews>
  <sheets>
    <sheet name="Instructions" sheetId="1" r:id="rId1"/>
    <sheet name="Team and Program Information" sheetId="2" r:id="rId2"/>
    <sheet name="Data Validation" sheetId="3" state="hidden" r:id="rId3"/>
    <sheet name="Meta" sheetId="4" state="hidden" r:id="rId4"/>
    <sheet name="AwardListDropdowns" sheetId="5" state="hidden" r:id="rId5"/>
    <sheet name="AwardDef" sheetId="6" state="hidden" r:id="rId6"/>
    <sheet name="Pod Analysis" sheetId="7" r:id="rId7"/>
    <sheet name="Results and Rankings" sheetId="8" r:id="rId8"/>
    <sheet name="Robot Game Scores" sheetId="9" r:id="rId9"/>
    <sheet name="Innovation Project Input" sheetId="10" r:id="rId10"/>
    <sheet name="Robot Design Input" sheetId="11" r:id="rId11"/>
    <sheet name="Core Values Input" sheetId="12" r:id="rId12"/>
    <sheet name="GP Scores" sheetId="13" state="hidden" r:id="rId13"/>
    <sheet name="Area Deliberations" sheetId="14" state="hidden" r:id="rId14"/>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GPScores">'GP Scores'!$A:$C</definedName>
    <definedName name="_xlnm.Print_Area" localSheetId="0">Instructions!$B$1:$D$24</definedName>
    <definedName name="_xlnm.Print_Titles" localSheetId="7">'Results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4" i="14" l="1"/>
  <c r="M54" i="14"/>
  <c r="I54" i="14"/>
  <c r="H54" i="14"/>
  <c r="D54" i="14"/>
  <c r="C54" i="14"/>
  <c r="N53" i="14"/>
  <c r="M53" i="14"/>
  <c r="I53" i="14"/>
  <c r="H53" i="14"/>
  <c r="D53" i="14"/>
  <c r="C53" i="14"/>
  <c r="N52" i="14"/>
  <c r="M52" i="14"/>
  <c r="I52" i="14"/>
  <c r="H52" i="14"/>
  <c r="D52" i="14"/>
  <c r="C52" i="14"/>
  <c r="N51" i="14"/>
  <c r="M51" i="14"/>
  <c r="I51" i="14"/>
  <c r="H51" i="14"/>
  <c r="D51" i="14"/>
  <c r="C51" i="14"/>
  <c r="N50" i="14"/>
  <c r="M50" i="14"/>
  <c r="I50" i="14"/>
  <c r="H50" i="14"/>
  <c r="D50" i="14"/>
  <c r="C50" i="14"/>
  <c r="N49" i="14"/>
  <c r="M49" i="14"/>
  <c r="I49" i="14"/>
  <c r="H49" i="14"/>
  <c r="D49" i="14"/>
  <c r="C49" i="14"/>
  <c r="N48" i="14"/>
  <c r="M48" i="14"/>
  <c r="I48" i="14"/>
  <c r="H48" i="14"/>
  <c r="D48" i="14"/>
  <c r="C48" i="14"/>
  <c r="N47" i="14"/>
  <c r="M47" i="14"/>
  <c r="I47" i="14"/>
  <c r="H47" i="14"/>
  <c r="D47" i="14"/>
  <c r="C47" i="14"/>
  <c r="N46" i="14"/>
  <c r="M46" i="14"/>
  <c r="I46" i="14"/>
  <c r="H46" i="14"/>
  <c r="D46" i="14"/>
  <c r="C46" i="14"/>
  <c r="N45" i="14"/>
  <c r="M45" i="14"/>
  <c r="I45" i="14"/>
  <c r="H45" i="14"/>
  <c r="D45" i="14"/>
  <c r="C45" i="14"/>
  <c r="N44" i="14"/>
  <c r="M44" i="14"/>
  <c r="I44" i="14"/>
  <c r="H44" i="14"/>
  <c r="D44" i="14"/>
  <c r="C44" i="14"/>
  <c r="N43" i="14"/>
  <c r="M43" i="14"/>
  <c r="I43" i="14"/>
  <c r="H43" i="14"/>
  <c r="D43" i="14"/>
  <c r="C43" i="14"/>
  <c r="N42" i="14"/>
  <c r="M42" i="14"/>
  <c r="I42" i="14"/>
  <c r="H42" i="14"/>
  <c r="D42" i="14"/>
  <c r="C42" i="14"/>
  <c r="N41" i="14"/>
  <c r="M41" i="14"/>
  <c r="I41" i="14"/>
  <c r="H41" i="14"/>
  <c r="D41" i="14"/>
  <c r="C41" i="14"/>
  <c r="N40" i="14"/>
  <c r="M40" i="14"/>
  <c r="I40" i="14"/>
  <c r="H40" i="14"/>
  <c r="D40" i="14"/>
  <c r="C40" i="14"/>
  <c r="N36" i="14"/>
  <c r="M36" i="14"/>
  <c r="I36" i="14"/>
  <c r="H36" i="14"/>
  <c r="D36" i="14"/>
  <c r="C36" i="14"/>
  <c r="N35" i="14"/>
  <c r="M35" i="14"/>
  <c r="I35" i="14"/>
  <c r="H35" i="14"/>
  <c r="D35" i="14"/>
  <c r="C35" i="14"/>
  <c r="N34" i="14"/>
  <c r="M34" i="14"/>
  <c r="I34" i="14"/>
  <c r="H34" i="14"/>
  <c r="D34" i="14"/>
  <c r="C34" i="14"/>
  <c r="N33" i="14"/>
  <c r="M33" i="14"/>
  <c r="I33" i="14"/>
  <c r="H33" i="14"/>
  <c r="D33" i="14"/>
  <c r="C33" i="14"/>
  <c r="N32" i="14"/>
  <c r="M32" i="14"/>
  <c r="I32" i="14"/>
  <c r="H32" i="14"/>
  <c r="D32" i="14"/>
  <c r="C32" i="14"/>
  <c r="N31" i="14"/>
  <c r="M31" i="14"/>
  <c r="I31" i="14"/>
  <c r="H31" i="14"/>
  <c r="D31" i="14"/>
  <c r="C31" i="14"/>
  <c r="N30" i="14"/>
  <c r="M30" i="14"/>
  <c r="I30" i="14"/>
  <c r="H30" i="14"/>
  <c r="D30" i="14"/>
  <c r="C30" i="14"/>
  <c r="N29" i="14"/>
  <c r="M29" i="14"/>
  <c r="I29" i="14"/>
  <c r="H29" i="14"/>
  <c r="D29" i="14"/>
  <c r="C29" i="14"/>
  <c r="N28" i="14"/>
  <c r="M28" i="14"/>
  <c r="I28" i="14"/>
  <c r="H28" i="14"/>
  <c r="D28" i="14"/>
  <c r="C28" i="14"/>
  <c r="N27" i="14"/>
  <c r="M27" i="14"/>
  <c r="I27" i="14"/>
  <c r="H27" i="14"/>
  <c r="D27" i="14"/>
  <c r="C27" i="14"/>
  <c r="N26" i="14"/>
  <c r="M26" i="14"/>
  <c r="I26" i="14"/>
  <c r="H26" i="14"/>
  <c r="D26" i="14"/>
  <c r="C26" i="14"/>
  <c r="N25" i="14"/>
  <c r="M25" i="14"/>
  <c r="I25" i="14"/>
  <c r="H25" i="14"/>
  <c r="D25" i="14"/>
  <c r="C25" i="14"/>
  <c r="N24" i="14"/>
  <c r="M24" i="14"/>
  <c r="I24" i="14"/>
  <c r="H24" i="14"/>
  <c r="D24" i="14"/>
  <c r="C24" i="14"/>
  <c r="N23" i="14"/>
  <c r="M23" i="14"/>
  <c r="I23" i="14"/>
  <c r="H23" i="14"/>
  <c r="D23" i="14"/>
  <c r="C23" i="14"/>
  <c r="N22" i="14"/>
  <c r="M22" i="14"/>
  <c r="I22" i="14"/>
  <c r="H22" i="14"/>
  <c r="D22" i="14"/>
  <c r="C22" i="14"/>
  <c r="I18" i="14"/>
  <c r="H18" i="14"/>
  <c r="D18" i="14"/>
  <c r="C18" i="14"/>
  <c r="I17" i="14"/>
  <c r="H17" i="14"/>
  <c r="D17" i="14"/>
  <c r="C17" i="14"/>
  <c r="I16" i="14"/>
  <c r="H16" i="14"/>
  <c r="D16" i="14"/>
  <c r="C16" i="14"/>
  <c r="I15" i="14"/>
  <c r="H15" i="14"/>
  <c r="D15" i="14"/>
  <c r="C15" i="14"/>
  <c r="I14" i="14"/>
  <c r="H14" i="14"/>
  <c r="D14" i="14"/>
  <c r="C14" i="14"/>
  <c r="I13" i="14"/>
  <c r="H13" i="14"/>
  <c r="D13" i="14"/>
  <c r="C13" i="14"/>
  <c r="I12" i="14"/>
  <c r="H12" i="14"/>
  <c r="D12" i="14"/>
  <c r="C12" i="14"/>
  <c r="I11" i="14"/>
  <c r="H11" i="14"/>
  <c r="D11" i="14"/>
  <c r="C11" i="14"/>
  <c r="I10" i="14"/>
  <c r="H10" i="14"/>
  <c r="D10" i="14"/>
  <c r="C10" i="14"/>
  <c r="I9" i="14"/>
  <c r="H9" i="14"/>
  <c r="D9" i="14"/>
  <c r="C9" i="14"/>
  <c r="I8" i="14"/>
  <c r="H8" i="14"/>
  <c r="D8" i="14"/>
  <c r="C8" i="14"/>
  <c r="I7" i="14"/>
  <c r="H7" i="14"/>
  <c r="D7" i="14"/>
  <c r="C7" i="14"/>
  <c r="I6" i="14"/>
  <c r="H6" i="14"/>
  <c r="D6" i="14"/>
  <c r="C6" i="14"/>
  <c r="I5" i="14"/>
  <c r="H5" i="14"/>
  <c r="D5" i="14"/>
  <c r="C5" i="14"/>
  <c r="I4" i="14"/>
  <c r="H4" i="14"/>
  <c r="D4" i="14"/>
  <c r="C4" i="14"/>
  <c r="Q6" i="12"/>
  <c r="M6" i="12"/>
  <c r="L6" i="12"/>
  <c r="K6" i="12"/>
  <c r="J6" i="12"/>
  <c r="I6" i="12"/>
  <c r="H6" i="12"/>
  <c r="G6" i="12"/>
  <c r="F6" i="12"/>
  <c r="E6" i="12"/>
  <c r="D6" i="12"/>
  <c r="C6" i="12"/>
  <c r="B6" i="12"/>
  <c r="Q5" i="12"/>
  <c r="M5" i="12"/>
  <c r="L5" i="12"/>
  <c r="K5" i="12"/>
  <c r="J5" i="12"/>
  <c r="I5" i="12"/>
  <c r="H5" i="12"/>
  <c r="G5" i="12"/>
  <c r="F5" i="12"/>
  <c r="E5" i="12"/>
  <c r="D5" i="12"/>
  <c r="C5" i="12"/>
  <c r="B5" i="12"/>
  <c r="Q4" i="12"/>
  <c r="M4" i="12"/>
  <c r="L4" i="12"/>
  <c r="K4" i="12"/>
  <c r="J4" i="12"/>
  <c r="I4" i="12"/>
  <c r="H4" i="12"/>
  <c r="G4" i="12"/>
  <c r="F4" i="12"/>
  <c r="E4" i="12"/>
  <c r="D4" i="12"/>
  <c r="C4" i="12"/>
  <c r="B4" i="12"/>
  <c r="Q3" i="12"/>
  <c r="M3" i="12"/>
  <c r="L3" i="12"/>
  <c r="K3" i="12"/>
  <c r="J3" i="12"/>
  <c r="I3" i="12"/>
  <c r="H3" i="12"/>
  <c r="G3" i="12"/>
  <c r="F3" i="12"/>
  <c r="E3" i="12"/>
  <c r="D3" i="12"/>
  <c r="C3" i="12"/>
  <c r="B3" i="12"/>
  <c r="Q2" i="12"/>
  <c r="R2" i="12" s="1"/>
  <c r="M2" i="12"/>
  <c r="L2" i="12"/>
  <c r="K2" i="12"/>
  <c r="J2" i="12"/>
  <c r="I2" i="12"/>
  <c r="H2" i="12"/>
  <c r="G2" i="12"/>
  <c r="F2" i="12"/>
  <c r="E2" i="12"/>
  <c r="D2" i="12"/>
  <c r="C2" i="12"/>
  <c r="B2" i="12"/>
  <c r="F33" i="7" s="1"/>
  <c r="N6" i="11"/>
  <c r="T7" i="8" s="1"/>
  <c r="C6" i="11"/>
  <c r="B6" i="11"/>
  <c r="N5" i="11"/>
  <c r="O5" i="11" s="1"/>
  <c r="M6" i="8" s="1"/>
  <c r="C5" i="11"/>
  <c r="B5" i="11"/>
  <c r="N4" i="11"/>
  <c r="T5" i="8" s="1"/>
  <c r="C4" i="11"/>
  <c r="B4" i="11"/>
  <c r="E39" i="7" s="1"/>
  <c r="N3" i="11"/>
  <c r="O3" i="11" s="1"/>
  <c r="M4" i="8" s="1"/>
  <c r="C3" i="11"/>
  <c r="B3" i="11"/>
  <c r="N2" i="11"/>
  <c r="O2" i="11" s="1"/>
  <c r="M3" i="8" s="1"/>
  <c r="C2" i="11"/>
  <c r="B2" i="11"/>
  <c r="E40" i="7" s="1"/>
  <c r="N6" i="10"/>
  <c r="O6" i="10" s="1"/>
  <c r="L7" i="8" s="1"/>
  <c r="C6" i="10"/>
  <c r="B6" i="10"/>
  <c r="N5" i="10"/>
  <c r="O5" i="10" s="1"/>
  <c r="L6" i="8" s="1"/>
  <c r="C5" i="10"/>
  <c r="B5" i="10"/>
  <c r="N4" i="10"/>
  <c r="O4" i="10" s="1"/>
  <c r="L5" i="8" s="1"/>
  <c r="C4" i="10"/>
  <c r="B4" i="10"/>
  <c r="N3" i="10"/>
  <c r="O3" i="10" s="1"/>
  <c r="L4" i="8" s="1"/>
  <c r="C3" i="10"/>
  <c r="B3" i="10"/>
  <c r="D40" i="7" s="1"/>
  <c r="N2" i="10"/>
  <c r="O2" i="10" s="1"/>
  <c r="L3" i="8" s="1"/>
  <c r="C2" i="10"/>
  <c r="B2" i="10"/>
  <c r="F6" i="9"/>
  <c r="B6" i="9"/>
  <c r="F5" i="9"/>
  <c r="B5" i="9"/>
  <c r="F4" i="9"/>
  <c r="B4" i="9"/>
  <c r="F3" i="9"/>
  <c r="B3" i="9"/>
  <c r="F2" i="9"/>
  <c r="B2" i="9"/>
  <c r="S7" i="8"/>
  <c r="I7" i="8"/>
  <c r="H7" i="8"/>
  <c r="G7" i="8"/>
  <c r="F7" i="8"/>
  <c r="E7" i="8"/>
  <c r="D7" i="8"/>
  <c r="C7" i="8"/>
  <c r="B7" i="8"/>
  <c r="T6" i="8"/>
  <c r="H6" i="8"/>
  <c r="G6" i="8"/>
  <c r="F6" i="8"/>
  <c r="E6" i="8"/>
  <c r="D6" i="8"/>
  <c r="I6" i="8" s="1"/>
  <c r="C6" i="8"/>
  <c r="B6" i="8"/>
  <c r="S5" i="8"/>
  <c r="H5" i="8"/>
  <c r="G5" i="8"/>
  <c r="F5" i="8"/>
  <c r="E5" i="8"/>
  <c r="D5" i="8"/>
  <c r="I5" i="8" s="1"/>
  <c r="C5" i="8"/>
  <c r="B5" i="8"/>
  <c r="T4" i="8"/>
  <c r="S4" i="8"/>
  <c r="H4" i="8"/>
  <c r="G4" i="8"/>
  <c r="F4" i="8"/>
  <c r="I4" i="8" s="1"/>
  <c r="E4" i="8"/>
  <c r="D4" i="8"/>
  <c r="C4" i="8"/>
  <c r="B4" i="8"/>
  <c r="T3" i="8"/>
  <c r="H3" i="8"/>
  <c r="G3" i="8"/>
  <c r="F3" i="8"/>
  <c r="E3" i="8"/>
  <c r="D3" i="8"/>
  <c r="I3" i="8" s="1"/>
  <c r="C3" i="8"/>
  <c r="B3" i="8"/>
  <c r="C24" i="7" s="1"/>
  <c r="W1" i="8"/>
  <c r="Q1" i="8"/>
  <c r="F38" i="7"/>
  <c r="E38" i="7"/>
  <c r="D38" i="7"/>
  <c r="F35" i="7"/>
  <c r="E35" i="7"/>
  <c r="D35" i="7"/>
  <c r="F32" i="7"/>
  <c r="E32" i="7"/>
  <c r="D32" i="7"/>
  <c r="F29" i="7"/>
  <c r="E29" i="7"/>
  <c r="D29" i="7"/>
  <c r="F26" i="7"/>
  <c r="E26" i="7"/>
  <c r="D26" i="7"/>
  <c r="F23" i="7"/>
  <c r="E23" i="7"/>
  <c r="D23" i="7"/>
  <c r="F20" i="7"/>
  <c r="E20" i="7"/>
  <c r="D20" i="7"/>
  <c r="F17" i="7"/>
  <c r="E17" i="7"/>
  <c r="D17" i="7"/>
  <c r="F14" i="7"/>
  <c r="E14" i="7"/>
  <c r="D14" i="7"/>
  <c r="F11" i="7"/>
  <c r="E11" i="7"/>
  <c r="D11" i="7"/>
  <c r="F8" i="7"/>
  <c r="E8" i="7"/>
  <c r="D8" i="7"/>
  <c r="F5" i="7"/>
  <c r="E5" i="7"/>
  <c r="D5" i="7"/>
  <c r="F2" i="7"/>
  <c r="E2" i="7"/>
  <c r="D2" i="7"/>
  <c r="H1" i="2"/>
  <c r="F1" i="2"/>
  <c r="J7" i="8" l="1"/>
  <c r="J5" i="8"/>
  <c r="J6" i="8"/>
  <c r="S2" i="12"/>
  <c r="J4" i="8"/>
  <c r="J3" i="8"/>
  <c r="C9" i="7"/>
  <c r="C27" i="7"/>
  <c r="E6" i="7"/>
  <c r="E18" i="7"/>
  <c r="E33" i="7"/>
  <c r="F3" i="7"/>
  <c r="F24" i="7"/>
  <c r="F4" i="7"/>
  <c r="F7" i="7"/>
  <c r="F10" i="7"/>
  <c r="F13" i="7"/>
  <c r="F16" i="7"/>
  <c r="F19" i="7"/>
  <c r="F22" i="7"/>
  <c r="F25" i="7"/>
  <c r="F28" i="7"/>
  <c r="F31" i="7"/>
  <c r="F34" i="7"/>
  <c r="F37" i="7"/>
  <c r="F40" i="7"/>
  <c r="S6" i="8"/>
  <c r="C3" i="7"/>
  <c r="C15" i="7"/>
  <c r="C18" i="7"/>
  <c r="C33" i="7"/>
  <c r="E9" i="7"/>
  <c r="E21" i="7"/>
  <c r="E30" i="7"/>
  <c r="F12" i="7"/>
  <c r="F27" i="7"/>
  <c r="C2" i="7"/>
  <c r="C5" i="7"/>
  <c r="C8" i="7"/>
  <c r="C11" i="7"/>
  <c r="C14" i="7"/>
  <c r="C17" i="7"/>
  <c r="C20" i="7"/>
  <c r="C23" i="7"/>
  <c r="C26" i="7"/>
  <c r="C29" i="7"/>
  <c r="C32" i="7"/>
  <c r="C35" i="7"/>
  <c r="C38" i="7"/>
  <c r="R4" i="12"/>
  <c r="S4" i="12" s="1"/>
  <c r="D3" i="7"/>
  <c r="D6" i="7"/>
  <c r="D9" i="7"/>
  <c r="D12" i="7"/>
  <c r="D15" i="7"/>
  <c r="D18" i="7"/>
  <c r="D21" i="7"/>
  <c r="D24" i="7"/>
  <c r="D27" i="7"/>
  <c r="D30" i="7"/>
  <c r="D33" i="7"/>
  <c r="D36" i="7"/>
  <c r="D39" i="7"/>
  <c r="S3" i="8"/>
  <c r="O4" i="11"/>
  <c r="M5" i="8" s="1"/>
  <c r="C12" i="7"/>
  <c r="C21" i="7"/>
  <c r="C30" i="7"/>
  <c r="C36" i="7"/>
  <c r="C39" i="7"/>
  <c r="E15" i="7"/>
  <c r="F9" i="7"/>
  <c r="F36" i="7"/>
  <c r="O6" i="11"/>
  <c r="M7" i="8" s="1"/>
  <c r="R5" i="12"/>
  <c r="S5" i="12" s="1"/>
  <c r="F6" i="7"/>
  <c r="F21" i="7"/>
  <c r="F30" i="7"/>
  <c r="F39" i="7"/>
  <c r="C4" i="7"/>
  <c r="C7" i="7"/>
  <c r="C10" i="7"/>
  <c r="C13" i="7"/>
  <c r="C16" i="7"/>
  <c r="C19" i="7"/>
  <c r="C22" i="7"/>
  <c r="C25" i="7"/>
  <c r="C28" i="7"/>
  <c r="C31" i="7"/>
  <c r="C34" i="7"/>
  <c r="C37" i="7"/>
  <c r="C40" i="7"/>
  <c r="R3" i="12"/>
  <c r="S3" i="12" s="1"/>
  <c r="R6" i="12"/>
  <c r="S6" i="12" s="1"/>
  <c r="E3" i="7"/>
  <c r="E12" i="7"/>
  <c r="E24" i="7"/>
  <c r="E27" i="7"/>
  <c r="E36" i="7"/>
  <c r="F18" i="7"/>
  <c r="D4" i="7"/>
  <c r="D13" i="7"/>
  <c r="D22" i="7"/>
  <c r="D31" i="7"/>
  <c r="D37" i="7"/>
  <c r="C6" i="7"/>
  <c r="F15" i="7"/>
  <c r="D7" i="7"/>
  <c r="D10" i="7"/>
  <c r="D16" i="7"/>
  <c r="D19" i="7"/>
  <c r="D25" i="7"/>
  <c r="D28" i="7"/>
  <c r="D34" i="7"/>
  <c r="E4" i="7"/>
  <c r="E7" i="7"/>
  <c r="E10" i="7"/>
  <c r="E13" i="7"/>
  <c r="E16" i="7"/>
  <c r="E19" i="7"/>
  <c r="E22" i="7"/>
  <c r="E25" i="7"/>
  <c r="E28" i="7"/>
  <c r="E31" i="7"/>
  <c r="E34" i="7"/>
  <c r="E37" i="7"/>
  <c r="T3" i="12" l="1"/>
  <c r="K4" i="8" s="1"/>
  <c r="R4" i="8"/>
  <c r="U4" i="8" s="1"/>
  <c r="T6" i="12"/>
  <c r="K7" i="8" s="1"/>
  <c r="N7" i="8" s="1"/>
  <c r="R7" i="8"/>
  <c r="U7" i="8" s="1"/>
  <c r="R6" i="8"/>
  <c r="U6" i="8" s="1"/>
  <c r="T5" i="12"/>
  <c r="K6" i="8" s="1"/>
  <c r="N6" i="8" s="1"/>
  <c r="O6" i="8" s="1"/>
  <c r="R3" i="8"/>
  <c r="U3" i="8" s="1"/>
  <c r="T2" i="12"/>
  <c r="K3" i="8" s="1"/>
  <c r="N3" i="8" s="1"/>
  <c r="O3" i="8" s="1"/>
  <c r="R5" i="8"/>
  <c r="U5" i="8" s="1"/>
  <c r="T4" i="12"/>
  <c r="K5" i="8" s="1"/>
  <c r="N5" i="8" s="1"/>
  <c r="O5" i="8" s="1"/>
  <c r="N4" i="8"/>
  <c r="O7" i="8" l="1"/>
  <c r="V5" i="8"/>
  <c r="V3" i="8"/>
  <c r="V4" i="8"/>
  <c r="V6" i="8"/>
  <c r="V7" i="8"/>
  <c r="O4" i="8"/>
</calcChain>
</file>

<file path=xl/sharedStrings.xml><?xml version="1.0" encoding="utf-8"?>
<sst xmlns="http://schemas.openxmlformats.org/spreadsheetml/2006/main" count="299" uniqueCount="214">
  <si>
    <t>Judge Advisor Instructions</t>
  </si>
  <si>
    <t>DESIGNED FOR USE IN MICROSOFT EXCEL (DESKTOP APP).
SOME FUNCTIONALITY WILL BE LOST IN WEB OR OTHER APPLICATIONS.</t>
  </si>
  <si>
    <t>See the instructions.pdf file for instructions with screenshots</t>
  </si>
  <si>
    <t>1.</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</si>
  <si>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</si>
  <si>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t>2.</t>
  </si>
  <si>
    <t>If you have enabled macros, there are two actions in the FLL OJS menu button that you can use. Note that some of the actions are password protected, but those actions would rarely, if ever, be needed by a judge advisor</t>
  </si>
  <si>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</si>
  <si>
    <t>3.</t>
  </si>
  <si>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</si>
  <si>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</si>
  <si>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4.</t>
  </si>
  <si>
    <t>When all the data has been entered, go the 'Results and Rankings' page to view all of the information in one place.</t>
  </si>
  <si>
    <t>5.</t>
  </si>
  <si>
    <t>You are now ready to allocate your awards based on your rankings using the 'Awards and Allocations' document in the judging toolkit.</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</si>
  <si>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</si>
  <si>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</si>
  <si>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Useful Tips:</t>
  </si>
  <si>
    <t>If you are copying data into the Input pages please remember to use the 'Paste Values' or 'Use Destination Formatting' option (This stops the formatting and formulae being overwritten)</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</si>
  <si>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</si>
  <si>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</si>
  <si>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</si>
  <si>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You may use the excel filter option to adjust the rows that are seen, but the sort function is disabled.</t>
  </si>
  <si>
    <t>If you need to delete an award from a team, just select the cell and tap the delete key</t>
  </si>
  <si>
    <t>FIRST® LEGO® League Challenge Official Judging Spreadsheet</t>
  </si>
  <si>
    <t>Teams</t>
  </si>
  <si>
    <t>Pods</t>
  </si>
  <si>
    <t>Team #</t>
  </si>
  <si>
    <t>Team Name</t>
  </si>
  <si>
    <t>Coach Name</t>
  </si>
  <si>
    <t>Pod Number</t>
  </si>
  <si>
    <t>Two emcees:</t>
  </si>
  <si>
    <t>Setting this to TRUE will alternate shading in the closing ceremony script to make it easier to read</t>
  </si>
  <si>
    <t>Greenbrier Panthers</t>
  </si>
  <si>
    <t>John Sammons</t>
  </si>
  <si>
    <t>Dynamite Dolphins</t>
  </si>
  <si>
    <t>Jonathan Torch</t>
  </si>
  <si>
    <t>OLMC Aquinas</t>
  </si>
  <si>
    <t>Patrick McFadden</t>
  </si>
  <si>
    <t>MCH Monarchs</t>
  </si>
  <si>
    <t>Kathy Hendrickson</t>
  </si>
  <si>
    <t>Kempsville Dino-Nuggets</t>
  </si>
  <si>
    <t>Kiel Phillips</t>
  </si>
  <si>
    <t>Advance</t>
  </si>
  <si>
    <t>Yes</t>
  </si>
  <si>
    <t>No</t>
  </si>
  <si>
    <t>Alt</t>
  </si>
  <si>
    <t>Key</t>
  </si>
  <si>
    <t>Value</t>
  </si>
  <si>
    <t>Tournament Year</t>
  </si>
  <si>
    <t>2025</t>
  </si>
  <si>
    <t>FLL Season Title</t>
  </si>
  <si>
    <t>Unearthed</t>
  </si>
  <si>
    <t>Tournament Short Name</t>
  </si>
  <si>
    <t>Norfolk</t>
  </si>
  <si>
    <t>Tournament Long Name</t>
  </si>
  <si>
    <t>Norfolk 2025 Unearthed Qualifier Tournament</t>
  </si>
  <si>
    <t>Completed Script File</t>
  </si>
  <si>
    <t>C:/github-projects/OJS_Script_maker_NG/2025-all/tournaments\Norfolk\closing_ceremony.html</t>
  </si>
  <si>
    <t>Using Divisions</t>
  </si>
  <si>
    <t>Division</t>
  </si>
  <si>
    <t>D1</t>
  </si>
  <si>
    <t>Advancing</t>
  </si>
  <si>
    <t>Award</t>
  </si>
  <si>
    <t>ID</t>
  </si>
  <si>
    <t>Robot Game Awards</t>
  </si>
  <si>
    <t>Champions 1st Place</t>
  </si>
  <si>
    <t>J_AWD_CHAMP</t>
  </si>
  <si>
    <t>Robot Game 1st Place</t>
  </si>
  <si>
    <t>Robot Design 1st Place</t>
  </si>
  <si>
    <t>J_AWD_RD</t>
  </si>
  <si>
    <t>Innovation Project 1st Place</t>
  </si>
  <si>
    <t>J_AWD_IP</t>
  </si>
  <si>
    <t>Core Values 1st Place</t>
  </si>
  <si>
    <t>J_AWD_CV</t>
  </si>
  <si>
    <t>Judges 1</t>
  </si>
  <si>
    <t>J_AWD_Judges</t>
  </si>
  <si>
    <t>Judges 2</t>
  </si>
  <si>
    <t>ColumnName</t>
  </si>
  <si>
    <t>Name</t>
  </si>
  <si>
    <t>DivAward</t>
  </si>
  <si>
    <t>Count</t>
  </si>
  <si>
    <t>Label1</t>
  </si>
  <si>
    <t>Label2</t>
  </si>
  <si>
    <t>Label3</t>
  </si>
  <si>
    <t>ScriptTagD1</t>
  </si>
  <si>
    <t>ScriptTagD2</t>
  </si>
  <si>
    <t>ScriptTagNoDiv</t>
  </si>
  <si>
    <t>Champions</t>
  </si>
  <si>
    <t>TRUE</t>
  </si>
  <si>
    <t>Champions 2nd Place</t>
  </si>
  <si>
    <t>Champions 3rd Place</t>
  </si>
  <si>
    <t>J_AWD_CHAMP_D1</t>
  </si>
  <si>
    <t>J_AWD_CHAMP_D2</t>
  </si>
  <si>
    <t>Robot Design</t>
  </si>
  <si>
    <t>Robot Design 2nd Place</t>
  </si>
  <si>
    <t>Robot Design 3rd Place</t>
  </si>
  <si>
    <t>J_AWD_RD_D1</t>
  </si>
  <si>
    <t>J_AWD_RD_D2</t>
  </si>
  <si>
    <t>Innovation Project</t>
  </si>
  <si>
    <t>Innovation Project 2nd Place</t>
  </si>
  <si>
    <t>Innovation Project 3rd Place</t>
  </si>
  <si>
    <t>J_AWD_IP_D1</t>
  </si>
  <si>
    <t>J_AWD_IP_D2</t>
  </si>
  <si>
    <t>Core Values</t>
  </si>
  <si>
    <t>Core Values 2nd Place</t>
  </si>
  <si>
    <t>Core Values 3rd Place</t>
  </si>
  <si>
    <t>J_AWD_CV_D1</t>
  </si>
  <si>
    <t>J_AWD_CV_D2</t>
  </si>
  <si>
    <t>Judges</t>
  </si>
  <si>
    <t>FALSE</t>
  </si>
  <si>
    <t>Judges 3</t>
  </si>
  <si>
    <t>P_AWD_RG</t>
  </si>
  <si>
    <t>Robot Game</t>
  </si>
  <si>
    <t>Robot Game 2nd Place</t>
  </si>
  <si>
    <t>Robot Game 3rd Place</t>
  </si>
  <si>
    <t>P_AWD_RG_D1</t>
  </si>
  <si>
    <t>P_AWD_RG_D2</t>
  </si>
  <si>
    <t>J_AWD_BT</t>
  </si>
  <si>
    <t>Breakthrough</t>
  </si>
  <si>
    <t>Breakthrough 1st Place</t>
  </si>
  <si>
    <t>Breakthrough 2nd Place</t>
  </si>
  <si>
    <t>Breakthrough 3rd Place</t>
  </si>
  <si>
    <t>J_AWD_RisAll</t>
  </si>
  <si>
    <t>Rising Allstar</t>
  </si>
  <si>
    <t>Rising Allstar 1st Place</t>
  </si>
  <si>
    <t>Rising Allstar 2nd Place</t>
  </si>
  <si>
    <t>Rising Allstar 3rd Place</t>
  </si>
  <si>
    <t>J_AWD_CL</t>
  </si>
  <si>
    <t>Community Leader</t>
  </si>
  <si>
    <t>Community Leader 1st Place</t>
  </si>
  <si>
    <t>Community Leader 2nd Place</t>
  </si>
  <si>
    <t>Community Leader 3rd Place</t>
  </si>
  <si>
    <t>ADV</t>
  </si>
  <si>
    <t>Advancing 1</t>
  </si>
  <si>
    <t>Advancing 2</t>
  </si>
  <si>
    <t>Advancing 3</t>
  </si>
  <si>
    <t>ADV_D1</t>
  </si>
  <si>
    <t>ADV_D2</t>
  </si>
  <si>
    <t>POD</t>
  </si>
  <si>
    <t>Champion</t>
  </si>
  <si>
    <t>IP</t>
  </si>
  <si>
    <t>RD</t>
  </si>
  <si>
    <t>CV</t>
  </si>
  <si>
    <t>Team Information</t>
  </si>
  <si>
    <t>Judging</t>
  </si>
  <si>
    <t>Overall</t>
  </si>
  <si>
    <t>Awards</t>
  </si>
  <si>
    <t>Testing Items (Info Only)</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</si>
  <si>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</si>
  <si>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</si>
  <si>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</si>
  <si>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</si>
  <si>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</si>
  <si>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</si>
  <si>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</si>
  <si>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</si>
  <si>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</si>
  <si>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</si>
  <si>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</si>
  <si>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</si>
  <si>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Advance?</t>
  </si>
  <si>
    <t>Core Values Score</t>
  </si>
  <si>
    <t>Innovattion Project Score</t>
  </si>
  <si>
    <t>Robot Design Score</t>
  </si>
  <si>
    <t>Overall Score - Geometric Mean</t>
  </si>
  <si>
    <t>Overall Ranking - Geometric Mean</t>
  </si>
  <si>
    <t>Comments</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</si>
  <si>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</si>
  <si>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</si>
  <si>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</si>
  <si>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</si>
  <si>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</si>
  <si>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</si>
  <si>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</si>
  <si>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</si>
  <si>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</si>
  <si>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</si>
  <si>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</si>
  <si>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</si>
  <si>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</si>
  <si>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</si>
  <si>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</si>
  <si>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</si>
  <si>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</si>
  <si>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</si>
  <si>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</si>
  <si>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</si>
  <si>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</si>
  <si>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</si>
  <si>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</si>
  <si>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</si>
  <si>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</si>
  <si>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</si>
  <si>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</si>
  <si>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</si>
  <si>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</si>
  <si>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</si>
  <si>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</si>
  <si>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</si>
  <si>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</si>
  <si>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</si>
  <si>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</si>
  <si>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</si>
  <si>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</si>
  <si>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</si>
  <si>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</si>
  <si>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</si>
  <si>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</si>
  <si>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</si>
  <si>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Team Number</t>
  </si>
  <si>
    <t>Deliberated Rank</t>
  </si>
  <si>
    <t>Rising All-Star</t>
  </si>
  <si>
    <t>Motivate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</si>
</sst>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7">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0" fillId="3" borderId="0" xfId="0" applyFill="1" applyAlignment="1">
      <alignment horizontal="center" vertical="center"/>
    </xf>
    <xf numFmtId="0" fontId="15" fillId="3" borderId="0" xfId="0" applyFont="1" applyFill="1" applyAlignment="1">
      <alignment horizontal="left" vertical="center"/>
    </xf>
    <xf numFmtId="0" fontId="16" fillId="3" borderId="0" xfId="0" applyFont="1" applyFill="1" applyAlignment="1">
      <alignment horizontal="left" vertical="center"/>
    </xf>
    <xf numFmtId="0" fontId="15" fillId="3" borderId="0" xfId="0" applyFont="1" applyFill="1" applyAlignment="1">
      <alignment vertical="top" wrapText="1"/>
    </xf>
    <xf numFmtId="49" fontId="15" fillId="3" borderId="0" xfId="0" applyNumberFormat="1" applyFont="1" applyFill="1" applyAlignment="1">
      <alignment horizontal="left" vertical="center"/>
    </xf>
    <xf numFmtId="0" fontId="14" fillId="0" borderId="0" xfId="0" applyFont="1" applyAlignment="1">
      <alignment horizontal="center" vertical="center"/>
    </xf>
    <xf numFmtId="0" fontId="0" fillId="0" borderId="4" xfId="0" applyBorder="1"/>
    <xf numFmtId="0" fontId="17" fillId="0" borderId="0" xfId="0" applyFont="1" applyAlignment="1">
      <alignment horizontal="center" vertical="center" textRotation="90"/>
    </xf>
    <xf numFmtId="0" fontId="20" fillId="0" borderId="0" xfId="0" applyFont="1"/>
    <xf numFmtId="165" fontId="14" fillId="0" borderId="0" xfId="0" applyNumberFormat="1" applyFont="1" applyAlignment="1">
      <alignment horizontal="center" vertical="center"/>
    </xf>
    <xf numFmtId="0" fontId="22" fillId="0" borderId="0" xfId="0" applyFont="1" applyAlignment="1">
      <alignment horizontal="left" vertical="center"/>
    </xf>
    <xf numFmtId="0" fontId="8" fillId="0" borderId="0" xfId="0" applyFont="1" applyAlignment="1">
      <alignment horizontal="center" vertical="center" wrapText="1"/>
    </xf>
    <xf numFmtId="0" fontId="23" fillId="0" borderId="0" xfId="0" applyFont="1" applyAlignment="1">
      <alignment horizontal="left" vertical="center" wrapText="1"/>
    </xf>
    <xf numFmtId="0" fontId="24"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6" fillId="19" borderId="0" xfId="0" applyNumberFormat="1" applyFont="1" applyFill="1" applyAlignment="1">
      <alignment horizontal="center" vertical="center" textRotation="90" wrapText="1"/>
    </xf>
    <xf numFmtId="0" fontId="26" fillId="19" borderId="0" xfId="0" applyFont="1" applyFill="1" applyAlignment="1">
      <alignment horizontal="center" vertical="center" textRotation="90" wrapText="1"/>
    </xf>
    <xf numFmtId="0" fontId="27" fillId="18" borderId="0" xfId="0" applyFont="1" applyFill="1" applyAlignment="1">
      <alignment horizontal="center" vertical="center" textRotation="90" wrapText="1"/>
    </xf>
    <xf numFmtId="0" fontId="27" fillId="10" borderId="0" xfId="0" applyFont="1" applyFill="1" applyAlignment="1">
      <alignment horizontal="center" vertical="center" textRotation="90" wrapText="1"/>
    </xf>
    <xf numFmtId="0" fontId="27" fillId="18" borderId="3" xfId="0" applyFont="1" applyFill="1" applyBorder="1" applyAlignment="1">
      <alignment horizontal="center" vertical="center" textRotation="90" wrapText="1"/>
    </xf>
    <xf numFmtId="0" fontId="25" fillId="16" borderId="0" xfId="0" applyFont="1" applyFill="1" applyAlignment="1">
      <alignment horizontal="center" vertical="center" textRotation="90" wrapText="1"/>
    </xf>
    <xf numFmtId="0" fontId="27"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6" fillId="0" borderId="0" xfId="0" applyFont="1"/>
    <xf numFmtId="0" fontId="19" fillId="0" borderId="0" xfId="0"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0" fontId="0" fillId="0" borderId="0" xfId="0" applyProtection="1">
      <protection locked="0"/>
    </xf>
    <xf numFmtId="0" fontId="1" fillId="21" borderId="0" xfId="0" applyFont="1" applyFill="1" applyAlignment="1" applyProtection="1">
      <alignment horizontal="center" vertical="center"/>
      <protection locked="0"/>
    </xf>
    <xf numFmtId="0" fontId="28" fillId="0" borderId="0" xfId="0" applyFont="1" applyAlignment="1">
      <alignment horizontal="center" vertical="center"/>
    </xf>
    <xf numFmtId="0" fontId="28" fillId="0" borderId="0" xfId="0" applyFont="1" applyAlignment="1">
      <alignment vertical="center"/>
    </xf>
    <xf numFmtId="0" fontId="21" fillId="3" borderId="0" xfId="0" applyFont="1" applyFill="1" applyAlignment="1">
      <alignment horizontal="center" vertical="center" wrapText="1"/>
    </xf>
    <xf numFmtId="0" fontId="30" fillId="3" borderId="0" xfId="0" applyFont="1" applyFill="1" applyAlignment="1">
      <alignment horizontal="center" vertical="center"/>
    </xf>
    <xf numFmtId="0" fontId="29" fillId="3" borderId="0" xfId="0" applyFont="1" applyFill="1" applyAlignment="1">
      <alignment horizontal="left" vertical="top" wrapText="1"/>
    </xf>
    <xf numFmtId="0" fontId="28" fillId="3" borderId="0" xfId="0" applyFont="1" applyFill="1" applyAlignment="1">
      <alignment horizontal="left" vertical="top" wrapText="1"/>
    </xf>
    <xf numFmtId="0" fontId="18" fillId="20" borderId="5" xfId="0" applyFont="1" applyFill="1" applyBorder="1" applyAlignment="1">
      <alignment horizontal="left" vertical="top" wrapText="1"/>
    </xf>
    <xf numFmtId="0" fontId="18" fillId="20" borderId="6" xfId="0" applyFont="1" applyFill="1" applyBorder="1" applyAlignment="1">
      <alignment horizontal="left" vertical="top" wrapText="1"/>
    </xf>
    <xf numFmtId="0" fontId="18" fillId="20" borderId="7" xfId="0" applyFont="1" applyFill="1" applyBorder="1" applyAlignment="1">
      <alignment horizontal="left" vertical="top" wrapText="1"/>
    </xf>
    <xf numFmtId="0" fontId="29" fillId="3" borderId="0" xfId="0" applyFont="1" applyFill="1" applyAlignment="1">
      <alignment vertical="top" wrapText="1"/>
    </xf>
    <xf numFmtId="49" fontId="29" fillId="3" borderId="0" xfId="0" applyNumberFormat="1" applyFont="1" applyFill="1" applyAlignment="1">
      <alignment horizontal="left" vertical="top"/>
    </xf>
    <xf numFmtId="0" fontId="29" fillId="3" borderId="0" xfId="0" applyFont="1" applyFill="1" applyAlignment="1">
      <alignment horizontal="left" vertical="center"/>
    </xf>
    <xf numFmtId="0" fontId="28" fillId="3" borderId="0" xfId="0" applyFont="1" applyFill="1" applyAlignment="1">
      <alignment horizontal="left" vertical="top"/>
    </xf>
    <xf numFmtId="1" fontId="14" fillId="5" borderId="0" xfId="0" applyNumberFormat="1" applyFont="1" applyFill="1" applyAlignment="1">
      <alignment horizontal="center" vertical="center" textRotation="90"/>
    </xf>
    <xf numFmtId="0" fontId="14" fillId="5" borderId="0" xfId="0" applyFont="1" applyFill="1" applyAlignment="1">
      <alignment horizontal="center" vertical="center" textRotation="90"/>
    </xf>
    <xf numFmtId="0" fontId="11" fillId="0" borderId="0" xfId="0" applyFont="1" applyAlignment="1">
      <alignment wrapText="1"/>
    </xf>
    <xf numFmtId="0" fontId="22" fillId="0" borderId="0" xfId="0" applyFont="1" applyAlignment="1">
      <alignment horizontal="center" vertical="center"/>
    </xf>
    <xf numFmtId="0" fontId="4" fillId="0" borderId="0" xfId="0" applyFont="1" applyAlignment="1">
      <alignment horizontal="left" vertical="center" wrapText="1"/>
    </xf>
    <xf numFmtId="0" fontId="1" fillId="0" borderId="0" xfId="0" applyFont="1" applyAlignment="1">
      <alignment horizontal="center" vertical="center"/>
    </xf>
    <xf numFmtId="0" fontId="2" fillId="22" borderId="7" xfId="0" applyFont="1" applyFill="1" applyBorder="1" applyAlignment="1" applyProtection="1">
      <alignment horizontal="center" vertical="center"/>
      <protection locked="0"/>
    </xf>
    <xf numFmtId="0" fontId="2" fillId="0" borderId="0" xfId="0" applyFont="1"/>
    <xf numFmtId="1" fontId="2" fillId="0" borderId="0" xfId="0" applyNumberFormat="1" applyFont="1"/>
    <xf numFmtId="0" fontId="2" fillId="0" borderId="0" xfId="0" applyFont="1" applyAlignment="1">
      <alignment wrapText="1"/>
    </xf>
    <xf numFmtId="0" fontId="2" fillId="0" borderId="0" xfId="0" applyFont="1" applyProtection="1">
      <protection locked="0"/>
    </xf>
    <xf numFmtId="0" fontId="5" fillId="2" borderId="0" xfId="0" applyFont="1" applyFill="1" applyAlignment="1">
      <alignment horizontal="center" vertical="center"/>
    </xf>
    <xf numFmtId="0" fontId="2" fillId="0" borderId="0" xfId="0" applyFont="1" applyAlignment="1">
      <alignment horizontal="center" vertical="center"/>
    </xf>
    <xf numFmtId="0" fontId="4" fillId="0" borderId="0" xfId="0" applyFont="1" applyAlignment="1">
      <alignment horizontal="center" vertical="center"/>
    </xf>
    <xf numFmtId="0" fontId="22" fillId="0" borderId="0" xfId="0" applyFont="1" applyAlignment="1">
      <alignment horizontal="left" vertical="center"/>
    </xf>
  </cellXfs>
  <cellStyles count="1">
    <cellStyle name="Normal" xfId="0" builtinId="0"/>
  </cellStyles>
  <dxfs count="162">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rgb="FF000000"/>
        <name val="Calibri"/>
        <family val="2"/>
        <scheme val="minor"/>
      </font>
      <fill>
        <patternFill>
          <fgColor indexed="64"/>
          <bgColor auto="1"/>
        </patternFill>
      </fill>
      <alignment horizontal="general" vertical="bottom"/>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2" formatCode="0.0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protection locked="0" hidden="0"/>
    </dxf>
    <dxf>
      <font>
        <strike val="0"/>
        <condense val="0"/>
        <extend val="0"/>
        <outline val="0"/>
        <shadow val="0"/>
        <vertAlign val="baseline"/>
        <sz val="12"/>
        <color auto="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auto="1"/>
        <name val="Calibri"/>
        <family val="2"/>
        <scheme val="minor"/>
      </font>
      <numFmt numFmtId="0" formatCode="General"/>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fill>
        <patternFill>
          <fgColor indexed="64"/>
          <bgColor auto="1"/>
        </patternFill>
      </fill>
      <alignment horizontal="general" vertical="bottom"/>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bgColor rgb="FFFFFF99"/>
        </patternFill>
      </fill>
    </dxf>
    <dxf>
      <border>
        <bottom style="thin">
          <color rgb="FF002060"/>
        </bottom>
        <vertical/>
        <horizontal/>
      </border>
    </dxf>
    <dxf>
      <fill>
        <patternFill patternType="solid">
          <fgColor rgb="FFAD8A56"/>
          <bgColor rgb="FFAD8A56"/>
        </patternFill>
      </fill>
    </dxf>
    <dxf>
      <fill>
        <patternFill patternType="solid">
          <fgColor rgb="FFD7D7D7"/>
          <bgColor rgb="FFD7D7D7"/>
        </patternFill>
      </fill>
    </dxf>
    <dxf>
      <fill>
        <patternFill patternType="solid">
          <fgColor rgb="FFC9B037"/>
          <bgColor rgb="FFC9B037"/>
        </patternFill>
      </fill>
    </dxf>
    <dxf>
      <fill>
        <patternFill patternType="solid">
          <fgColor rgb="FF00FF00"/>
          <bgColor rgb="FF00FF00"/>
        </patternFill>
      </fill>
    </dxf>
    <dxf>
      <fill>
        <patternFill patternType="solid">
          <fgColor rgb="FF00B050"/>
          <bgColor rgb="FF00B050"/>
        </patternFill>
      </fill>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7" totalsRowShown="0" headerRowDxfId="161" dataDxfId="160">
  <autoFilter ref="A2:D7" xr:uid="{00000000-0009-0000-0100-000001000000}"/>
  <sortState xmlns:xlrd2="http://schemas.microsoft.com/office/spreadsheetml/2017/richdata2" ref="A3:D3">
    <sortCondition ref="A3"/>
  </sortState>
  <tableColumns count="4">
    <tableColumn id="1" xr3:uid="{00000000-0010-0000-0000-000001000000}" name="Team #" dataDxfId="159"/>
    <tableColumn id="2" xr3:uid="{00000000-0010-0000-0000-000002000000}" name="Team Name" dataDxfId="158"/>
    <tableColumn id="3" xr3:uid="{00000000-0010-0000-0000-000003000000}" name="Coach Name" dataDxfId="157"/>
    <tableColumn id="4" xr3:uid="{00000000-0010-0000-0000-000004000000}" name="Pod Number" dataDxfId="15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Advancing" displayName="Advancing" ref="A1:A4" totalsRowShown="0">
  <autoFilter ref="A1:A4" xr:uid="{00000000-0009-0000-0100-000002000000}"/>
  <tableColumns count="1">
    <tableColumn id="1" xr3:uid="{00000000-0010-0000-0100-000001000000}"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eta" displayName="Meta" ref="A1:B9" totalsRowShown="0" headerRowDxfId="155" dataDxfId="154">
  <autoFilter ref="A1:B9" xr:uid="{00000000-0009-0000-0100-000003000000}"/>
  <tableColumns count="2">
    <tableColumn id="1" xr3:uid="{00000000-0010-0000-0200-000001000000}" name="Key" dataDxfId="153"/>
    <tableColumn id="2" xr3:uid="{00000000-0010-0000-0200-000002000000}" name="Value" dataDxfId="15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AwardListDropdowns" displayName="AwardListDropdowns" ref="A1:B7" totalsRowShown="0">
  <autoFilter ref="A1:B7" xr:uid="{00000000-0009-0000-0100-000004000000}"/>
  <tableColumns count="2">
    <tableColumn id="1" xr3:uid="{00000000-0010-0000-0300-000001000000}" name="Award"/>
    <tableColumn id="2" xr3:uid="{00000000-0010-0000-0300-000002000000}" name="I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RobotGameAwards" displayName="RobotGameAwards" ref="D1:D2" totalsRowShown="0">
  <autoFilter ref="D1:D2" xr:uid="{00000000-0009-0000-0100-000005000000}"/>
  <tableColumns count="1">
    <tableColumn id="1" xr3:uid="{00000000-0010-0000-0400-000001000000}"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AwardDef" displayName="AwardDef" ref="A1:J11" totalsRowShown="0">
  <autoFilter ref="A1:J11" xr:uid="{00000000-0009-0000-0100-000006000000}"/>
  <tableColumns count="10">
    <tableColumn id="1" xr3:uid="{00000000-0010-0000-0500-000001000000}" name="ColumnName"/>
    <tableColumn id="2" xr3:uid="{00000000-0010-0000-0500-000002000000}" name="Name"/>
    <tableColumn id="3" xr3:uid="{00000000-0010-0000-0500-000003000000}" name="DivAward"/>
    <tableColumn id="4" xr3:uid="{00000000-0010-0000-0500-000004000000}" name="Count"/>
    <tableColumn id="7" xr3:uid="{00000000-0010-0000-0500-000007000000}" name="Label1"/>
    <tableColumn id="8" xr3:uid="{00000000-0010-0000-0500-000008000000}" name="Label2"/>
    <tableColumn id="9" xr3:uid="{00000000-0010-0000-0500-000009000000}" name="Label3"/>
    <tableColumn id="19" xr3:uid="{00000000-0010-0000-0500-000013000000}" name="ScriptTagD1"/>
    <tableColumn id="10" xr3:uid="{00000000-0010-0000-0500-00000A000000}" name="ScriptTagD2"/>
    <tableColumn id="11" xr3:uid="{00000000-0010-0000-0500-00000B000000}" name="ScriptTagNoDiv"/>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ournamentData" displayName="TournamentData" ref="A2:W7" totalsRowShown="0" headerRowDxfId="138" dataDxfId="136" headerRowBorderDxfId="137">
  <autoFilter ref="A2:W7" xr:uid="{00000000-0009-0000-0100-000007000000}"/>
  <sortState xmlns:xlrd2="http://schemas.microsoft.com/office/spreadsheetml/2017/richdata2" ref="A3:W3">
    <sortCondition ref="A3"/>
  </sortState>
  <tableColumns count="23">
    <tableColumn id="1" xr3:uid="{00000000-0010-0000-0600-000001000000}" name="Team #" dataDxfId="135"/>
    <tableColumn id="13" xr3:uid="{00000000-0010-0000-0600-00000D000000}" name="POD" dataDxfId="134">
      <calculatedColumnFormula>INDEX(OfficialTeamList[Pod Number],MATCH(TournamentData[[#This Row],[Team '#]], OfficialTeamList[Team '#],0))</calculatedColumnFormula>
    </tableColumn>
    <tableColumn id="2" xr3:uid="{00000000-0010-0000-0600-000002000000}" name="Team Name" dataDxfId="133">
      <calculatedColumnFormula>INDEX(OfficialTeamList[Team Name],MATCH(TournamentData[[#This Row],[Team '#]], OfficialTeamList[Team '#],0))</calculatedColumnFormula>
    </tableColumn>
    <tableColumn id="6" xr3:uid="{00000000-0010-0000-0600-000006000000}" name="Robot Game Score 1" dataDxfId="132">
      <calculatedColumnFormula>IF(TournamentData[[#This Row],[Team '#]]="","",IF(ISNA(INDEX('Robot Game Scores'!C:C,MATCH(TournamentData[[#This Row],[Team '#]], 'Robot Game Scores'!$A:$A,0))),0,INDEX('Robot Game Scores'!C:C,MATCH(TournamentData[[#This Row],[Team '#]], 'Robot Game Scores'!$A:$A,0))))</calculatedColumnFormula>
    </tableColumn>
    <tableColumn id="7" xr3:uid="{00000000-0010-0000-0600-000007000000}" name="Robot Game Score 2" dataDxfId="131">
      <calculatedColumnFormula>IF(TournamentData[[#This Row],[Team '#]]="","",IF(ISNA(INDEX('Robot Game Scores'!D:D,MATCH(TournamentData[[#This Row],[Team '#]], 'Robot Game Scores'!$A:$A,0))),0,INDEX('Robot Game Scores'!D:D,MATCH(TournamentData[[#This Row],[Team '#]], 'Robot Game Scores'!$A:$A,0))))</calculatedColumnFormula>
    </tableColumn>
    <tableColumn id="8" xr3:uid="{00000000-0010-0000-0600-000008000000}" name="Robot Game Score 3" dataDxfId="130">
      <calculatedColumnFormula>IF(TournamentData[[#This Row],[Team '#]]="","",IF(ISNA(INDEX('Robot Game Scores'!E:E,MATCH(TournamentData[[#This Row],[Team '#]], 'Robot Game Scores'!$A:$A,0))),0,INDEX('Robot Game Scores'!E:E,MATCH(TournamentData[[#This Row],[Team '#]], 'Robot Game Scores'!$A:$A,0))))</calculatedColumnFormula>
    </tableColumn>
    <tableColumn id="16" xr3:uid="{00000000-0010-0000-0600-000010000000}" name="Robot Game Score 4" dataDxfId="129">
      <calculatedColumnFormula>IF(TournamentData[[#This Row],[Team '#]]="","",IF(ISNA(INDEX('Robot Game Scores'!#REF!,MATCH(TournamentData[[#This Row],[Team '#]], 'Robot Game Scores'!$A:$A,0))),0,INDEX('Robot Game Scores'!#REF!,MATCH(TournamentData[[#This Row],[Team '#]], 'Robot Game Scores'!$A:$A,0))))</calculatedColumnFormula>
    </tableColumn>
    <tableColumn id="9" xr3:uid="{00000000-0010-0000-0600-000009000000}" name="Robot Game Score 5" dataDxfId="128">
      <calculatedColumnFormula>IF(TournamentData[[#This Row],[Team '#]]="","",IF(ISNA(INDEX('Robot Game Scores'!#REF!,MATCH(TournamentData[[#This Row],[Team '#]], 'Robot Game Scores'!$A:$A,0))),0,INDEX('Robot Game Scores'!#REF!,MATCH(TournamentData[[#This Row],[Team '#]], 'Robot Game Scores'!$A:$A,0))))</calculatedColumnFormula>
    </tableColumn>
    <tableColumn id="10" xr3:uid="{00000000-0010-0000-06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600-00000F000000}" name="Robot Game Rank" dataDxfId="126">
      <calculatedColumnFormula>_xlfn.RANK.EQ(TournamentData[[#This Row],[Max Robot Game Score]],TournamentData[Max Robot Game Score])</calculatedColumnFormula>
    </tableColumn>
    <tableColumn id="3" xr3:uid="{00000000-0010-0000-0600-000003000000}" name="Core Values Rank" dataDxfId="125">
      <calculatedColumnFormula>INDEX(CoreValuesResults[Core Values Rank],MATCH(TournamentData[[#This Row],[Team '#]],CoreValuesResults[Team '#],0))</calculatedColumnFormula>
    </tableColumn>
    <tableColumn id="4" xr3:uid="{00000000-0010-0000-0600-000004000000}" name="Innovation Project Rank" dataDxfId="124">
      <calculatedColumnFormula>INDEX(InnovationProjectResults[Innovation Project Rank],MATCH(TournamentData[[#This Row],[Team '#]],InnovationProjectResults[Team '#],0))</calculatedColumnFormula>
    </tableColumn>
    <tableColumn id="5" xr3:uid="{00000000-0010-0000-0600-000005000000}" name="Robot Design Rank" dataDxfId="123">
      <calculatedColumnFormula>INDEX(RobotDesignResults[Robot Design Rank],MATCH(TournamentData[[#This Row],[Team '#]],RobotDesignResults[Team '#],0))</calculatedColumnFormula>
    </tableColumn>
    <tableColumn id="14" xr3:uid="{00000000-0010-0000-0600-00000E000000}" name="Champion's Score" dataDxfId="122">
      <calculatedColumnFormula>SUM(TournamentData[[#This Row],[Robot Game Rank]:[Robot Design Rank]])</calculatedColumnFormula>
    </tableColumn>
    <tableColumn id="11" xr3:uid="{00000000-0010-0000-0600-00000B000000}" name="Champion's Rank" dataDxfId="121">
      <calculatedColumnFormula>RANK(TournamentData[[#This Row],[Champion''s Score]],TournamentData[Champion''s Score],1)</calculatedColumnFormula>
    </tableColumn>
    <tableColumn id="12" xr3:uid="{00000000-0010-0000-0600-00000C000000}" name="Award" dataDxfId="120"/>
    <tableColumn id="21" xr3:uid="{00000000-0010-0000-0600-000015000000}" name="Advance?" dataDxfId="119" dataCellStyle="Normal"/>
    <tableColumn id="28" xr3:uid="{00000000-0010-0000-0600-00001C000000}" name="Core Values Score" dataDxfId="118">
      <calculatedColumnFormula>IF(ISNA(INDEX(CoreValuesResults[Core Values Score],MATCH(TournamentData[[#This Row],[Team '#]],CoreValuesResults[Team '#],0))),0,INDEX(CoreValuesResults[Core Values Score],MATCH(TournamentData[[#This Row],[Team '#]],CoreValuesResults[Team '#],0)))</calculatedColumnFormula>
    </tableColumn>
    <tableColumn id="27" xr3:uid="{00000000-0010-0000-0600-00001B000000}" name="Innovattion Project Score" dataDxfId="117">
      <calculatedColumnFormula>IF(ISNA(INDEX(InnovationProjectResults[Innovation Project Score],MATCH(TournamentData[[#This Row],[Team '#]],InnovationProjectResults[Team '#],0))),0,INDEX(InnovationProjectResults[Innovation Project Score],MATCH(TournamentData[[#This Row],[Team '#]],InnovationProjectResults[Team '#],0)))</calculatedColumnFormula>
    </tableColumn>
    <tableColumn id="26" xr3:uid="{00000000-0010-0000-0600-00001A000000}" name="Robot Design Score" dataDxfId="116">
      <calculatedColumnFormula>IF(ISNA(INDEX(RobotDesignResults[Robot Design Score],MATCH(TournamentData[[#This Row],[Team '#]],RobotDesignResults[Team '#],0))),0,INDEX(RobotDesignResults[Robot Design Score],MATCH(TournamentData[[#This Row],[Team '#]],RobotDesignResults[Team '#],0)))</calculatedColumnFormula>
    </tableColumn>
    <tableColumn id="25" xr3:uid="{00000000-0010-0000-06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600-000018000000}" name="Overall Ranking - Geometric Mean" dataDxfId="114">
      <calculatedColumnFormula>IF(U3,_xlfn.RANK.EQ(U3,U$3:U$3,0),NumberOfTeams)</calculatedColumnFormula>
    </tableColumn>
    <tableColumn id="20" xr3:uid="{00000000-0010-0000-0600-000014000000}" name="Comments" dataDxfId="11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RobotGameScores" displayName="RobotGameScores" ref="A1:F6" totalsRowShown="0" headerRowDxfId="112" dataDxfId="110" headerRowBorderDxfId="111">
  <autoFilter ref="A1:F6" xr:uid="{00000000-0009-0000-0100-000008000000}"/>
  <sortState xmlns:xlrd2="http://schemas.microsoft.com/office/spreadsheetml/2017/richdata2" ref="A2:F2">
    <sortCondition ref="A2"/>
  </sortState>
  <tableColumns count="6">
    <tableColumn id="2" xr3:uid="{00000000-0010-0000-0700-000002000000}" name="Team #" dataDxfId="109"/>
    <tableColumn id="9" xr3:uid="{00000000-0010-0000-0700-000009000000}" name="Team Name" dataDxfId="108">
      <calculatedColumnFormula>INDEX(OfficialTeamList[Team Name],MATCH(RobotGameScores[[#This Row],[Team '#]], OfficialTeamList[Team '#],0))</calculatedColumnFormula>
    </tableColumn>
    <tableColumn id="3" xr3:uid="{00000000-0010-0000-0700-000003000000}" name="Robot Game 1 Score" dataDxfId="107"/>
    <tableColumn id="4" xr3:uid="{00000000-0010-0000-0700-000004000000}" name="Robot Game 2 Score" dataDxfId="106"/>
    <tableColumn id="5" xr3:uid="{00000000-0010-0000-0700-000005000000}" name="Robot Game 3 Score" dataDxfId="105"/>
    <tableColumn id="8" xr3:uid="{00000000-0010-0000-0700-000008000000}" name="Highest Robot Game Score" dataDxfId="104">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InnovationProjectResults" displayName="InnovationProjectResults" ref="A1:O6" totalsRowShown="0" headerRowDxfId="103" dataDxfId="102">
  <autoFilter ref="A1:O6" xr:uid="{00000000-0009-0000-0100-000009000000}"/>
  <sortState xmlns:xlrd2="http://schemas.microsoft.com/office/spreadsheetml/2017/richdata2" ref="A2:O2">
    <sortCondition ref="A2"/>
  </sortState>
  <tableColumns count="15">
    <tableColumn id="1" xr3:uid="{00000000-0010-0000-0800-000001000000}" name="Team #" dataDxfId="101"/>
    <tableColumn id="6" xr3:uid="{00000000-0010-0000-0800-000006000000}" name="POD" dataDxfId="100">
      <calculatedColumnFormula>INDEX(OfficialTeamList[Pod Number],MATCH(InnovationProjectResults[[#This Row],[Team '#]], OfficialTeamList[Team '#],0))</calculatedColumnFormula>
    </tableColumn>
    <tableColumn id="2" xr3:uid="{00000000-0010-0000-0800-000002000000}" name="Team Name" dataDxfId="99">
      <calculatedColumnFormula>INDEX(OfficialTeamList[Team Name],MATCH(InnovationProjectResults[[#This Row],[Team '#]], OfficialTeamList[Team '#],0))</calculatedColumnFormula>
    </tableColumn>
    <tableColumn id="3" xr3:uid="{00000000-0010-0000-0800-000003000000}" name="Identify - Define" dataDxfId="98"/>
    <tableColumn id="4" xr3:uid="{00000000-0010-0000-0800-000004000000}" name="Identify - Research (CV)" dataDxfId="97"/>
    <tableColumn id="5" xr3:uid="{00000000-0010-0000-0800-000005000000}" name="Design - Plan" dataDxfId="96"/>
    <tableColumn id="7" xr3:uid="{00000000-0010-0000-0800-000007000000}" name="Design - Teamwork (CV)" dataDxfId="95"/>
    <tableColumn id="10" xr3:uid="{00000000-0010-0000-0800-00000A000000}" name="Create - Innovation (CV)" dataDxfId="94"/>
    <tableColumn id="8" xr3:uid="{00000000-0010-0000-0800-000008000000}" name="Create - Model" dataDxfId="93"/>
    <tableColumn id="9" xr3:uid="{00000000-0010-0000-0800-000009000000}" name="Iterate - Sharing" dataDxfId="92"/>
    <tableColumn id="11" xr3:uid="{00000000-0010-0000-0800-00000B000000}" name="Iterate - Improvement" dataDxfId="91"/>
    <tableColumn id="12" xr3:uid="{00000000-0010-0000-0800-00000C000000}" name="Communicate - Impact (CV)" dataDxfId="90"/>
    <tableColumn id="13" xr3:uid="{00000000-0010-0000-0800-00000D000000}" name="Communicate - Fun (CV)" dataDxfId="89"/>
    <tableColumn id="19" xr3:uid="{00000000-0010-0000-0800-000013000000}" name="Innovation Project Score" dataDxfId="88">
      <calculatedColumnFormula>SUM(InnovationProjectResults[[#This Row],[Identify - Define]:[Communicate - Fun (CV)]])</calculatedColumnFormula>
    </tableColumn>
    <tableColumn id="20" xr3:uid="{00000000-0010-0000-08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RobotDesignResults" displayName="RobotDesignResults" ref="A1:O6" totalsRowShown="0" headerRowDxfId="86" dataDxfId="85">
  <autoFilter ref="A1:O6" xr:uid="{00000000-0009-0000-0100-00000A000000}"/>
  <sortState xmlns:xlrd2="http://schemas.microsoft.com/office/spreadsheetml/2017/richdata2" ref="A2:O2">
    <sortCondition ref="A2"/>
  </sortState>
  <tableColumns count="15">
    <tableColumn id="1" xr3:uid="{00000000-0010-0000-0900-000001000000}" name="Team #" dataDxfId="84"/>
    <tableColumn id="10" xr3:uid="{00000000-0010-0000-0900-00000A000000}" name="POD" dataDxfId="83">
      <calculatedColumnFormula>INDEX(OfficialTeamList[Pod Number],MATCH(RobotDesignResults[[#This Row],[Team '#]], OfficialTeamList[Team '#],0))</calculatedColumnFormula>
    </tableColumn>
    <tableColumn id="2" xr3:uid="{00000000-0010-0000-0900-000002000000}" name="Team Name" dataDxfId="82">
      <calculatedColumnFormula>INDEX(OfficialTeamList[Team Name],MATCH(RobotDesignResults[[#This Row],[Team '#]], OfficialTeamList[Team '#],0))</calculatedColumnFormula>
    </tableColumn>
    <tableColumn id="3" xr3:uid="{00000000-0010-0000-0900-000003000000}" name="Identify - Strategy" dataDxfId="81"/>
    <tableColumn id="4" xr3:uid="{00000000-0010-0000-0900-000004000000}" name="Identify - Research (CV)" dataDxfId="80"/>
    <tableColumn id="5" xr3:uid="{00000000-0010-0000-0900-000005000000}" name="Design - Ideas (CV)" dataDxfId="79"/>
    <tableColumn id="7" xr3:uid="{00000000-0010-0000-0900-000007000000}" name="Design - Building/Coding" dataDxfId="78"/>
    <tableColumn id="6" xr3:uid="{00000000-0010-0000-0900-000006000000}" name="Create - Attachments" dataDxfId="77"/>
    <tableColumn id="8" xr3:uid="{00000000-0010-0000-0900-000008000000}" name="Create - Code/ Sensors" dataDxfId="76"/>
    <tableColumn id="9" xr3:uid="{00000000-0010-0000-0900-000009000000}" name="Iterate - Testing" dataDxfId="75"/>
    <tableColumn id="11" xr3:uid="{00000000-0010-0000-0900-00000B000000}" name="Iterate - Improvements (CV)" dataDxfId="74"/>
    <tableColumn id="12" xr3:uid="{00000000-0010-0000-0900-00000C000000}" name="Communicate - Impact (CV)" dataDxfId="73"/>
    <tableColumn id="13" xr3:uid="{00000000-0010-0000-0900-00000D000000}" name="Communicate - Fun (CV)" dataDxfId="72"/>
    <tableColumn id="19" xr3:uid="{00000000-0010-0000-0900-000013000000}" name="Robot Design Score" dataDxfId="71">
      <calculatedColumnFormula>SUM(RobotDesignResults[[#This Row],[Identify - Strategy]:[Communicate - Fun (CV)]])</calculatedColumnFormula>
    </tableColumn>
    <tableColumn id="20" xr3:uid="{00000000-0010-0000-09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CoreValuesResults" displayName="CoreValuesResults" ref="A1:T6" totalsRowShown="0" headerRowDxfId="69" dataDxfId="68">
  <autoFilter ref="A1:T6" xr:uid="{00000000-0009-0000-0100-00000B000000}"/>
  <sortState xmlns:xlrd2="http://schemas.microsoft.com/office/spreadsheetml/2017/richdata2" ref="A2:T2">
    <sortCondition ref="A2"/>
  </sortState>
  <tableColumns count="20">
    <tableColumn id="1" xr3:uid="{00000000-0010-0000-0A00-000001000000}" name="Team #" dataDxfId="67"/>
    <tableColumn id="9" xr3:uid="{00000000-0010-0000-0A00-000009000000}" name="POD" dataDxfId="66">
      <calculatedColumnFormula>INDEX(OfficialTeamList[Pod Number],MATCH(CoreValuesResults[[#This Row],[Team '#]], OfficialTeamList[Team '#],0))</calculatedColumnFormula>
    </tableColumn>
    <tableColumn id="2" xr3:uid="{00000000-0010-0000-0A00-000002000000}" name="Team Name" dataDxfId="65">
      <calculatedColumnFormula>INDEX(OfficialTeamList[Team Name],MATCH(CoreValuesResults[[#This Row],[Team '#]], OfficialTeamList[Team '#],0))</calculatedColumnFormula>
    </tableColumn>
    <tableColumn id="3" xr3:uid="{00000000-0010-0000-0A00-000003000000}" name="Identify - Research (CV-IP)" dataDxfId="64">
      <calculatedColumnFormula>INDEX(InnovationProjectResults[Identify - Research (CV)],MATCH(CoreValuesResults[[#This Row],[Team '#]],InnovationProjectResults[Team '#],0))</calculatedColumnFormula>
    </tableColumn>
    <tableColumn id="4" xr3:uid="{00000000-0010-0000-0A00-000004000000}" name="Design - Teamwork (CV-IP)" dataDxfId="63">
      <calculatedColumnFormula>INDEX(InnovationProjectResults[Design - Teamwork (CV)],MATCH(CoreValuesResults[[#This Row],[Team '#]],InnovationProjectResults[Team '#],0))</calculatedColumnFormula>
    </tableColumn>
    <tableColumn id="5" xr3:uid="{00000000-0010-0000-0A00-000005000000}" name="Create - Innovation (CV-IP)" dataDxfId="62">
      <calculatedColumnFormula>INDEX(InnovationProjectResults[Create - Innovation (CV)],MATCH(CoreValuesResults[[#This Row],[Team '#]],InnovationProjectResults[Team '#],0))</calculatedColumnFormula>
    </tableColumn>
    <tableColumn id="11" xr3:uid="{00000000-0010-0000-0A00-00000B000000}" name="Communicate - Impact (CV-IP)" dataDxfId="61">
      <calculatedColumnFormula>INDEX(InnovationProjectResults[Communicate - Impact (CV)],MATCH(CoreValuesResults[[#This Row],[Team '#]],InnovationProjectResults[Team '#],0))</calculatedColumnFormula>
    </tableColumn>
    <tableColumn id="12" xr3:uid="{00000000-0010-0000-0A00-00000C000000}" name="Communicate - Fun (CV-IP)" dataDxfId="60">
      <calculatedColumnFormula>INDEX(InnovationProjectResults[Communicate - Fun (CV)],MATCH(CoreValuesResults[[#This Row],[Team '#]],InnovationProjectResults[Team '#],0))</calculatedColumnFormula>
    </tableColumn>
    <tableColumn id="22" xr3:uid="{00000000-0010-0000-0A00-000016000000}" name="Identify - Research (CV-RD)" dataDxfId="59">
      <calculatedColumnFormula>INDEX(RobotDesignResults[Identify - Research (CV)],MATCH(CoreValuesResults[[#This Row],[Team '#]],RobotDesignResults[Team '#],0))</calculatedColumnFormula>
    </tableColumn>
    <tableColumn id="25" xr3:uid="{00000000-0010-0000-0A00-000019000000}" name="Design - Ideas (CV-RD)" dataDxfId="58">
      <calculatedColumnFormula>INDEX(RobotDesignResults[Design - Ideas (CV)],MATCH(CoreValuesResults[[#This Row],[Team '#]],RobotDesignResults[Team '#],0))</calculatedColumnFormula>
    </tableColumn>
    <tableColumn id="24" xr3:uid="{00000000-0010-0000-0A00-000018000000}" name="Iterate - Improvements (CV-RD)" dataDxfId="57">
      <calculatedColumnFormula>INDEX(RobotDesignResults[Iterate - Improvements (CV)],MATCH(CoreValuesResults[[#This Row],[Team '#]],RobotDesignResults[Team '#],0))</calculatedColumnFormula>
    </tableColumn>
    <tableColumn id="23" xr3:uid="{00000000-0010-0000-0A00-000017000000}" name="Communicate - Impact (CV-RD)" dataDxfId="56">
      <calculatedColumnFormula>INDEX(RobotDesignResults[Communicate - Impact (CV)],MATCH(CoreValuesResults[[#This Row],[Team '#]],RobotDesignResults[Team '#],0))</calculatedColumnFormula>
    </tableColumn>
    <tableColumn id="13" xr3:uid="{00000000-0010-0000-0A00-00000D000000}" name="Communicate - Fun (CV-RD)" dataDxfId="55">
      <calculatedColumnFormula>INDEX(RobotDesignResults[Communicate - Fun (CV)],MATCH(CoreValuesResults[[#This Row],[Team '#]],RobotDesignResults[Team '#],0))</calculatedColumnFormula>
    </tableColumn>
    <tableColumn id="7" xr3:uid="{00000000-0010-0000-0A00-000007000000}" name="Gracious Professionalism 1" dataDxfId="54"/>
    <tableColumn id="8" xr3:uid="{00000000-0010-0000-0A00-000008000000}" name="Gracious Professionalism 2" dataDxfId="53"/>
    <tableColumn id="6" xr3:uid="{00000000-0010-0000-0A00-000006000000}" name="Gracious Professionalism 3" dataDxfId="52"/>
    <tableColumn id="14" xr3:uid="{00000000-0010-0000-0A00-00000E000000}" name="Gracious Professionalism Total" dataDxfId="51">
      <calculatedColumnFormula>SUM(CoreValuesResults[[#This Row],[Gracious Professionalism 1]:[Gracious Professionalism 3]])</calculatedColumnFormula>
    </tableColumn>
    <tableColumn id="18" xr3:uid="{00000000-0010-0000-0A00-000012000000}" name="Gracious Professionalism Score" dataDxfId="50">
      <calculatedColumnFormula>SUM(N2:Q2)</calculatedColumnFormula>
    </tableColumn>
    <tableColumn id="19" xr3:uid="{00000000-0010-0000-0A00-000013000000}" name="Core Values Score" dataDxfId="49">
      <calculatedColumnFormula>SUM(CoreValuesResults[[#This Row],[Identify - Research (CV-IP)]:[Communicate - Fun (CV-RD)]],CoreValuesResults[[#This Row],[Gracious Professionalism Score]])</calculatedColumnFormula>
    </tableColumn>
    <tableColumn id="20" xr3:uid="{00000000-0010-0000-0A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ChampionsDelib" displayName="ChampionsDelib" ref="B3:E18" totalsRowShown="0" headerRowDxfId="47" dataDxfId="46">
  <autoFilter ref="B3:E18" xr:uid="{00000000-0009-0000-0100-00000C000000}"/>
  <tableColumns count="4">
    <tableColumn id="1" xr3:uid="{00000000-0010-0000-0B00-000001000000}" name="Team Number" dataDxfId="45"/>
    <tableColumn id="2" xr3:uid="{00000000-0010-0000-0B00-000002000000}" name="Team Name" dataDxfId="44">
      <calculatedColumnFormula>IF(ISNA(INDEX(OfficialTeamList[Team Name],MATCH(ChampionsDelib[[#This Row],[Team Number]], OfficialTeamList[Team '#],0))),"",INDEX(OfficialTeamList[Team Name],MATCH(ChampionsDelib[[#This Row],[Team Number]], OfficialTeamList[Team '#],0)))</calculatedColumnFormula>
    </tableColumn>
    <tableColumn id="3" xr3:uid="{00000000-0010-0000-0B00-000003000000}" name="Champion's Rank" dataDxfId="43">
      <calculatedColumnFormula>IF(ISNA(INDEX(TournamentData[Champion''s Rank],MATCH(ChampionsDelib[[#This Row],[Team Number]],TournamentData[Team '#],0))),NumberOfTeams+1,INDEX(TournamentData[Champion''s Rank],MATCH(ChampionsDelib[[#This Row],[Team Number]],TournamentData[Team '#],0)))</calculatedColumnFormula>
    </tableColumn>
    <tableColumn id="4" xr3:uid="{00000000-0010-0000-0B00-000004000000}" name="Deliberated Rank" dataDxfId="42"/>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RobotGameDelib" displayName="RobotGameDelib" ref="G3:J18" totalsRowShown="0" headerRowDxfId="41" dataDxfId="40">
  <autoFilter ref="G3:J18" xr:uid="{00000000-0009-0000-0100-00000D000000}"/>
  <tableColumns count="4">
    <tableColumn id="1" xr3:uid="{00000000-0010-0000-0C00-000001000000}" name="Team Number" dataDxfId="39"/>
    <tableColumn id="2" xr3:uid="{00000000-0010-0000-0C00-000002000000}" name="Team Name" dataDxfId="38">
      <calculatedColumnFormula>IF(ISNA(INDEX(OfficialTeamList[Team Name],MATCH(RobotGameDelib[[#This Row],[Team Number]], OfficialTeamList[Team '#],0))),"",INDEX(OfficialTeamList[Team Name],MATCH(RobotGameDelib[[#This Row],[Team Number]], OfficialTeamList[Team '#],0)))</calculatedColumnFormula>
    </tableColumn>
    <tableColumn id="3" xr3:uid="{00000000-0010-0000-0C00-000003000000}" name="Champion's Rank" dataDxfId="37">
      <calculatedColumnFormula>IF(ISNA(INDEX(TournamentData[Champion''s Rank],MATCH(RobotGameDelib[[#This Row],[Team Number]],TournamentData[Team '#],0))),NumberOfTeams+1,INDEX(TournamentData[Champion''s Rank],MATCH(RobotGameDelib[[#This Row],[Team Number]],TournamentData[Team '#],0)))</calculatedColumnFormula>
    </tableColumn>
    <tableColumn id="4" xr3:uid="{00000000-0010-0000-0C00-000004000000}" name="Deliberated Rank" dataDxfId="36"/>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CoreValuesDelib" displayName="CoreValuesDelib" ref="B21:E36" totalsRowShown="0" headerRowDxfId="35" dataDxfId="34">
  <autoFilter ref="B21:E36" xr:uid="{00000000-0009-0000-0100-00000E000000}"/>
  <tableColumns count="4">
    <tableColumn id="1" xr3:uid="{00000000-0010-0000-0D00-000001000000}" name="Team Number" dataDxfId="33"/>
    <tableColumn id="2" xr3:uid="{00000000-0010-0000-0D00-000002000000}" name="Team Name" dataDxfId="32">
      <calculatedColumnFormula>IF(ISNA(INDEX(OfficialTeamList[Team Name],MATCH(CoreValuesDelib[[#This Row],[Team Number]], OfficialTeamList[Team '#],0))),"",INDEX(OfficialTeamList[Team Name],MATCH(CoreValuesDelib[[#This Row],[Team Number]], OfficialTeamList[Team '#],0)))</calculatedColumnFormula>
    </tableColumn>
    <tableColumn id="3" xr3:uid="{00000000-0010-0000-0D00-000003000000}" name="Core Values Rank" dataDxfId="31">
      <calculatedColumnFormula>IF(ISNA(INDEX(CoreValuesResults[Core Values Rank],MATCH(CoreValuesDelib[[#This Row],[Team Number]],CoreValuesResults[Team '#],0))),NumberOfTeams+1,INDEX(CoreValuesResults[Core Values Rank],MATCH(CoreValuesDelib[[#This Row],[Team Number]],CoreValuesResults[Team '#],0)))</calculatedColumnFormula>
    </tableColumn>
    <tableColumn id="4" xr3:uid="{00000000-0010-0000-0D00-000004000000}" name="Deliberated Rank" dataDxfId="30"/>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RobotDesignDelib" displayName="RobotDesignDelib" ref="G21:J36" totalsRowShown="0" headerRowDxfId="29" dataDxfId="28">
  <autoFilter ref="G21:J36" xr:uid="{00000000-0009-0000-0100-00000F000000}"/>
  <tableColumns count="4">
    <tableColumn id="1" xr3:uid="{00000000-0010-0000-0E00-000001000000}" name="Team Number" dataDxfId="27"/>
    <tableColumn id="2" xr3:uid="{00000000-0010-0000-0E00-000002000000}" name="Team Name" dataDxfId="26">
      <calculatedColumnFormula>IF(ISNA(INDEX(OfficialTeamList[Team Name],MATCH(RobotDesignDelib[[#This Row],[Team Number]], OfficialTeamList[Team '#],0))),"",INDEX(OfficialTeamList[Team Name],MATCH(RobotDesignDelib[[#This Row],[Team Number]], OfficialTeamList[Team '#],0)))</calculatedColumnFormula>
    </tableColumn>
    <tableColumn id="3" xr3:uid="{00000000-0010-0000-0E00-000003000000}" name="Robot Design Rank" dataDxfId="25">
      <calculatedColumnFormula>IF(ISNA(INDEX(RobotDesignResults[Robot Design Rank],MATCH(RobotDesignDelib[[#This Row],[Team Number]],RobotDesignResults[Team '#],0))),NumberOfTeams+1,INDEX(RobotDesignResults[Robot Design Rank],MATCH(RobotDesignDelib[[#This Row],[Team Number]],RobotDesignResults[Team '#],0)))</calculatedColumnFormula>
    </tableColumn>
    <tableColumn id="4" xr3:uid="{00000000-0010-0000-0E00-000004000000}" name="Deliberated Rank" dataDxfId="24"/>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InnovationProjectDelib" displayName="InnovationProjectDelib" ref="L21:O36" totalsRowShown="0" headerRowDxfId="23" dataDxfId="22">
  <autoFilter ref="L21:O36" xr:uid="{00000000-0009-0000-0100-000010000000}"/>
  <tableColumns count="4">
    <tableColumn id="1" xr3:uid="{00000000-0010-0000-0F00-000001000000}" name="Team Number" dataDxfId="21"/>
    <tableColumn id="2" xr3:uid="{00000000-0010-0000-0F00-000002000000}" name="Team Name" dataDxfId="20">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xr3:uid="{00000000-0010-0000-0F00-000003000000}" name="Innovation Project Rank" dataDxfId="19">
      <calculatedColumnFormula>IF(ISNA(INDEX(InnovationProjectResults[Innovation Project Rank],MATCH(InnovationProjectDelib[[#This Row],[Team Number]],InnovationProjectResults[Team '#],0))),NumberOfTeams+1,INDEX(InnovationProjectResults[Innovation Project Rank],MATCH(InnovationProjectDelib[[#This Row],[Team Number]],InnovationProjectResults[Team '#],0)))</calculatedColumnFormula>
    </tableColumn>
    <tableColumn id="4" xr3:uid="{00000000-0010-0000-0F00-000004000000}" name="Deliberated Rank" dataDxfId="18"/>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BreakthroughDelib" displayName="BreakthroughDelib" ref="B39:E54" totalsRowShown="0" headerRowDxfId="17" dataDxfId="16">
  <autoFilter ref="B39:E54" xr:uid="{00000000-0009-0000-0100-000011000000}"/>
  <tableColumns count="4">
    <tableColumn id="1" xr3:uid="{00000000-0010-0000-1000-000001000000}" name="Team Number" dataDxfId="15"/>
    <tableColumn id="2" xr3:uid="{00000000-0010-0000-1000-000002000000}" name="Team Name" dataDxfId="14">
      <calculatedColumnFormula>IF(ISNA(INDEX(OfficialTeamList[Team Name],MATCH(BreakthroughDelib[[#This Row],[Team Number]], OfficialTeamList[Team '#],0))),"",INDEX(OfficialTeamList[Team Name],MATCH(BreakthroughDelib[[#This Row],[Team Number]], OfficialTeamList[Team '#],0)))</calculatedColumnFormula>
    </tableColumn>
    <tableColumn id="3" xr3:uid="{00000000-0010-0000-1000-000003000000}" name="Champion's Rank" dataDxfId="13">
      <calculatedColumnFormula>IF(ISNA(INDEX(TournamentData[Champion''s Rank],MATCH(BreakthroughDelib[[#This Row],[Team Number]],TournamentData[Team '#],0))),NumberOfTeams+1,INDEX(TournamentData[Champion''s Rank],MATCH(BreakthroughDelib[[#This Row],[Team Number]],TournamentData[Team '#],0)))</calculatedColumnFormula>
    </tableColumn>
    <tableColumn id="4" xr3:uid="{00000000-0010-0000-1000-000004000000}" name="Deliberated Rank" dataDxfId="12"/>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RookiAllStarDelib" displayName="RookiAllStarDelib" ref="G39:J54" totalsRowShown="0" headerRowDxfId="11" dataDxfId="10">
  <autoFilter ref="G39:J54" xr:uid="{00000000-0009-0000-0100-000012000000}"/>
  <tableColumns count="4">
    <tableColumn id="1" xr3:uid="{00000000-0010-0000-1100-000001000000}" name="Team Number" dataDxfId="9"/>
    <tableColumn id="2" xr3:uid="{00000000-0010-0000-1100-000002000000}" name="Team Name" dataDxfId="8">
      <calculatedColumnFormula>IF(ISNA(INDEX(OfficialTeamList[Team Name],MATCH(RookiAllStarDelib[[#This Row],[Team Number]], OfficialTeamList[Team '#],0))),"",INDEX(OfficialTeamList[Team Name],MATCH(RookiAllStarDelib[[#This Row],[Team Number]], OfficialTeamList[Team '#],0)))</calculatedColumnFormula>
    </tableColumn>
    <tableColumn id="3" xr3:uid="{00000000-0010-0000-1100-000003000000}" name="Champion's Rank" dataDxfId="7">
      <calculatedColumnFormula>IF(ISNA(INDEX(TournamentData[Champion''s Rank],MATCH(RookiAllStarDelib[[#This Row],[Team Number]],TournamentData[Team '#],0))),NumberOfTeams+1,INDEX(TournamentData[Champion''s Rank],MATCH(RookiAllStarDelib[[#This Row],[Team Number]],TournamentData[Team '#],0)))</calculatedColumnFormula>
    </tableColumn>
    <tableColumn id="4" xr3:uid="{00000000-0010-0000-1100-000004000000}" name="Deliberated Rank" dataDxfId="6"/>
  </tableColumns>
  <tableStyleInfo name="TableStyleMedium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MotivateDelib" displayName="MotivateDelib" ref="L39:O54" totalsRowShown="0" headerRowDxfId="5" dataDxfId="4">
  <autoFilter ref="L39:O54" xr:uid="{00000000-0009-0000-0100-000013000000}"/>
  <tableColumns count="4">
    <tableColumn id="1" xr3:uid="{00000000-0010-0000-1200-000001000000}" name="Team Number" dataDxfId="3"/>
    <tableColumn id="2" xr3:uid="{00000000-0010-0000-1200-000002000000}" name="Team Name" dataDxfId="2">
      <calculatedColumnFormula>IF(ISNA(INDEX(OfficialTeamList[Team Name],MATCH(MotivateDelib[[#This Row],[Team Number]], OfficialTeamList[Team '#],0))),"",INDEX(OfficialTeamList[Team Name],MATCH(MotivateDelib[[#This Row],[Team Number]], OfficialTeamList[Team '#],0)))</calculatedColumnFormula>
    </tableColumn>
    <tableColumn id="3" xr3:uid="{00000000-0010-0000-1200-000003000000}" name="Champion's Rank" dataDxfId="1">
      <calculatedColumnFormula>IF(ISNA(INDEX(TournamentData[Champion''s Rank],MATCH(MotivateDelib[[#This Row],[Team Number]],TournamentData[Team '#],0))),NumberOfTeams+1,INDEX(TournamentData[Champion''s Rank],MATCH(MotivateDelib[[#This Row],[Team Number]],TournamentData[Team '#],0)))</calculatedColumnFormula>
    </tableColumn>
    <tableColumn id="4" xr3:uid="{00000000-0010-0000-12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table" Target="../tables/table13.xml"/><Relationship Id="rId1" Type="http://schemas.openxmlformats.org/officeDocument/2006/relationships/table" Target="../tables/table12.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3" customWidth="1"/>
    <col min="3" max="3" width="210.28515625" style="33" customWidth="1"/>
    <col min="4" max="4" width="9.140625" style="33" customWidth="1"/>
    <col min="5" max="16384" width="9.140625" style="33"/>
  </cols>
  <sheetData>
    <row r="1" spans="2:3" ht="115.5" customHeight="1" x14ac:dyDescent="0.25">
      <c r="C1" s="82" t="s">
        <v>0</v>
      </c>
    </row>
    <row r="2" spans="2:3" ht="102.75" customHeight="1" x14ac:dyDescent="0.25">
      <c r="C2" s="81" t="s">
        <v>1</v>
      </c>
    </row>
    <row r="3" spans="2:3" ht="39.75" customHeight="1" x14ac:dyDescent="0.25">
      <c r="C3" s="91" t="s">
        <v>2</v>
      </c>
    </row>
    <row r="4" spans="2:3" ht="110.25" customHeight="1" x14ac:dyDescent="0.25">
      <c r="B4" s="89" t="s">
        <v>3</v>
      </c>
      <c r="C4" s="83" t="s">
        <v>4</v>
      </c>
    </row>
    <row r="5" spans="2:3" ht="36" customHeight="1" x14ac:dyDescent="0.25">
      <c r="B5" s="88"/>
      <c r="C5" s="36"/>
    </row>
    <row r="6" spans="2:3" ht="121.5" customHeight="1" x14ac:dyDescent="0.25">
      <c r="B6" s="89" t="s">
        <v>5</v>
      </c>
      <c r="C6" s="83" t="s">
        <v>6</v>
      </c>
    </row>
    <row r="7" spans="2:3" ht="31.5" customHeight="1" x14ac:dyDescent="0.25">
      <c r="B7" s="90"/>
    </row>
    <row r="8" spans="2:3" ht="138" customHeight="1" x14ac:dyDescent="0.25">
      <c r="B8" s="90"/>
      <c r="C8" s="84" t="s">
        <v>7</v>
      </c>
    </row>
    <row r="9" spans="2:3" ht="117" customHeight="1" x14ac:dyDescent="0.25">
      <c r="B9" s="89" t="s">
        <v>8</v>
      </c>
      <c r="C9" s="83" t="s">
        <v>9</v>
      </c>
    </row>
    <row r="10" spans="2:3" ht="52.9" customHeight="1" x14ac:dyDescent="0.25">
      <c r="B10" s="90"/>
      <c r="C10" s="84" t="s">
        <v>10</v>
      </c>
    </row>
    <row r="11" spans="2:3" ht="1.9" customHeight="1" x14ac:dyDescent="0.25">
      <c r="B11" s="90"/>
    </row>
    <row r="12" spans="2:3" ht="20.45" customHeight="1" x14ac:dyDescent="0.25">
      <c r="B12" s="90"/>
    </row>
    <row r="13" spans="2:3" ht="73.5" customHeight="1" x14ac:dyDescent="0.25">
      <c r="B13" s="89" t="s">
        <v>11</v>
      </c>
      <c r="C13" s="83" t="s">
        <v>12</v>
      </c>
    </row>
    <row r="14" spans="2:3" ht="95.25" customHeight="1" x14ac:dyDescent="0.25">
      <c r="B14" s="89" t="s">
        <v>13</v>
      </c>
      <c r="C14" s="88" t="s">
        <v>14</v>
      </c>
    </row>
    <row r="15" spans="2:3" ht="105" customHeight="1" x14ac:dyDescent="0.25">
      <c r="B15" s="89" t="s">
        <v>15</v>
      </c>
      <c r="C15" s="88" t="s">
        <v>16</v>
      </c>
    </row>
    <row r="16" spans="2:3" ht="30" customHeight="1" x14ac:dyDescent="0.25">
      <c r="B16" s="37"/>
      <c r="C16" s="34"/>
    </row>
    <row r="17" spans="2:3" ht="39.950000000000003" customHeight="1" thickBot="1" x14ac:dyDescent="0.3">
      <c r="C17" s="35" t="s">
        <v>17</v>
      </c>
    </row>
    <row r="18" spans="2:3" ht="63.75" customHeight="1" thickBot="1" x14ac:dyDescent="0.3">
      <c r="B18" s="34"/>
      <c r="C18" s="85" t="s">
        <v>18</v>
      </c>
    </row>
    <row r="19" spans="2:3" ht="39.950000000000003" customHeight="1" thickBot="1" x14ac:dyDescent="0.3">
      <c r="C19" s="87" t="s">
        <v>19</v>
      </c>
    </row>
    <row r="20" spans="2:3" ht="63" customHeight="1" thickBot="1" x14ac:dyDescent="0.3">
      <c r="C20" s="87" t="s">
        <v>20</v>
      </c>
    </row>
    <row r="21" spans="2:3" ht="60" customHeight="1" thickBot="1" x14ac:dyDescent="0.3">
      <c r="C21" s="86" t="s">
        <v>21</v>
      </c>
    </row>
    <row r="22" spans="2:3" ht="39.950000000000003" customHeight="1" thickBot="1" x14ac:dyDescent="0.3">
      <c r="C22" s="86" t="s">
        <v>22</v>
      </c>
    </row>
    <row r="23" spans="2:3" ht="39.950000000000003" customHeight="1" thickBot="1" x14ac:dyDescent="0.3">
      <c r="C23" s="87" t="s">
        <v>23</v>
      </c>
    </row>
  </sheetData>
  <sheetProtection password="CB4D" sheet="1" formatCells="0" formatColumns="0" formatRows="0" selectLockedCells="1" sort="0" autoFilter="0"/>
  <pageMargins left="0.7" right="0.7" top="0.75" bottom="0.75" header="0.3" footer="0.3"/>
  <pageSetup scale="39" fitToHeight="0" orientation="portrait" horizontalDpi="1200" verticalDpi="12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7"/>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5.28515625" style="5" customWidth="1"/>
    <col min="6" max="9" width="9.140625" style="5" customWidth="1"/>
    <col min="10" max="16384" width="9.140625" style="5"/>
  </cols>
  <sheetData>
    <row r="1" spans="1:9" s="1" customFormat="1" ht="61.5" customHeight="1" thickBot="1" x14ac:dyDescent="0.3">
      <c r="A1" s="103" t="s">
        <v>24</v>
      </c>
      <c r="B1" s="104"/>
      <c r="C1" s="104"/>
      <c r="D1" s="104"/>
      <c r="E1" s="7" t="s">
        <v>25</v>
      </c>
      <c r="F1" s="79">
        <f>COUNT(OfficialTeamList[Team '#])</f>
        <v>5</v>
      </c>
      <c r="G1" s="79" t="s">
        <v>26</v>
      </c>
      <c r="H1" s="80">
        <f>MAX(OfficialTeamList[Pod Number])</f>
        <v>0</v>
      </c>
      <c r="I1" s="78"/>
    </row>
    <row r="2" spans="1:9" s="2" customFormat="1" ht="21" customHeight="1" thickBot="1" x14ac:dyDescent="0.3">
      <c r="A2" s="7" t="s">
        <v>27</v>
      </c>
      <c r="B2" s="7" t="s">
        <v>28</v>
      </c>
      <c r="C2" s="6" t="s">
        <v>29</v>
      </c>
      <c r="D2" s="6" t="s">
        <v>30</v>
      </c>
      <c r="E2" s="97" t="s">
        <v>31</v>
      </c>
      <c r="F2" s="98" t="b">
        <v>0</v>
      </c>
      <c r="G2" s="3" t="s">
        <v>32</v>
      </c>
    </row>
    <row r="3" spans="1:9" s="2" customFormat="1" ht="21" customHeight="1" x14ac:dyDescent="0.25">
      <c r="A3" s="68">
        <v>9021</v>
      </c>
      <c r="B3" s="68" t="s">
        <v>33</v>
      </c>
      <c r="C3" s="68" t="s">
        <v>34</v>
      </c>
      <c r="D3" s="69">
        <v>0</v>
      </c>
      <c r="H3" s="3"/>
    </row>
    <row r="4" spans="1:9" ht="15" x14ac:dyDescent="0.25">
      <c r="A4">
        <v>62149</v>
      </c>
      <c r="B4" t="s">
        <v>35</v>
      </c>
      <c r="C4" t="s">
        <v>36</v>
      </c>
      <c r="D4">
        <v>0</v>
      </c>
    </row>
    <row r="5" spans="1:9" ht="15" x14ac:dyDescent="0.25">
      <c r="A5">
        <v>62706</v>
      </c>
      <c r="B5" t="s">
        <v>37</v>
      </c>
      <c r="C5" t="s">
        <v>38</v>
      </c>
      <c r="D5">
        <v>0</v>
      </c>
    </row>
    <row r="6" spans="1:9" ht="15" x14ac:dyDescent="0.25">
      <c r="A6">
        <v>73002</v>
      </c>
      <c r="B6" t="s">
        <v>39</v>
      </c>
      <c r="C6" t="s">
        <v>40</v>
      </c>
      <c r="D6">
        <v>0</v>
      </c>
    </row>
    <row r="7" spans="1:9" ht="15" x14ac:dyDescent="0.25">
      <c r="A7">
        <v>73106</v>
      </c>
      <c r="B7" t="s">
        <v>41</v>
      </c>
      <c r="C7" t="s">
        <v>42</v>
      </c>
      <c r="D7">
        <v>0</v>
      </c>
    </row>
  </sheetData>
  <sheetProtection password="CB4D" sheet="1" formatCells="0" formatColumns="0" formatRows="0" selectLockedCells="1" sort="0" autoFilter="0"/>
  <mergeCells count="1">
    <mergeCell ref="A1:D1"/>
  </mergeCells>
  <dataValidations count="1">
    <dataValidation type="list" allowBlank="1" showInputMessage="1" showErrorMessage="1" sqref="F2" xr:uid="{00000000-0002-0000-0100-000000000000}">
      <formula1>"TRUE,FALSE"</formula1>
    </dataValidation>
  </dataValidations>
  <pageMargins left="0.7" right="0.7" top="0.75" bottom="0.75" header="0.3" footer="0.3"/>
  <pageSetup orientation="portrait" horizontalDpi="1200" verticalDpi="120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43</v>
      </c>
    </row>
    <row r="2" spans="1:1" x14ac:dyDescent="0.25">
      <c r="A2" t="s">
        <v>44</v>
      </c>
    </row>
    <row r="3" spans="1:1" x14ac:dyDescent="0.25">
      <c r="A3" t="s">
        <v>45</v>
      </c>
    </row>
    <row r="4" spans="1:1" x14ac:dyDescent="0.25">
      <c r="A4" t="s">
        <v>46</v>
      </c>
    </row>
  </sheetData>
  <sheetProtection password="CB4D" sheet="1" formatCells="0" formatColumns="0" formatRows="0"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B9"/>
  <sheetViews>
    <sheetView workbookViewId="0">
      <selection activeCell="A2" sqref="A2"/>
    </sheetView>
  </sheetViews>
  <sheetFormatPr defaultRowHeight="15" x14ac:dyDescent="0.25"/>
  <cols>
    <col min="1" max="1" width="29.42578125" customWidth="1"/>
    <col min="2" max="2" width="75.85546875" customWidth="1"/>
  </cols>
  <sheetData>
    <row r="1" spans="1:2" x14ac:dyDescent="0.25">
      <c r="A1" t="s">
        <v>47</v>
      </c>
      <c r="B1" t="s">
        <v>48</v>
      </c>
    </row>
    <row r="2" spans="1:2" x14ac:dyDescent="0.25">
      <c r="A2" t="s">
        <v>49</v>
      </c>
      <c r="B2" t="s">
        <v>50</v>
      </c>
    </row>
    <row r="3" spans="1:2" x14ac:dyDescent="0.25">
      <c r="A3" t="s">
        <v>51</v>
      </c>
      <c r="B3" t="s">
        <v>52</v>
      </c>
    </row>
    <row r="4" spans="1:2" x14ac:dyDescent="0.25">
      <c r="A4" t="s">
        <v>53</v>
      </c>
      <c r="B4" t="s">
        <v>54</v>
      </c>
    </row>
    <row r="5" spans="1:2" x14ac:dyDescent="0.25">
      <c r="A5" t="s">
        <v>55</v>
      </c>
      <c r="B5" t="s">
        <v>56</v>
      </c>
    </row>
    <row r="6" spans="1:2" x14ac:dyDescent="0.25">
      <c r="A6" t="s">
        <v>57</v>
      </c>
      <c r="B6" t="s">
        <v>58</v>
      </c>
    </row>
    <row r="7" spans="1:2" x14ac:dyDescent="0.25">
      <c r="A7" t="s">
        <v>59</v>
      </c>
      <c r="B7" t="b">
        <v>1</v>
      </c>
    </row>
    <row r="8" spans="1:2" x14ac:dyDescent="0.25">
      <c r="A8" t="s">
        <v>60</v>
      </c>
      <c r="B8" t="s">
        <v>61</v>
      </c>
    </row>
    <row r="9" spans="1:2" x14ac:dyDescent="0.25">
      <c r="A9" t="s">
        <v>62</v>
      </c>
      <c r="B9">
        <v>1</v>
      </c>
    </row>
  </sheetData>
  <sheetProtection password="CB4D" sheet="1" formatCells="0" formatColumns="0" formatRows="0" selectLockedCells="1" sort="0"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D7"/>
  <sheetViews>
    <sheetView workbookViewId="0"/>
  </sheetViews>
  <sheetFormatPr defaultRowHeight="15" x14ac:dyDescent="0.25"/>
  <cols>
    <col min="1" max="2" width="34.5703125" customWidth="1"/>
    <col min="4" max="4" width="30.28515625" customWidth="1"/>
  </cols>
  <sheetData>
    <row r="1" spans="1:4" x14ac:dyDescent="0.25">
      <c r="A1" t="s">
        <v>63</v>
      </c>
      <c r="B1" t="s">
        <v>64</v>
      </c>
      <c r="D1" t="s">
        <v>65</v>
      </c>
    </row>
    <row r="2" spans="1:4" x14ac:dyDescent="0.25">
      <c r="A2" t="s">
        <v>66</v>
      </c>
      <c r="B2" t="s">
        <v>67</v>
      </c>
      <c r="D2" t="s">
        <v>68</v>
      </c>
    </row>
    <row r="3" spans="1:4" x14ac:dyDescent="0.25">
      <c r="A3" t="s">
        <v>69</v>
      </c>
      <c r="B3" t="s">
        <v>70</v>
      </c>
    </row>
    <row r="4" spans="1:4" x14ac:dyDescent="0.25">
      <c r="A4" t="s">
        <v>71</v>
      </c>
      <c r="B4" t="s">
        <v>72</v>
      </c>
    </row>
    <row r="5" spans="1:4" x14ac:dyDescent="0.25">
      <c r="A5" t="s">
        <v>73</v>
      </c>
      <c r="B5" t="s">
        <v>74</v>
      </c>
    </row>
    <row r="6" spans="1:4" x14ac:dyDescent="0.25">
      <c r="A6" t="s">
        <v>75</v>
      </c>
      <c r="B6" t="s">
        <v>76</v>
      </c>
    </row>
    <row r="7" spans="1:4" x14ac:dyDescent="0.25">
      <c r="A7" t="s">
        <v>77</v>
      </c>
      <c r="B7" t="s">
        <v>76</v>
      </c>
    </row>
  </sheetData>
  <sheetProtection password="CB4D" sheet="1" formatCells="0" formatColumns="0" formatRows="0"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J11"/>
  <sheetViews>
    <sheetView workbookViewId="0">
      <selection activeCell="A2" sqref="A2"/>
    </sheetView>
  </sheetViews>
  <sheetFormatPr defaultRowHeight="15" x14ac:dyDescent="0.25"/>
  <cols>
    <col min="1" max="1" width="17.5703125" bestFit="1" customWidth="1"/>
    <col min="2" max="2" width="8" bestFit="1" customWidth="1"/>
    <col min="3" max="3" width="13.7109375" bestFit="1" customWidth="1"/>
    <col min="4" max="4" width="10.85546875" bestFit="1" customWidth="1"/>
    <col min="5" max="7" width="9" bestFit="1" customWidth="1"/>
    <col min="8" max="9" width="13.5703125" bestFit="1" customWidth="1"/>
    <col min="10" max="10" width="16.85546875" bestFit="1" customWidth="1"/>
  </cols>
  <sheetData>
    <row r="1" spans="1:10" x14ac:dyDescent="0.25">
      <c r="A1" t="s">
        <v>78</v>
      </c>
      <c r="B1" t="s">
        <v>79</v>
      </c>
      <c r="C1" t="s">
        <v>80</v>
      </c>
      <c r="D1" t="s">
        <v>81</v>
      </c>
      <c r="E1" t="s">
        <v>82</v>
      </c>
      <c r="F1" t="s">
        <v>83</v>
      </c>
      <c r="G1" t="s">
        <v>84</v>
      </c>
      <c r="H1" t="s">
        <v>85</v>
      </c>
      <c r="I1" t="s">
        <v>86</v>
      </c>
      <c r="J1" t="s">
        <v>87</v>
      </c>
    </row>
    <row r="2" spans="1:10" x14ac:dyDescent="0.25">
      <c r="A2" t="s">
        <v>67</v>
      </c>
      <c r="B2" t="s">
        <v>88</v>
      </c>
      <c r="C2" t="s">
        <v>89</v>
      </c>
      <c r="D2">
        <v>1</v>
      </c>
      <c r="E2" t="s">
        <v>66</v>
      </c>
      <c r="F2" t="s">
        <v>90</v>
      </c>
      <c r="G2" t="s">
        <v>91</v>
      </c>
      <c r="H2" t="s">
        <v>92</v>
      </c>
      <c r="I2" t="s">
        <v>93</v>
      </c>
    </row>
    <row r="3" spans="1:10" x14ac:dyDescent="0.25">
      <c r="A3" t="s">
        <v>70</v>
      </c>
      <c r="B3" t="s">
        <v>94</v>
      </c>
      <c r="C3" t="s">
        <v>89</v>
      </c>
      <c r="D3">
        <v>1</v>
      </c>
      <c r="E3" t="s">
        <v>69</v>
      </c>
      <c r="F3" t="s">
        <v>95</v>
      </c>
      <c r="G3" t="s">
        <v>96</v>
      </c>
      <c r="H3" t="s">
        <v>97</v>
      </c>
      <c r="I3" t="s">
        <v>98</v>
      </c>
    </row>
    <row r="4" spans="1:10" x14ac:dyDescent="0.25">
      <c r="A4" t="s">
        <v>72</v>
      </c>
      <c r="B4" t="s">
        <v>99</v>
      </c>
      <c r="C4" t="s">
        <v>89</v>
      </c>
      <c r="D4">
        <v>1</v>
      </c>
      <c r="E4" t="s">
        <v>71</v>
      </c>
      <c r="F4" t="s">
        <v>100</v>
      </c>
      <c r="G4" t="s">
        <v>101</v>
      </c>
      <c r="H4" t="s">
        <v>102</v>
      </c>
      <c r="I4" t="s">
        <v>103</v>
      </c>
    </row>
    <row r="5" spans="1:10" x14ac:dyDescent="0.25">
      <c r="A5" t="s">
        <v>74</v>
      </c>
      <c r="B5" t="s">
        <v>104</v>
      </c>
      <c r="C5" t="s">
        <v>89</v>
      </c>
      <c r="D5">
        <v>1</v>
      </c>
      <c r="E5" t="s">
        <v>73</v>
      </c>
      <c r="F5" t="s">
        <v>105</v>
      </c>
      <c r="G5" t="s">
        <v>106</v>
      </c>
      <c r="H5" t="s">
        <v>107</v>
      </c>
      <c r="I5" t="s">
        <v>108</v>
      </c>
    </row>
    <row r="6" spans="1:10" x14ac:dyDescent="0.25">
      <c r="A6" t="s">
        <v>76</v>
      </c>
      <c r="B6" t="s">
        <v>109</v>
      </c>
      <c r="C6" t="s">
        <v>110</v>
      </c>
      <c r="D6">
        <v>2</v>
      </c>
      <c r="E6" t="s">
        <v>75</v>
      </c>
      <c r="F6" t="s">
        <v>77</v>
      </c>
      <c r="G6" t="s">
        <v>111</v>
      </c>
      <c r="J6" t="s">
        <v>76</v>
      </c>
    </row>
    <row r="7" spans="1:10" x14ac:dyDescent="0.25">
      <c r="A7" t="s">
        <v>112</v>
      </c>
      <c r="B7" t="s">
        <v>113</v>
      </c>
      <c r="C7" t="s">
        <v>89</v>
      </c>
      <c r="D7">
        <v>1</v>
      </c>
      <c r="E7" t="s">
        <v>68</v>
      </c>
      <c r="F7" t="s">
        <v>114</v>
      </c>
      <c r="G7" t="s">
        <v>115</v>
      </c>
      <c r="H7" t="s">
        <v>116</v>
      </c>
      <c r="I7" t="s">
        <v>117</v>
      </c>
    </row>
    <row r="8" spans="1:10" x14ac:dyDescent="0.25">
      <c r="A8" t="s">
        <v>118</v>
      </c>
      <c r="B8" t="s">
        <v>119</v>
      </c>
      <c r="C8" t="s">
        <v>110</v>
      </c>
      <c r="D8">
        <v>0</v>
      </c>
      <c r="E8" t="s">
        <v>120</v>
      </c>
      <c r="F8" t="s">
        <v>121</v>
      </c>
      <c r="G8" t="s">
        <v>122</v>
      </c>
      <c r="J8" t="s">
        <v>118</v>
      </c>
    </row>
    <row r="9" spans="1:10" x14ac:dyDescent="0.25">
      <c r="A9" t="s">
        <v>123</v>
      </c>
      <c r="B9" t="s">
        <v>124</v>
      </c>
      <c r="C9" t="s">
        <v>110</v>
      </c>
      <c r="D9">
        <v>0</v>
      </c>
      <c r="E9" t="s">
        <v>125</v>
      </c>
      <c r="F9" t="s">
        <v>126</v>
      </c>
      <c r="G9" t="s">
        <v>127</v>
      </c>
      <c r="J9" t="s">
        <v>123</v>
      </c>
    </row>
    <row r="10" spans="1:10" x14ac:dyDescent="0.25">
      <c r="A10" t="s">
        <v>128</v>
      </c>
      <c r="B10" t="s">
        <v>129</v>
      </c>
      <c r="C10" t="s">
        <v>110</v>
      </c>
      <c r="D10">
        <v>0</v>
      </c>
      <c r="E10" t="s">
        <v>130</v>
      </c>
      <c r="F10" t="s">
        <v>131</v>
      </c>
      <c r="G10" t="s">
        <v>132</v>
      </c>
      <c r="J10" t="s">
        <v>128</v>
      </c>
    </row>
    <row r="11" spans="1:10" x14ac:dyDescent="0.25">
      <c r="A11" t="s">
        <v>133</v>
      </c>
      <c r="B11" t="s">
        <v>62</v>
      </c>
      <c r="C11" t="s">
        <v>89</v>
      </c>
      <c r="D11">
        <v>1</v>
      </c>
      <c r="E11" t="s">
        <v>134</v>
      </c>
      <c r="F11" t="s">
        <v>135</v>
      </c>
      <c r="G11" t="s">
        <v>136</v>
      </c>
      <c r="H11" t="s">
        <v>137</v>
      </c>
      <c r="I11" t="s">
        <v>138</v>
      </c>
    </row>
  </sheetData>
  <sheetProtection password="CB4D" sheet="1" formatCells="0" formatColumns="0" formatRows="0" selectLockedCells="1" sort="0"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139</v>
      </c>
      <c r="C1" s="59" t="s">
        <v>140</v>
      </c>
      <c r="D1" t="s">
        <v>141</v>
      </c>
      <c r="E1" t="s">
        <v>142</v>
      </c>
      <c r="F1" t="s">
        <v>143</v>
      </c>
    </row>
    <row r="2" spans="2:6" x14ac:dyDescent="0.25">
      <c r="B2">
        <v>1</v>
      </c>
      <c r="C2" t="str">
        <f>IF(ISERR(AVERAGEIF(TournamentData[POD],'Pod Analysis'!B2,TournamentData[Champion''s Score])),"",AVERAGEIF(TournamentData[POD],'Pod Analysis'!B2,TournamentData[Champion''s Score]))</f>
        <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sheetProtection password="CB4D" sheet="1" formatCells="0" formatColumns="0" formatRows="0" selectLockedCells="1" sort="0" autoFilter="0"/>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FFFF00"/>
    <pageSetUpPr fitToPage="1"/>
  </sheetPr>
  <dimension ref="A1:AC7"/>
  <sheetViews>
    <sheetView tabSelected="1" zoomScaleNormal="100" workbookViewId="0">
      <pane xSplit="3" ySplit="2" topLeftCell="D3" activePane="bottomRight" state="frozen"/>
      <selection pane="topRight" activeCell="C1" sqref="C1"/>
      <selection pane="bottomLeft" activeCell="A3" sqref="A3"/>
      <selection pane="bottomRight" activeCell="P3" sqref="P3"/>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6" bestFit="1" customWidth="1"/>
    <col min="27" max="29" width="9.140625" style="25" customWidth="1"/>
    <col min="30" max="34" width="9.140625" style="24" customWidth="1"/>
    <col min="35" max="16384" width="9.140625" style="24"/>
  </cols>
  <sheetData>
    <row r="1" spans="1:26" s="43" customFormat="1" ht="54.75" customHeight="1" x14ac:dyDescent="0.25">
      <c r="A1" s="105" t="s">
        <v>144</v>
      </c>
      <c r="B1" s="106"/>
      <c r="C1" s="106"/>
      <c r="D1" s="105" t="s">
        <v>113</v>
      </c>
      <c r="E1" s="106"/>
      <c r="F1" s="106"/>
      <c r="G1" s="106"/>
      <c r="H1" s="106"/>
      <c r="I1" s="106"/>
      <c r="J1" s="106"/>
      <c r="K1" s="105" t="s">
        <v>145</v>
      </c>
      <c r="L1" s="106"/>
      <c r="M1" s="106"/>
      <c r="N1" s="105" t="s">
        <v>146</v>
      </c>
      <c r="O1" s="106"/>
      <c r="P1" s="4" t="s">
        <v>147</v>
      </c>
      <c r="Q1" s="95">
        <f>VLOOKUP("ADV", AwardDef[], 4,0)</f>
        <v>1</v>
      </c>
      <c r="R1" s="105" t="s">
        <v>148</v>
      </c>
      <c r="S1" s="106"/>
      <c r="T1" s="106"/>
      <c r="U1" s="106"/>
      <c r="V1" s="106"/>
      <c r="W1" s="96" t="str">
        <f>"You have selected " &amp; COUNTIF(TournamentData[Advance?],"Yes") &amp; " of " &amp; Q1 &amp; " permitted advancing teams" &amp; CHAR(10) &amp; IF(COUNTIF(TournamentData[Advance?],"Alt")&gt;0,"You have selected an alternative advancing team", "You have NOT selected an alternative advancing team")</f>
        <v>You have selected 0 of 1 permitted advancing teams
You have NOT selected an alternative advancing team</v>
      </c>
      <c r="X1" s="4"/>
      <c r="Z1" s="45"/>
    </row>
    <row r="2" spans="1:26" s="9" customFormat="1" ht="118.5" customHeight="1" x14ac:dyDescent="0.25">
      <c r="A2" s="47" t="s">
        <v>27</v>
      </c>
      <c r="B2" s="47" t="s">
        <v>139</v>
      </c>
      <c r="C2" s="47" t="s">
        <v>28</v>
      </c>
      <c r="D2" s="48" t="s">
        <v>149</v>
      </c>
      <c r="E2" s="48" t="s">
        <v>150</v>
      </c>
      <c r="F2" s="48" t="s">
        <v>151</v>
      </c>
      <c r="G2" s="48" t="s">
        <v>152</v>
      </c>
      <c r="H2" s="48" t="s">
        <v>153</v>
      </c>
      <c r="I2" s="48" t="s">
        <v>154</v>
      </c>
      <c r="J2" s="49" t="s">
        <v>155</v>
      </c>
      <c r="K2" s="50" t="s">
        <v>156</v>
      </c>
      <c r="L2" s="51" t="s">
        <v>157</v>
      </c>
      <c r="M2" s="52" t="s">
        <v>158</v>
      </c>
      <c r="N2" s="53" t="s">
        <v>159</v>
      </c>
      <c r="O2" s="54" t="s">
        <v>160</v>
      </c>
      <c r="P2" s="47" t="s">
        <v>63</v>
      </c>
      <c r="Q2" s="47" t="s">
        <v>161</v>
      </c>
      <c r="R2" s="27" t="s">
        <v>162</v>
      </c>
      <c r="S2" s="28" t="s">
        <v>163</v>
      </c>
      <c r="T2" s="29" t="s">
        <v>164</v>
      </c>
      <c r="U2" s="30" t="s">
        <v>165</v>
      </c>
      <c r="V2" s="31" t="s">
        <v>166</v>
      </c>
      <c r="W2" s="32" t="s">
        <v>167</v>
      </c>
      <c r="Z2" s="44"/>
    </row>
    <row r="3" spans="1:26" ht="21" customHeight="1" x14ac:dyDescent="0.25">
      <c r="A3" s="99">
        <v>9021</v>
      </c>
      <c r="B3" s="99">
        <f>INDEX(OfficialTeamList[Pod Number],MATCH(TournamentData[[#This Row],[Team '#]], OfficialTeamList[Team '#],0))</f>
        <v>0</v>
      </c>
      <c r="C3" s="94" t="str">
        <f>INDEX(OfficialTeamList[Team Name],MATCH(TournamentData[[#This Row],[Team '#]], OfficialTeamList[Team '#],0))</f>
        <v>Greenbrier Panthers</v>
      </c>
      <c r="D3" s="72">
        <f>IF(TournamentData[[#This Row],[Team '#]]="","",IF(ISNA(INDEX('Robot Game Scores'!C:C,MATCH(TournamentData[[#This Row],[Team '#]], 'Robot Game Scores'!$A:$A,0))),0,INDEX('Robot Game Scores'!C:C,MATCH(TournamentData[[#This Row],[Team '#]], 'Robot Game Scores'!$A:$A,0))))</f>
        <v>0</v>
      </c>
      <c r="E3" s="72">
        <f>IF(TournamentData[[#This Row],[Team '#]]="","",IF(ISNA(INDEX('Robot Game Scores'!D:D,MATCH(TournamentData[[#This Row],[Team '#]], 'Robot Game Scores'!$A:$A,0))),0,INDEX('Robot Game Scores'!D:D,MATCH(TournamentData[[#This Row],[Team '#]], 'Robot Game Scores'!$A:$A,0))))</f>
        <v>0</v>
      </c>
      <c r="F3" s="72">
        <f>IF(TournamentData[[#This Row],[Team '#]]="","",IF(ISNA(INDEX('Robot Game Scores'!E:E,MATCH(TournamentData[[#This Row],[Team '#]], 'Robot Game Scores'!$A:$A,0))),0,INDEX('Robot Game Scores'!E:E,MATCH(TournamentData[[#This Row],[Team '#]], 'Robot Game Scores'!$A:$A,0))))</f>
        <v>0</v>
      </c>
      <c r="G3" s="72" t="e">
        <f>IF(TournamentData[[#This Row],[Team '#]]="","",IF(ISNA(INDEX('Robot Game Scores'!#REF!,MATCH(TournamentData[[#This Row],[Team '#]], 'Robot Game Scores'!$A:$A,0))),0,INDEX('Robot Game Scores'!#REF!,MATCH(TournamentData[[#This Row],[Team '#]], 'Robot Game Scores'!$A:$A,0))))</f>
        <v>#REF!</v>
      </c>
      <c r="H3" s="72" t="e">
        <f>IF(TournamentData[[#This Row],[Team '#]]="","",IF(ISNA(INDEX('Robot Game Scores'!#REF!,MATCH(TournamentData[[#This Row],[Team '#]], 'Robot Game Scores'!$A:$A,0))),0,INDEX('Robot Game Scores'!#REF!,MATCH(TournamentData[[#This Row],[Team '#]], 'Robot Game Scores'!$A:$A,0))))</f>
        <v>#REF!</v>
      </c>
      <c r="I3"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2">
        <f>_xlfn.RANK.EQ(TournamentData[[#This Row],[Max Robot Game Score]],TournamentData[Max Robot Game Score])</f>
        <v>1</v>
      </c>
      <c r="K3" s="72">
        <f>INDEX(CoreValuesResults[Core Values Rank],MATCH(TournamentData[[#This Row],[Team '#]],CoreValuesResults[Team '#],0))</f>
        <v>1</v>
      </c>
      <c r="L3" s="72">
        <f>INDEX(InnovationProjectResults[Innovation Project Rank],MATCH(TournamentData[[#This Row],[Team '#]],InnovationProjectResults[Team '#],0))</f>
        <v>1</v>
      </c>
      <c r="M3" s="72">
        <f>INDEX(RobotDesignResults[Robot Design Rank],MATCH(TournamentData[[#This Row],[Team '#]],RobotDesignResults[Team '#],0))</f>
        <v>1</v>
      </c>
      <c r="N3" s="72">
        <f>SUM(TournamentData[[#This Row],[Robot Game Rank]:[Robot Design Rank]])</f>
        <v>4</v>
      </c>
      <c r="O3" s="100">
        <f>RANK(TournamentData[[#This Row],[Champion''s Score]],TournamentData[Champion''s Score],1)</f>
        <v>1</v>
      </c>
      <c r="P3" s="73"/>
      <c r="Q3" s="77" t="s">
        <v>45</v>
      </c>
      <c r="R3" s="74">
        <f>IF(ISNA(INDEX(CoreValuesResults[Core Values Score],MATCH(TournamentData[[#This Row],[Team '#]],CoreValuesResults[Team '#],0))),0,INDEX(CoreValuesResults[Core Values Score],MATCH(TournamentData[[#This Row],[Team '#]],CoreValuesResults[Team '#],0)))</f>
        <v>0</v>
      </c>
      <c r="S3" s="74">
        <f>IF(ISNA(INDEX(InnovationProjectResults[Innovation Project Score],MATCH(TournamentData[[#This Row],[Team '#]],InnovationProjectResults[Team '#],0))),0,INDEX(InnovationProjectResults[Innovation Project Score],MATCH(TournamentData[[#This Row],[Team '#]],InnovationProjectResults[Team '#],0)))</f>
        <v>0</v>
      </c>
      <c r="T3" s="74">
        <f>IF(ISNA(INDEX(RobotDesignResults[Robot Design Score],MATCH(TournamentData[[#This Row],[Team '#]],RobotDesignResults[Team '#],0))),0,INDEX(RobotDesignResults[Robot Design Score],MATCH(TournamentData[[#This Row],[Team '#]],RobotDesignResults[Team '#],0)))</f>
        <v>0</v>
      </c>
      <c r="U3"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73" t="e">
        <f>IF(U3,_xlfn.RANK.EQ(U3,U$3:U$3,0),NumberOfTeams)</f>
        <v>#NAME?</v>
      </c>
      <c r="W3" s="73"/>
    </row>
    <row r="4" spans="1:26" ht="21" customHeight="1" x14ac:dyDescent="0.25">
      <c r="A4" s="99">
        <v>62149</v>
      </c>
      <c r="B4" s="99">
        <f>INDEX(OfficialTeamList[Pod Number],MATCH(TournamentData[[#This Row],[Team '#]], OfficialTeamList[Team '#],0))</f>
        <v>0</v>
      </c>
      <c r="C4" s="94" t="str">
        <f>INDEX(OfficialTeamList[Team Name],MATCH(TournamentData[[#This Row],[Team '#]], OfficialTeamList[Team '#],0))</f>
        <v>Dynamite Dolphins</v>
      </c>
      <c r="D4" s="72">
        <f>IF(TournamentData[[#This Row],[Team '#]]="","",IF(ISNA(INDEX('Robot Game Scores'!C:C,MATCH(TournamentData[[#This Row],[Team '#]], 'Robot Game Scores'!$A:$A,0))),0,INDEX('Robot Game Scores'!C:C,MATCH(TournamentData[[#This Row],[Team '#]], 'Robot Game Scores'!$A:$A,0))))</f>
        <v>0</v>
      </c>
      <c r="E4" s="72">
        <f>IF(TournamentData[[#This Row],[Team '#]]="","",IF(ISNA(INDEX('Robot Game Scores'!D:D,MATCH(TournamentData[[#This Row],[Team '#]], 'Robot Game Scores'!$A:$A,0))),0,INDEX('Robot Game Scores'!D:D,MATCH(TournamentData[[#This Row],[Team '#]], 'Robot Game Scores'!$A:$A,0))))</f>
        <v>0</v>
      </c>
      <c r="F4" s="72">
        <f>IF(TournamentData[[#This Row],[Team '#]]="","",IF(ISNA(INDEX('Robot Game Scores'!E:E,MATCH(TournamentData[[#This Row],[Team '#]], 'Robot Game Scores'!$A:$A,0))),0,INDEX('Robot Game Scores'!E:E,MATCH(TournamentData[[#This Row],[Team '#]], 'Robot Game Scores'!$A:$A,0))))</f>
        <v>0</v>
      </c>
      <c r="G4" s="72" t="e">
        <f>IF(TournamentData[[#This Row],[Team '#]]="","",IF(ISNA(INDEX('Robot Game Scores'!#REF!,MATCH(TournamentData[[#This Row],[Team '#]], 'Robot Game Scores'!$A:$A,0))),0,INDEX('Robot Game Scores'!#REF!,MATCH(TournamentData[[#This Row],[Team '#]], 'Robot Game Scores'!$A:$A,0))))</f>
        <v>#REF!</v>
      </c>
      <c r="H4" s="72" t="e">
        <f>IF(TournamentData[[#This Row],[Team '#]]="","",IF(ISNA(INDEX('Robot Game Scores'!#REF!,MATCH(TournamentData[[#This Row],[Team '#]], 'Robot Game Scores'!$A:$A,0))),0,INDEX('Robot Game Scores'!#REF!,MATCH(TournamentData[[#This Row],[Team '#]], 'Robot Game Scores'!$A:$A,0))))</f>
        <v>#REF!</v>
      </c>
      <c r="I4"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 s="72">
        <f>_xlfn.RANK.EQ(TournamentData[[#This Row],[Max Robot Game Score]],TournamentData[Max Robot Game Score])</f>
        <v>1</v>
      </c>
      <c r="K4" s="72">
        <f>INDEX(CoreValuesResults[Core Values Rank],MATCH(TournamentData[[#This Row],[Team '#]],CoreValuesResults[Team '#],0))</f>
        <v>1</v>
      </c>
      <c r="L4" s="72">
        <f>INDEX(InnovationProjectResults[Innovation Project Rank],MATCH(TournamentData[[#This Row],[Team '#]],InnovationProjectResults[Team '#],0))</f>
        <v>1</v>
      </c>
      <c r="M4" s="72">
        <f>INDEX(RobotDesignResults[Robot Design Rank],MATCH(TournamentData[[#This Row],[Team '#]],RobotDesignResults[Team '#],0))</f>
        <v>1</v>
      </c>
      <c r="N4" s="72">
        <f>SUM(TournamentData[[#This Row],[Robot Game Rank]:[Robot Design Rank]])</f>
        <v>4</v>
      </c>
      <c r="O4" s="100">
        <f>RANK(TournamentData[[#This Row],[Champion''s Score]],TournamentData[Champion''s Score],1)</f>
        <v>1</v>
      </c>
      <c r="P4" s="73"/>
      <c r="Q4" s="77"/>
      <c r="R4" s="74">
        <f>IF(ISNA(INDEX(CoreValuesResults[Core Values Score],MATCH(TournamentData[[#This Row],[Team '#]],CoreValuesResults[Team '#],0))),0,INDEX(CoreValuesResults[Core Values Score],MATCH(TournamentData[[#This Row],[Team '#]],CoreValuesResults[Team '#],0)))</f>
        <v>0</v>
      </c>
      <c r="S4" s="74">
        <f>IF(ISNA(INDEX(InnovationProjectResults[Innovation Project Score],MATCH(TournamentData[[#This Row],[Team '#]],InnovationProjectResults[Team '#],0))),0,INDEX(InnovationProjectResults[Innovation Project Score],MATCH(TournamentData[[#This Row],[Team '#]],InnovationProjectResults[Team '#],0)))</f>
        <v>0</v>
      </c>
      <c r="T4" s="74">
        <f>IF(ISNA(INDEX(RobotDesignResults[Robot Design Score],MATCH(TournamentData[[#This Row],[Team '#]],RobotDesignResults[Team '#],0))),0,INDEX(RobotDesignResults[Robot Design Score],MATCH(TournamentData[[#This Row],[Team '#]],RobotDesignResults[Team '#],0)))</f>
        <v>0</v>
      </c>
      <c r="U4"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 s="73" t="e">
        <f>IF(U3,_xlfn.RANK.EQ(U3,U$3:U$3,0),NumberOfTeams)</f>
        <v>#NAME?</v>
      </c>
      <c r="W4" s="73"/>
    </row>
    <row r="5" spans="1:26" ht="21" customHeight="1" x14ac:dyDescent="0.25">
      <c r="A5" s="99">
        <v>62706</v>
      </c>
      <c r="B5" s="99">
        <f>INDEX(OfficialTeamList[Pod Number],MATCH(TournamentData[[#This Row],[Team '#]], OfficialTeamList[Team '#],0))</f>
        <v>0</v>
      </c>
      <c r="C5" s="94" t="str">
        <f>INDEX(OfficialTeamList[Team Name],MATCH(TournamentData[[#This Row],[Team '#]], OfficialTeamList[Team '#],0))</f>
        <v>OLMC Aquinas</v>
      </c>
      <c r="D5" s="72">
        <f>IF(TournamentData[[#This Row],[Team '#]]="","",IF(ISNA(INDEX('Robot Game Scores'!C:C,MATCH(TournamentData[[#This Row],[Team '#]], 'Robot Game Scores'!$A:$A,0))),0,INDEX('Robot Game Scores'!C:C,MATCH(TournamentData[[#This Row],[Team '#]], 'Robot Game Scores'!$A:$A,0))))</f>
        <v>0</v>
      </c>
      <c r="E5" s="72">
        <f>IF(TournamentData[[#This Row],[Team '#]]="","",IF(ISNA(INDEX('Robot Game Scores'!D:D,MATCH(TournamentData[[#This Row],[Team '#]], 'Robot Game Scores'!$A:$A,0))),0,INDEX('Robot Game Scores'!D:D,MATCH(TournamentData[[#This Row],[Team '#]], 'Robot Game Scores'!$A:$A,0))))</f>
        <v>0</v>
      </c>
      <c r="F5" s="72">
        <f>IF(TournamentData[[#This Row],[Team '#]]="","",IF(ISNA(INDEX('Robot Game Scores'!E:E,MATCH(TournamentData[[#This Row],[Team '#]], 'Robot Game Scores'!$A:$A,0))),0,INDEX('Robot Game Scores'!E:E,MATCH(TournamentData[[#This Row],[Team '#]], 'Robot Game Scores'!$A:$A,0))))</f>
        <v>0</v>
      </c>
      <c r="G5" s="72" t="e">
        <f>IF(TournamentData[[#This Row],[Team '#]]="","",IF(ISNA(INDEX('Robot Game Scores'!#REF!,MATCH(TournamentData[[#This Row],[Team '#]], 'Robot Game Scores'!$A:$A,0))),0,INDEX('Robot Game Scores'!#REF!,MATCH(TournamentData[[#This Row],[Team '#]], 'Robot Game Scores'!$A:$A,0))))</f>
        <v>#REF!</v>
      </c>
      <c r="H5" s="72" t="e">
        <f>IF(TournamentData[[#This Row],[Team '#]]="","",IF(ISNA(INDEX('Robot Game Scores'!#REF!,MATCH(TournamentData[[#This Row],[Team '#]], 'Robot Game Scores'!$A:$A,0))),0,INDEX('Robot Game Scores'!#REF!,MATCH(TournamentData[[#This Row],[Team '#]], 'Robot Game Scores'!$A:$A,0))))</f>
        <v>#REF!</v>
      </c>
      <c r="I5"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 s="72">
        <f>_xlfn.RANK.EQ(TournamentData[[#This Row],[Max Robot Game Score]],TournamentData[Max Robot Game Score])</f>
        <v>1</v>
      </c>
      <c r="K5" s="72">
        <f>INDEX(CoreValuesResults[Core Values Rank],MATCH(TournamentData[[#This Row],[Team '#]],CoreValuesResults[Team '#],0))</f>
        <v>1</v>
      </c>
      <c r="L5" s="72">
        <f>INDEX(InnovationProjectResults[Innovation Project Rank],MATCH(TournamentData[[#This Row],[Team '#]],InnovationProjectResults[Team '#],0))</f>
        <v>1</v>
      </c>
      <c r="M5" s="72">
        <f>INDEX(RobotDesignResults[Robot Design Rank],MATCH(TournamentData[[#This Row],[Team '#]],RobotDesignResults[Team '#],0))</f>
        <v>1</v>
      </c>
      <c r="N5" s="72">
        <f>SUM(TournamentData[[#This Row],[Robot Game Rank]:[Robot Design Rank]])</f>
        <v>4</v>
      </c>
      <c r="O5" s="100">
        <f>RANK(TournamentData[[#This Row],[Champion''s Score]],TournamentData[Champion''s Score],1)</f>
        <v>1</v>
      </c>
      <c r="P5" s="73"/>
      <c r="Q5" s="77"/>
      <c r="R5" s="74">
        <f>IF(ISNA(INDEX(CoreValuesResults[Core Values Score],MATCH(TournamentData[[#This Row],[Team '#]],CoreValuesResults[Team '#],0))),0,INDEX(CoreValuesResults[Core Values Score],MATCH(TournamentData[[#This Row],[Team '#]],CoreValuesResults[Team '#],0)))</f>
        <v>0</v>
      </c>
      <c r="S5" s="74">
        <f>IF(ISNA(INDEX(InnovationProjectResults[Innovation Project Score],MATCH(TournamentData[[#This Row],[Team '#]],InnovationProjectResults[Team '#],0))),0,INDEX(InnovationProjectResults[Innovation Project Score],MATCH(TournamentData[[#This Row],[Team '#]],InnovationProjectResults[Team '#],0)))</f>
        <v>0</v>
      </c>
      <c r="T5" s="74">
        <f>IF(ISNA(INDEX(RobotDesignResults[Robot Design Score],MATCH(TournamentData[[#This Row],[Team '#]],RobotDesignResults[Team '#],0))),0,INDEX(RobotDesignResults[Robot Design Score],MATCH(TournamentData[[#This Row],[Team '#]],RobotDesignResults[Team '#],0)))</f>
        <v>0</v>
      </c>
      <c r="U5"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 s="73" t="e">
        <f>IF(U3,_xlfn.RANK.EQ(U3,U$3:U$3,0),NumberOfTeams)</f>
        <v>#NAME?</v>
      </c>
      <c r="W5" s="73"/>
    </row>
    <row r="6" spans="1:26" ht="21" customHeight="1" x14ac:dyDescent="0.25">
      <c r="A6" s="99">
        <v>73002</v>
      </c>
      <c r="B6" s="99">
        <f>INDEX(OfficialTeamList[Pod Number],MATCH(TournamentData[[#This Row],[Team '#]], OfficialTeamList[Team '#],0))</f>
        <v>0</v>
      </c>
      <c r="C6" s="94" t="str">
        <f>INDEX(OfficialTeamList[Team Name],MATCH(TournamentData[[#This Row],[Team '#]], OfficialTeamList[Team '#],0))</f>
        <v>MCH Monarchs</v>
      </c>
      <c r="D6" s="72">
        <f>IF(TournamentData[[#This Row],[Team '#]]="","",IF(ISNA(INDEX('Robot Game Scores'!C:C,MATCH(TournamentData[[#This Row],[Team '#]], 'Robot Game Scores'!$A:$A,0))),0,INDEX('Robot Game Scores'!C:C,MATCH(TournamentData[[#This Row],[Team '#]], 'Robot Game Scores'!$A:$A,0))))</f>
        <v>0</v>
      </c>
      <c r="E6" s="72">
        <f>IF(TournamentData[[#This Row],[Team '#]]="","",IF(ISNA(INDEX('Robot Game Scores'!D:D,MATCH(TournamentData[[#This Row],[Team '#]], 'Robot Game Scores'!$A:$A,0))),0,INDEX('Robot Game Scores'!D:D,MATCH(TournamentData[[#This Row],[Team '#]], 'Robot Game Scores'!$A:$A,0))))</f>
        <v>0</v>
      </c>
      <c r="F6" s="72">
        <f>IF(TournamentData[[#This Row],[Team '#]]="","",IF(ISNA(INDEX('Robot Game Scores'!E:E,MATCH(TournamentData[[#This Row],[Team '#]], 'Robot Game Scores'!$A:$A,0))),0,INDEX('Robot Game Scores'!E:E,MATCH(TournamentData[[#This Row],[Team '#]], 'Robot Game Scores'!$A:$A,0))))</f>
        <v>0</v>
      </c>
      <c r="G6" s="72" t="e">
        <f>IF(TournamentData[[#This Row],[Team '#]]="","",IF(ISNA(INDEX('Robot Game Scores'!#REF!,MATCH(TournamentData[[#This Row],[Team '#]], 'Robot Game Scores'!$A:$A,0))),0,INDEX('Robot Game Scores'!#REF!,MATCH(TournamentData[[#This Row],[Team '#]], 'Robot Game Scores'!$A:$A,0))))</f>
        <v>#REF!</v>
      </c>
      <c r="H6" s="72" t="e">
        <f>IF(TournamentData[[#This Row],[Team '#]]="","",IF(ISNA(INDEX('Robot Game Scores'!#REF!,MATCH(TournamentData[[#This Row],[Team '#]], 'Robot Game Scores'!$A:$A,0))),0,INDEX('Robot Game Scores'!#REF!,MATCH(TournamentData[[#This Row],[Team '#]], 'Robot Game Scores'!$A:$A,0))))</f>
        <v>#REF!</v>
      </c>
      <c r="I6"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 s="72">
        <f>_xlfn.RANK.EQ(TournamentData[[#This Row],[Max Robot Game Score]],TournamentData[Max Robot Game Score])</f>
        <v>1</v>
      </c>
      <c r="K6" s="72">
        <f>INDEX(CoreValuesResults[Core Values Rank],MATCH(TournamentData[[#This Row],[Team '#]],CoreValuesResults[Team '#],0))</f>
        <v>1</v>
      </c>
      <c r="L6" s="72">
        <f>INDEX(InnovationProjectResults[Innovation Project Rank],MATCH(TournamentData[[#This Row],[Team '#]],InnovationProjectResults[Team '#],0))</f>
        <v>1</v>
      </c>
      <c r="M6" s="72">
        <f>INDEX(RobotDesignResults[Robot Design Rank],MATCH(TournamentData[[#This Row],[Team '#]],RobotDesignResults[Team '#],0))</f>
        <v>1</v>
      </c>
      <c r="N6" s="72">
        <f>SUM(TournamentData[[#This Row],[Robot Game Rank]:[Robot Design Rank]])</f>
        <v>4</v>
      </c>
      <c r="O6" s="100">
        <f>RANK(TournamentData[[#This Row],[Champion''s Score]],TournamentData[Champion''s Score],1)</f>
        <v>1</v>
      </c>
      <c r="P6" s="73"/>
      <c r="Q6" s="77"/>
      <c r="R6" s="74">
        <f>IF(ISNA(INDEX(CoreValuesResults[Core Values Score],MATCH(TournamentData[[#This Row],[Team '#]],CoreValuesResults[Team '#],0))),0,INDEX(CoreValuesResults[Core Values Score],MATCH(TournamentData[[#This Row],[Team '#]],CoreValuesResults[Team '#],0)))</f>
        <v>0</v>
      </c>
      <c r="S6" s="74">
        <f>IF(ISNA(INDEX(InnovationProjectResults[Innovation Project Score],MATCH(TournamentData[[#This Row],[Team '#]],InnovationProjectResults[Team '#],0))),0,INDEX(InnovationProjectResults[Innovation Project Score],MATCH(TournamentData[[#This Row],[Team '#]],InnovationProjectResults[Team '#],0)))</f>
        <v>0</v>
      </c>
      <c r="T6" s="74">
        <f>IF(ISNA(INDEX(RobotDesignResults[Robot Design Score],MATCH(TournamentData[[#This Row],[Team '#]],RobotDesignResults[Team '#],0))),0,INDEX(RobotDesignResults[Robot Design Score],MATCH(TournamentData[[#This Row],[Team '#]],RobotDesignResults[Team '#],0)))</f>
        <v>0</v>
      </c>
      <c r="U6"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 s="73" t="e">
        <f>IF(U3,_xlfn.RANK.EQ(U3,U$3:U$3,0),NumberOfTeams)</f>
        <v>#NAME?</v>
      </c>
      <c r="W6" s="73"/>
    </row>
    <row r="7" spans="1:26" ht="21" customHeight="1" x14ac:dyDescent="0.25">
      <c r="A7" s="99">
        <v>73106</v>
      </c>
      <c r="B7" s="99">
        <f>INDEX(OfficialTeamList[Pod Number],MATCH(TournamentData[[#This Row],[Team '#]], OfficialTeamList[Team '#],0))</f>
        <v>0</v>
      </c>
      <c r="C7" s="94" t="str">
        <f>INDEX(OfficialTeamList[Team Name],MATCH(TournamentData[[#This Row],[Team '#]], OfficialTeamList[Team '#],0))</f>
        <v>Kempsville Dino-Nuggets</v>
      </c>
      <c r="D7" s="72">
        <f>IF(TournamentData[[#This Row],[Team '#]]="","",IF(ISNA(INDEX('Robot Game Scores'!C:C,MATCH(TournamentData[[#This Row],[Team '#]], 'Robot Game Scores'!$A:$A,0))),0,INDEX('Robot Game Scores'!C:C,MATCH(TournamentData[[#This Row],[Team '#]], 'Robot Game Scores'!$A:$A,0))))</f>
        <v>0</v>
      </c>
      <c r="E7" s="72">
        <f>IF(TournamentData[[#This Row],[Team '#]]="","",IF(ISNA(INDEX('Robot Game Scores'!D:D,MATCH(TournamentData[[#This Row],[Team '#]], 'Robot Game Scores'!$A:$A,0))),0,INDEX('Robot Game Scores'!D:D,MATCH(TournamentData[[#This Row],[Team '#]], 'Robot Game Scores'!$A:$A,0))))</f>
        <v>0</v>
      </c>
      <c r="F7" s="72">
        <f>IF(TournamentData[[#This Row],[Team '#]]="","",IF(ISNA(INDEX('Robot Game Scores'!E:E,MATCH(TournamentData[[#This Row],[Team '#]], 'Robot Game Scores'!$A:$A,0))),0,INDEX('Robot Game Scores'!E:E,MATCH(TournamentData[[#This Row],[Team '#]], 'Robot Game Scores'!$A:$A,0))))</f>
        <v>0</v>
      </c>
      <c r="G7" s="72" t="e">
        <f>IF(TournamentData[[#This Row],[Team '#]]="","",IF(ISNA(INDEX('Robot Game Scores'!#REF!,MATCH(TournamentData[[#This Row],[Team '#]], 'Robot Game Scores'!$A:$A,0))),0,INDEX('Robot Game Scores'!#REF!,MATCH(TournamentData[[#This Row],[Team '#]], 'Robot Game Scores'!$A:$A,0))))</f>
        <v>#REF!</v>
      </c>
      <c r="H7" s="72" t="e">
        <f>IF(TournamentData[[#This Row],[Team '#]]="","",IF(ISNA(INDEX('Robot Game Scores'!#REF!,MATCH(TournamentData[[#This Row],[Team '#]], 'Robot Game Scores'!$A:$A,0))),0,INDEX('Robot Game Scores'!#REF!,MATCH(TournamentData[[#This Row],[Team '#]], 'Robot Game Scores'!$A:$A,0))))</f>
        <v>#REF!</v>
      </c>
      <c r="I7"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 s="72">
        <f>_xlfn.RANK.EQ(TournamentData[[#This Row],[Max Robot Game Score]],TournamentData[Max Robot Game Score])</f>
        <v>1</v>
      </c>
      <c r="K7" s="72">
        <f>INDEX(CoreValuesResults[Core Values Rank],MATCH(TournamentData[[#This Row],[Team '#]],CoreValuesResults[Team '#],0))</f>
        <v>1</v>
      </c>
      <c r="L7" s="72">
        <f>INDEX(InnovationProjectResults[Innovation Project Rank],MATCH(TournamentData[[#This Row],[Team '#]],InnovationProjectResults[Team '#],0))</f>
        <v>1</v>
      </c>
      <c r="M7" s="72">
        <f>INDEX(RobotDesignResults[Robot Design Rank],MATCH(TournamentData[[#This Row],[Team '#]],RobotDesignResults[Team '#],0))</f>
        <v>1</v>
      </c>
      <c r="N7" s="72">
        <f>SUM(TournamentData[[#This Row],[Robot Game Rank]:[Robot Design Rank]])</f>
        <v>4</v>
      </c>
      <c r="O7" s="100">
        <f>RANK(TournamentData[[#This Row],[Champion''s Score]],TournamentData[Champion''s Score],1)</f>
        <v>1</v>
      </c>
      <c r="P7" s="73"/>
      <c r="Q7" s="77"/>
      <c r="R7" s="74">
        <f>IF(ISNA(INDEX(CoreValuesResults[Core Values Score],MATCH(TournamentData[[#This Row],[Team '#]],CoreValuesResults[Team '#],0))),0,INDEX(CoreValuesResults[Core Values Score],MATCH(TournamentData[[#This Row],[Team '#]],CoreValuesResults[Team '#],0)))</f>
        <v>0</v>
      </c>
      <c r="S7" s="74">
        <f>IF(ISNA(INDEX(InnovationProjectResults[Innovation Project Score],MATCH(TournamentData[[#This Row],[Team '#]],InnovationProjectResults[Team '#],0))),0,INDEX(InnovationProjectResults[Innovation Project Score],MATCH(TournamentData[[#This Row],[Team '#]],InnovationProjectResults[Team '#],0)))</f>
        <v>0</v>
      </c>
      <c r="T7" s="74">
        <f>IF(ISNA(INDEX(RobotDesignResults[Robot Design Score],MATCH(TournamentData[[#This Row],[Team '#]],RobotDesignResults[Team '#],0))),0,INDEX(RobotDesignResults[Robot Design Score],MATCH(TournamentData[[#This Row],[Team '#]],RobotDesignResults[Team '#],0)))</f>
        <v>0</v>
      </c>
      <c r="U7"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 s="73" t="e">
        <f>IF(U3,_xlfn.RANK.EQ(U3,U$3:U$3,0),NumberOfTeams)</f>
        <v>#NAME?</v>
      </c>
      <c r="W7" s="73"/>
    </row>
  </sheetData>
  <sheetProtection password="CB4D" sheet="1" formatCells="0" formatColumns="0" formatRows="0" selectLockedCells="1" sort="0" autoFilter="0"/>
  <mergeCells count="5">
    <mergeCell ref="R1:V1"/>
    <mergeCell ref="A1:C1"/>
    <mergeCell ref="D1:J1"/>
    <mergeCell ref="N1:O1"/>
    <mergeCell ref="K1:M1"/>
  </mergeCells>
  <conditionalFormatting sqref="A3:P3 R3:W3">
    <cfRule type="expression" dxfId="151" priority="17">
      <formula>ROW()-NumberOfTeams=2</formula>
    </cfRule>
  </conditionalFormatting>
  <conditionalFormatting sqref="A3:B3">
    <cfRule type="expression" dxfId="150" priority="11">
      <formula>IF($O3 &lt;= NumberofTeamsAdvancing,TRUE,FALSE)</formula>
    </cfRule>
  </conditionalFormatting>
  <conditionalFormatting sqref="C3:P3 R3:W3">
    <cfRule type="expression" dxfId="149" priority="21">
      <formula>IF($P3&lt;&gt;"",TRUE,FALSE)</formula>
    </cfRule>
  </conditionalFormatting>
  <conditionalFormatting sqref="Q3">
    <cfRule type="cellIs" dxfId="148" priority="322" stopIfTrue="1" operator="equal">
      <formula>"Yes"</formula>
    </cfRule>
    <cfRule type="cellIs" dxfId="147" priority="323" stopIfTrue="1" operator="equal">
      <formula>"Alt"</formula>
    </cfRule>
  </conditionalFormatting>
  <conditionalFormatting sqref="P3">
    <cfRule type="duplicateValues" dxfId="146" priority="331"/>
  </conditionalFormatting>
  <conditionalFormatting sqref="A3:W7">
    <cfRule type="expression" dxfId="140" priority="333">
      <formula>ROW()-NumberOfTeams=2</formula>
    </cfRule>
    <cfRule type="expression" dxfId="139" priority="333">
      <formula>IF($P3&lt;&gt;"",TRUE,FALSE)</formula>
    </cfRule>
  </conditionalFormatting>
  <dataValidations count="4">
    <dataValidation type="list" allowBlank="1" showInputMessage="1" showErrorMessage="1" sqref="P3" xr:uid="{00000000-0002-0000-0700-000000000000}">
      <formula1>Awards</formula1>
    </dataValidation>
    <dataValidation type="list" allowBlank="1" showInputMessage="1" showErrorMessage="1" sqref="Q3" xr:uid="{00000000-0002-0000-0700-000001000000}">
      <formula1>"Yes,No,Alt"</formula1>
    </dataValidation>
    <dataValidation type="list" allowBlank="1" sqref="P3:P7" xr:uid="{00000000-0002-0000-0700-000002000000}">
      <formula1>Awards</formula1>
    </dataValidation>
    <dataValidation type="list" allowBlank="1" sqref="Q3:Q7" xr:uid="{00000000-0002-0000-0700-000003000000}">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7" id="{00000000-000E-0000-0700-000007000000}">
            <xm:f>COUNTA(AwardList!#REF!)=COUNTA($O$3:$O$288)</xm:f>
            <x14:dxf>
              <fill>
                <patternFill patternType="solid">
                  <fgColor rgb="FF00B050"/>
                  <bgColor rgb="FF00B050"/>
                </patternFill>
              </fill>
            </x14:dxf>
          </x14:cfRule>
          <xm:sqref>O2</xm:sqref>
        </x14:conditionalFormatting>
        <x14:conditionalFormatting xmlns:xm="http://schemas.microsoft.com/office/excel/2006/main">
          <x14:cfRule type="expression" priority="8" id="{00000000-000E-0000-0700-000008000000}">
            <xm:f>COUNTIF($P:$P,"Yes")=Meta!$B$13</xm:f>
            <x14:dxf>
              <fill>
                <patternFill patternType="solid">
                  <fgColor rgb="FF00FF00"/>
                  <bgColor rgb="FF00FF00"/>
                </patternFill>
              </fill>
            </x14:dxf>
          </x14:cfRule>
          <xm:sqref>P2</xm:sqref>
        </x14:conditionalFormatting>
        <x14:conditionalFormatting xmlns:xm="http://schemas.microsoft.com/office/excel/2006/main">
          <x14:cfRule type="expression" priority="9" id="{00000000-000E-0000-0700-000009000000}">
            <xm:f>AND(J1=1,IF(VLOOKUP("Robot Game 1st Place",AwardList!#REF!,1,FALSE)="Robot Game 1st Place", TRUE, FALSE))</xm:f>
            <x14:dxf>
              <fill>
                <patternFill patternType="solid">
                  <fgColor rgb="FFC9B037"/>
                  <bgColor rgb="FFC9B037"/>
                </patternFill>
              </fill>
            </x14:dxf>
          </x14:cfRule>
          <x14:cfRule type="expression" priority="10" id="{00000000-000E-0000-0700-00000A000000}">
            <xm:f>AND(J1=2,IF(VLOOKUP("Robot Game 2nd Place",AwardList!#REF!,1,FALSE)="Robot Game 2nd Place", TRUE, FALSE))</xm:f>
            <x14:dxf>
              <fill>
                <patternFill patternType="solid">
                  <fgColor rgb="FFD7D7D7"/>
                  <bgColor rgb="FFD7D7D7"/>
                </patternFill>
              </fill>
            </x14:dxf>
          </x14:cfRule>
          <x14:cfRule type="expression" priority="332" id="{00000000-000E-0000-0700-00004C010000}">
            <xm:f>AND(J1=3,IF(VLOOKUP("Robot Game 3rd Place",AwardList!#REF!,1,FALSE)="Robot Game 3rd Place", TRUE, FALSE))</xm:f>
            <x14:dxf>
              <fill>
                <patternFill patternType="solid">
                  <fgColor rgb="FFAD8A56"/>
                  <bgColor rgb="FFAD8A56"/>
                </patternFill>
              </fill>
            </x14:dxf>
          </x14:cfRule>
          <xm:sqref>J1:J100</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00B050"/>
  </sheetPr>
  <dimension ref="A1:F6"/>
  <sheetViews>
    <sheetView zoomScaleNormal="100" workbookViewId="0">
      <pane ySplit="1" topLeftCell="A2" activePane="bottomLeft" state="frozen"/>
      <selection pane="bottomLeft"/>
    </sheetView>
  </sheetViews>
  <sheetFormatPr defaultColWidth="8.85546875" defaultRowHeight="30" customHeight="1" x14ac:dyDescent="0.25"/>
  <cols>
    <col min="1" max="1" width="16.7109375" style="38" customWidth="1"/>
    <col min="2" max="2" width="32.7109375" style="38" customWidth="1"/>
    <col min="3" max="5" width="7.42578125" style="38" customWidth="1"/>
    <col min="6" max="6" width="10.42578125" style="42" customWidth="1"/>
    <col min="7" max="11" width="8.85546875" style="5" customWidth="1"/>
    <col min="12" max="16384" width="8.85546875" style="5"/>
  </cols>
  <sheetData>
    <row r="1" spans="1:6" s="40" customFormat="1" ht="150" customHeight="1" x14ac:dyDescent="0.25">
      <c r="A1" s="57" t="s">
        <v>27</v>
      </c>
      <c r="B1" s="57" t="s">
        <v>28</v>
      </c>
      <c r="C1" s="64" t="s">
        <v>168</v>
      </c>
      <c r="D1" s="64" t="s">
        <v>169</v>
      </c>
      <c r="E1" s="64" t="s">
        <v>170</v>
      </c>
      <c r="F1" s="58" t="s">
        <v>171</v>
      </c>
    </row>
    <row r="2" spans="1:6" ht="21" customHeight="1" x14ac:dyDescent="0.25">
      <c r="A2" s="99">
        <v>9021</v>
      </c>
      <c r="B2" s="101" t="str">
        <f>INDEX(OfficialTeamList[Team Name],MATCH(RobotGameScores[[#This Row],[Team '#]], OfficialTeamList[Team '#],0))</f>
        <v>Greenbrier Panthers</v>
      </c>
      <c r="C2" s="102"/>
      <c r="D2" s="102"/>
      <c r="E2" s="102"/>
      <c r="F2" s="76">
        <f>MAX(RobotGameScores[[#This Row],[Robot Game 1 Score]:[Robot Game 3 Score]])</f>
        <v>0</v>
      </c>
    </row>
    <row r="3" spans="1:6" ht="21" customHeight="1" x14ac:dyDescent="0.25">
      <c r="A3" s="99">
        <v>62149</v>
      </c>
      <c r="B3" s="101" t="str">
        <f>INDEX(OfficialTeamList[Team Name],MATCH(RobotGameScores[[#This Row],[Team '#]], OfficialTeamList[Team '#],0))</f>
        <v>Dynamite Dolphins</v>
      </c>
      <c r="C3" s="102"/>
      <c r="D3" s="102"/>
      <c r="E3" s="102"/>
      <c r="F3" s="76">
        <f>MAX(RobotGameScores[[#This Row],[Robot Game 1 Score]:[Robot Game 3 Score]])</f>
        <v>0</v>
      </c>
    </row>
    <row r="4" spans="1:6" ht="21" customHeight="1" x14ac:dyDescent="0.25">
      <c r="A4" s="99">
        <v>62706</v>
      </c>
      <c r="B4" s="101" t="str">
        <f>INDEX(OfficialTeamList[Team Name],MATCH(RobotGameScores[[#This Row],[Team '#]], OfficialTeamList[Team '#],0))</f>
        <v>OLMC Aquinas</v>
      </c>
      <c r="C4" s="102"/>
      <c r="D4" s="102"/>
      <c r="E4" s="102"/>
      <c r="F4" s="76">
        <f>MAX(RobotGameScores[[#This Row],[Robot Game 1 Score]:[Robot Game 3 Score]])</f>
        <v>0</v>
      </c>
    </row>
    <row r="5" spans="1:6" ht="21" customHeight="1" x14ac:dyDescent="0.25">
      <c r="A5" s="99">
        <v>73002</v>
      </c>
      <c r="B5" s="101" t="str">
        <f>INDEX(OfficialTeamList[Team Name],MATCH(RobotGameScores[[#This Row],[Team '#]], OfficialTeamList[Team '#],0))</f>
        <v>MCH Monarchs</v>
      </c>
      <c r="C5" s="102"/>
      <c r="D5" s="102"/>
      <c r="E5" s="102"/>
      <c r="F5" s="76">
        <f>MAX(RobotGameScores[[#This Row],[Robot Game 1 Score]:[Robot Game 3 Score]])</f>
        <v>0</v>
      </c>
    </row>
    <row r="6" spans="1:6" ht="21" customHeight="1" x14ac:dyDescent="0.25">
      <c r="A6" s="99">
        <v>73106</v>
      </c>
      <c r="B6" s="101" t="str">
        <f>INDEX(OfficialTeamList[Team Name],MATCH(RobotGameScores[[#This Row],[Team '#]], OfficialTeamList[Team '#],0))</f>
        <v>Kempsville Dino-Nuggets</v>
      </c>
      <c r="C6" s="102"/>
      <c r="D6" s="102"/>
      <c r="E6" s="102"/>
      <c r="F6" s="76">
        <f>MAX(RobotGameScores[[#This Row],[Robot Game 1 Score]:[Robot Game 3 Score]])</f>
        <v>0</v>
      </c>
    </row>
  </sheetData>
  <sheetProtection password="CB4D" sheet="1" formatCells="0" formatColumns="0" formatRows="0" selectLockedCells="1" sort="0" autoFilter="0"/>
  <pageMargins left="0.7" right="0.7" top="0.75" bottom="0.75" header="0.3" footer="0.3"/>
  <pageSetup paperSize="9" orientation="portrait"/>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016DB6"/>
    <pageSetUpPr fitToPage="1"/>
  </sheetPr>
  <dimension ref="A1:P6"/>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27</v>
      </c>
      <c r="B1" s="55" t="s">
        <v>139</v>
      </c>
      <c r="C1" s="56" t="s">
        <v>28</v>
      </c>
      <c r="D1" s="63" t="s">
        <v>172</v>
      </c>
      <c r="E1" s="63" t="s">
        <v>173</v>
      </c>
      <c r="F1" s="63" t="s">
        <v>174</v>
      </c>
      <c r="G1" s="63" t="s">
        <v>175</v>
      </c>
      <c r="H1" s="63" t="s">
        <v>176</v>
      </c>
      <c r="I1" s="63" t="s">
        <v>177</v>
      </c>
      <c r="J1" s="63" t="s">
        <v>178</v>
      </c>
      <c r="K1" s="63" t="s">
        <v>179</v>
      </c>
      <c r="L1" s="63" t="s">
        <v>180</v>
      </c>
      <c r="M1" s="63" t="s">
        <v>181</v>
      </c>
      <c r="N1" s="92" t="s">
        <v>182</v>
      </c>
      <c r="O1" s="93" t="s">
        <v>157</v>
      </c>
    </row>
    <row r="2" spans="1:15" ht="21" customHeight="1" x14ac:dyDescent="0.25">
      <c r="A2" s="99">
        <v>9021</v>
      </c>
      <c r="B2" s="99">
        <f>INDEX(OfficialTeamList[Pod Number],MATCH(InnovationProjectResults[[#This Row],[Team '#]], OfficialTeamList[Team '#],0))</f>
        <v>0</v>
      </c>
      <c r="C2" s="101" t="str">
        <f>INDEX(OfficialTeamList[Team Name],MATCH(InnovationProjectResults[[#This Row],[Team '#]], OfficialTeamList[Team '#],0))</f>
        <v>Greenbrier Panthers</v>
      </c>
      <c r="D2" s="102"/>
      <c r="E2" s="102"/>
      <c r="F2" s="102"/>
      <c r="G2" s="102"/>
      <c r="H2" s="102"/>
      <c r="I2" s="102"/>
      <c r="J2" s="102"/>
      <c r="K2" s="102"/>
      <c r="L2" s="102"/>
      <c r="M2" s="102"/>
      <c r="N2" s="76">
        <f>SUM(InnovationProjectResults[[#This Row],[Identify - Define]:[Communicate - Fun (CV)]])</f>
        <v>0</v>
      </c>
      <c r="O2" s="70">
        <f>_xlfn.RANK.EQ(InnovationProjectResults[[#This Row],[Innovation Project Score]],InnovationProjectResults[Innovation Project Score],0)</f>
        <v>1</v>
      </c>
    </row>
    <row r="3" spans="1:15" ht="21" customHeight="1" x14ac:dyDescent="0.25">
      <c r="A3" s="99">
        <v>62149</v>
      </c>
      <c r="B3" s="99">
        <f>INDEX(OfficialTeamList[Pod Number],MATCH(InnovationProjectResults[[#This Row],[Team '#]], OfficialTeamList[Team '#],0))</f>
        <v>0</v>
      </c>
      <c r="C3" s="101" t="str">
        <f>INDEX(OfficialTeamList[Team Name],MATCH(InnovationProjectResults[[#This Row],[Team '#]], OfficialTeamList[Team '#],0))</f>
        <v>Dynamite Dolphins</v>
      </c>
      <c r="D3" s="102"/>
      <c r="E3" s="102"/>
      <c r="F3" s="102"/>
      <c r="G3" s="102"/>
      <c r="H3" s="102"/>
      <c r="I3" s="102"/>
      <c r="J3" s="102"/>
      <c r="K3" s="102"/>
      <c r="L3" s="102"/>
      <c r="M3" s="102"/>
      <c r="N3" s="76">
        <f>SUM(InnovationProjectResults[[#This Row],[Identify - Define]:[Communicate - Fun (CV)]])</f>
        <v>0</v>
      </c>
      <c r="O3" s="70">
        <f>_xlfn.RANK.EQ(InnovationProjectResults[[#This Row],[Innovation Project Score]],InnovationProjectResults[Innovation Project Score],0)</f>
        <v>1</v>
      </c>
    </row>
    <row r="4" spans="1:15" ht="21" customHeight="1" x14ac:dyDescent="0.25">
      <c r="A4" s="99">
        <v>62706</v>
      </c>
      <c r="B4" s="99">
        <f>INDEX(OfficialTeamList[Pod Number],MATCH(InnovationProjectResults[[#This Row],[Team '#]], OfficialTeamList[Team '#],0))</f>
        <v>0</v>
      </c>
      <c r="C4" s="101" t="str">
        <f>INDEX(OfficialTeamList[Team Name],MATCH(InnovationProjectResults[[#This Row],[Team '#]], OfficialTeamList[Team '#],0))</f>
        <v>OLMC Aquinas</v>
      </c>
      <c r="D4" s="102"/>
      <c r="E4" s="102"/>
      <c r="F4" s="102"/>
      <c r="G4" s="102"/>
      <c r="H4" s="102"/>
      <c r="I4" s="102"/>
      <c r="J4" s="102"/>
      <c r="K4" s="102"/>
      <c r="L4" s="102"/>
      <c r="M4" s="102"/>
      <c r="N4" s="76">
        <f>SUM(InnovationProjectResults[[#This Row],[Identify - Define]:[Communicate - Fun (CV)]])</f>
        <v>0</v>
      </c>
      <c r="O4" s="70">
        <f>_xlfn.RANK.EQ(InnovationProjectResults[[#This Row],[Innovation Project Score]],InnovationProjectResults[Innovation Project Score],0)</f>
        <v>1</v>
      </c>
    </row>
    <row r="5" spans="1:15" ht="21" customHeight="1" x14ac:dyDescent="0.25">
      <c r="A5" s="99">
        <v>73002</v>
      </c>
      <c r="B5" s="99">
        <f>INDEX(OfficialTeamList[Pod Number],MATCH(InnovationProjectResults[[#This Row],[Team '#]], OfficialTeamList[Team '#],0))</f>
        <v>0</v>
      </c>
      <c r="C5" s="101" t="str">
        <f>INDEX(OfficialTeamList[Team Name],MATCH(InnovationProjectResults[[#This Row],[Team '#]], OfficialTeamList[Team '#],0))</f>
        <v>MCH Monarchs</v>
      </c>
      <c r="D5" s="102"/>
      <c r="E5" s="102"/>
      <c r="F5" s="102"/>
      <c r="G5" s="102"/>
      <c r="H5" s="102"/>
      <c r="I5" s="102"/>
      <c r="J5" s="102"/>
      <c r="K5" s="102"/>
      <c r="L5" s="102"/>
      <c r="M5" s="102"/>
      <c r="N5" s="76">
        <f>SUM(InnovationProjectResults[[#This Row],[Identify - Define]:[Communicate - Fun (CV)]])</f>
        <v>0</v>
      </c>
      <c r="O5" s="70">
        <f>_xlfn.RANK.EQ(InnovationProjectResults[[#This Row],[Innovation Project Score]],InnovationProjectResults[Innovation Project Score],0)</f>
        <v>1</v>
      </c>
    </row>
    <row r="6" spans="1:15" ht="21" customHeight="1" x14ac:dyDescent="0.25">
      <c r="A6" s="99">
        <v>73106</v>
      </c>
      <c r="B6" s="99">
        <f>INDEX(OfficialTeamList[Pod Number],MATCH(InnovationProjectResults[[#This Row],[Team '#]], OfficialTeamList[Team '#],0))</f>
        <v>0</v>
      </c>
      <c r="C6" s="101" t="str">
        <f>INDEX(OfficialTeamList[Team Name],MATCH(InnovationProjectResults[[#This Row],[Team '#]], OfficialTeamList[Team '#],0))</f>
        <v>Kempsville Dino-Nuggets</v>
      </c>
      <c r="D6" s="102"/>
      <c r="E6" s="102"/>
      <c r="F6" s="102"/>
      <c r="G6" s="102"/>
      <c r="H6" s="102"/>
      <c r="I6" s="102"/>
      <c r="J6" s="102"/>
      <c r="K6" s="102"/>
      <c r="L6" s="102"/>
      <c r="M6" s="102"/>
      <c r="N6" s="76">
        <f>SUM(InnovationProjectResults[[#This Row],[Identify - Define]:[Communicate - Fun (CV)]])</f>
        <v>0</v>
      </c>
      <c r="O6" s="70">
        <f>_xlfn.RANK.EQ(InnovationProjectResults[[#This Row],[Innovation Project Score]],InnovationProjectResults[Innovation Project Score],0)</f>
        <v>1</v>
      </c>
    </row>
  </sheetData>
  <sheetProtection password="CB4D" sheet="1" formatCells="0" formatColumns="0" formatRows="0" selectLockedCells="1" sort="0" autoFilter="0"/>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92D050"/>
    <pageSetUpPr fitToPage="1"/>
  </sheetPr>
  <dimension ref="A1:P6"/>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27</v>
      </c>
      <c r="B1" s="55" t="s">
        <v>139</v>
      </c>
      <c r="C1" s="56" t="s">
        <v>28</v>
      </c>
      <c r="D1" s="62" t="s">
        <v>183</v>
      </c>
      <c r="E1" s="62" t="s">
        <v>173</v>
      </c>
      <c r="F1" s="62" t="s">
        <v>184</v>
      </c>
      <c r="G1" s="62" t="s">
        <v>185</v>
      </c>
      <c r="H1" s="62" t="s">
        <v>186</v>
      </c>
      <c r="I1" s="62" t="s">
        <v>187</v>
      </c>
      <c r="J1" s="62" t="s">
        <v>188</v>
      </c>
      <c r="K1" s="62" t="s">
        <v>189</v>
      </c>
      <c r="L1" s="62" t="s">
        <v>180</v>
      </c>
      <c r="M1" s="62" t="s">
        <v>181</v>
      </c>
      <c r="N1" s="60" t="s">
        <v>164</v>
      </c>
      <c r="O1" s="61" t="s">
        <v>158</v>
      </c>
    </row>
    <row r="2" spans="1:15" ht="21" customHeight="1" x14ac:dyDescent="0.25">
      <c r="A2" s="99">
        <v>9021</v>
      </c>
      <c r="B2" s="99">
        <f>INDEX(OfficialTeamList[Pod Number],MATCH(RobotDesignResults[[#This Row],[Team '#]], OfficialTeamList[Team '#],0))</f>
        <v>0</v>
      </c>
      <c r="C2" s="101" t="str">
        <f>INDEX(OfficialTeamList[Team Name],MATCH(RobotDesignResults[[#This Row],[Team '#]], OfficialTeamList[Team '#],0))</f>
        <v>Greenbrier Panthers</v>
      </c>
      <c r="D2" s="102"/>
      <c r="E2" s="102"/>
      <c r="F2" s="102"/>
      <c r="G2" s="102"/>
      <c r="H2" s="102"/>
      <c r="I2" s="102"/>
      <c r="J2" s="102"/>
      <c r="K2" s="102"/>
      <c r="L2" s="102"/>
      <c r="M2" s="102"/>
      <c r="N2" s="76">
        <f>SUM(RobotDesignResults[[#This Row],[Identify - Strategy]:[Communicate - Fun (CV)]])</f>
        <v>0</v>
      </c>
      <c r="O2" s="70">
        <f>_xlfn.RANK.EQ(RobotDesignResults[[#This Row],[Robot Design Score]],RobotDesignResults[Robot Design Score],0)</f>
        <v>1</v>
      </c>
    </row>
    <row r="3" spans="1:15" ht="21" customHeight="1" x14ac:dyDescent="0.25">
      <c r="A3" s="99">
        <v>62149</v>
      </c>
      <c r="B3" s="99">
        <f>INDEX(OfficialTeamList[Pod Number],MATCH(RobotDesignResults[[#This Row],[Team '#]], OfficialTeamList[Team '#],0))</f>
        <v>0</v>
      </c>
      <c r="C3" s="101" t="str">
        <f>INDEX(OfficialTeamList[Team Name],MATCH(RobotDesignResults[[#This Row],[Team '#]], OfficialTeamList[Team '#],0))</f>
        <v>Dynamite Dolphins</v>
      </c>
      <c r="D3" s="102"/>
      <c r="E3" s="102"/>
      <c r="F3" s="102"/>
      <c r="G3" s="102"/>
      <c r="H3" s="102"/>
      <c r="I3" s="102"/>
      <c r="J3" s="102"/>
      <c r="K3" s="102"/>
      <c r="L3" s="102"/>
      <c r="M3" s="102"/>
      <c r="N3" s="76">
        <f>SUM(RobotDesignResults[[#This Row],[Identify - Strategy]:[Communicate - Fun (CV)]])</f>
        <v>0</v>
      </c>
      <c r="O3" s="70">
        <f>_xlfn.RANK.EQ(RobotDesignResults[[#This Row],[Robot Design Score]],RobotDesignResults[Robot Design Score],0)</f>
        <v>1</v>
      </c>
    </row>
    <row r="4" spans="1:15" ht="21" customHeight="1" x14ac:dyDescent="0.25">
      <c r="A4" s="99">
        <v>62706</v>
      </c>
      <c r="B4" s="99">
        <f>INDEX(OfficialTeamList[Pod Number],MATCH(RobotDesignResults[[#This Row],[Team '#]], OfficialTeamList[Team '#],0))</f>
        <v>0</v>
      </c>
      <c r="C4" s="101" t="str">
        <f>INDEX(OfficialTeamList[Team Name],MATCH(RobotDesignResults[[#This Row],[Team '#]], OfficialTeamList[Team '#],0))</f>
        <v>OLMC Aquinas</v>
      </c>
      <c r="D4" s="102"/>
      <c r="E4" s="102"/>
      <c r="F4" s="102"/>
      <c r="G4" s="102"/>
      <c r="H4" s="102"/>
      <c r="I4" s="102"/>
      <c r="J4" s="102"/>
      <c r="K4" s="102"/>
      <c r="L4" s="102"/>
      <c r="M4" s="102"/>
      <c r="N4" s="76">
        <f>SUM(RobotDesignResults[[#This Row],[Identify - Strategy]:[Communicate - Fun (CV)]])</f>
        <v>0</v>
      </c>
      <c r="O4" s="70">
        <f>_xlfn.RANK.EQ(RobotDesignResults[[#This Row],[Robot Design Score]],RobotDesignResults[Robot Design Score],0)</f>
        <v>1</v>
      </c>
    </row>
    <row r="5" spans="1:15" ht="21" customHeight="1" x14ac:dyDescent="0.25">
      <c r="A5" s="99">
        <v>73002</v>
      </c>
      <c r="B5" s="99">
        <f>INDEX(OfficialTeamList[Pod Number],MATCH(RobotDesignResults[[#This Row],[Team '#]], OfficialTeamList[Team '#],0))</f>
        <v>0</v>
      </c>
      <c r="C5" s="101" t="str">
        <f>INDEX(OfficialTeamList[Team Name],MATCH(RobotDesignResults[[#This Row],[Team '#]], OfficialTeamList[Team '#],0))</f>
        <v>MCH Monarchs</v>
      </c>
      <c r="D5" s="102"/>
      <c r="E5" s="102"/>
      <c r="F5" s="102"/>
      <c r="G5" s="102"/>
      <c r="H5" s="102"/>
      <c r="I5" s="102"/>
      <c r="J5" s="102"/>
      <c r="K5" s="102"/>
      <c r="L5" s="102"/>
      <c r="M5" s="102"/>
      <c r="N5" s="76">
        <f>SUM(RobotDesignResults[[#This Row],[Identify - Strategy]:[Communicate - Fun (CV)]])</f>
        <v>0</v>
      </c>
      <c r="O5" s="70">
        <f>_xlfn.RANK.EQ(RobotDesignResults[[#This Row],[Robot Design Score]],RobotDesignResults[Robot Design Score],0)</f>
        <v>1</v>
      </c>
    </row>
    <row r="6" spans="1:15" ht="21" customHeight="1" x14ac:dyDescent="0.25">
      <c r="A6" s="99">
        <v>73106</v>
      </c>
      <c r="B6" s="99">
        <f>INDEX(OfficialTeamList[Pod Number],MATCH(RobotDesignResults[[#This Row],[Team '#]], OfficialTeamList[Team '#],0))</f>
        <v>0</v>
      </c>
      <c r="C6" s="101" t="str">
        <f>INDEX(OfficialTeamList[Team Name],MATCH(RobotDesignResults[[#This Row],[Team '#]], OfficialTeamList[Team '#],0))</f>
        <v>Kempsville Dino-Nuggets</v>
      </c>
      <c r="D6" s="102"/>
      <c r="E6" s="102"/>
      <c r="F6" s="102"/>
      <c r="G6" s="102"/>
      <c r="H6" s="102"/>
      <c r="I6" s="102"/>
      <c r="J6" s="102"/>
      <c r="K6" s="102"/>
      <c r="L6" s="102"/>
      <c r="M6" s="102"/>
      <c r="N6" s="76">
        <f>SUM(RobotDesignResults[[#This Row],[Identify - Strategy]:[Communicate - Fun (CV)]])</f>
        <v>0</v>
      </c>
      <c r="O6" s="70">
        <f>_xlfn.RANK.EQ(RobotDesignResults[[#This Row],[Robot Design Score]],RobotDesignResults[Robot Design Score],0)</f>
        <v>1</v>
      </c>
    </row>
  </sheetData>
  <sheetProtection password="CB4D" sheet="1" formatCells="0" formatColumns="0" formatRows="0" selectLockedCells="1" sort="0" autoFilter="0"/>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FF0000"/>
    <pageSetUpPr fitToPage="1"/>
  </sheetPr>
  <dimension ref="A1:T6"/>
  <sheetViews>
    <sheetView zoomScaleNormal="100" zoomScalePageLayoutView="140" workbookViewId="0">
      <pane ySplit="1" topLeftCell="A2" activePane="bottomLeft" state="frozen"/>
      <selection pane="bottomLeft"/>
    </sheetView>
  </sheetViews>
  <sheetFormatPr defaultColWidth="8.42578125" defaultRowHeight="30" customHeight="1" x14ac:dyDescent="0.25"/>
  <cols>
    <col min="1" max="1" width="16.7109375" customWidth="1"/>
    <col min="2" max="2" width="8.7109375" customWidth="1"/>
    <col min="3" max="3" width="32.7109375" customWidth="1"/>
    <col min="4" max="4" width="7" style="41" customWidth="1"/>
    <col min="5" max="6" width="5.85546875" style="41" customWidth="1"/>
    <col min="7" max="7" width="6.28515625" style="41" customWidth="1"/>
    <col min="8" max="13" width="5.85546875" style="41" customWidth="1"/>
    <col min="14" max="14" width="8.28515625" bestFit="1" customWidth="1"/>
    <col min="15" max="18" width="7.42578125" customWidth="1"/>
    <col min="19" max="19" width="10.42578125" customWidth="1"/>
    <col min="20" max="20" width="15.42578125" customWidth="1"/>
  </cols>
  <sheetData>
    <row r="1" spans="1:20" ht="150" customHeight="1" x14ac:dyDescent="0.25">
      <c r="A1" s="55" t="s">
        <v>27</v>
      </c>
      <c r="B1" s="55" t="s">
        <v>139</v>
      </c>
      <c r="C1" s="56" t="s">
        <v>28</v>
      </c>
      <c r="D1" s="65" t="s">
        <v>190</v>
      </c>
      <c r="E1" s="65" t="s">
        <v>191</v>
      </c>
      <c r="F1" s="65" t="s">
        <v>192</v>
      </c>
      <c r="G1" s="65" t="s">
        <v>193</v>
      </c>
      <c r="H1" s="65" t="s">
        <v>194</v>
      </c>
      <c r="I1" s="65" t="s">
        <v>195</v>
      </c>
      <c r="J1" s="65" t="s">
        <v>196</v>
      </c>
      <c r="K1" s="65" t="s">
        <v>197</v>
      </c>
      <c r="L1" s="65" t="s">
        <v>198</v>
      </c>
      <c r="M1" s="65" t="s">
        <v>199</v>
      </c>
      <c r="N1" s="66" t="s">
        <v>200</v>
      </c>
      <c r="O1" s="66" t="s">
        <v>201</v>
      </c>
      <c r="P1" s="66" t="s">
        <v>202</v>
      </c>
      <c r="Q1" s="66" t="s">
        <v>203</v>
      </c>
      <c r="R1" s="67" t="s">
        <v>204</v>
      </c>
      <c r="S1" s="67" t="s">
        <v>162</v>
      </c>
      <c r="T1" s="67" t="s">
        <v>156</v>
      </c>
    </row>
    <row r="2" spans="1:20" ht="21" customHeight="1" x14ac:dyDescent="0.25">
      <c r="A2" s="99">
        <v>9021</v>
      </c>
      <c r="B2" s="99">
        <f>INDEX(OfficialTeamList[Pod Number],MATCH(CoreValuesResults[[#This Row],[Team '#]], OfficialTeamList[Team '#],0))</f>
        <v>0</v>
      </c>
      <c r="C2" s="101" t="str">
        <f>INDEX(OfficialTeamList[Team Name],MATCH(CoreValuesResults[[#This Row],[Team '#]], OfficialTeamList[Team '#],0))</f>
        <v>Greenbrier Panthers</v>
      </c>
      <c r="D2" s="71">
        <f>INDEX(InnovationProjectResults[Identify - Research (CV)],MATCH(CoreValuesResults[[#This Row],[Team '#]],InnovationProjectResults[Team '#],0))</f>
        <v>0</v>
      </c>
      <c r="E2" s="71">
        <f>INDEX(InnovationProjectResults[Design - Teamwork (CV)],MATCH(CoreValuesResults[[#This Row],[Team '#]],InnovationProjectResults[Team '#],0))</f>
        <v>0</v>
      </c>
      <c r="F2" s="71">
        <f>INDEX(InnovationProjectResults[Create - Innovation (CV)],MATCH(CoreValuesResults[[#This Row],[Team '#]],InnovationProjectResults[Team '#],0))</f>
        <v>0</v>
      </c>
      <c r="G2" s="71">
        <f>INDEX(InnovationProjectResults[Communicate - Impact (CV)],MATCH(CoreValuesResults[[#This Row],[Team '#]],InnovationProjectResults[Team '#],0))</f>
        <v>0</v>
      </c>
      <c r="H2" s="71">
        <f>INDEX(InnovationProjectResults[Communicate - Fun (CV)],MATCH(CoreValuesResults[[#This Row],[Team '#]],InnovationProjectResults[Team '#],0))</f>
        <v>0</v>
      </c>
      <c r="I2" s="71">
        <f>INDEX(RobotDesignResults[Identify - Research (CV)],MATCH(CoreValuesResults[[#This Row],[Team '#]],RobotDesignResults[Team '#],0))</f>
        <v>0</v>
      </c>
      <c r="J2" s="71">
        <f>INDEX(RobotDesignResults[Design - Ideas (CV)],MATCH(CoreValuesResults[[#This Row],[Team '#]],RobotDesignResults[Team '#],0))</f>
        <v>0</v>
      </c>
      <c r="K2" s="71">
        <f>INDEX(RobotDesignResults[Iterate - Improvements (CV)],MATCH(CoreValuesResults[[#This Row],[Team '#]],RobotDesignResults[Team '#],0))</f>
        <v>0</v>
      </c>
      <c r="L2" s="71">
        <f>INDEX(RobotDesignResults[Communicate - Impact (CV)],MATCH(CoreValuesResults[[#This Row],[Team '#]],RobotDesignResults[Team '#],0))</f>
        <v>0</v>
      </c>
      <c r="M2" s="71">
        <f>INDEX(RobotDesignResults[Communicate - Fun (CV)],MATCH(CoreValuesResults[[#This Row],[Team '#]],RobotDesignResults[Team '#],0))</f>
        <v>0</v>
      </c>
      <c r="N2" s="77"/>
      <c r="O2" s="77"/>
      <c r="P2" s="77"/>
      <c r="Q2" s="99">
        <f>SUM(CoreValuesResults[[#This Row],[Gracious Professionalism 1]:[Gracious Professionalism 3]])</f>
        <v>0</v>
      </c>
      <c r="R2" s="99">
        <f>SUM(N2:Q2)</f>
        <v>0</v>
      </c>
      <c r="S2" s="76">
        <f>SUM(CoreValuesResults[[#This Row],[Identify - Research (CV-IP)]:[Communicate - Fun (CV-RD)]],CoreValuesResults[[#This Row],[Gracious Professionalism Score]])</f>
        <v>0</v>
      </c>
      <c r="T2" s="70">
        <f>_xlfn.RANK.EQ(CoreValuesResults[[#This Row],[Core Values Score]],CoreValuesResults[Core Values Score],0)</f>
        <v>1</v>
      </c>
    </row>
    <row r="3" spans="1:20" ht="21" customHeight="1" x14ac:dyDescent="0.25">
      <c r="A3" s="99">
        <v>62149</v>
      </c>
      <c r="B3" s="99">
        <f>INDEX(OfficialTeamList[Pod Number],MATCH(CoreValuesResults[[#This Row],[Team '#]], OfficialTeamList[Team '#],0))</f>
        <v>0</v>
      </c>
      <c r="C3" s="101" t="str">
        <f>INDEX(OfficialTeamList[Team Name],MATCH(CoreValuesResults[[#This Row],[Team '#]], OfficialTeamList[Team '#],0))</f>
        <v>Dynamite Dolphins</v>
      </c>
      <c r="D3" s="71">
        <f>INDEX(InnovationProjectResults[Identify - Research (CV)],MATCH(CoreValuesResults[[#This Row],[Team '#]],InnovationProjectResults[Team '#],0))</f>
        <v>0</v>
      </c>
      <c r="E3" s="71">
        <f>INDEX(InnovationProjectResults[Design - Teamwork (CV)],MATCH(CoreValuesResults[[#This Row],[Team '#]],InnovationProjectResults[Team '#],0))</f>
        <v>0</v>
      </c>
      <c r="F3" s="71">
        <f>INDEX(InnovationProjectResults[Create - Innovation (CV)],MATCH(CoreValuesResults[[#This Row],[Team '#]],InnovationProjectResults[Team '#],0))</f>
        <v>0</v>
      </c>
      <c r="G3" s="71">
        <f>INDEX(InnovationProjectResults[Communicate - Impact (CV)],MATCH(CoreValuesResults[[#This Row],[Team '#]],InnovationProjectResults[Team '#],0))</f>
        <v>0</v>
      </c>
      <c r="H3" s="71">
        <f>INDEX(InnovationProjectResults[Communicate - Fun (CV)],MATCH(CoreValuesResults[[#This Row],[Team '#]],InnovationProjectResults[Team '#],0))</f>
        <v>0</v>
      </c>
      <c r="I3" s="71">
        <f>INDEX(RobotDesignResults[Identify - Research (CV)],MATCH(CoreValuesResults[[#This Row],[Team '#]],RobotDesignResults[Team '#],0))</f>
        <v>0</v>
      </c>
      <c r="J3" s="71">
        <f>INDEX(RobotDesignResults[Design - Ideas (CV)],MATCH(CoreValuesResults[[#This Row],[Team '#]],RobotDesignResults[Team '#],0))</f>
        <v>0</v>
      </c>
      <c r="K3" s="71">
        <f>INDEX(RobotDesignResults[Iterate - Improvements (CV)],MATCH(CoreValuesResults[[#This Row],[Team '#]],RobotDesignResults[Team '#],0))</f>
        <v>0</v>
      </c>
      <c r="L3" s="71">
        <f>INDEX(RobotDesignResults[Communicate - Impact (CV)],MATCH(CoreValuesResults[[#This Row],[Team '#]],RobotDesignResults[Team '#],0))</f>
        <v>0</v>
      </c>
      <c r="M3" s="71">
        <f>INDEX(RobotDesignResults[Communicate - Fun (CV)],MATCH(CoreValuesResults[[#This Row],[Team '#]],RobotDesignResults[Team '#],0))</f>
        <v>0</v>
      </c>
      <c r="N3" s="77"/>
      <c r="O3" s="77"/>
      <c r="P3" s="77"/>
      <c r="Q3" s="99">
        <f>SUM(CoreValuesResults[[#This Row],[Gracious Professionalism 1]:[Gracious Professionalism 3]])</f>
        <v>0</v>
      </c>
      <c r="R3" s="99">
        <f>SUM(N2:Q2)</f>
        <v>0</v>
      </c>
      <c r="S3" s="76">
        <f>SUM(CoreValuesResults[[#This Row],[Identify - Research (CV-IP)]:[Communicate - Fun (CV-RD)]],CoreValuesResults[[#This Row],[Gracious Professionalism Score]])</f>
        <v>0</v>
      </c>
      <c r="T3" s="70">
        <f>_xlfn.RANK.EQ(CoreValuesResults[[#This Row],[Core Values Score]],CoreValuesResults[Core Values Score],0)</f>
        <v>1</v>
      </c>
    </row>
    <row r="4" spans="1:20" ht="21" customHeight="1" x14ac:dyDescent="0.25">
      <c r="A4" s="99">
        <v>62706</v>
      </c>
      <c r="B4" s="99">
        <f>INDEX(OfficialTeamList[Pod Number],MATCH(CoreValuesResults[[#This Row],[Team '#]], OfficialTeamList[Team '#],0))</f>
        <v>0</v>
      </c>
      <c r="C4" s="101" t="str">
        <f>INDEX(OfficialTeamList[Team Name],MATCH(CoreValuesResults[[#This Row],[Team '#]], OfficialTeamList[Team '#],0))</f>
        <v>OLMC Aquinas</v>
      </c>
      <c r="D4" s="71">
        <f>INDEX(InnovationProjectResults[Identify - Research (CV)],MATCH(CoreValuesResults[[#This Row],[Team '#]],InnovationProjectResults[Team '#],0))</f>
        <v>0</v>
      </c>
      <c r="E4" s="71">
        <f>INDEX(InnovationProjectResults[Design - Teamwork (CV)],MATCH(CoreValuesResults[[#This Row],[Team '#]],InnovationProjectResults[Team '#],0))</f>
        <v>0</v>
      </c>
      <c r="F4" s="71">
        <f>INDEX(InnovationProjectResults[Create - Innovation (CV)],MATCH(CoreValuesResults[[#This Row],[Team '#]],InnovationProjectResults[Team '#],0))</f>
        <v>0</v>
      </c>
      <c r="G4" s="71">
        <f>INDEX(InnovationProjectResults[Communicate - Impact (CV)],MATCH(CoreValuesResults[[#This Row],[Team '#]],InnovationProjectResults[Team '#],0))</f>
        <v>0</v>
      </c>
      <c r="H4" s="71">
        <f>INDEX(InnovationProjectResults[Communicate - Fun (CV)],MATCH(CoreValuesResults[[#This Row],[Team '#]],InnovationProjectResults[Team '#],0))</f>
        <v>0</v>
      </c>
      <c r="I4" s="71">
        <f>INDEX(RobotDesignResults[Identify - Research (CV)],MATCH(CoreValuesResults[[#This Row],[Team '#]],RobotDesignResults[Team '#],0))</f>
        <v>0</v>
      </c>
      <c r="J4" s="71">
        <f>INDEX(RobotDesignResults[Design - Ideas (CV)],MATCH(CoreValuesResults[[#This Row],[Team '#]],RobotDesignResults[Team '#],0))</f>
        <v>0</v>
      </c>
      <c r="K4" s="71">
        <f>INDEX(RobotDesignResults[Iterate - Improvements (CV)],MATCH(CoreValuesResults[[#This Row],[Team '#]],RobotDesignResults[Team '#],0))</f>
        <v>0</v>
      </c>
      <c r="L4" s="71">
        <f>INDEX(RobotDesignResults[Communicate - Impact (CV)],MATCH(CoreValuesResults[[#This Row],[Team '#]],RobotDesignResults[Team '#],0))</f>
        <v>0</v>
      </c>
      <c r="M4" s="71">
        <f>INDEX(RobotDesignResults[Communicate - Fun (CV)],MATCH(CoreValuesResults[[#This Row],[Team '#]],RobotDesignResults[Team '#],0))</f>
        <v>0</v>
      </c>
      <c r="N4" s="77"/>
      <c r="O4" s="77"/>
      <c r="P4" s="77"/>
      <c r="Q4" s="99">
        <f>SUM(CoreValuesResults[[#This Row],[Gracious Professionalism 1]:[Gracious Professionalism 3]])</f>
        <v>0</v>
      </c>
      <c r="R4" s="99">
        <f>SUM(N2:Q2)</f>
        <v>0</v>
      </c>
      <c r="S4" s="76">
        <f>SUM(CoreValuesResults[[#This Row],[Identify - Research (CV-IP)]:[Communicate - Fun (CV-RD)]],CoreValuesResults[[#This Row],[Gracious Professionalism Score]])</f>
        <v>0</v>
      </c>
      <c r="T4" s="70">
        <f>_xlfn.RANK.EQ(CoreValuesResults[[#This Row],[Core Values Score]],CoreValuesResults[Core Values Score],0)</f>
        <v>1</v>
      </c>
    </row>
    <row r="5" spans="1:20" ht="21" customHeight="1" x14ac:dyDescent="0.25">
      <c r="A5" s="99">
        <v>73002</v>
      </c>
      <c r="B5" s="99">
        <f>INDEX(OfficialTeamList[Pod Number],MATCH(CoreValuesResults[[#This Row],[Team '#]], OfficialTeamList[Team '#],0))</f>
        <v>0</v>
      </c>
      <c r="C5" s="101" t="str">
        <f>INDEX(OfficialTeamList[Team Name],MATCH(CoreValuesResults[[#This Row],[Team '#]], OfficialTeamList[Team '#],0))</f>
        <v>MCH Monarchs</v>
      </c>
      <c r="D5" s="71">
        <f>INDEX(InnovationProjectResults[Identify - Research (CV)],MATCH(CoreValuesResults[[#This Row],[Team '#]],InnovationProjectResults[Team '#],0))</f>
        <v>0</v>
      </c>
      <c r="E5" s="71">
        <f>INDEX(InnovationProjectResults[Design - Teamwork (CV)],MATCH(CoreValuesResults[[#This Row],[Team '#]],InnovationProjectResults[Team '#],0))</f>
        <v>0</v>
      </c>
      <c r="F5" s="71">
        <f>INDEX(InnovationProjectResults[Create - Innovation (CV)],MATCH(CoreValuesResults[[#This Row],[Team '#]],InnovationProjectResults[Team '#],0))</f>
        <v>0</v>
      </c>
      <c r="G5" s="71">
        <f>INDEX(InnovationProjectResults[Communicate - Impact (CV)],MATCH(CoreValuesResults[[#This Row],[Team '#]],InnovationProjectResults[Team '#],0))</f>
        <v>0</v>
      </c>
      <c r="H5" s="71">
        <f>INDEX(InnovationProjectResults[Communicate - Fun (CV)],MATCH(CoreValuesResults[[#This Row],[Team '#]],InnovationProjectResults[Team '#],0))</f>
        <v>0</v>
      </c>
      <c r="I5" s="71">
        <f>INDEX(RobotDesignResults[Identify - Research (CV)],MATCH(CoreValuesResults[[#This Row],[Team '#]],RobotDesignResults[Team '#],0))</f>
        <v>0</v>
      </c>
      <c r="J5" s="71">
        <f>INDEX(RobotDesignResults[Design - Ideas (CV)],MATCH(CoreValuesResults[[#This Row],[Team '#]],RobotDesignResults[Team '#],0))</f>
        <v>0</v>
      </c>
      <c r="K5" s="71">
        <f>INDEX(RobotDesignResults[Iterate - Improvements (CV)],MATCH(CoreValuesResults[[#This Row],[Team '#]],RobotDesignResults[Team '#],0))</f>
        <v>0</v>
      </c>
      <c r="L5" s="71">
        <f>INDEX(RobotDesignResults[Communicate - Impact (CV)],MATCH(CoreValuesResults[[#This Row],[Team '#]],RobotDesignResults[Team '#],0))</f>
        <v>0</v>
      </c>
      <c r="M5" s="71">
        <f>INDEX(RobotDesignResults[Communicate - Fun (CV)],MATCH(CoreValuesResults[[#This Row],[Team '#]],RobotDesignResults[Team '#],0))</f>
        <v>0</v>
      </c>
      <c r="N5" s="77"/>
      <c r="O5" s="77"/>
      <c r="P5" s="77"/>
      <c r="Q5" s="99">
        <f>SUM(CoreValuesResults[[#This Row],[Gracious Professionalism 1]:[Gracious Professionalism 3]])</f>
        <v>0</v>
      </c>
      <c r="R5" s="99">
        <f>SUM(N2:Q2)</f>
        <v>0</v>
      </c>
      <c r="S5" s="76">
        <f>SUM(CoreValuesResults[[#This Row],[Identify - Research (CV-IP)]:[Communicate - Fun (CV-RD)]],CoreValuesResults[[#This Row],[Gracious Professionalism Score]])</f>
        <v>0</v>
      </c>
      <c r="T5" s="70">
        <f>_xlfn.RANK.EQ(CoreValuesResults[[#This Row],[Core Values Score]],CoreValuesResults[Core Values Score],0)</f>
        <v>1</v>
      </c>
    </row>
    <row r="6" spans="1:20" ht="21" customHeight="1" x14ac:dyDescent="0.25">
      <c r="A6" s="99">
        <v>73106</v>
      </c>
      <c r="B6" s="99">
        <f>INDEX(OfficialTeamList[Pod Number],MATCH(CoreValuesResults[[#This Row],[Team '#]], OfficialTeamList[Team '#],0))</f>
        <v>0</v>
      </c>
      <c r="C6" s="101" t="str">
        <f>INDEX(OfficialTeamList[Team Name],MATCH(CoreValuesResults[[#This Row],[Team '#]], OfficialTeamList[Team '#],0))</f>
        <v>Kempsville Dino-Nuggets</v>
      </c>
      <c r="D6" s="71">
        <f>INDEX(InnovationProjectResults[Identify - Research (CV)],MATCH(CoreValuesResults[[#This Row],[Team '#]],InnovationProjectResults[Team '#],0))</f>
        <v>0</v>
      </c>
      <c r="E6" s="71">
        <f>INDEX(InnovationProjectResults[Design - Teamwork (CV)],MATCH(CoreValuesResults[[#This Row],[Team '#]],InnovationProjectResults[Team '#],0))</f>
        <v>0</v>
      </c>
      <c r="F6" s="71">
        <f>INDEX(InnovationProjectResults[Create - Innovation (CV)],MATCH(CoreValuesResults[[#This Row],[Team '#]],InnovationProjectResults[Team '#],0))</f>
        <v>0</v>
      </c>
      <c r="G6" s="71">
        <f>INDEX(InnovationProjectResults[Communicate - Impact (CV)],MATCH(CoreValuesResults[[#This Row],[Team '#]],InnovationProjectResults[Team '#],0))</f>
        <v>0</v>
      </c>
      <c r="H6" s="71">
        <f>INDEX(InnovationProjectResults[Communicate - Fun (CV)],MATCH(CoreValuesResults[[#This Row],[Team '#]],InnovationProjectResults[Team '#],0))</f>
        <v>0</v>
      </c>
      <c r="I6" s="71">
        <f>INDEX(RobotDesignResults[Identify - Research (CV)],MATCH(CoreValuesResults[[#This Row],[Team '#]],RobotDesignResults[Team '#],0))</f>
        <v>0</v>
      </c>
      <c r="J6" s="71">
        <f>INDEX(RobotDesignResults[Design - Ideas (CV)],MATCH(CoreValuesResults[[#This Row],[Team '#]],RobotDesignResults[Team '#],0))</f>
        <v>0</v>
      </c>
      <c r="K6" s="71">
        <f>INDEX(RobotDesignResults[Iterate - Improvements (CV)],MATCH(CoreValuesResults[[#This Row],[Team '#]],RobotDesignResults[Team '#],0))</f>
        <v>0</v>
      </c>
      <c r="L6" s="71">
        <f>INDEX(RobotDesignResults[Communicate - Impact (CV)],MATCH(CoreValuesResults[[#This Row],[Team '#]],RobotDesignResults[Team '#],0))</f>
        <v>0</v>
      </c>
      <c r="M6" s="71">
        <f>INDEX(RobotDesignResults[Communicate - Fun (CV)],MATCH(CoreValuesResults[[#This Row],[Team '#]],RobotDesignResults[Team '#],0))</f>
        <v>0</v>
      </c>
      <c r="N6" s="77"/>
      <c r="O6" s="77"/>
      <c r="P6" s="77"/>
      <c r="Q6" s="99">
        <f>SUM(CoreValuesResults[[#This Row],[Gracious Professionalism 1]:[Gracious Professionalism 3]])</f>
        <v>0</v>
      </c>
      <c r="R6" s="99">
        <f>SUM(N2:Q2)</f>
        <v>0</v>
      </c>
      <c r="S6" s="76">
        <f>SUM(CoreValuesResults[[#This Row],[Identify - Research (CV-IP)]:[Communicate - Fun (CV-RD)]],CoreValuesResults[[#This Row],[Gracious Professionalism Score]])</f>
        <v>0</v>
      </c>
      <c r="T6" s="70">
        <f>_xlfn.RANK.EQ(CoreValuesResults[[#This Row],[Core Values Score]],CoreValuesResults[Core Values Score],0)</f>
        <v>1</v>
      </c>
    </row>
  </sheetData>
  <sheetProtection password="CB4D" sheet="1" formatCells="0" formatColumns="0" formatRows="0" selectLockedCells="1" sort="0" autoFilter="0"/>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205</v>
      </c>
      <c r="B1" s="26" t="s">
        <v>206</v>
      </c>
      <c r="C1" s="26" t="s">
        <v>207</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password="CB4D" sheet="1" formatCells="0" formatColumns="0" formatRows="0" selectLockedCells="1" sort="0" autoFilter="0"/>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20" width="9.140625" style="5" customWidth="1"/>
    <col min="21" max="16384" width="9.140625" style="5"/>
  </cols>
  <sheetData>
    <row r="2" spans="2:10" ht="20.25" customHeight="1" x14ac:dyDescent="0.25">
      <c r="B2" s="5" t="s">
        <v>208</v>
      </c>
      <c r="G2" s="5" t="s">
        <v>209</v>
      </c>
    </row>
    <row r="3" spans="2:10" ht="39.950000000000003" customHeight="1" x14ac:dyDescent="0.25">
      <c r="B3" s="10" t="s">
        <v>210</v>
      </c>
      <c r="C3" s="10" t="s">
        <v>28</v>
      </c>
      <c r="D3" s="11" t="s">
        <v>160</v>
      </c>
      <c r="E3" s="11" t="s">
        <v>211</v>
      </c>
      <c r="G3" s="20" t="s">
        <v>210</v>
      </c>
      <c r="H3" s="20" t="s">
        <v>28</v>
      </c>
      <c r="I3" s="21" t="s">
        <v>160</v>
      </c>
      <c r="J3" s="21" t="s">
        <v>211</v>
      </c>
    </row>
    <row r="4" spans="2:10" ht="20.25" customHeight="1" x14ac:dyDescent="0.25">
      <c r="C4" s="5" t="str">
        <f>IF(ISNA(INDEX(OfficialTeamList[Team Name],MATCH(ChampionsDelib[[#This Row],[Team Number]], OfficialTeamList[Team '#],0))),"",INDEX(OfficialTeamList[Team Name],MATCH(ChampionsDelib[[#This Row],[Team Number]], OfficialTeamList[Team '#],0)))</f>
        <v/>
      </c>
      <c r="D4" s="5" t="e">
        <f>IF(ISNA(INDEX(TournamentData[Champion''s Rank],MATCH(ChampionsDelib[[#This Row],[Team Number]],TournamentData[Team '#],0))),NumberOfTeams+1,INDEX(TournamentData[Champion''s Rank],MATCH(ChampionsDelib[[#This Row],[Team Number]],TournamentData[Team '#],0)))</f>
        <v>#NAME?</v>
      </c>
      <c r="H4" s="5" t="str">
        <f>IF(ISNA(INDEX(OfficialTeamList[Team Name],MATCH(RobotGameDelib[[#This Row],[Team Number]], OfficialTeamList[Team '#],0))),"",INDEX(OfficialTeamList[Team Name],MATCH(RobotGameDelib[[#This Row],[Team Number]], OfficialTeamList[Team '#],0)))</f>
        <v/>
      </c>
      <c r="I4" s="5" t="e">
        <f>IF(ISNA(INDEX(TournamentData[Champion''s Rank],MATCH(RobotGameDelib[[#This Row],[Team Number]],TournamentData[Team '#],0))),NumberOfTeams+1,INDEX(TournamentData[Champion''s Rank],MATCH(RobotGameDelib[[#This Row],[Team Number]],TournamentData[Team '#],0)))</f>
        <v>#NAME?</v>
      </c>
    </row>
    <row r="5" spans="2:10" ht="20.25" customHeight="1" x14ac:dyDescent="0.25">
      <c r="C5" s="5" t="str">
        <f>IF(ISNA(INDEX(OfficialTeamList[Team Name],MATCH(ChampionsDelib[[#This Row],[Team Number]], OfficialTeamList[Team '#],0))),"",INDEX(OfficialTeamList[Team Name],MATCH(ChampionsDelib[[#This Row],[Team Number]], OfficialTeamList[Team '#],0)))</f>
        <v/>
      </c>
      <c r="D5" s="5" t="e">
        <f>IF(ISNA(INDEX(TournamentData[Champion''s Rank],MATCH(ChampionsDelib[[#This Row],[Team Number]],TournamentData[Team '#],0))),NumberOfTeams+1,INDEX(TournamentData[Champion''s Rank],MATCH(ChampionsDelib[[#This Row],[Team Number]],TournamentData[Team '#],0)))</f>
        <v>#NAME?</v>
      </c>
      <c r="H5" s="5" t="str">
        <f>IF(ISNA(INDEX(OfficialTeamList[Team Name],MATCH(RobotGameDelib[[#This Row],[Team Number]], OfficialTeamList[Team '#],0))),"",INDEX(OfficialTeamList[Team Name],MATCH(RobotGameDelib[[#This Row],[Team Number]], OfficialTeamList[Team '#],0)))</f>
        <v/>
      </c>
      <c r="I5" s="5" t="e">
        <f>IF(ISNA(INDEX(TournamentData[Champion''s Rank],MATCH(RobotGameDelib[[#This Row],[Team Number]],TournamentData[Team '#],0))),NumberOfTeams+1,INDEX(TournamentData[Champion''s Rank],MATCH(RobotGameDelib[[#This Row],[Team Number]],TournamentData[Team '#],0)))</f>
        <v>#NAME?</v>
      </c>
    </row>
    <row r="6" spans="2:10" ht="20.25" customHeight="1" x14ac:dyDescent="0.25">
      <c r="C6" s="5" t="str">
        <f>IF(ISNA(INDEX(OfficialTeamList[Team Name],MATCH(ChampionsDelib[[#This Row],[Team Number]], OfficialTeamList[Team '#],0))),"",INDEX(OfficialTeamList[Team Name],MATCH(ChampionsDelib[[#This Row],[Team Number]], OfficialTeamList[Team '#],0)))</f>
        <v/>
      </c>
      <c r="D6" s="5" t="e">
        <f>IF(ISNA(INDEX(TournamentData[Champion''s Rank],MATCH(ChampionsDelib[[#This Row],[Team Number]],TournamentData[Team '#],0))),NumberOfTeams+1,INDEX(TournamentData[Champion''s Rank],MATCH(ChampionsDelib[[#This Row],[Team Number]],TournamentData[Team '#],0)))</f>
        <v>#NAME?</v>
      </c>
      <c r="H6" s="5" t="str">
        <f>IF(ISNA(INDEX(OfficialTeamList[Team Name],MATCH(RobotGameDelib[[#This Row],[Team Number]], OfficialTeamList[Team '#],0))),"",INDEX(OfficialTeamList[Team Name],MATCH(RobotGameDelib[[#This Row],[Team Number]], OfficialTeamList[Team '#],0)))</f>
        <v/>
      </c>
      <c r="I6" s="5" t="e">
        <f>IF(ISNA(INDEX(TournamentData[Champion''s Rank],MATCH(RobotGameDelib[[#This Row],[Team Number]],TournamentData[Team '#],0))),NumberOfTeams+1,INDEX(TournamentData[Champion''s Rank],MATCH(RobotGameDelib[[#This Row],[Team Number]],TournamentData[Team '#],0)))</f>
        <v>#NAME?</v>
      </c>
    </row>
    <row r="7" spans="2:10" ht="20.25" customHeight="1" x14ac:dyDescent="0.25">
      <c r="C7" s="5" t="str">
        <f>IF(ISNA(INDEX(OfficialTeamList[Team Name],MATCH(ChampionsDelib[[#This Row],[Team Number]], OfficialTeamList[Team '#],0))),"",INDEX(OfficialTeamList[Team Name],MATCH(ChampionsDelib[[#This Row],[Team Number]], OfficialTeamList[Team '#],0)))</f>
        <v/>
      </c>
      <c r="D7" s="5" t="e">
        <f>IF(ISNA(INDEX(TournamentData[Champion''s Rank],MATCH(ChampionsDelib[[#This Row],[Team Number]],TournamentData[Team '#],0))),NumberOfTeams+1,INDEX(TournamentData[Champion''s Rank],MATCH(ChampionsDelib[[#This Row],[Team Number]],TournamentData[Team '#],0)))</f>
        <v>#NAME?</v>
      </c>
      <c r="H7" s="5" t="str">
        <f>IF(ISNA(INDEX(OfficialTeamList[Team Name],MATCH(RobotGameDelib[[#This Row],[Team Number]], OfficialTeamList[Team '#],0))),"",INDEX(OfficialTeamList[Team Name],MATCH(RobotGameDelib[[#This Row],[Team Number]], OfficialTeamList[Team '#],0)))</f>
        <v/>
      </c>
      <c r="I7" s="5" t="e">
        <f>IF(ISNA(INDEX(TournamentData[Champion''s Rank],MATCH(RobotGameDelib[[#This Row],[Team Number]],TournamentData[Team '#],0))),NumberOfTeams+1,INDEX(TournamentData[Champion''s Rank],MATCH(RobotGameDelib[[#This Row],[Team Number]],TournamentData[Team '#],0)))</f>
        <v>#NAME?</v>
      </c>
    </row>
    <row r="8" spans="2:10" ht="20.25" customHeight="1" x14ac:dyDescent="0.25">
      <c r="C8" s="5" t="str">
        <f>IF(ISNA(INDEX(OfficialTeamList[Team Name],MATCH(ChampionsDelib[[#This Row],[Team Number]], OfficialTeamList[Team '#],0))),"",INDEX(OfficialTeamList[Team Name],MATCH(ChampionsDelib[[#This Row],[Team Number]], OfficialTeamList[Team '#],0)))</f>
        <v/>
      </c>
      <c r="D8" s="5" t="e">
        <f>IF(ISNA(INDEX(TournamentData[Champion''s Rank],MATCH(ChampionsDelib[[#This Row],[Team Number]],TournamentData[Team '#],0))),NumberOfTeams+1,INDEX(TournamentData[Champion''s Rank],MATCH(ChampionsDelib[[#This Row],[Team Number]],TournamentData[Team '#],0)))</f>
        <v>#NAME?</v>
      </c>
      <c r="H8" s="5" t="str">
        <f>IF(ISNA(INDEX(OfficialTeamList[Team Name],MATCH(RobotGameDelib[[#This Row],[Team Number]], OfficialTeamList[Team '#],0))),"",INDEX(OfficialTeamList[Team Name],MATCH(RobotGameDelib[[#This Row],[Team Number]], OfficialTeamList[Team '#],0)))</f>
        <v/>
      </c>
      <c r="I8" s="5" t="e">
        <f>IF(ISNA(INDEX(TournamentData[Champion''s Rank],MATCH(RobotGameDelib[[#This Row],[Team Number]],TournamentData[Team '#],0))),NumberOfTeams+1,INDEX(TournamentData[Champion''s Rank],MATCH(RobotGameDelib[[#This Row],[Team Number]],TournamentData[Team '#],0)))</f>
        <v>#NAME?</v>
      </c>
    </row>
    <row r="9" spans="2:10" ht="20.25" customHeight="1" x14ac:dyDescent="0.25">
      <c r="C9" s="5" t="str">
        <f>IF(ISNA(INDEX(OfficialTeamList[Team Name],MATCH(ChampionsDelib[[#This Row],[Team Number]], OfficialTeamList[Team '#],0))),"",INDEX(OfficialTeamList[Team Name],MATCH(ChampionsDelib[[#This Row],[Team Number]], OfficialTeamList[Team '#],0)))</f>
        <v/>
      </c>
      <c r="D9" s="5" t="e">
        <f>IF(ISNA(INDEX(TournamentData[Champion''s Rank],MATCH(ChampionsDelib[[#This Row],[Team Number]],TournamentData[Team '#],0))),NumberOfTeams+1,INDEX(TournamentData[Champion''s Rank],MATCH(ChampionsDelib[[#This Row],[Team Number]],TournamentData[Team '#],0)))</f>
        <v>#NAME?</v>
      </c>
      <c r="H9" s="5" t="str">
        <f>IF(ISNA(INDEX(OfficialTeamList[Team Name],MATCH(RobotGameDelib[[#This Row],[Team Number]], OfficialTeamList[Team '#],0))),"",INDEX(OfficialTeamList[Team Name],MATCH(RobotGameDelib[[#This Row],[Team Number]], OfficialTeamList[Team '#],0)))</f>
        <v/>
      </c>
      <c r="I9" s="5" t="e">
        <f>IF(ISNA(INDEX(TournamentData[Champion''s Rank],MATCH(RobotGameDelib[[#This Row],[Team Number]],TournamentData[Team '#],0))),NumberOfTeams+1,INDEX(TournamentData[Champion''s Rank],MATCH(RobotGameDelib[[#This Row],[Team Number]],TournamentData[Team '#],0)))</f>
        <v>#NAME?</v>
      </c>
    </row>
    <row r="10" spans="2:10" ht="20.25" customHeight="1" x14ac:dyDescent="0.25">
      <c r="C10" s="5" t="str">
        <f>IF(ISNA(INDEX(OfficialTeamList[Team Name],MATCH(ChampionsDelib[[#This Row],[Team Number]], OfficialTeamList[Team '#],0))),"",INDEX(OfficialTeamList[Team Name],MATCH(ChampionsDelib[[#This Row],[Team Number]], OfficialTeamList[Team '#],0)))</f>
        <v/>
      </c>
      <c r="D10" s="5" t="e">
        <f>IF(ISNA(INDEX(TournamentData[Champion''s Rank],MATCH(ChampionsDelib[[#This Row],[Team Number]],TournamentData[Team '#],0))),NumberOfTeams+1,INDEX(TournamentData[Champion''s Rank],MATCH(ChampionsDelib[[#This Row],[Team Number]],TournamentData[Team '#],0)))</f>
        <v>#NAME?</v>
      </c>
      <c r="H10" s="5" t="str">
        <f>IF(ISNA(INDEX(OfficialTeamList[Team Name],MATCH(RobotGameDelib[[#This Row],[Team Number]], OfficialTeamList[Team '#],0))),"",INDEX(OfficialTeamList[Team Name],MATCH(RobotGameDelib[[#This Row],[Team Number]], OfficialTeamList[Team '#],0)))</f>
        <v/>
      </c>
      <c r="I10" s="5" t="e">
        <f>IF(ISNA(INDEX(TournamentData[Champion''s Rank],MATCH(RobotGameDelib[[#This Row],[Team Number]],TournamentData[Team '#],0))),NumberOfTeams+1,INDEX(TournamentData[Champion''s Rank],MATCH(RobotGameDelib[[#This Row],[Team Number]],TournamentData[Team '#],0)))</f>
        <v>#NAME?</v>
      </c>
    </row>
    <row r="11" spans="2:10" ht="20.25" customHeight="1" x14ac:dyDescent="0.25">
      <c r="C11" s="5" t="str">
        <f>IF(ISNA(INDEX(OfficialTeamList[Team Name],MATCH(ChampionsDelib[[#This Row],[Team Number]], OfficialTeamList[Team '#],0))),"",INDEX(OfficialTeamList[Team Name],MATCH(ChampionsDelib[[#This Row],[Team Number]], OfficialTeamList[Team '#],0)))</f>
        <v/>
      </c>
      <c r="D11" s="5" t="e">
        <f>IF(ISNA(INDEX(TournamentData[Champion''s Rank],MATCH(ChampionsDelib[[#This Row],[Team Number]],TournamentData[Team '#],0))),NumberOfTeams+1,INDEX(TournamentData[Champion''s Rank],MATCH(ChampionsDelib[[#This Row],[Team Number]],TournamentData[Team '#],0)))</f>
        <v>#NAME?</v>
      </c>
      <c r="H11" s="5" t="str">
        <f>IF(ISNA(INDEX(OfficialTeamList[Team Name],MATCH(RobotGameDelib[[#This Row],[Team Number]], OfficialTeamList[Team '#],0))),"",INDEX(OfficialTeamList[Team Name],MATCH(RobotGameDelib[[#This Row],[Team Number]], OfficialTeamList[Team '#],0)))</f>
        <v/>
      </c>
      <c r="I11" s="5" t="e">
        <f>IF(ISNA(INDEX(TournamentData[Champion''s Rank],MATCH(RobotGameDelib[[#This Row],[Team Number]],TournamentData[Team '#],0))),NumberOfTeams+1,INDEX(TournamentData[Champion''s Rank],MATCH(RobotGameDelib[[#This Row],[Team Number]],TournamentData[Team '#],0)))</f>
        <v>#NAME?</v>
      </c>
    </row>
    <row r="12" spans="2:10" ht="20.25" customHeight="1" x14ac:dyDescent="0.25">
      <c r="C12" s="5" t="str">
        <f>IF(ISNA(INDEX(OfficialTeamList[Team Name],MATCH(ChampionsDelib[[#This Row],[Team Number]], OfficialTeamList[Team '#],0))),"",INDEX(OfficialTeamList[Team Name],MATCH(ChampionsDelib[[#This Row],[Team Number]], OfficialTeamList[Team '#],0)))</f>
        <v/>
      </c>
      <c r="D12" s="5" t="e">
        <f>IF(ISNA(INDEX(TournamentData[Champion''s Rank],MATCH(ChampionsDelib[[#This Row],[Team Number]],TournamentData[Team '#],0))),NumberOfTeams+1,INDEX(TournamentData[Champion''s Rank],MATCH(ChampionsDelib[[#This Row],[Team Number]],TournamentData[Team '#],0)))</f>
        <v>#NAME?</v>
      </c>
      <c r="H12" s="5" t="str">
        <f>IF(ISNA(INDEX(OfficialTeamList[Team Name],MATCH(RobotGameDelib[[#This Row],[Team Number]], OfficialTeamList[Team '#],0))),"",INDEX(OfficialTeamList[Team Name],MATCH(RobotGameDelib[[#This Row],[Team Number]], OfficialTeamList[Team '#],0)))</f>
        <v/>
      </c>
      <c r="I12" s="5" t="e">
        <f>IF(ISNA(INDEX(TournamentData[Champion''s Rank],MATCH(RobotGameDelib[[#This Row],[Team Number]],TournamentData[Team '#],0))),NumberOfTeams+1,INDEX(TournamentData[Champion''s Rank],MATCH(RobotGameDelib[[#This Row],[Team Number]],TournamentData[Team '#],0)))</f>
        <v>#NAME?</v>
      </c>
    </row>
    <row r="13" spans="2:10" ht="20.25" customHeight="1" x14ac:dyDescent="0.25">
      <c r="C13" s="5" t="str">
        <f>IF(ISNA(INDEX(OfficialTeamList[Team Name],MATCH(ChampionsDelib[[#This Row],[Team Number]], OfficialTeamList[Team '#],0))),"",INDEX(OfficialTeamList[Team Name],MATCH(ChampionsDelib[[#This Row],[Team Number]], OfficialTeamList[Team '#],0)))</f>
        <v/>
      </c>
      <c r="D13" s="5" t="e">
        <f>IF(ISNA(INDEX(TournamentData[Champion''s Rank],MATCH(ChampionsDelib[[#This Row],[Team Number]],TournamentData[Team '#],0))),NumberOfTeams+1,INDEX(TournamentData[Champion''s Rank],MATCH(ChampionsDelib[[#This Row],[Team Number]],TournamentData[Team '#],0)))</f>
        <v>#NAME?</v>
      </c>
      <c r="H13" s="5" t="str">
        <f>IF(ISNA(INDEX(OfficialTeamList[Team Name],MATCH(RobotGameDelib[[#This Row],[Team Number]], OfficialTeamList[Team '#],0))),"",INDEX(OfficialTeamList[Team Name],MATCH(RobotGameDelib[[#This Row],[Team Number]], OfficialTeamList[Team '#],0)))</f>
        <v/>
      </c>
      <c r="I13" s="5" t="e">
        <f>IF(ISNA(INDEX(TournamentData[Champion''s Rank],MATCH(RobotGameDelib[[#This Row],[Team Number]],TournamentData[Team '#],0))),NumberOfTeams+1,INDEX(TournamentData[Champion''s Rank],MATCH(RobotGameDelib[[#This Row],[Team Number]],TournamentData[Team '#],0)))</f>
        <v>#NAME?</v>
      </c>
    </row>
    <row r="14" spans="2:10" ht="20.25" customHeight="1" x14ac:dyDescent="0.25">
      <c r="C14" s="5" t="str">
        <f>IF(ISNA(INDEX(OfficialTeamList[Team Name],MATCH(ChampionsDelib[[#This Row],[Team Number]], OfficialTeamList[Team '#],0))),"",INDEX(OfficialTeamList[Team Name],MATCH(ChampionsDelib[[#This Row],[Team Number]], OfficialTeamList[Team '#],0)))</f>
        <v/>
      </c>
      <c r="D14" s="5" t="e">
        <f>IF(ISNA(INDEX(TournamentData[Champion''s Rank],MATCH(ChampionsDelib[[#This Row],[Team Number]],TournamentData[Team '#],0))),NumberOfTeams+1,INDEX(TournamentData[Champion''s Rank],MATCH(ChampionsDelib[[#This Row],[Team Number]],TournamentData[Team '#],0)))</f>
        <v>#NAME?</v>
      </c>
      <c r="H14" s="5" t="str">
        <f>IF(ISNA(INDEX(OfficialTeamList[Team Name],MATCH(RobotGameDelib[[#This Row],[Team Number]], OfficialTeamList[Team '#],0))),"",INDEX(OfficialTeamList[Team Name],MATCH(RobotGameDelib[[#This Row],[Team Number]], OfficialTeamList[Team '#],0)))</f>
        <v/>
      </c>
      <c r="I14" s="5" t="e">
        <f>IF(ISNA(INDEX(TournamentData[Champion''s Rank],MATCH(RobotGameDelib[[#This Row],[Team Number]],TournamentData[Team '#],0))),NumberOfTeams+1,INDEX(TournamentData[Champion''s Rank],MATCH(RobotGameDelib[[#This Row],[Team Number]],TournamentData[Team '#],0)))</f>
        <v>#NAME?</v>
      </c>
    </row>
    <row r="15" spans="2:10" ht="20.25" customHeight="1" x14ac:dyDescent="0.25">
      <c r="C15" s="5" t="str">
        <f>IF(ISNA(INDEX(OfficialTeamList[Team Name],MATCH(ChampionsDelib[[#This Row],[Team Number]], OfficialTeamList[Team '#],0))),"",INDEX(OfficialTeamList[Team Name],MATCH(ChampionsDelib[[#This Row],[Team Number]], OfficialTeamList[Team '#],0)))</f>
        <v/>
      </c>
      <c r="D15" s="5" t="e">
        <f>IF(ISNA(INDEX(TournamentData[Champion''s Rank],MATCH(ChampionsDelib[[#This Row],[Team Number]],TournamentData[Team '#],0))),NumberOfTeams+1,INDEX(TournamentData[Champion''s Rank],MATCH(ChampionsDelib[[#This Row],[Team Number]],TournamentData[Team '#],0)))</f>
        <v>#NAME?</v>
      </c>
      <c r="H15" s="5" t="str">
        <f>IF(ISNA(INDEX(OfficialTeamList[Team Name],MATCH(RobotGameDelib[[#This Row],[Team Number]], OfficialTeamList[Team '#],0))),"",INDEX(OfficialTeamList[Team Name],MATCH(RobotGameDelib[[#This Row],[Team Number]], OfficialTeamList[Team '#],0)))</f>
        <v/>
      </c>
      <c r="I15" s="5" t="e">
        <f>IF(ISNA(INDEX(TournamentData[Champion''s Rank],MATCH(RobotGameDelib[[#This Row],[Team Number]],TournamentData[Team '#],0))),NumberOfTeams+1,INDEX(TournamentData[Champion''s Rank],MATCH(RobotGameDelib[[#This Row],[Team Number]],TournamentData[Team '#],0)))</f>
        <v>#NAME?</v>
      </c>
    </row>
    <row r="16" spans="2:10" ht="20.25" customHeight="1" x14ac:dyDescent="0.25">
      <c r="C16" s="5" t="str">
        <f>IF(ISNA(INDEX(OfficialTeamList[Team Name],MATCH(ChampionsDelib[[#This Row],[Team Number]], OfficialTeamList[Team '#],0))),"",INDEX(OfficialTeamList[Team Name],MATCH(ChampionsDelib[[#This Row],[Team Number]], OfficialTeamList[Team '#],0)))</f>
        <v/>
      </c>
      <c r="D16" s="5" t="e">
        <f>IF(ISNA(INDEX(TournamentData[Champion''s Rank],MATCH(ChampionsDelib[[#This Row],[Team Number]],TournamentData[Team '#],0))),NumberOfTeams+1,INDEX(TournamentData[Champion''s Rank],MATCH(ChampionsDelib[[#This Row],[Team Number]],TournamentData[Team '#],0)))</f>
        <v>#NAME?</v>
      </c>
      <c r="H16" s="5" t="str">
        <f>IF(ISNA(INDEX(OfficialTeamList[Team Name],MATCH(RobotGameDelib[[#This Row],[Team Number]], OfficialTeamList[Team '#],0))),"",INDEX(OfficialTeamList[Team Name],MATCH(RobotGameDelib[[#This Row],[Team Number]], OfficialTeamList[Team '#],0)))</f>
        <v/>
      </c>
      <c r="I16" s="5" t="e">
        <f>IF(ISNA(INDEX(TournamentData[Champion''s Rank],MATCH(RobotGameDelib[[#This Row],[Team Number]],TournamentData[Team '#],0))),NumberOfTeams+1,INDEX(TournamentData[Champion''s Rank],MATCH(RobotGameDelib[[#This Row],[Team Number]],TournamentData[Team '#],0)))</f>
        <v>#NAME?</v>
      </c>
    </row>
    <row r="17" spans="2:15" ht="20.25" customHeight="1" x14ac:dyDescent="0.25">
      <c r="C17" s="5" t="str">
        <f>IF(ISNA(INDEX(OfficialTeamList[Team Name],MATCH(ChampionsDelib[[#This Row],[Team Number]], OfficialTeamList[Team '#],0))),"",INDEX(OfficialTeamList[Team Name],MATCH(ChampionsDelib[[#This Row],[Team Number]], OfficialTeamList[Team '#],0)))</f>
        <v/>
      </c>
      <c r="D17" s="5" t="e">
        <f>IF(ISNA(INDEX(TournamentData[Champion''s Rank],MATCH(ChampionsDelib[[#This Row],[Team Number]],TournamentData[Team '#],0))),NumberOfTeams+1,INDEX(TournamentData[Champion''s Rank],MATCH(ChampionsDelib[[#This Row],[Team Number]],TournamentData[Team '#],0)))</f>
        <v>#NAME?</v>
      </c>
      <c r="H17" s="5" t="str">
        <f>IF(ISNA(INDEX(OfficialTeamList[Team Name],MATCH(RobotGameDelib[[#This Row],[Team Number]], OfficialTeamList[Team '#],0))),"",INDEX(OfficialTeamList[Team Name],MATCH(RobotGameDelib[[#This Row],[Team Number]], OfficialTeamList[Team '#],0)))</f>
        <v/>
      </c>
      <c r="I17" s="5" t="e">
        <f>IF(ISNA(INDEX(TournamentData[Champion''s Rank],MATCH(RobotGameDelib[[#This Row],[Team Number]],TournamentData[Team '#],0))),NumberOfTeams+1,INDEX(TournamentData[Champion''s Rank],MATCH(RobotGameDelib[[#This Row],[Team Number]],TournamentData[Team '#],0)))</f>
        <v>#NAME?</v>
      </c>
    </row>
    <row r="18" spans="2:15" ht="20.25" customHeight="1" x14ac:dyDescent="0.25">
      <c r="C18" s="5" t="str">
        <f>IF(ISNA(INDEX(OfficialTeamList[Team Name],MATCH(ChampionsDelib[[#This Row],[Team Number]], OfficialTeamList[Team '#],0))),"",INDEX(OfficialTeamList[Team Name],MATCH(ChampionsDelib[[#This Row],[Team Number]], OfficialTeamList[Team '#],0)))</f>
        <v/>
      </c>
      <c r="D18" s="5" t="e">
        <f>IF(ISNA(INDEX(TournamentData[Champion''s Rank],MATCH(ChampionsDelib[[#This Row],[Team Number]],TournamentData[Team '#],0))),NumberOfTeams+1,INDEX(TournamentData[Champion''s Rank],MATCH(ChampionsDelib[[#This Row],[Team Number]],TournamentData[Team '#],0)))</f>
        <v>#NAME?</v>
      </c>
      <c r="H18" s="5" t="str">
        <f>IF(ISNA(INDEX(OfficialTeamList[Team Name],MATCH(RobotGameDelib[[#This Row],[Team Number]], OfficialTeamList[Team '#],0))),"",INDEX(OfficialTeamList[Team Name],MATCH(RobotGameDelib[[#This Row],[Team Number]], OfficialTeamList[Team '#],0)))</f>
        <v/>
      </c>
      <c r="I18" s="5" t="e">
        <f>IF(ISNA(INDEX(TournamentData[Champion''s Rank],MATCH(RobotGameDelib[[#This Row],[Team Number]],TournamentData[Team '#],0))),NumberOfTeams+1,INDEX(TournamentData[Champion''s Rank],MATCH(RobotGameDelib[[#This Row],[Team Number]],TournamentData[Team '#],0)))</f>
        <v>#NAME?</v>
      </c>
    </row>
    <row r="20" spans="2:15" ht="20.25" customHeight="1" x14ac:dyDescent="0.25">
      <c r="B20" s="5" t="s">
        <v>104</v>
      </c>
      <c r="G20" s="5" t="s">
        <v>94</v>
      </c>
      <c r="L20" s="5" t="s">
        <v>99</v>
      </c>
    </row>
    <row r="21" spans="2:15" ht="39.950000000000003" customHeight="1" x14ac:dyDescent="0.25">
      <c r="B21" s="14" t="s">
        <v>210</v>
      </c>
      <c r="C21" s="14" t="s">
        <v>28</v>
      </c>
      <c r="D21" s="15" t="s">
        <v>156</v>
      </c>
      <c r="E21" s="15" t="s">
        <v>211</v>
      </c>
      <c r="G21" s="18" t="s">
        <v>210</v>
      </c>
      <c r="H21" s="18" t="s">
        <v>28</v>
      </c>
      <c r="I21" s="19" t="s">
        <v>158</v>
      </c>
      <c r="J21" s="19" t="s">
        <v>211</v>
      </c>
      <c r="L21" s="16" t="s">
        <v>210</v>
      </c>
      <c r="M21" s="16" t="s">
        <v>28</v>
      </c>
      <c r="N21" s="17" t="s">
        <v>157</v>
      </c>
      <c r="O21" s="17" t="s">
        <v>211</v>
      </c>
    </row>
    <row r="22" spans="2:15" ht="20.25" customHeight="1" x14ac:dyDescent="0.25">
      <c r="C22" s="5" t="str">
        <f>IF(ISNA(INDEX(OfficialTeamList[Team Name],MATCH(CoreValuesDelib[[#This Row],[Team Number]], OfficialTeamList[Team '#],0))),"",INDEX(OfficialTeamList[Team Name],MATCH(CoreValuesDelib[[#This Row],[Team Number]], OfficialTeamList[Team '#],0)))</f>
        <v/>
      </c>
      <c r="D22" s="5" t="e">
        <f>IF(ISNA(INDEX(CoreValuesResults[Core Values Rank],MATCH(CoreValuesDelib[[#This Row],[Team Number]],CoreValuesResults[Team '#],0))),NumberOfTeams+1,INDEX(CoreValuesResults[Core Values Rank],MATCH(CoreValuesDelib[[#This Row],[Team Number]],CoreValuesResults[Team '#],0)))</f>
        <v>#NAME?</v>
      </c>
      <c r="H22" s="5" t="str">
        <f>IF(ISNA(INDEX(OfficialTeamList[Team Name],MATCH(RobotDesignDelib[[#This Row],[Team Number]], OfficialTeamList[Team '#],0))),"",INDEX(OfficialTeamList[Team Name],MATCH(RobotDesignDelib[[#This Row],[Team Number]], OfficialTeamList[Team '#],0)))</f>
        <v/>
      </c>
      <c r="I22" s="5" t="e">
        <f>IF(ISNA(INDEX(RobotDesignResults[Robot Design Rank],MATCH(RobotDesignDelib[[#This Row],[Team Number]],RobotDesignResults[Team '#],0))),NumberOfTeams+1,INDEX(RobotDesignResults[Robot Design Rank],MATCH(RobotDesignDelib[[#This Row],[Team Number]],RobotDesignResults[Team '#],0)))</f>
        <v>#NAME?</v>
      </c>
      <c r="M22" s="5" t="str">
        <f>IF(ISNA(INDEX(OfficialTeamList[Team Name],MATCH(InnovationProjectDelib[[#This Row],[Team Number]], OfficialTeamList[Team '#],0))),"",INDEX(OfficialTeamList[Team Name],MATCH(InnovationProjectDelib[[#This Row],[Team Number]], OfficialTeamList[Team '#],0)))</f>
        <v/>
      </c>
      <c r="N2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3" spans="2:15" ht="20.25" customHeight="1" x14ac:dyDescent="0.25">
      <c r="C23" s="5" t="str">
        <f>IF(ISNA(INDEX(OfficialTeamList[Team Name],MATCH(CoreValuesDelib[[#This Row],[Team Number]], OfficialTeamList[Team '#],0))),"",INDEX(OfficialTeamList[Team Name],MATCH(CoreValuesDelib[[#This Row],[Team Number]], OfficialTeamList[Team '#],0)))</f>
        <v/>
      </c>
      <c r="D23" s="5" t="e">
        <f>IF(ISNA(INDEX(CoreValuesResults[Core Values Rank],MATCH(CoreValuesDelib[[#This Row],[Team Number]],CoreValuesResults[Team '#],0))),NumberOfTeams+1,INDEX(CoreValuesResults[Core Values Rank],MATCH(CoreValuesDelib[[#This Row],[Team Number]],CoreValuesResults[Team '#],0)))</f>
        <v>#NAME?</v>
      </c>
      <c r="H23" s="5" t="str">
        <f>IF(ISNA(INDEX(OfficialTeamList[Team Name],MATCH(RobotDesignDelib[[#This Row],[Team Number]], OfficialTeamList[Team '#],0))),"",INDEX(OfficialTeamList[Team Name],MATCH(RobotDesignDelib[[#This Row],[Team Number]], OfficialTeamList[Team '#],0)))</f>
        <v/>
      </c>
      <c r="I23" s="5" t="e">
        <f>IF(ISNA(INDEX(RobotDesignResults[Robot Design Rank],MATCH(RobotDesignDelib[[#This Row],[Team Number]],RobotDesignResults[Team '#],0))),NumberOfTeams+1,INDEX(RobotDesignResults[Robot Design Rank],MATCH(RobotDesignDelib[[#This Row],[Team Number]],RobotDesignResults[Team '#],0)))</f>
        <v>#NAME?</v>
      </c>
      <c r="M23" s="5" t="str">
        <f>IF(ISNA(INDEX(OfficialTeamList[Team Name],MATCH(InnovationProjectDelib[[#This Row],[Team Number]], OfficialTeamList[Team '#],0))),"",INDEX(OfficialTeamList[Team Name],MATCH(InnovationProjectDelib[[#This Row],[Team Number]], OfficialTeamList[Team '#],0)))</f>
        <v/>
      </c>
      <c r="N2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4" spans="2:15" ht="20.25" customHeight="1" x14ac:dyDescent="0.25">
      <c r="C24" s="5" t="str">
        <f>IF(ISNA(INDEX(OfficialTeamList[Team Name],MATCH(CoreValuesDelib[[#This Row],[Team Number]], OfficialTeamList[Team '#],0))),"",INDEX(OfficialTeamList[Team Name],MATCH(CoreValuesDelib[[#This Row],[Team Number]], OfficialTeamList[Team '#],0)))</f>
        <v/>
      </c>
      <c r="D24" s="5" t="e">
        <f>IF(ISNA(INDEX(CoreValuesResults[Core Values Rank],MATCH(CoreValuesDelib[[#This Row],[Team Number]],CoreValuesResults[Team '#],0))),NumberOfTeams+1,INDEX(CoreValuesResults[Core Values Rank],MATCH(CoreValuesDelib[[#This Row],[Team Number]],CoreValuesResults[Team '#],0)))</f>
        <v>#NAME?</v>
      </c>
      <c r="H24" s="5" t="str">
        <f>IF(ISNA(INDEX(OfficialTeamList[Team Name],MATCH(RobotDesignDelib[[#This Row],[Team Number]], OfficialTeamList[Team '#],0))),"",INDEX(OfficialTeamList[Team Name],MATCH(RobotDesignDelib[[#This Row],[Team Number]], OfficialTeamList[Team '#],0)))</f>
        <v/>
      </c>
      <c r="I24" s="5" t="e">
        <f>IF(ISNA(INDEX(RobotDesignResults[Robot Design Rank],MATCH(RobotDesignDelib[[#This Row],[Team Number]],RobotDesignResults[Team '#],0))),NumberOfTeams+1,INDEX(RobotDesignResults[Robot Design Rank],MATCH(RobotDesignDelib[[#This Row],[Team Number]],RobotDesignResults[Team '#],0)))</f>
        <v>#NAME?</v>
      </c>
      <c r="M24" s="5" t="str">
        <f>IF(ISNA(INDEX(OfficialTeamList[Team Name],MATCH(InnovationProjectDelib[[#This Row],[Team Number]], OfficialTeamList[Team '#],0))),"",INDEX(OfficialTeamList[Team Name],MATCH(InnovationProjectDelib[[#This Row],[Team Number]], OfficialTeamList[Team '#],0)))</f>
        <v/>
      </c>
      <c r="N2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5" spans="2:15" ht="20.25" customHeight="1" x14ac:dyDescent="0.25">
      <c r="C25" s="5" t="str">
        <f>IF(ISNA(INDEX(OfficialTeamList[Team Name],MATCH(CoreValuesDelib[[#This Row],[Team Number]], OfficialTeamList[Team '#],0))),"",INDEX(OfficialTeamList[Team Name],MATCH(CoreValuesDelib[[#This Row],[Team Number]], OfficialTeamList[Team '#],0)))</f>
        <v/>
      </c>
      <c r="D25" s="5" t="e">
        <f>IF(ISNA(INDEX(CoreValuesResults[Core Values Rank],MATCH(CoreValuesDelib[[#This Row],[Team Number]],CoreValuesResults[Team '#],0))),NumberOfTeams+1,INDEX(CoreValuesResults[Core Values Rank],MATCH(CoreValuesDelib[[#This Row],[Team Number]],CoreValuesResults[Team '#],0)))</f>
        <v>#NAME?</v>
      </c>
      <c r="H25" s="5" t="str">
        <f>IF(ISNA(INDEX(OfficialTeamList[Team Name],MATCH(RobotDesignDelib[[#This Row],[Team Number]], OfficialTeamList[Team '#],0))),"",INDEX(OfficialTeamList[Team Name],MATCH(RobotDesignDelib[[#This Row],[Team Number]], OfficialTeamList[Team '#],0)))</f>
        <v/>
      </c>
      <c r="I25" s="5" t="e">
        <f>IF(ISNA(INDEX(RobotDesignResults[Robot Design Rank],MATCH(RobotDesignDelib[[#This Row],[Team Number]],RobotDesignResults[Team '#],0))),NumberOfTeams+1,INDEX(RobotDesignResults[Robot Design Rank],MATCH(RobotDesignDelib[[#This Row],[Team Number]],RobotDesignResults[Team '#],0)))</f>
        <v>#NAME?</v>
      </c>
      <c r="M25" s="5" t="str">
        <f>IF(ISNA(INDEX(OfficialTeamList[Team Name],MATCH(InnovationProjectDelib[[#This Row],[Team Number]], OfficialTeamList[Team '#],0))),"",INDEX(OfficialTeamList[Team Name],MATCH(InnovationProjectDelib[[#This Row],[Team Number]], OfficialTeamList[Team '#],0)))</f>
        <v/>
      </c>
      <c r="N2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6" spans="2:15" ht="20.25" customHeight="1" x14ac:dyDescent="0.25">
      <c r="C26" s="5" t="str">
        <f>IF(ISNA(INDEX(OfficialTeamList[Team Name],MATCH(CoreValuesDelib[[#This Row],[Team Number]], OfficialTeamList[Team '#],0))),"",INDEX(OfficialTeamList[Team Name],MATCH(CoreValuesDelib[[#This Row],[Team Number]], OfficialTeamList[Team '#],0)))</f>
        <v/>
      </c>
      <c r="D26" s="5" t="e">
        <f>IF(ISNA(INDEX(CoreValuesResults[Core Values Rank],MATCH(CoreValuesDelib[[#This Row],[Team Number]],CoreValuesResults[Team '#],0))),NumberOfTeams+1,INDEX(CoreValuesResults[Core Values Rank],MATCH(CoreValuesDelib[[#This Row],[Team Number]],CoreValuesResults[Team '#],0)))</f>
        <v>#NAME?</v>
      </c>
      <c r="H26" s="5" t="str">
        <f>IF(ISNA(INDEX(OfficialTeamList[Team Name],MATCH(RobotDesignDelib[[#This Row],[Team Number]], OfficialTeamList[Team '#],0))),"",INDEX(OfficialTeamList[Team Name],MATCH(RobotDesignDelib[[#This Row],[Team Number]], OfficialTeamList[Team '#],0)))</f>
        <v/>
      </c>
      <c r="I26" s="5" t="e">
        <f>IF(ISNA(INDEX(RobotDesignResults[Robot Design Rank],MATCH(RobotDesignDelib[[#This Row],[Team Number]],RobotDesignResults[Team '#],0))),NumberOfTeams+1,INDEX(RobotDesignResults[Robot Design Rank],MATCH(RobotDesignDelib[[#This Row],[Team Number]],RobotDesignResults[Team '#],0)))</f>
        <v>#NAME?</v>
      </c>
      <c r="M26" s="5" t="str">
        <f>IF(ISNA(INDEX(OfficialTeamList[Team Name],MATCH(InnovationProjectDelib[[#This Row],[Team Number]], OfficialTeamList[Team '#],0))),"",INDEX(OfficialTeamList[Team Name],MATCH(InnovationProjectDelib[[#This Row],[Team Number]], OfficialTeamList[Team '#],0)))</f>
        <v/>
      </c>
      <c r="N2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7" spans="2:15" ht="20.25" customHeight="1" x14ac:dyDescent="0.25">
      <c r="C27" s="5" t="str">
        <f>IF(ISNA(INDEX(OfficialTeamList[Team Name],MATCH(CoreValuesDelib[[#This Row],[Team Number]], OfficialTeamList[Team '#],0))),"",INDEX(OfficialTeamList[Team Name],MATCH(CoreValuesDelib[[#This Row],[Team Number]], OfficialTeamList[Team '#],0)))</f>
        <v/>
      </c>
      <c r="D27" s="5" t="e">
        <f>IF(ISNA(INDEX(CoreValuesResults[Core Values Rank],MATCH(CoreValuesDelib[[#This Row],[Team Number]],CoreValuesResults[Team '#],0))),NumberOfTeams+1,INDEX(CoreValuesResults[Core Values Rank],MATCH(CoreValuesDelib[[#This Row],[Team Number]],CoreValuesResults[Team '#],0)))</f>
        <v>#NAME?</v>
      </c>
      <c r="H27" s="5" t="str">
        <f>IF(ISNA(INDEX(OfficialTeamList[Team Name],MATCH(RobotDesignDelib[[#This Row],[Team Number]], OfficialTeamList[Team '#],0))),"",INDEX(OfficialTeamList[Team Name],MATCH(RobotDesignDelib[[#This Row],[Team Number]], OfficialTeamList[Team '#],0)))</f>
        <v/>
      </c>
      <c r="I27" s="5" t="e">
        <f>IF(ISNA(INDEX(RobotDesignResults[Robot Design Rank],MATCH(RobotDesignDelib[[#This Row],[Team Number]],RobotDesignResults[Team '#],0))),NumberOfTeams+1,INDEX(RobotDesignResults[Robot Design Rank],MATCH(RobotDesignDelib[[#This Row],[Team Number]],RobotDesignResults[Team '#],0)))</f>
        <v>#NAME?</v>
      </c>
      <c r="M27" s="5" t="str">
        <f>IF(ISNA(INDEX(OfficialTeamList[Team Name],MATCH(InnovationProjectDelib[[#This Row],[Team Number]], OfficialTeamList[Team '#],0))),"",INDEX(OfficialTeamList[Team Name],MATCH(InnovationProjectDelib[[#This Row],[Team Number]], OfficialTeamList[Team '#],0)))</f>
        <v/>
      </c>
      <c r="N27"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8" spans="2:15" ht="20.25" customHeight="1" x14ac:dyDescent="0.25">
      <c r="C28" s="5" t="str">
        <f>IF(ISNA(INDEX(OfficialTeamList[Team Name],MATCH(CoreValuesDelib[[#This Row],[Team Number]], OfficialTeamList[Team '#],0))),"",INDEX(OfficialTeamList[Team Name],MATCH(CoreValuesDelib[[#This Row],[Team Number]], OfficialTeamList[Team '#],0)))</f>
        <v/>
      </c>
      <c r="D28" s="5" t="e">
        <f>IF(ISNA(INDEX(CoreValuesResults[Core Values Rank],MATCH(CoreValuesDelib[[#This Row],[Team Number]],CoreValuesResults[Team '#],0))),NumberOfTeams+1,INDEX(CoreValuesResults[Core Values Rank],MATCH(CoreValuesDelib[[#This Row],[Team Number]],CoreValuesResults[Team '#],0)))</f>
        <v>#NAME?</v>
      </c>
      <c r="H28" s="5" t="str">
        <f>IF(ISNA(INDEX(OfficialTeamList[Team Name],MATCH(RobotDesignDelib[[#This Row],[Team Number]], OfficialTeamList[Team '#],0))),"",INDEX(OfficialTeamList[Team Name],MATCH(RobotDesignDelib[[#This Row],[Team Number]], OfficialTeamList[Team '#],0)))</f>
        <v/>
      </c>
      <c r="I28" s="5" t="e">
        <f>IF(ISNA(INDEX(RobotDesignResults[Robot Design Rank],MATCH(RobotDesignDelib[[#This Row],[Team Number]],RobotDesignResults[Team '#],0))),NumberOfTeams+1,INDEX(RobotDesignResults[Robot Design Rank],MATCH(RobotDesignDelib[[#This Row],[Team Number]],RobotDesignResults[Team '#],0)))</f>
        <v>#NAME?</v>
      </c>
      <c r="M28" s="5" t="str">
        <f>IF(ISNA(INDEX(OfficialTeamList[Team Name],MATCH(InnovationProjectDelib[[#This Row],[Team Number]], OfficialTeamList[Team '#],0))),"",INDEX(OfficialTeamList[Team Name],MATCH(InnovationProjectDelib[[#This Row],[Team Number]], OfficialTeamList[Team '#],0)))</f>
        <v/>
      </c>
      <c r="N28"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9" spans="2:15" ht="20.25" customHeight="1" x14ac:dyDescent="0.25">
      <c r="C29" s="5" t="str">
        <f>IF(ISNA(INDEX(OfficialTeamList[Team Name],MATCH(CoreValuesDelib[[#This Row],[Team Number]], OfficialTeamList[Team '#],0))),"",INDEX(OfficialTeamList[Team Name],MATCH(CoreValuesDelib[[#This Row],[Team Number]], OfficialTeamList[Team '#],0)))</f>
        <v/>
      </c>
      <c r="D29" s="5" t="e">
        <f>IF(ISNA(INDEX(CoreValuesResults[Core Values Rank],MATCH(CoreValuesDelib[[#This Row],[Team Number]],CoreValuesResults[Team '#],0))),NumberOfTeams+1,INDEX(CoreValuesResults[Core Values Rank],MATCH(CoreValuesDelib[[#This Row],[Team Number]],CoreValuesResults[Team '#],0)))</f>
        <v>#NAME?</v>
      </c>
      <c r="H29" s="5" t="str">
        <f>IF(ISNA(INDEX(OfficialTeamList[Team Name],MATCH(RobotDesignDelib[[#This Row],[Team Number]], OfficialTeamList[Team '#],0))),"",INDEX(OfficialTeamList[Team Name],MATCH(RobotDesignDelib[[#This Row],[Team Number]], OfficialTeamList[Team '#],0)))</f>
        <v/>
      </c>
      <c r="I29" s="5" t="e">
        <f>IF(ISNA(INDEX(RobotDesignResults[Robot Design Rank],MATCH(RobotDesignDelib[[#This Row],[Team Number]],RobotDesignResults[Team '#],0))),NumberOfTeams+1,INDEX(RobotDesignResults[Robot Design Rank],MATCH(RobotDesignDelib[[#This Row],[Team Number]],RobotDesignResults[Team '#],0)))</f>
        <v>#NAME?</v>
      </c>
      <c r="M29" s="5" t="str">
        <f>IF(ISNA(INDEX(OfficialTeamList[Team Name],MATCH(InnovationProjectDelib[[#This Row],[Team Number]], OfficialTeamList[Team '#],0))),"",INDEX(OfficialTeamList[Team Name],MATCH(InnovationProjectDelib[[#This Row],[Team Number]], OfficialTeamList[Team '#],0)))</f>
        <v/>
      </c>
      <c r="N29"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0" spans="2:15" ht="20.25" customHeight="1" x14ac:dyDescent="0.25">
      <c r="C30" s="5" t="str">
        <f>IF(ISNA(INDEX(OfficialTeamList[Team Name],MATCH(CoreValuesDelib[[#This Row],[Team Number]], OfficialTeamList[Team '#],0))),"",INDEX(OfficialTeamList[Team Name],MATCH(CoreValuesDelib[[#This Row],[Team Number]], OfficialTeamList[Team '#],0)))</f>
        <v/>
      </c>
      <c r="D30" s="5" t="e">
        <f>IF(ISNA(INDEX(CoreValuesResults[Core Values Rank],MATCH(CoreValuesDelib[[#This Row],[Team Number]],CoreValuesResults[Team '#],0))),NumberOfTeams+1,INDEX(CoreValuesResults[Core Values Rank],MATCH(CoreValuesDelib[[#This Row],[Team Number]],CoreValuesResults[Team '#],0)))</f>
        <v>#NAME?</v>
      </c>
      <c r="H30" s="5" t="str">
        <f>IF(ISNA(INDEX(OfficialTeamList[Team Name],MATCH(RobotDesignDelib[[#This Row],[Team Number]], OfficialTeamList[Team '#],0))),"",INDEX(OfficialTeamList[Team Name],MATCH(RobotDesignDelib[[#This Row],[Team Number]], OfficialTeamList[Team '#],0)))</f>
        <v/>
      </c>
      <c r="I30" s="5" t="e">
        <f>IF(ISNA(INDEX(RobotDesignResults[Robot Design Rank],MATCH(RobotDesignDelib[[#This Row],[Team Number]],RobotDesignResults[Team '#],0))),NumberOfTeams+1,INDEX(RobotDesignResults[Robot Design Rank],MATCH(RobotDesignDelib[[#This Row],[Team Number]],RobotDesignResults[Team '#],0)))</f>
        <v>#NAME?</v>
      </c>
      <c r="M30" s="5" t="str">
        <f>IF(ISNA(INDEX(OfficialTeamList[Team Name],MATCH(InnovationProjectDelib[[#This Row],[Team Number]], OfficialTeamList[Team '#],0))),"",INDEX(OfficialTeamList[Team Name],MATCH(InnovationProjectDelib[[#This Row],[Team Number]], OfficialTeamList[Team '#],0)))</f>
        <v/>
      </c>
      <c r="N30"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1" spans="2:15" ht="20.25" customHeight="1" x14ac:dyDescent="0.25">
      <c r="C31" s="5" t="str">
        <f>IF(ISNA(INDEX(OfficialTeamList[Team Name],MATCH(CoreValuesDelib[[#This Row],[Team Number]], OfficialTeamList[Team '#],0))),"",INDEX(OfficialTeamList[Team Name],MATCH(CoreValuesDelib[[#This Row],[Team Number]], OfficialTeamList[Team '#],0)))</f>
        <v/>
      </c>
      <c r="D31" s="5" t="e">
        <f>IF(ISNA(INDEX(CoreValuesResults[Core Values Rank],MATCH(CoreValuesDelib[[#This Row],[Team Number]],CoreValuesResults[Team '#],0))),NumberOfTeams+1,INDEX(CoreValuesResults[Core Values Rank],MATCH(CoreValuesDelib[[#This Row],[Team Number]],CoreValuesResults[Team '#],0)))</f>
        <v>#NAME?</v>
      </c>
      <c r="H31" s="5" t="str">
        <f>IF(ISNA(INDEX(OfficialTeamList[Team Name],MATCH(RobotDesignDelib[[#This Row],[Team Number]], OfficialTeamList[Team '#],0))),"",INDEX(OfficialTeamList[Team Name],MATCH(RobotDesignDelib[[#This Row],[Team Number]], OfficialTeamList[Team '#],0)))</f>
        <v/>
      </c>
      <c r="I31" s="5" t="e">
        <f>IF(ISNA(INDEX(RobotDesignResults[Robot Design Rank],MATCH(RobotDesignDelib[[#This Row],[Team Number]],RobotDesignResults[Team '#],0))),NumberOfTeams+1,INDEX(RobotDesignResults[Robot Design Rank],MATCH(RobotDesignDelib[[#This Row],[Team Number]],RobotDesignResults[Team '#],0)))</f>
        <v>#NAME?</v>
      </c>
      <c r="M31" s="5" t="str">
        <f>IF(ISNA(INDEX(OfficialTeamList[Team Name],MATCH(InnovationProjectDelib[[#This Row],[Team Number]], OfficialTeamList[Team '#],0))),"",INDEX(OfficialTeamList[Team Name],MATCH(InnovationProjectDelib[[#This Row],[Team Number]], OfficialTeamList[Team '#],0)))</f>
        <v/>
      </c>
      <c r="N31"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2" spans="2:15" ht="20.25" customHeight="1" x14ac:dyDescent="0.25">
      <c r="C32" s="5" t="str">
        <f>IF(ISNA(INDEX(OfficialTeamList[Team Name],MATCH(CoreValuesDelib[[#This Row],[Team Number]], OfficialTeamList[Team '#],0))),"",INDEX(OfficialTeamList[Team Name],MATCH(CoreValuesDelib[[#This Row],[Team Number]], OfficialTeamList[Team '#],0)))</f>
        <v/>
      </c>
      <c r="D32" s="5" t="e">
        <f>IF(ISNA(INDEX(CoreValuesResults[Core Values Rank],MATCH(CoreValuesDelib[[#This Row],[Team Number]],CoreValuesResults[Team '#],0))),NumberOfTeams+1,INDEX(CoreValuesResults[Core Values Rank],MATCH(CoreValuesDelib[[#This Row],[Team Number]],CoreValuesResults[Team '#],0)))</f>
        <v>#NAME?</v>
      </c>
      <c r="H32" s="5" t="str">
        <f>IF(ISNA(INDEX(OfficialTeamList[Team Name],MATCH(RobotDesignDelib[[#This Row],[Team Number]], OfficialTeamList[Team '#],0))),"",INDEX(OfficialTeamList[Team Name],MATCH(RobotDesignDelib[[#This Row],[Team Number]], OfficialTeamList[Team '#],0)))</f>
        <v/>
      </c>
      <c r="I32" s="5" t="e">
        <f>IF(ISNA(INDEX(RobotDesignResults[Robot Design Rank],MATCH(RobotDesignDelib[[#This Row],[Team Number]],RobotDesignResults[Team '#],0))),NumberOfTeams+1,INDEX(RobotDesignResults[Robot Design Rank],MATCH(RobotDesignDelib[[#This Row],[Team Number]],RobotDesignResults[Team '#],0)))</f>
        <v>#NAME?</v>
      </c>
      <c r="M32" s="5" t="str">
        <f>IF(ISNA(INDEX(OfficialTeamList[Team Name],MATCH(InnovationProjectDelib[[#This Row],[Team Number]], OfficialTeamList[Team '#],0))),"",INDEX(OfficialTeamList[Team Name],MATCH(InnovationProjectDelib[[#This Row],[Team Number]], OfficialTeamList[Team '#],0)))</f>
        <v/>
      </c>
      <c r="N3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3" spans="2:15" ht="20.25" customHeight="1" x14ac:dyDescent="0.25">
      <c r="C33" s="5" t="str">
        <f>IF(ISNA(INDEX(OfficialTeamList[Team Name],MATCH(CoreValuesDelib[[#This Row],[Team Number]], OfficialTeamList[Team '#],0))),"",INDEX(OfficialTeamList[Team Name],MATCH(CoreValuesDelib[[#This Row],[Team Number]], OfficialTeamList[Team '#],0)))</f>
        <v/>
      </c>
      <c r="D33" s="5" t="e">
        <f>IF(ISNA(INDEX(CoreValuesResults[Core Values Rank],MATCH(CoreValuesDelib[[#This Row],[Team Number]],CoreValuesResults[Team '#],0))),NumberOfTeams+1,INDEX(CoreValuesResults[Core Values Rank],MATCH(CoreValuesDelib[[#This Row],[Team Number]],CoreValuesResults[Team '#],0)))</f>
        <v>#NAME?</v>
      </c>
      <c r="H33" s="5" t="str">
        <f>IF(ISNA(INDEX(OfficialTeamList[Team Name],MATCH(RobotDesignDelib[[#This Row],[Team Number]], OfficialTeamList[Team '#],0))),"",INDEX(OfficialTeamList[Team Name],MATCH(RobotDesignDelib[[#This Row],[Team Number]], OfficialTeamList[Team '#],0)))</f>
        <v/>
      </c>
      <c r="I33" s="5" t="e">
        <f>IF(ISNA(INDEX(RobotDesignResults[Robot Design Rank],MATCH(RobotDesignDelib[[#This Row],[Team Number]],RobotDesignResults[Team '#],0))),NumberOfTeams+1,INDEX(RobotDesignResults[Robot Design Rank],MATCH(RobotDesignDelib[[#This Row],[Team Number]],RobotDesignResults[Team '#],0)))</f>
        <v>#NAME?</v>
      </c>
      <c r="M33" s="5" t="str">
        <f>IF(ISNA(INDEX(OfficialTeamList[Team Name],MATCH(InnovationProjectDelib[[#This Row],[Team Number]], OfficialTeamList[Team '#],0))),"",INDEX(OfficialTeamList[Team Name],MATCH(InnovationProjectDelib[[#This Row],[Team Number]], OfficialTeamList[Team '#],0)))</f>
        <v/>
      </c>
      <c r="N3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4" spans="2:15" ht="20.25" customHeight="1" x14ac:dyDescent="0.25">
      <c r="C34" s="5" t="str">
        <f>IF(ISNA(INDEX(OfficialTeamList[Team Name],MATCH(CoreValuesDelib[[#This Row],[Team Number]], OfficialTeamList[Team '#],0))),"",INDEX(OfficialTeamList[Team Name],MATCH(CoreValuesDelib[[#This Row],[Team Number]], OfficialTeamList[Team '#],0)))</f>
        <v/>
      </c>
      <c r="D34" s="5" t="e">
        <f>IF(ISNA(INDEX(CoreValuesResults[Core Values Rank],MATCH(CoreValuesDelib[[#This Row],[Team Number]],CoreValuesResults[Team '#],0))),NumberOfTeams+1,INDEX(CoreValuesResults[Core Values Rank],MATCH(CoreValuesDelib[[#This Row],[Team Number]],CoreValuesResults[Team '#],0)))</f>
        <v>#NAME?</v>
      </c>
      <c r="H34" s="5" t="str">
        <f>IF(ISNA(INDEX(OfficialTeamList[Team Name],MATCH(RobotDesignDelib[[#This Row],[Team Number]], OfficialTeamList[Team '#],0))),"",INDEX(OfficialTeamList[Team Name],MATCH(RobotDesignDelib[[#This Row],[Team Number]], OfficialTeamList[Team '#],0)))</f>
        <v/>
      </c>
      <c r="I34" s="5" t="e">
        <f>IF(ISNA(INDEX(RobotDesignResults[Robot Design Rank],MATCH(RobotDesignDelib[[#This Row],[Team Number]],RobotDesignResults[Team '#],0))),NumberOfTeams+1,INDEX(RobotDesignResults[Robot Design Rank],MATCH(RobotDesignDelib[[#This Row],[Team Number]],RobotDesignResults[Team '#],0)))</f>
        <v>#NAME?</v>
      </c>
      <c r="M34" s="5" t="str">
        <f>IF(ISNA(INDEX(OfficialTeamList[Team Name],MATCH(InnovationProjectDelib[[#This Row],[Team Number]], OfficialTeamList[Team '#],0))),"",INDEX(OfficialTeamList[Team Name],MATCH(InnovationProjectDelib[[#This Row],[Team Number]], OfficialTeamList[Team '#],0)))</f>
        <v/>
      </c>
      <c r="N3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5" spans="2:15" ht="20.25" customHeight="1" x14ac:dyDescent="0.25">
      <c r="C35" s="5" t="str">
        <f>IF(ISNA(INDEX(OfficialTeamList[Team Name],MATCH(CoreValuesDelib[[#This Row],[Team Number]], OfficialTeamList[Team '#],0))),"",INDEX(OfficialTeamList[Team Name],MATCH(CoreValuesDelib[[#This Row],[Team Number]], OfficialTeamList[Team '#],0)))</f>
        <v/>
      </c>
      <c r="D35" s="5" t="e">
        <f>IF(ISNA(INDEX(CoreValuesResults[Core Values Rank],MATCH(CoreValuesDelib[[#This Row],[Team Number]],CoreValuesResults[Team '#],0))),NumberOfTeams+1,INDEX(CoreValuesResults[Core Values Rank],MATCH(CoreValuesDelib[[#This Row],[Team Number]],CoreValuesResults[Team '#],0)))</f>
        <v>#NAME?</v>
      </c>
      <c r="H35" s="5" t="str">
        <f>IF(ISNA(INDEX(OfficialTeamList[Team Name],MATCH(RobotDesignDelib[[#This Row],[Team Number]], OfficialTeamList[Team '#],0))),"",INDEX(OfficialTeamList[Team Name],MATCH(RobotDesignDelib[[#This Row],[Team Number]], OfficialTeamList[Team '#],0)))</f>
        <v/>
      </c>
      <c r="I35" s="5" t="e">
        <f>IF(ISNA(INDEX(RobotDesignResults[Robot Design Rank],MATCH(RobotDesignDelib[[#This Row],[Team Number]],RobotDesignResults[Team '#],0))),NumberOfTeams+1,INDEX(RobotDesignResults[Robot Design Rank],MATCH(RobotDesignDelib[[#This Row],[Team Number]],RobotDesignResults[Team '#],0)))</f>
        <v>#NAME?</v>
      </c>
      <c r="M35" s="5" t="str">
        <f>IF(ISNA(INDEX(OfficialTeamList[Team Name],MATCH(InnovationProjectDelib[[#This Row],[Team Number]], OfficialTeamList[Team '#],0))),"",INDEX(OfficialTeamList[Team Name],MATCH(InnovationProjectDelib[[#This Row],[Team Number]], OfficialTeamList[Team '#],0)))</f>
        <v/>
      </c>
      <c r="N3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6" spans="2:15" ht="20.25" customHeight="1" x14ac:dyDescent="0.25">
      <c r="C36" s="5" t="str">
        <f>IF(ISNA(INDEX(OfficialTeamList[Team Name],MATCH(CoreValuesDelib[[#This Row],[Team Number]], OfficialTeamList[Team '#],0))),"",INDEX(OfficialTeamList[Team Name],MATCH(CoreValuesDelib[[#This Row],[Team Number]], OfficialTeamList[Team '#],0)))</f>
        <v/>
      </c>
      <c r="D36" s="5" t="e">
        <f>IF(ISNA(INDEX(CoreValuesResults[Core Values Rank],MATCH(CoreValuesDelib[[#This Row],[Team Number]],CoreValuesResults[Team '#],0))),NumberOfTeams+1,INDEX(CoreValuesResults[Core Values Rank],MATCH(CoreValuesDelib[[#This Row],[Team Number]],CoreValuesResults[Team '#],0)))</f>
        <v>#NAME?</v>
      </c>
      <c r="H36" s="5" t="str">
        <f>IF(ISNA(INDEX(OfficialTeamList[Team Name],MATCH(RobotDesignDelib[[#This Row],[Team Number]], OfficialTeamList[Team '#],0))),"",INDEX(OfficialTeamList[Team Name],MATCH(RobotDesignDelib[[#This Row],[Team Number]], OfficialTeamList[Team '#],0)))</f>
        <v/>
      </c>
      <c r="I36" s="5" t="e">
        <f>IF(ISNA(INDEX(RobotDesignResults[Robot Design Rank],MATCH(RobotDesignDelib[[#This Row],[Team Number]],RobotDesignResults[Team '#],0))),NumberOfTeams+1,INDEX(RobotDesignResults[Robot Design Rank],MATCH(RobotDesignDelib[[#This Row],[Team Number]],RobotDesignResults[Team '#],0)))</f>
        <v>#NAME?</v>
      </c>
      <c r="M36" s="5" t="str">
        <f>IF(ISNA(INDEX(OfficialTeamList[Team Name],MATCH(InnovationProjectDelib[[#This Row],[Team Number]], OfficialTeamList[Team '#],0))),"",INDEX(OfficialTeamList[Team Name],MATCH(InnovationProjectDelib[[#This Row],[Team Number]], OfficialTeamList[Team '#],0)))</f>
        <v/>
      </c>
      <c r="N3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8" spans="2:15" ht="20.25" customHeight="1" x14ac:dyDescent="0.25">
      <c r="B38" s="5" t="s">
        <v>119</v>
      </c>
      <c r="G38" s="5" t="s">
        <v>212</v>
      </c>
      <c r="L38" s="5" t="s">
        <v>213</v>
      </c>
    </row>
    <row r="39" spans="2:15" ht="39.950000000000003" customHeight="1" x14ac:dyDescent="0.25">
      <c r="B39" s="12" t="s">
        <v>210</v>
      </c>
      <c r="C39" s="12" t="s">
        <v>28</v>
      </c>
      <c r="D39" s="13" t="s">
        <v>160</v>
      </c>
      <c r="E39" s="13" t="s">
        <v>211</v>
      </c>
      <c r="G39" s="12" t="s">
        <v>210</v>
      </c>
      <c r="H39" s="12" t="s">
        <v>28</v>
      </c>
      <c r="I39" s="13" t="s">
        <v>160</v>
      </c>
      <c r="J39" s="13" t="s">
        <v>211</v>
      </c>
      <c r="L39" s="12" t="s">
        <v>210</v>
      </c>
      <c r="M39" s="12" t="s">
        <v>28</v>
      </c>
      <c r="N39" s="13" t="s">
        <v>160</v>
      </c>
      <c r="O39" s="13" t="s">
        <v>211</v>
      </c>
    </row>
    <row r="40" spans="2:15" ht="20.25" customHeight="1" x14ac:dyDescent="0.25">
      <c r="C40" s="5" t="str">
        <f>IF(ISNA(INDEX(OfficialTeamList[Team Name],MATCH(BreakthroughDelib[[#This Row],[Team Number]], OfficialTeamList[Team '#],0))),"",INDEX(OfficialTeamList[Team Name],MATCH(BreakthroughDelib[[#This Row],[Team Number]], OfficialTeamList[Team '#],0)))</f>
        <v/>
      </c>
      <c r="D40" s="5" t="e">
        <f>IF(ISNA(INDEX(TournamentData[Champion''s Rank],MATCH(BreakthroughDelib[[#This Row],[Team Number]],TournamentData[Team '#],0))),NumberOfTeams+1,INDEX(TournamentData[Champion''s Rank],MATCH(BreakthroughDelib[[#This Row],[Team Number]],TournamentData[Team '#],0)))</f>
        <v>#NAME?</v>
      </c>
      <c r="H40" s="5" t="str">
        <f>IF(ISNA(INDEX(OfficialTeamList[Team Name],MATCH(RookiAllStarDelib[[#This Row],[Team Number]], OfficialTeamList[Team '#],0))),"",INDEX(OfficialTeamList[Team Name],MATCH(RookiAllStarDelib[[#This Row],[Team Number]], OfficialTeamList[Team '#],0)))</f>
        <v/>
      </c>
      <c r="I40" s="5" t="e">
        <f>IF(ISNA(INDEX(TournamentData[Champion''s Rank],MATCH(RookiAllStarDelib[[#This Row],[Team Number]],TournamentData[Team '#],0))),NumberOfTeams+1,INDEX(TournamentData[Champion''s Rank],MATCH(RookiAllStarDelib[[#This Row],[Team Number]],TournamentData[Team '#],0)))</f>
        <v>#NAME?</v>
      </c>
      <c r="M40" s="5" t="str">
        <f>IF(ISNA(INDEX(OfficialTeamList[Team Name],MATCH(MotivateDelib[[#This Row],[Team Number]], OfficialTeamList[Team '#],0))),"",INDEX(OfficialTeamList[Team Name],MATCH(MotivateDelib[[#This Row],[Team Number]], OfficialTeamList[Team '#],0)))</f>
        <v/>
      </c>
      <c r="N40" s="5" t="e">
        <f>IF(ISNA(INDEX(TournamentData[Champion''s Rank],MATCH(MotivateDelib[[#This Row],[Team Number]],TournamentData[Team '#],0))),NumberOfTeams+1,INDEX(TournamentData[Champion''s Rank],MATCH(MotivateDelib[[#This Row],[Team Number]],TournamentData[Team '#],0)))</f>
        <v>#NAME?</v>
      </c>
    </row>
    <row r="41" spans="2:15" ht="20.25" customHeight="1" x14ac:dyDescent="0.25">
      <c r="C41" s="5" t="str">
        <f>IF(ISNA(INDEX(OfficialTeamList[Team Name],MATCH(BreakthroughDelib[[#This Row],[Team Number]], OfficialTeamList[Team '#],0))),"",INDEX(OfficialTeamList[Team Name],MATCH(BreakthroughDelib[[#This Row],[Team Number]], OfficialTeamList[Team '#],0)))</f>
        <v/>
      </c>
      <c r="D41" s="5" t="e">
        <f>IF(ISNA(INDEX(TournamentData[Champion''s Rank],MATCH(BreakthroughDelib[[#This Row],[Team Number]],TournamentData[Team '#],0))),NumberOfTeams+1,INDEX(TournamentData[Champion''s Rank],MATCH(BreakthroughDelib[[#This Row],[Team Number]],TournamentData[Team '#],0)))</f>
        <v>#NAME?</v>
      </c>
      <c r="H41" s="5" t="str">
        <f>IF(ISNA(INDEX(OfficialTeamList[Team Name],MATCH(RookiAllStarDelib[[#This Row],[Team Number]], OfficialTeamList[Team '#],0))),"",INDEX(OfficialTeamList[Team Name],MATCH(RookiAllStarDelib[[#This Row],[Team Number]], OfficialTeamList[Team '#],0)))</f>
        <v/>
      </c>
      <c r="I41" s="5" t="e">
        <f>IF(ISNA(INDEX(TournamentData[Champion''s Rank],MATCH(RookiAllStarDelib[[#This Row],[Team Number]],TournamentData[Team '#],0))),NumberOfTeams+1,INDEX(TournamentData[Champion''s Rank],MATCH(RookiAllStarDelib[[#This Row],[Team Number]],TournamentData[Team '#],0)))</f>
        <v>#NAME?</v>
      </c>
      <c r="M41" s="5" t="str">
        <f>IF(ISNA(INDEX(OfficialTeamList[Team Name],MATCH(MotivateDelib[[#This Row],[Team Number]], OfficialTeamList[Team '#],0))),"",INDEX(OfficialTeamList[Team Name],MATCH(MotivateDelib[[#This Row],[Team Number]], OfficialTeamList[Team '#],0)))</f>
        <v/>
      </c>
      <c r="N41" s="5" t="e">
        <f>IF(ISNA(INDEX(TournamentData[Champion''s Rank],MATCH(MotivateDelib[[#This Row],[Team Number]],TournamentData[Team '#],0))),NumberOfTeams+1,INDEX(TournamentData[Champion''s Rank],MATCH(MotivateDelib[[#This Row],[Team Number]],TournamentData[Team '#],0)))</f>
        <v>#NAME?</v>
      </c>
    </row>
    <row r="42" spans="2:15" ht="20.25" customHeight="1" x14ac:dyDescent="0.25">
      <c r="C42" s="5" t="str">
        <f>IF(ISNA(INDEX(OfficialTeamList[Team Name],MATCH(BreakthroughDelib[[#This Row],[Team Number]], OfficialTeamList[Team '#],0))),"",INDEX(OfficialTeamList[Team Name],MATCH(BreakthroughDelib[[#This Row],[Team Number]], OfficialTeamList[Team '#],0)))</f>
        <v/>
      </c>
      <c r="D42" s="5" t="e">
        <f>IF(ISNA(INDEX(TournamentData[Champion''s Rank],MATCH(BreakthroughDelib[[#This Row],[Team Number]],TournamentData[Team '#],0))),NumberOfTeams+1,INDEX(TournamentData[Champion''s Rank],MATCH(BreakthroughDelib[[#This Row],[Team Number]],TournamentData[Team '#],0)))</f>
        <v>#NAME?</v>
      </c>
      <c r="H42" s="5" t="str">
        <f>IF(ISNA(INDEX(OfficialTeamList[Team Name],MATCH(RookiAllStarDelib[[#This Row],[Team Number]], OfficialTeamList[Team '#],0))),"",INDEX(OfficialTeamList[Team Name],MATCH(RookiAllStarDelib[[#This Row],[Team Number]], OfficialTeamList[Team '#],0)))</f>
        <v/>
      </c>
      <c r="I42" s="5" t="e">
        <f>IF(ISNA(INDEX(TournamentData[Champion''s Rank],MATCH(RookiAllStarDelib[[#This Row],[Team Number]],TournamentData[Team '#],0))),NumberOfTeams+1,INDEX(TournamentData[Champion''s Rank],MATCH(RookiAllStarDelib[[#This Row],[Team Number]],TournamentData[Team '#],0)))</f>
        <v>#NAME?</v>
      </c>
      <c r="M42" s="5" t="str">
        <f>IF(ISNA(INDEX(OfficialTeamList[Team Name],MATCH(MotivateDelib[[#This Row],[Team Number]], OfficialTeamList[Team '#],0))),"",INDEX(OfficialTeamList[Team Name],MATCH(MotivateDelib[[#This Row],[Team Number]], OfficialTeamList[Team '#],0)))</f>
        <v/>
      </c>
      <c r="N42" s="5" t="e">
        <f>IF(ISNA(INDEX(TournamentData[Champion''s Rank],MATCH(MotivateDelib[[#This Row],[Team Number]],TournamentData[Team '#],0))),NumberOfTeams+1,INDEX(TournamentData[Champion''s Rank],MATCH(MotivateDelib[[#This Row],[Team Number]],TournamentData[Team '#],0)))</f>
        <v>#NAME?</v>
      </c>
    </row>
    <row r="43" spans="2:15" ht="20.25" customHeight="1" x14ac:dyDescent="0.25">
      <c r="C43" s="5" t="str">
        <f>IF(ISNA(INDEX(OfficialTeamList[Team Name],MATCH(BreakthroughDelib[[#This Row],[Team Number]], OfficialTeamList[Team '#],0))),"",INDEX(OfficialTeamList[Team Name],MATCH(BreakthroughDelib[[#This Row],[Team Number]], OfficialTeamList[Team '#],0)))</f>
        <v/>
      </c>
      <c r="D43" s="5" t="e">
        <f>IF(ISNA(INDEX(TournamentData[Champion''s Rank],MATCH(BreakthroughDelib[[#This Row],[Team Number]],TournamentData[Team '#],0))),NumberOfTeams+1,INDEX(TournamentData[Champion''s Rank],MATCH(BreakthroughDelib[[#This Row],[Team Number]],TournamentData[Team '#],0)))</f>
        <v>#NAME?</v>
      </c>
      <c r="H43" s="5" t="str">
        <f>IF(ISNA(INDEX(OfficialTeamList[Team Name],MATCH(RookiAllStarDelib[[#This Row],[Team Number]], OfficialTeamList[Team '#],0))),"",INDEX(OfficialTeamList[Team Name],MATCH(RookiAllStarDelib[[#This Row],[Team Number]], OfficialTeamList[Team '#],0)))</f>
        <v/>
      </c>
      <c r="I43" s="5" t="e">
        <f>IF(ISNA(INDEX(TournamentData[Champion''s Rank],MATCH(RookiAllStarDelib[[#This Row],[Team Number]],TournamentData[Team '#],0))),NumberOfTeams+1,INDEX(TournamentData[Champion''s Rank],MATCH(RookiAllStarDelib[[#This Row],[Team Number]],TournamentData[Team '#],0)))</f>
        <v>#NAME?</v>
      </c>
      <c r="M43" s="5" t="str">
        <f>IF(ISNA(INDEX(OfficialTeamList[Team Name],MATCH(MotivateDelib[[#This Row],[Team Number]], OfficialTeamList[Team '#],0))),"",INDEX(OfficialTeamList[Team Name],MATCH(MotivateDelib[[#This Row],[Team Number]], OfficialTeamList[Team '#],0)))</f>
        <v/>
      </c>
      <c r="N43" s="5" t="e">
        <f>IF(ISNA(INDEX(TournamentData[Champion''s Rank],MATCH(MotivateDelib[[#This Row],[Team Number]],TournamentData[Team '#],0))),NumberOfTeams+1,INDEX(TournamentData[Champion''s Rank],MATCH(MotivateDelib[[#This Row],[Team Number]],TournamentData[Team '#],0)))</f>
        <v>#NAME?</v>
      </c>
    </row>
    <row r="44" spans="2:15" ht="20.25" customHeight="1" x14ac:dyDescent="0.25">
      <c r="C44" s="5" t="str">
        <f>IF(ISNA(INDEX(OfficialTeamList[Team Name],MATCH(BreakthroughDelib[[#This Row],[Team Number]], OfficialTeamList[Team '#],0))),"",INDEX(OfficialTeamList[Team Name],MATCH(BreakthroughDelib[[#This Row],[Team Number]], OfficialTeamList[Team '#],0)))</f>
        <v/>
      </c>
      <c r="D44" s="5" t="e">
        <f>IF(ISNA(INDEX(TournamentData[Champion''s Rank],MATCH(BreakthroughDelib[[#This Row],[Team Number]],TournamentData[Team '#],0))),NumberOfTeams+1,INDEX(TournamentData[Champion''s Rank],MATCH(BreakthroughDelib[[#This Row],[Team Number]],TournamentData[Team '#],0)))</f>
        <v>#NAME?</v>
      </c>
      <c r="H44" s="5" t="str">
        <f>IF(ISNA(INDEX(OfficialTeamList[Team Name],MATCH(RookiAllStarDelib[[#This Row],[Team Number]], OfficialTeamList[Team '#],0))),"",INDEX(OfficialTeamList[Team Name],MATCH(RookiAllStarDelib[[#This Row],[Team Number]], OfficialTeamList[Team '#],0)))</f>
        <v/>
      </c>
      <c r="I44" s="5" t="e">
        <f>IF(ISNA(INDEX(TournamentData[Champion''s Rank],MATCH(RookiAllStarDelib[[#This Row],[Team Number]],TournamentData[Team '#],0))),NumberOfTeams+1,INDEX(TournamentData[Champion''s Rank],MATCH(RookiAllStarDelib[[#This Row],[Team Number]],TournamentData[Team '#],0)))</f>
        <v>#NAME?</v>
      </c>
      <c r="M44" s="5" t="str">
        <f>IF(ISNA(INDEX(OfficialTeamList[Team Name],MATCH(MotivateDelib[[#This Row],[Team Number]], OfficialTeamList[Team '#],0))),"",INDEX(OfficialTeamList[Team Name],MATCH(MotivateDelib[[#This Row],[Team Number]], OfficialTeamList[Team '#],0)))</f>
        <v/>
      </c>
      <c r="N44" s="5" t="e">
        <f>IF(ISNA(INDEX(TournamentData[Champion''s Rank],MATCH(MotivateDelib[[#This Row],[Team Number]],TournamentData[Team '#],0))),NumberOfTeams+1,INDEX(TournamentData[Champion''s Rank],MATCH(MotivateDelib[[#This Row],[Team Number]],TournamentData[Team '#],0)))</f>
        <v>#NAME?</v>
      </c>
    </row>
    <row r="45" spans="2:15" ht="20.25" customHeight="1" x14ac:dyDescent="0.25">
      <c r="C45" s="5" t="str">
        <f>IF(ISNA(INDEX(OfficialTeamList[Team Name],MATCH(BreakthroughDelib[[#This Row],[Team Number]], OfficialTeamList[Team '#],0))),"",INDEX(OfficialTeamList[Team Name],MATCH(BreakthroughDelib[[#This Row],[Team Number]], OfficialTeamList[Team '#],0)))</f>
        <v/>
      </c>
      <c r="D45" s="5" t="e">
        <f>IF(ISNA(INDEX(TournamentData[Champion''s Rank],MATCH(BreakthroughDelib[[#This Row],[Team Number]],TournamentData[Team '#],0))),NumberOfTeams+1,INDEX(TournamentData[Champion''s Rank],MATCH(BreakthroughDelib[[#This Row],[Team Number]],TournamentData[Team '#],0)))</f>
        <v>#NAME?</v>
      </c>
      <c r="H45" s="5" t="str">
        <f>IF(ISNA(INDEX(OfficialTeamList[Team Name],MATCH(RookiAllStarDelib[[#This Row],[Team Number]], OfficialTeamList[Team '#],0))),"",INDEX(OfficialTeamList[Team Name],MATCH(RookiAllStarDelib[[#This Row],[Team Number]], OfficialTeamList[Team '#],0)))</f>
        <v/>
      </c>
      <c r="I45" s="5" t="e">
        <f>IF(ISNA(INDEX(TournamentData[Champion''s Rank],MATCH(RookiAllStarDelib[[#This Row],[Team Number]],TournamentData[Team '#],0))),NumberOfTeams+1,INDEX(TournamentData[Champion''s Rank],MATCH(RookiAllStarDelib[[#This Row],[Team Number]],TournamentData[Team '#],0)))</f>
        <v>#NAME?</v>
      </c>
      <c r="M45" s="5" t="str">
        <f>IF(ISNA(INDEX(OfficialTeamList[Team Name],MATCH(MotivateDelib[[#This Row],[Team Number]], OfficialTeamList[Team '#],0))),"",INDEX(OfficialTeamList[Team Name],MATCH(MotivateDelib[[#This Row],[Team Number]], OfficialTeamList[Team '#],0)))</f>
        <v/>
      </c>
      <c r="N45" s="5" t="e">
        <f>IF(ISNA(INDEX(TournamentData[Champion''s Rank],MATCH(MotivateDelib[[#This Row],[Team Number]],TournamentData[Team '#],0))),NumberOfTeams+1,INDEX(TournamentData[Champion''s Rank],MATCH(MotivateDelib[[#This Row],[Team Number]],TournamentData[Team '#],0)))</f>
        <v>#NAME?</v>
      </c>
    </row>
    <row r="46" spans="2:15" ht="20.25" customHeight="1" x14ac:dyDescent="0.25">
      <c r="C46" s="5" t="str">
        <f>IF(ISNA(INDEX(OfficialTeamList[Team Name],MATCH(BreakthroughDelib[[#This Row],[Team Number]], OfficialTeamList[Team '#],0))),"",INDEX(OfficialTeamList[Team Name],MATCH(BreakthroughDelib[[#This Row],[Team Number]], OfficialTeamList[Team '#],0)))</f>
        <v/>
      </c>
      <c r="D46" s="5" t="e">
        <f>IF(ISNA(INDEX(TournamentData[Champion''s Rank],MATCH(BreakthroughDelib[[#This Row],[Team Number]],TournamentData[Team '#],0))),NumberOfTeams+1,INDEX(TournamentData[Champion''s Rank],MATCH(BreakthroughDelib[[#This Row],[Team Number]],TournamentData[Team '#],0)))</f>
        <v>#NAME?</v>
      </c>
      <c r="H46" s="5" t="str">
        <f>IF(ISNA(INDEX(OfficialTeamList[Team Name],MATCH(RookiAllStarDelib[[#This Row],[Team Number]], OfficialTeamList[Team '#],0))),"",INDEX(OfficialTeamList[Team Name],MATCH(RookiAllStarDelib[[#This Row],[Team Number]], OfficialTeamList[Team '#],0)))</f>
        <v/>
      </c>
      <c r="I46" s="5" t="e">
        <f>IF(ISNA(INDEX(TournamentData[Champion''s Rank],MATCH(RookiAllStarDelib[[#This Row],[Team Number]],TournamentData[Team '#],0))),NumberOfTeams+1,INDEX(TournamentData[Champion''s Rank],MATCH(RookiAllStarDelib[[#This Row],[Team Number]],TournamentData[Team '#],0)))</f>
        <v>#NAME?</v>
      </c>
      <c r="M46" s="5" t="str">
        <f>IF(ISNA(INDEX(OfficialTeamList[Team Name],MATCH(MotivateDelib[[#This Row],[Team Number]], OfficialTeamList[Team '#],0))),"",INDEX(OfficialTeamList[Team Name],MATCH(MotivateDelib[[#This Row],[Team Number]], OfficialTeamList[Team '#],0)))</f>
        <v/>
      </c>
      <c r="N46" s="5" t="e">
        <f>IF(ISNA(INDEX(TournamentData[Champion''s Rank],MATCH(MotivateDelib[[#This Row],[Team Number]],TournamentData[Team '#],0))),NumberOfTeams+1,INDEX(TournamentData[Champion''s Rank],MATCH(MotivateDelib[[#This Row],[Team Number]],TournamentData[Team '#],0)))</f>
        <v>#NAME?</v>
      </c>
    </row>
    <row r="47" spans="2:15" ht="20.25" customHeight="1" x14ac:dyDescent="0.25">
      <c r="C47" s="5" t="str">
        <f>IF(ISNA(INDEX(OfficialTeamList[Team Name],MATCH(BreakthroughDelib[[#This Row],[Team Number]], OfficialTeamList[Team '#],0))),"",INDEX(OfficialTeamList[Team Name],MATCH(BreakthroughDelib[[#This Row],[Team Number]], OfficialTeamList[Team '#],0)))</f>
        <v/>
      </c>
      <c r="D47" s="5" t="e">
        <f>IF(ISNA(INDEX(TournamentData[Champion''s Rank],MATCH(BreakthroughDelib[[#This Row],[Team Number]],TournamentData[Team '#],0))),NumberOfTeams+1,INDEX(TournamentData[Champion''s Rank],MATCH(BreakthroughDelib[[#This Row],[Team Number]],TournamentData[Team '#],0)))</f>
        <v>#NAME?</v>
      </c>
      <c r="H47" s="5" t="str">
        <f>IF(ISNA(INDEX(OfficialTeamList[Team Name],MATCH(RookiAllStarDelib[[#This Row],[Team Number]], OfficialTeamList[Team '#],0))),"",INDEX(OfficialTeamList[Team Name],MATCH(RookiAllStarDelib[[#This Row],[Team Number]], OfficialTeamList[Team '#],0)))</f>
        <v/>
      </c>
      <c r="I47" s="5" t="e">
        <f>IF(ISNA(INDEX(TournamentData[Champion''s Rank],MATCH(RookiAllStarDelib[[#This Row],[Team Number]],TournamentData[Team '#],0))),NumberOfTeams+1,INDEX(TournamentData[Champion''s Rank],MATCH(RookiAllStarDelib[[#This Row],[Team Number]],TournamentData[Team '#],0)))</f>
        <v>#NAME?</v>
      </c>
      <c r="M47" s="5" t="str">
        <f>IF(ISNA(INDEX(OfficialTeamList[Team Name],MATCH(MotivateDelib[[#This Row],[Team Number]], OfficialTeamList[Team '#],0))),"",INDEX(OfficialTeamList[Team Name],MATCH(MotivateDelib[[#This Row],[Team Number]], OfficialTeamList[Team '#],0)))</f>
        <v/>
      </c>
      <c r="N47" s="5" t="e">
        <f>IF(ISNA(INDEX(TournamentData[Champion''s Rank],MATCH(MotivateDelib[[#This Row],[Team Number]],TournamentData[Team '#],0))),NumberOfTeams+1,INDEX(TournamentData[Champion''s Rank],MATCH(MotivateDelib[[#This Row],[Team Number]],TournamentData[Team '#],0)))</f>
        <v>#NAME?</v>
      </c>
    </row>
    <row r="48" spans="2:15" ht="20.25" customHeight="1" x14ac:dyDescent="0.25">
      <c r="C48" s="5" t="str">
        <f>IF(ISNA(INDEX(OfficialTeamList[Team Name],MATCH(BreakthroughDelib[[#This Row],[Team Number]], OfficialTeamList[Team '#],0))),"",INDEX(OfficialTeamList[Team Name],MATCH(BreakthroughDelib[[#This Row],[Team Number]], OfficialTeamList[Team '#],0)))</f>
        <v/>
      </c>
      <c r="D48" s="5" t="e">
        <f>IF(ISNA(INDEX(TournamentData[Champion''s Rank],MATCH(BreakthroughDelib[[#This Row],[Team Number]],TournamentData[Team '#],0))),NumberOfTeams+1,INDEX(TournamentData[Champion''s Rank],MATCH(BreakthroughDelib[[#This Row],[Team Number]],TournamentData[Team '#],0)))</f>
        <v>#NAME?</v>
      </c>
      <c r="H48" s="5" t="str">
        <f>IF(ISNA(INDEX(OfficialTeamList[Team Name],MATCH(RookiAllStarDelib[[#This Row],[Team Number]], OfficialTeamList[Team '#],0))),"",INDEX(OfficialTeamList[Team Name],MATCH(RookiAllStarDelib[[#This Row],[Team Number]], OfficialTeamList[Team '#],0)))</f>
        <v/>
      </c>
      <c r="I48" s="5" t="e">
        <f>IF(ISNA(INDEX(TournamentData[Champion''s Rank],MATCH(RookiAllStarDelib[[#This Row],[Team Number]],TournamentData[Team '#],0))),NumberOfTeams+1,INDEX(TournamentData[Champion''s Rank],MATCH(RookiAllStarDelib[[#This Row],[Team Number]],TournamentData[Team '#],0)))</f>
        <v>#NAME?</v>
      </c>
      <c r="M48" s="5" t="str">
        <f>IF(ISNA(INDEX(OfficialTeamList[Team Name],MATCH(MotivateDelib[[#This Row],[Team Number]], OfficialTeamList[Team '#],0))),"",INDEX(OfficialTeamList[Team Name],MATCH(MotivateDelib[[#This Row],[Team Number]], OfficialTeamList[Team '#],0)))</f>
        <v/>
      </c>
      <c r="N48" s="5" t="e">
        <f>IF(ISNA(INDEX(TournamentData[Champion''s Rank],MATCH(MotivateDelib[[#This Row],[Team Number]],TournamentData[Team '#],0))),NumberOfTeams+1,INDEX(TournamentData[Champion''s Rank],MATCH(MotivateDelib[[#This Row],[Team Number]],TournamentData[Team '#],0)))</f>
        <v>#NAME?</v>
      </c>
    </row>
    <row r="49" spans="3:14" ht="20.25" customHeight="1" x14ac:dyDescent="0.25">
      <c r="C49" s="5" t="str">
        <f>IF(ISNA(INDEX(OfficialTeamList[Team Name],MATCH(BreakthroughDelib[[#This Row],[Team Number]], OfficialTeamList[Team '#],0))),"",INDEX(OfficialTeamList[Team Name],MATCH(BreakthroughDelib[[#This Row],[Team Number]], OfficialTeamList[Team '#],0)))</f>
        <v/>
      </c>
      <c r="D49" s="5" t="e">
        <f>IF(ISNA(INDEX(TournamentData[Champion''s Rank],MATCH(BreakthroughDelib[[#This Row],[Team Number]],TournamentData[Team '#],0))),NumberOfTeams+1,INDEX(TournamentData[Champion''s Rank],MATCH(BreakthroughDelib[[#This Row],[Team Number]],TournamentData[Team '#],0)))</f>
        <v>#NAME?</v>
      </c>
      <c r="H49" s="5" t="str">
        <f>IF(ISNA(INDEX(OfficialTeamList[Team Name],MATCH(RookiAllStarDelib[[#This Row],[Team Number]], OfficialTeamList[Team '#],0))),"",INDEX(OfficialTeamList[Team Name],MATCH(RookiAllStarDelib[[#This Row],[Team Number]], OfficialTeamList[Team '#],0)))</f>
        <v/>
      </c>
      <c r="I49" s="5" t="e">
        <f>IF(ISNA(INDEX(TournamentData[Champion''s Rank],MATCH(RookiAllStarDelib[[#This Row],[Team Number]],TournamentData[Team '#],0))),NumberOfTeams+1,INDEX(TournamentData[Champion''s Rank],MATCH(RookiAllStarDelib[[#This Row],[Team Number]],TournamentData[Team '#],0)))</f>
        <v>#NAME?</v>
      </c>
      <c r="M49" s="5" t="str">
        <f>IF(ISNA(INDEX(OfficialTeamList[Team Name],MATCH(MotivateDelib[[#This Row],[Team Number]], OfficialTeamList[Team '#],0))),"",INDEX(OfficialTeamList[Team Name],MATCH(MotivateDelib[[#This Row],[Team Number]], OfficialTeamList[Team '#],0)))</f>
        <v/>
      </c>
      <c r="N49" s="5" t="e">
        <f>IF(ISNA(INDEX(TournamentData[Champion''s Rank],MATCH(MotivateDelib[[#This Row],[Team Number]],TournamentData[Team '#],0))),NumberOfTeams+1,INDEX(TournamentData[Champion''s Rank],MATCH(MotivateDelib[[#This Row],[Team Number]],TournamentData[Team '#],0)))</f>
        <v>#NAME?</v>
      </c>
    </row>
    <row r="50" spans="3:14" ht="20.25" customHeight="1" x14ac:dyDescent="0.25">
      <c r="C50" s="5" t="str">
        <f>IF(ISNA(INDEX(OfficialTeamList[Team Name],MATCH(BreakthroughDelib[[#This Row],[Team Number]], OfficialTeamList[Team '#],0))),"",INDEX(OfficialTeamList[Team Name],MATCH(BreakthroughDelib[[#This Row],[Team Number]], OfficialTeamList[Team '#],0)))</f>
        <v/>
      </c>
      <c r="D50" s="5" t="e">
        <f>IF(ISNA(INDEX(TournamentData[Champion''s Rank],MATCH(BreakthroughDelib[[#This Row],[Team Number]],TournamentData[Team '#],0))),NumberOfTeams+1,INDEX(TournamentData[Champion''s Rank],MATCH(BreakthroughDelib[[#This Row],[Team Number]],TournamentData[Team '#],0)))</f>
        <v>#NAME?</v>
      </c>
      <c r="H50" s="5" t="str">
        <f>IF(ISNA(INDEX(OfficialTeamList[Team Name],MATCH(RookiAllStarDelib[[#This Row],[Team Number]], OfficialTeamList[Team '#],0))),"",INDEX(OfficialTeamList[Team Name],MATCH(RookiAllStarDelib[[#This Row],[Team Number]], OfficialTeamList[Team '#],0)))</f>
        <v/>
      </c>
      <c r="I50" s="5" t="e">
        <f>IF(ISNA(INDEX(TournamentData[Champion''s Rank],MATCH(RookiAllStarDelib[[#This Row],[Team Number]],TournamentData[Team '#],0))),NumberOfTeams+1,INDEX(TournamentData[Champion''s Rank],MATCH(RookiAllStarDelib[[#This Row],[Team Number]],TournamentData[Team '#],0)))</f>
        <v>#NAME?</v>
      </c>
      <c r="M50" s="5" t="str">
        <f>IF(ISNA(INDEX(OfficialTeamList[Team Name],MATCH(MotivateDelib[[#This Row],[Team Number]], OfficialTeamList[Team '#],0))),"",INDEX(OfficialTeamList[Team Name],MATCH(MotivateDelib[[#This Row],[Team Number]], OfficialTeamList[Team '#],0)))</f>
        <v/>
      </c>
      <c r="N50" s="5" t="e">
        <f>IF(ISNA(INDEX(TournamentData[Champion''s Rank],MATCH(MotivateDelib[[#This Row],[Team Number]],TournamentData[Team '#],0))),NumberOfTeams+1,INDEX(TournamentData[Champion''s Rank],MATCH(MotivateDelib[[#This Row],[Team Number]],TournamentData[Team '#],0)))</f>
        <v>#NAME?</v>
      </c>
    </row>
    <row r="51" spans="3:14" ht="20.25" customHeight="1" x14ac:dyDescent="0.25">
      <c r="C51" s="5" t="str">
        <f>IF(ISNA(INDEX(OfficialTeamList[Team Name],MATCH(BreakthroughDelib[[#This Row],[Team Number]], OfficialTeamList[Team '#],0))),"",INDEX(OfficialTeamList[Team Name],MATCH(BreakthroughDelib[[#This Row],[Team Number]], OfficialTeamList[Team '#],0)))</f>
        <v/>
      </c>
      <c r="D51" s="5" t="e">
        <f>IF(ISNA(INDEX(TournamentData[Champion''s Rank],MATCH(BreakthroughDelib[[#This Row],[Team Number]],TournamentData[Team '#],0))),NumberOfTeams+1,INDEX(TournamentData[Champion''s Rank],MATCH(BreakthroughDelib[[#This Row],[Team Number]],TournamentData[Team '#],0)))</f>
        <v>#NAME?</v>
      </c>
      <c r="H51" s="5" t="str">
        <f>IF(ISNA(INDEX(OfficialTeamList[Team Name],MATCH(RookiAllStarDelib[[#This Row],[Team Number]], OfficialTeamList[Team '#],0))),"",INDEX(OfficialTeamList[Team Name],MATCH(RookiAllStarDelib[[#This Row],[Team Number]], OfficialTeamList[Team '#],0)))</f>
        <v/>
      </c>
      <c r="I51" s="5" t="e">
        <f>IF(ISNA(INDEX(TournamentData[Champion''s Rank],MATCH(RookiAllStarDelib[[#This Row],[Team Number]],TournamentData[Team '#],0))),NumberOfTeams+1,INDEX(TournamentData[Champion''s Rank],MATCH(RookiAllStarDelib[[#This Row],[Team Number]],TournamentData[Team '#],0)))</f>
        <v>#NAME?</v>
      </c>
      <c r="M51" s="5" t="str">
        <f>IF(ISNA(INDEX(OfficialTeamList[Team Name],MATCH(MotivateDelib[[#This Row],[Team Number]], OfficialTeamList[Team '#],0))),"",INDEX(OfficialTeamList[Team Name],MATCH(MotivateDelib[[#This Row],[Team Number]], OfficialTeamList[Team '#],0)))</f>
        <v/>
      </c>
      <c r="N51" s="5" t="e">
        <f>IF(ISNA(INDEX(TournamentData[Champion''s Rank],MATCH(MotivateDelib[[#This Row],[Team Number]],TournamentData[Team '#],0))),NumberOfTeams+1,INDEX(TournamentData[Champion''s Rank],MATCH(MotivateDelib[[#This Row],[Team Number]],TournamentData[Team '#],0)))</f>
        <v>#NAME?</v>
      </c>
    </row>
    <row r="52" spans="3:14" ht="20.25" customHeight="1" x14ac:dyDescent="0.25">
      <c r="C52" s="5" t="str">
        <f>IF(ISNA(INDEX(OfficialTeamList[Team Name],MATCH(BreakthroughDelib[[#This Row],[Team Number]], OfficialTeamList[Team '#],0))),"",INDEX(OfficialTeamList[Team Name],MATCH(BreakthroughDelib[[#This Row],[Team Number]], OfficialTeamList[Team '#],0)))</f>
        <v/>
      </c>
      <c r="D52" s="5" t="e">
        <f>IF(ISNA(INDEX(TournamentData[Champion''s Rank],MATCH(BreakthroughDelib[[#This Row],[Team Number]],TournamentData[Team '#],0))),NumberOfTeams+1,INDEX(TournamentData[Champion''s Rank],MATCH(BreakthroughDelib[[#This Row],[Team Number]],TournamentData[Team '#],0)))</f>
        <v>#NAME?</v>
      </c>
      <c r="H52" s="5" t="str">
        <f>IF(ISNA(INDEX(OfficialTeamList[Team Name],MATCH(RookiAllStarDelib[[#This Row],[Team Number]], OfficialTeamList[Team '#],0))),"",INDEX(OfficialTeamList[Team Name],MATCH(RookiAllStarDelib[[#This Row],[Team Number]], OfficialTeamList[Team '#],0)))</f>
        <v/>
      </c>
      <c r="I52" s="5" t="e">
        <f>IF(ISNA(INDEX(TournamentData[Champion''s Rank],MATCH(RookiAllStarDelib[[#This Row],[Team Number]],TournamentData[Team '#],0))),NumberOfTeams+1,INDEX(TournamentData[Champion''s Rank],MATCH(RookiAllStarDelib[[#This Row],[Team Number]],TournamentData[Team '#],0)))</f>
        <v>#NAME?</v>
      </c>
      <c r="M52" s="5" t="str">
        <f>IF(ISNA(INDEX(OfficialTeamList[Team Name],MATCH(MotivateDelib[[#This Row],[Team Number]], OfficialTeamList[Team '#],0))),"",INDEX(OfficialTeamList[Team Name],MATCH(MotivateDelib[[#This Row],[Team Number]], OfficialTeamList[Team '#],0)))</f>
        <v/>
      </c>
      <c r="N52" s="5" t="e">
        <f>IF(ISNA(INDEX(TournamentData[Champion''s Rank],MATCH(MotivateDelib[[#This Row],[Team Number]],TournamentData[Team '#],0))),NumberOfTeams+1,INDEX(TournamentData[Champion''s Rank],MATCH(MotivateDelib[[#This Row],[Team Number]],TournamentData[Team '#],0)))</f>
        <v>#NAME?</v>
      </c>
    </row>
    <row r="53" spans="3:14" ht="20.25" customHeight="1" x14ac:dyDescent="0.25">
      <c r="C53" s="5" t="str">
        <f>IF(ISNA(INDEX(OfficialTeamList[Team Name],MATCH(BreakthroughDelib[[#This Row],[Team Number]], OfficialTeamList[Team '#],0))),"",INDEX(OfficialTeamList[Team Name],MATCH(BreakthroughDelib[[#This Row],[Team Number]], OfficialTeamList[Team '#],0)))</f>
        <v/>
      </c>
      <c r="D53" s="5" t="e">
        <f>IF(ISNA(INDEX(TournamentData[Champion''s Rank],MATCH(BreakthroughDelib[[#This Row],[Team Number]],TournamentData[Team '#],0))),NumberOfTeams+1,INDEX(TournamentData[Champion''s Rank],MATCH(BreakthroughDelib[[#This Row],[Team Number]],TournamentData[Team '#],0)))</f>
        <v>#NAME?</v>
      </c>
      <c r="H53" s="5" t="str">
        <f>IF(ISNA(INDEX(OfficialTeamList[Team Name],MATCH(RookiAllStarDelib[[#This Row],[Team Number]], OfficialTeamList[Team '#],0))),"",INDEX(OfficialTeamList[Team Name],MATCH(RookiAllStarDelib[[#This Row],[Team Number]], OfficialTeamList[Team '#],0)))</f>
        <v/>
      </c>
      <c r="I53" s="5" t="e">
        <f>IF(ISNA(INDEX(TournamentData[Champion''s Rank],MATCH(RookiAllStarDelib[[#This Row],[Team Number]],TournamentData[Team '#],0))),NumberOfTeams+1,INDEX(TournamentData[Champion''s Rank],MATCH(RookiAllStarDelib[[#This Row],[Team Number]],TournamentData[Team '#],0)))</f>
        <v>#NAME?</v>
      </c>
      <c r="M53" s="5" t="str">
        <f>IF(ISNA(INDEX(OfficialTeamList[Team Name],MATCH(MotivateDelib[[#This Row],[Team Number]], OfficialTeamList[Team '#],0))),"",INDEX(OfficialTeamList[Team Name],MATCH(MotivateDelib[[#This Row],[Team Number]], OfficialTeamList[Team '#],0)))</f>
        <v/>
      </c>
      <c r="N53" s="5" t="e">
        <f>IF(ISNA(INDEX(TournamentData[Champion''s Rank],MATCH(MotivateDelib[[#This Row],[Team Number]],TournamentData[Team '#],0))),NumberOfTeams+1,INDEX(TournamentData[Champion''s Rank],MATCH(MotivateDelib[[#This Row],[Team Number]],TournamentData[Team '#],0)))</f>
        <v>#NAME?</v>
      </c>
    </row>
    <row r="54" spans="3:14" ht="20.25" customHeight="1" x14ac:dyDescent="0.25">
      <c r="C54" s="5" t="str">
        <f>IF(ISNA(INDEX(OfficialTeamList[Team Name],MATCH(BreakthroughDelib[[#This Row],[Team Number]], OfficialTeamList[Team '#],0))),"",INDEX(OfficialTeamList[Team Name],MATCH(BreakthroughDelib[[#This Row],[Team Number]], OfficialTeamList[Team '#],0)))</f>
        <v/>
      </c>
      <c r="D54" s="5" t="e">
        <f>IF(ISNA(INDEX(TournamentData[Champion''s Rank],MATCH(BreakthroughDelib[[#This Row],[Team Number]],TournamentData[Team '#],0))),NumberOfTeams+1,INDEX(TournamentData[Champion''s Rank],MATCH(BreakthroughDelib[[#This Row],[Team Number]],TournamentData[Team '#],0)))</f>
        <v>#NAME?</v>
      </c>
      <c r="H54" s="5" t="str">
        <f>IF(ISNA(INDEX(OfficialTeamList[Team Name],MATCH(RookiAllStarDelib[[#This Row],[Team Number]], OfficialTeamList[Team '#],0))),"",INDEX(OfficialTeamList[Team Name],MATCH(RookiAllStarDelib[[#This Row],[Team Number]], OfficialTeamList[Team '#],0)))</f>
        <v/>
      </c>
      <c r="I54" s="5" t="e">
        <f>IF(ISNA(INDEX(TournamentData[Champion''s Rank],MATCH(RookiAllStarDelib[[#This Row],[Team Number]],TournamentData[Team '#],0))),NumberOfTeams+1,INDEX(TournamentData[Champion''s Rank],MATCH(RookiAllStarDelib[[#This Row],[Team Number]],TournamentData[Team '#],0)))</f>
        <v>#NAME?</v>
      </c>
      <c r="M54" s="5" t="str">
        <f>IF(ISNA(INDEX(OfficialTeamList[Team Name],MATCH(MotivateDelib[[#This Row],[Team Number]], OfficialTeamList[Team '#],0))),"",INDEX(OfficialTeamList[Team Name],MATCH(MotivateDelib[[#This Row],[Team Number]], OfficialTeamList[Team '#],0)))</f>
        <v/>
      </c>
      <c r="N54" s="5" t="e">
        <f>IF(ISNA(INDEX(TournamentData[Champion''s Rank],MATCH(MotivateDelib[[#This Row],[Team Number]],TournamentData[Team '#],0))),NumberOfTeams+1,INDEX(TournamentData[Champion''s Rank],MATCH(MotivateDelib[[#This Row],[Team Number]],TournamentData[Team '#],0)))</f>
        <v>#NAME?</v>
      </c>
    </row>
  </sheetData>
  <sheetProtection password="CB4D" sheet="1" formatCells="0" formatColumns="0" formatRows="0" selectLockedCells="1"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Instructions</vt:lpstr>
      <vt:lpstr>Team and Program Information</vt:lpstr>
      <vt:lpstr>Data Validation</vt:lpstr>
      <vt:lpstr>Meta</vt:lpstr>
      <vt:lpstr>AwardListDropdowns</vt:lpstr>
      <vt:lpstr>AwardDef</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2025-12-24T15:22:26Z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