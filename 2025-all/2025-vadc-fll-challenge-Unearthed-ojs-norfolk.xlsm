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tournaments\Norfolk\"/>
    </mc:Choice>
  </mc:AlternateContent>
  <xr:revisionPtr revIDLastSave="0" documentId="13_ncr:1_{5305F1E1-5642-48EF-BC30-A9BC3F6011B7}" xr6:coauthVersionLast="47" xr6:coauthVersionMax="47" xr10:uidLastSave="{00000000-0000-0000-0000-000000000000}"/>
  <bookViews>
    <workbookView xWindow="-120" yWindow="-120" windowWidth="38640" windowHeight="21120" tabRatio="879" activeTab="7" xr2:uid="{00000000-000D-0000-FFFF-FFFF00000000}"/>
  </bookViews>
  <sheets>
    <sheet name="Instructions" sheetId="1" r:id="rId1"/>
    <sheet name="Team and Program Information" sheetId="2" r:id="rId2"/>
    <sheet name="Data Validation" sheetId="3" state="hidden" r:id="rId3"/>
    <sheet name="Meta" sheetId="4" state="hidden" r:id="rId4"/>
    <sheet name="AwardListDropdowns" sheetId="5" state="hidden" r:id="rId5"/>
    <sheet name="AwardDef" sheetId="6" state="hidden" r:id="rId6"/>
    <sheet name="Pod Analysis" sheetId="7" r:id="rId7"/>
    <sheet name="Results and Rankings" sheetId="8" r:id="rId8"/>
    <sheet name="Robot Game Scores" sheetId="9" r:id="rId9"/>
    <sheet name="Innovation Project Input" sheetId="10" r:id="rId10"/>
    <sheet name="Robot Design Input" sheetId="11" r:id="rId11"/>
    <sheet name="Core Values Input" sheetId="12" r:id="rId12"/>
    <sheet name="GP Scores" sheetId="13" state="hidden" r:id="rId13"/>
    <sheet name="Area Deliberations" sheetId="14" state="hidden" r:id="rId14"/>
  </sheets>
  <functionGroups builtInGroupCount="19"/>
  <definedNames>
    <definedName name="_xleta.AND" hidden="1" xlm="1">#NAME?</definedName>
    <definedName name="_xleta.CODE" hidden="1" xlm="1">#NAME?</definedName>
    <definedName name="_xleta.NA" hidden="1" xlm="1">#NAME?</definedName>
    <definedName name="Awards">AwardListDropdowns!$A$3:$A$14</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4" l="1"/>
  <c r="M54" i="14"/>
  <c r="I54" i="14"/>
  <c r="H54" i="14"/>
  <c r="D54" i="14"/>
  <c r="C54" i="14"/>
  <c r="N53" i="14"/>
  <c r="M53" i="14"/>
  <c r="I53" i="14"/>
  <c r="H53" i="14"/>
  <c r="D53" i="14"/>
  <c r="C53" i="14"/>
  <c r="N52" i="14"/>
  <c r="M52" i="14"/>
  <c r="I52" i="14"/>
  <c r="H52" i="14"/>
  <c r="D52" i="14"/>
  <c r="C52" i="14"/>
  <c r="N51" i="14"/>
  <c r="M51" i="14"/>
  <c r="I51" i="14"/>
  <c r="H51" i="14"/>
  <c r="D51" i="14"/>
  <c r="C51" i="14"/>
  <c r="N50" i="14"/>
  <c r="M50" i="14"/>
  <c r="I50" i="14"/>
  <c r="H50" i="14"/>
  <c r="D50" i="14"/>
  <c r="C50" i="14"/>
  <c r="N49" i="14"/>
  <c r="M49" i="14"/>
  <c r="I49" i="14"/>
  <c r="H49" i="14"/>
  <c r="D49" i="14"/>
  <c r="C49" i="14"/>
  <c r="N48" i="14"/>
  <c r="M48" i="14"/>
  <c r="I48" i="14"/>
  <c r="H48" i="14"/>
  <c r="D48" i="14"/>
  <c r="C48" i="14"/>
  <c r="N47" i="14"/>
  <c r="M47" i="14"/>
  <c r="I47" i="14"/>
  <c r="H47" i="14"/>
  <c r="D47" i="14"/>
  <c r="C47" i="14"/>
  <c r="N46" i="14"/>
  <c r="M46" i="14"/>
  <c r="I46" i="14"/>
  <c r="H46" i="14"/>
  <c r="D46" i="14"/>
  <c r="C46" i="14"/>
  <c r="N45" i="14"/>
  <c r="M45" i="14"/>
  <c r="I45" i="14"/>
  <c r="H45" i="14"/>
  <c r="D45" i="14"/>
  <c r="C45" i="14"/>
  <c r="N44" i="14"/>
  <c r="M44" i="14"/>
  <c r="I44" i="14"/>
  <c r="H44" i="14"/>
  <c r="D44" i="14"/>
  <c r="C44" i="14"/>
  <c r="N43" i="14"/>
  <c r="M43" i="14"/>
  <c r="I43" i="14"/>
  <c r="H43" i="14"/>
  <c r="D43" i="14"/>
  <c r="C43" i="14"/>
  <c r="N42" i="14"/>
  <c r="M42" i="14"/>
  <c r="I42" i="14"/>
  <c r="H42" i="14"/>
  <c r="D42" i="14"/>
  <c r="C42" i="14"/>
  <c r="N41" i="14"/>
  <c r="M41" i="14"/>
  <c r="I41" i="14"/>
  <c r="H41" i="14"/>
  <c r="D41" i="14"/>
  <c r="C41" i="14"/>
  <c r="N40" i="14"/>
  <c r="M40" i="14"/>
  <c r="I40" i="14"/>
  <c r="H40" i="14"/>
  <c r="D40" i="14"/>
  <c r="C40" i="14"/>
  <c r="N36" i="14"/>
  <c r="M36" i="14"/>
  <c r="I36" i="14"/>
  <c r="H36" i="14"/>
  <c r="D36" i="14"/>
  <c r="C36" i="14"/>
  <c r="N35" i="14"/>
  <c r="M35" i="14"/>
  <c r="I35" i="14"/>
  <c r="H35" i="14"/>
  <c r="D35" i="14"/>
  <c r="C35" i="14"/>
  <c r="N34" i="14"/>
  <c r="M34" i="14"/>
  <c r="I34" i="14"/>
  <c r="H34" i="14"/>
  <c r="D34" i="14"/>
  <c r="C34" i="14"/>
  <c r="N33" i="14"/>
  <c r="M33" i="14"/>
  <c r="I33" i="14"/>
  <c r="H33" i="14"/>
  <c r="D33" i="14"/>
  <c r="C33" i="14"/>
  <c r="N32" i="14"/>
  <c r="M32" i="14"/>
  <c r="I32" i="14"/>
  <c r="H32" i="14"/>
  <c r="D32" i="14"/>
  <c r="C32" i="14"/>
  <c r="N31" i="14"/>
  <c r="M31" i="14"/>
  <c r="I31" i="14"/>
  <c r="H31" i="14"/>
  <c r="D31" i="14"/>
  <c r="C31" i="14"/>
  <c r="N30" i="14"/>
  <c r="M30" i="14"/>
  <c r="I30" i="14"/>
  <c r="H30" i="14"/>
  <c r="D30" i="14"/>
  <c r="C30" i="14"/>
  <c r="N29" i="14"/>
  <c r="M29" i="14"/>
  <c r="I29" i="14"/>
  <c r="H29" i="14"/>
  <c r="D29" i="14"/>
  <c r="C29" i="14"/>
  <c r="N28" i="14"/>
  <c r="M28" i="14"/>
  <c r="I28" i="14"/>
  <c r="H28" i="14"/>
  <c r="D28" i="14"/>
  <c r="C28" i="14"/>
  <c r="N27" i="14"/>
  <c r="M27" i="14"/>
  <c r="I27" i="14"/>
  <c r="H27" i="14"/>
  <c r="D27" i="14"/>
  <c r="C27" i="14"/>
  <c r="N26" i="14"/>
  <c r="M26" i="14"/>
  <c r="I26" i="14"/>
  <c r="H26" i="14"/>
  <c r="D26" i="14"/>
  <c r="C26" i="14"/>
  <c r="N25" i="14"/>
  <c r="M25" i="14"/>
  <c r="I25" i="14"/>
  <c r="H25" i="14"/>
  <c r="D25" i="14"/>
  <c r="C25" i="14"/>
  <c r="N24" i="14"/>
  <c r="M24" i="14"/>
  <c r="I24" i="14"/>
  <c r="H24" i="14"/>
  <c r="D24" i="14"/>
  <c r="C24" i="14"/>
  <c r="N23" i="14"/>
  <c r="M23" i="14"/>
  <c r="I23" i="14"/>
  <c r="H23" i="14"/>
  <c r="D23" i="14"/>
  <c r="C23" i="14"/>
  <c r="N22" i="14"/>
  <c r="M22" i="14"/>
  <c r="I22" i="14"/>
  <c r="H22" i="14"/>
  <c r="D22" i="14"/>
  <c r="C22" i="14"/>
  <c r="I18" i="14"/>
  <c r="H18" i="14"/>
  <c r="D18" i="14"/>
  <c r="C18" i="14"/>
  <c r="I17" i="14"/>
  <c r="H17" i="14"/>
  <c r="D17" i="14"/>
  <c r="C17" i="14"/>
  <c r="I16" i="14"/>
  <c r="H16" i="14"/>
  <c r="D16" i="14"/>
  <c r="C16" i="14"/>
  <c r="I15" i="14"/>
  <c r="H15" i="14"/>
  <c r="D15" i="14"/>
  <c r="C15" i="14"/>
  <c r="I14" i="14"/>
  <c r="H14" i="14"/>
  <c r="D14" i="14"/>
  <c r="C14" i="14"/>
  <c r="I13" i="14"/>
  <c r="H13" i="14"/>
  <c r="D13" i="14"/>
  <c r="C13" i="14"/>
  <c r="I12" i="14"/>
  <c r="H12" i="14"/>
  <c r="D12" i="14"/>
  <c r="C12" i="14"/>
  <c r="I11" i="14"/>
  <c r="H11" i="14"/>
  <c r="D11" i="14"/>
  <c r="C11" i="14"/>
  <c r="I10" i="14"/>
  <c r="H10" i="14"/>
  <c r="D10" i="14"/>
  <c r="C10" i="14"/>
  <c r="I9" i="14"/>
  <c r="H9" i="14"/>
  <c r="D9" i="14"/>
  <c r="C9" i="14"/>
  <c r="I8" i="14"/>
  <c r="H8" i="14"/>
  <c r="D8" i="14"/>
  <c r="C8" i="14"/>
  <c r="I7" i="14"/>
  <c r="H7" i="14"/>
  <c r="D7" i="14"/>
  <c r="C7" i="14"/>
  <c r="I6" i="14"/>
  <c r="H6" i="14"/>
  <c r="D6" i="14"/>
  <c r="C6" i="14"/>
  <c r="I5" i="14"/>
  <c r="H5" i="14"/>
  <c r="D5" i="14"/>
  <c r="C5" i="14"/>
  <c r="I4" i="14"/>
  <c r="H4" i="14"/>
  <c r="D4" i="14"/>
  <c r="C4" i="14"/>
  <c r="Q13" i="12"/>
  <c r="M13" i="12"/>
  <c r="L13" i="12"/>
  <c r="K13" i="12"/>
  <c r="J13" i="12"/>
  <c r="I13" i="12"/>
  <c r="H13" i="12"/>
  <c r="G13" i="12"/>
  <c r="F13" i="12"/>
  <c r="E13" i="12"/>
  <c r="D13" i="12"/>
  <c r="C13" i="12"/>
  <c r="B13" i="12"/>
  <c r="Q12" i="12"/>
  <c r="M12" i="12"/>
  <c r="L12" i="12"/>
  <c r="K12" i="12"/>
  <c r="J12" i="12"/>
  <c r="I12" i="12"/>
  <c r="H12" i="12"/>
  <c r="G12" i="12"/>
  <c r="F12" i="12"/>
  <c r="E12" i="12"/>
  <c r="D12" i="12"/>
  <c r="C12" i="12"/>
  <c r="B12" i="12"/>
  <c r="Q11" i="12"/>
  <c r="M11" i="12"/>
  <c r="L11" i="12"/>
  <c r="K11" i="12"/>
  <c r="J11" i="12"/>
  <c r="I11" i="12"/>
  <c r="H11" i="12"/>
  <c r="G11" i="12"/>
  <c r="F11" i="12"/>
  <c r="E11" i="12"/>
  <c r="D11" i="12"/>
  <c r="C11" i="12"/>
  <c r="B11" i="12"/>
  <c r="Q10" i="12"/>
  <c r="M10" i="12"/>
  <c r="L10" i="12"/>
  <c r="K10" i="12"/>
  <c r="J10" i="12"/>
  <c r="I10" i="12"/>
  <c r="H10" i="12"/>
  <c r="G10" i="12"/>
  <c r="F10" i="12"/>
  <c r="E10" i="12"/>
  <c r="D10" i="12"/>
  <c r="C10" i="12"/>
  <c r="B10" i="12"/>
  <c r="Q9" i="12"/>
  <c r="M9" i="12"/>
  <c r="L9" i="12"/>
  <c r="K9" i="12"/>
  <c r="J9" i="12"/>
  <c r="I9" i="12"/>
  <c r="H9" i="12"/>
  <c r="G9" i="12"/>
  <c r="F9" i="12"/>
  <c r="E9" i="12"/>
  <c r="D9" i="12"/>
  <c r="C9" i="12"/>
  <c r="B9" i="12"/>
  <c r="Q8" i="12"/>
  <c r="M8" i="12"/>
  <c r="L8" i="12"/>
  <c r="K8" i="12"/>
  <c r="J8" i="12"/>
  <c r="I8" i="12"/>
  <c r="H8" i="12"/>
  <c r="G8" i="12"/>
  <c r="F8" i="12"/>
  <c r="E8" i="12"/>
  <c r="D8" i="12"/>
  <c r="C8" i="12"/>
  <c r="B8" i="12"/>
  <c r="Q7" i="12"/>
  <c r="M7" i="12"/>
  <c r="L7" i="12"/>
  <c r="K7" i="12"/>
  <c r="J7" i="12"/>
  <c r="I7" i="12"/>
  <c r="H7" i="12"/>
  <c r="G7" i="12"/>
  <c r="F7" i="12"/>
  <c r="E7" i="12"/>
  <c r="D7" i="12"/>
  <c r="C7" i="12"/>
  <c r="B7" i="12"/>
  <c r="Q6" i="12"/>
  <c r="M6" i="12"/>
  <c r="L6" i="12"/>
  <c r="K6" i="12"/>
  <c r="J6" i="12"/>
  <c r="I6" i="12"/>
  <c r="H6" i="12"/>
  <c r="G6" i="12"/>
  <c r="F6" i="12"/>
  <c r="E6" i="12"/>
  <c r="D6" i="12"/>
  <c r="C6" i="12"/>
  <c r="B6" i="12"/>
  <c r="Q5" i="12"/>
  <c r="M5" i="12"/>
  <c r="L5" i="12"/>
  <c r="K5" i="12"/>
  <c r="J5" i="12"/>
  <c r="I5" i="12"/>
  <c r="H5" i="12"/>
  <c r="G5" i="12"/>
  <c r="F5" i="12"/>
  <c r="E5" i="12"/>
  <c r="D5" i="12"/>
  <c r="C5" i="12"/>
  <c r="B5" i="12"/>
  <c r="Q4" i="12"/>
  <c r="M4" i="12"/>
  <c r="L4" i="12"/>
  <c r="K4" i="12"/>
  <c r="J4" i="12"/>
  <c r="I4" i="12"/>
  <c r="H4" i="12"/>
  <c r="G4" i="12"/>
  <c r="F4" i="12"/>
  <c r="E4" i="12"/>
  <c r="D4" i="12"/>
  <c r="C4" i="12"/>
  <c r="B4" i="12"/>
  <c r="Q3" i="12"/>
  <c r="M3" i="12"/>
  <c r="L3" i="12"/>
  <c r="K3" i="12"/>
  <c r="J3" i="12"/>
  <c r="I3" i="12"/>
  <c r="H3" i="12"/>
  <c r="G3" i="12"/>
  <c r="F3" i="12"/>
  <c r="E3" i="12"/>
  <c r="D3" i="12"/>
  <c r="C3" i="12"/>
  <c r="B3" i="12"/>
  <c r="Q2" i="12"/>
  <c r="R12" i="12" s="1"/>
  <c r="M2" i="12"/>
  <c r="L2" i="12"/>
  <c r="K2" i="12"/>
  <c r="J2" i="12"/>
  <c r="I2" i="12"/>
  <c r="H2" i="12"/>
  <c r="G2" i="12"/>
  <c r="F2" i="12"/>
  <c r="E2" i="12"/>
  <c r="D2" i="12"/>
  <c r="C2" i="12"/>
  <c r="B2" i="12"/>
  <c r="N13" i="11"/>
  <c r="T14" i="8" s="1"/>
  <c r="C13" i="11"/>
  <c r="B13" i="11"/>
  <c r="N12" i="11"/>
  <c r="T13" i="8" s="1"/>
  <c r="C12" i="11"/>
  <c r="B12" i="11"/>
  <c r="N11" i="11"/>
  <c r="T12" i="8" s="1"/>
  <c r="C11" i="11"/>
  <c r="B11" i="11"/>
  <c r="N10" i="11"/>
  <c r="T11" i="8" s="1"/>
  <c r="C10" i="11"/>
  <c r="B10" i="11"/>
  <c r="N9" i="11"/>
  <c r="C9" i="11"/>
  <c r="B9" i="11"/>
  <c r="N8" i="11"/>
  <c r="T9" i="8" s="1"/>
  <c r="C8" i="11"/>
  <c r="B8" i="11"/>
  <c r="N7" i="11"/>
  <c r="T8" i="8" s="1"/>
  <c r="C7" i="11"/>
  <c r="B7" i="11"/>
  <c r="N6" i="11"/>
  <c r="T7" i="8" s="1"/>
  <c r="C6" i="11"/>
  <c r="B6" i="11"/>
  <c r="N5" i="11"/>
  <c r="C5" i="11"/>
  <c r="B5" i="11"/>
  <c r="N4" i="11"/>
  <c r="T5" i="8" s="1"/>
  <c r="C4" i="11"/>
  <c r="B4" i="11"/>
  <c r="N3" i="11"/>
  <c r="T4" i="8" s="1"/>
  <c r="C3" i="11"/>
  <c r="B3" i="11"/>
  <c r="N2" i="11"/>
  <c r="C2" i="11"/>
  <c r="B2" i="11"/>
  <c r="N13" i="10"/>
  <c r="S14" i="8" s="1"/>
  <c r="C13" i="10"/>
  <c r="B13" i="10"/>
  <c r="N12" i="10"/>
  <c r="S13" i="8" s="1"/>
  <c r="C12" i="10"/>
  <c r="B12" i="10"/>
  <c r="N11" i="10"/>
  <c r="C11" i="10"/>
  <c r="B11" i="10"/>
  <c r="N10" i="10"/>
  <c r="S11" i="8" s="1"/>
  <c r="C10" i="10"/>
  <c r="B10" i="10"/>
  <c r="N9" i="10"/>
  <c r="C9" i="10"/>
  <c r="B9" i="10"/>
  <c r="N8" i="10"/>
  <c r="S9" i="8" s="1"/>
  <c r="C8" i="10"/>
  <c r="B8" i="10"/>
  <c r="N7" i="10"/>
  <c r="S8" i="8" s="1"/>
  <c r="C7" i="10"/>
  <c r="B7" i="10"/>
  <c r="N6" i="10"/>
  <c r="C6" i="10"/>
  <c r="B6" i="10"/>
  <c r="N5" i="10"/>
  <c r="C5" i="10"/>
  <c r="B5" i="10"/>
  <c r="N4" i="10"/>
  <c r="S5" i="8" s="1"/>
  <c r="C4" i="10"/>
  <c r="B4" i="10"/>
  <c r="N3" i="10"/>
  <c r="S4" i="8" s="1"/>
  <c r="C3" i="10"/>
  <c r="B3" i="10"/>
  <c r="N2" i="10"/>
  <c r="C2" i="10"/>
  <c r="B2" i="10"/>
  <c r="F13" i="9"/>
  <c r="B13" i="9"/>
  <c r="F12" i="9"/>
  <c r="B12" i="9"/>
  <c r="F11" i="9"/>
  <c r="B11" i="9"/>
  <c r="F10" i="9"/>
  <c r="B10" i="9"/>
  <c r="F9" i="9"/>
  <c r="B9" i="9"/>
  <c r="F8" i="9"/>
  <c r="B8" i="9"/>
  <c r="F7" i="9"/>
  <c r="B7" i="9"/>
  <c r="F6" i="9"/>
  <c r="B6" i="9"/>
  <c r="F5" i="9"/>
  <c r="B5" i="9"/>
  <c r="F4" i="9"/>
  <c r="B4" i="9"/>
  <c r="F3" i="9"/>
  <c r="B3" i="9"/>
  <c r="F2" i="9"/>
  <c r="B2" i="9"/>
  <c r="H14" i="8"/>
  <c r="G14" i="8"/>
  <c r="F14" i="8"/>
  <c r="E14" i="8"/>
  <c r="D14" i="8"/>
  <c r="C14" i="8"/>
  <c r="B14" i="8"/>
  <c r="H13" i="8"/>
  <c r="G13" i="8"/>
  <c r="F13" i="8"/>
  <c r="E13" i="8"/>
  <c r="D13" i="8"/>
  <c r="C13" i="8"/>
  <c r="B13" i="8"/>
  <c r="H12" i="8"/>
  <c r="G12" i="8"/>
  <c r="F12" i="8"/>
  <c r="E12" i="8"/>
  <c r="D12" i="8"/>
  <c r="C12" i="8"/>
  <c r="B12" i="8"/>
  <c r="H11" i="8"/>
  <c r="G11" i="8"/>
  <c r="F11" i="8"/>
  <c r="E11" i="8"/>
  <c r="I11" i="8" s="1"/>
  <c r="D11" i="8"/>
  <c r="C11" i="8"/>
  <c r="B11" i="8"/>
  <c r="H10" i="8"/>
  <c r="G10" i="8"/>
  <c r="F10" i="8"/>
  <c r="E10" i="8"/>
  <c r="D10" i="8"/>
  <c r="C10" i="8"/>
  <c r="B10" i="8"/>
  <c r="C21" i="7" s="1"/>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B5" i="8"/>
  <c r="C34" i="7" s="1"/>
  <c r="H4" i="8"/>
  <c r="G4" i="8"/>
  <c r="F4" i="8"/>
  <c r="E4" i="8"/>
  <c r="D4" i="8"/>
  <c r="C4" i="8"/>
  <c r="B4" i="8"/>
  <c r="H3" i="8"/>
  <c r="G3" i="8"/>
  <c r="F3" i="8"/>
  <c r="E3" i="8"/>
  <c r="D3" i="8"/>
  <c r="C3" i="8"/>
  <c r="B3" i="8"/>
  <c r="C38" i="7" s="1"/>
  <c r="W1" i="8"/>
  <c r="Q1" i="8"/>
  <c r="F40" i="7"/>
  <c r="E40" i="7"/>
  <c r="D40" i="7"/>
  <c r="F39" i="7"/>
  <c r="E39" i="7"/>
  <c r="D39" i="7"/>
  <c r="F38" i="7"/>
  <c r="E38" i="7"/>
  <c r="D38" i="7"/>
  <c r="F37" i="7"/>
  <c r="E37" i="7"/>
  <c r="D37" i="7"/>
  <c r="F36" i="7"/>
  <c r="E36" i="7"/>
  <c r="D36" i="7"/>
  <c r="F35" i="7"/>
  <c r="E35" i="7"/>
  <c r="D35" i="7"/>
  <c r="F34" i="7"/>
  <c r="E34" i="7"/>
  <c r="D34" i="7"/>
  <c r="F33" i="7"/>
  <c r="E33" i="7"/>
  <c r="D33" i="7"/>
  <c r="F32" i="7"/>
  <c r="E32" i="7"/>
  <c r="D32" i="7"/>
  <c r="F31" i="7"/>
  <c r="E31" i="7"/>
  <c r="D31" i="7"/>
  <c r="F30" i="7"/>
  <c r="E30" i="7"/>
  <c r="D30" i="7"/>
  <c r="F29" i="7"/>
  <c r="E29" i="7"/>
  <c r="D29" i="7"/>
  <c r="F28" i="7"/>
  <c r="E28" i="7"/>
  <c r="D28" i="7"/>
  <c r="F27" i="7"/>
  <c r="E27" i="7"/>
  <c r="D27" i="7"/>
  <c r="F26" i="7"/>
  <c r="E26" i="7"/>
  <c r="D26" i="7"/>
  <c r="F25" i="7"/>
  <c r="E25" i="7"/>
  <c r="D25" i="7"/>
  <c r="F24" i="7"/>
  <c r="E24" i="7"/>
  <c r="D24" i="7"/>
  <c r="F23" i="7"/>
  <c r="E23" i="7"/>
  <c r="D23" i="7"/>
  <c r="F22" i="7"/>
  <c r="E22" i="7"/>
  <c r="D22" i="7"/>
  <c r="F21" i="7"/>
  <c r="E21" i="7"/>
  <c r="D21" i="7"/>
  <c r="F20" i="7"/>
  <c r="E20" i="7"/>
  <c r="D20" i="7"/>
  <c r="F19" i="7"/>
  <c r="E19" i="7"/>
  <c r="D19" i="7"/>
  <c r="F18" i="7"/>
  <c r="E18" i="7"/>
  <c r="D18" i="7"/>
  <c r="F17" i="7"/>
  <c r="E17" i="7"/>
  <c r="D17" i="7"/>
  <c r="F16" i="7"/>
  <c r="E16" i="7"/>
  <c r="D16" i="7"/>
  <c r="F15" i="7"/>
  <c r="E15" i="7"/>
  <c r="D15" i="7"/>
  <c r="F14" i="7"/>
  <c r="E14" i="7"/>
  <c r="D14" i="7"/>
  <c r="F13" i="7"/>
  <c r="E13" i="7"/>
  <c r="D13" i="7"/>
  <c r="F12" i="7"/>
  <c r="E12" i="7"/>
  <c r="D12" i="7"/>
  <c r="F11" i="7"/>
  <c r="E11" i="7"/>
  <c r="D11" i="7"/>
  <c r="F10" i="7"/>
  <c r="E10" i="7"/>
  <c r="D10" i="7"/>
  <c r="F9" i="7"/>
  <c r="E9" i="7"/>
  <c r="D9" i="7"/>
  <c r="F8" i="7"/>
  <c r="E8" i="7"/>
  <c r="D8" i="7"/>
  <c r="F7" i="7"/>
  <c r="E7" i="7"/>
  <c r="D7" i="7"/>
  <c r="F6" i="7"/>
  <c r="E6" i="7"/>
  <c r="D6" i="7"/>
  <c r="F5" i="7"/>
  <c r="E5" i="7"/>
  <c r="D5" i="7"/>
  <c r="F4" i="7"/>
  <c r="E4" i="7"/>
  <c r="D4" i="7"/>
  <c r="F3" i="7"/>
  <c r="E3" i="7"/>
  <c r="D3" i="7"/>
  <c r="F2" i="7"/>
  <c r="E2" i="7"/>
  <c r="D2" i="7"/>
  <c r="A1" i="5"/>
  <c r="H1" i="2"/>
  <c r="F1" i="2"/>
  <c r="O11" i="10" l="1"/>
  <c r="L12" i="8" s="1"/>
  <c r="O9" i="10"/>
  <c r="L10" i="8" s="1"/>
  <c r="O13" i="10"/>
  <c r="L14" i="8" s="1"/>
  <c r="O6" i="10"/>
  <c r="L7" i="8" s="1"/>
  <c r="O12" i="10"/>
  <c r="L13" i="8" s="1"/>
  <c r="S12" i="8"/>
  <c r="O5" i="10"/>
  <c r="L6" i="8" s="1"/>
  <c r="R8" i="12"/>
  <c r="S8" i="12" s="1"/>
  <c r="R9" i="8" s="1"/>
  <c r="R7" i="12"/>
  <c r="S7" i="12" s="1"/>
  <c r="R8" i="8" s="1"/>
  <c r="S12" i="12"/>
  <c r="R13" i="8" s="1"/>
  <c r="R2" i="12"/>
  <c r="S2" i="12" s="1"/>
  <c r="R3" i="8" s="1"/>
  <c r="R3" i="12"/>
  <c r="S3" i="12" s="1"/>
  <c r="R4" i="8" s="1"/>
  <c r="R10" i="12"/>
  <c r="S10" i="12" s="1"/>
  <c r="R11" i="8" s="1"/>
  <c r="U11" i="8" s="1"/>
  <c r="R4" i="12"/>
  <c r="S4" i="12" s="1"/>
  <c r="R5" i="8" s="1"/>
  <c r="R11" i="12"/>
  <c r="S11" i="12" s="1"/>
  <c r="R12" i="8" s="1"/>
  <c r="R5" i="12"/>
  <c r="S5" i="12" s="1"/>
  <c r="R6" i="8" s="1"/>
  <c r="R13" i="12"/>
  <c r="S13" i="12" s="1"/>
  <c r="R14" i="8" s="1"/>
  <c r="O5" i="11"/>
  <c r="M6" i="8" s="1"/>
  <c r="O13" i="11"/>
  <c r="M14" i="8" s="1"/>
  <c r="T6" i="8"/>
  <c r="O9" i="11"/>
  <c r="M10" i="8" s="1"/>
  <c r="O12" i="11"/>
  <c r="M13" i="8" s="1"/>
  <c r="I8" i="8"/>
  <c r="I12" i="8"/>
  <c r="I3" i="8"/>
  <c r="I4" i="8"/>
  <c r="I7" i="8"/>
  <c r="I9" i="8"/>
  <c r="I10" i="8"/>
  <c r="I13" i="8"/>
  <c r="I6" i="8"/>
  <c r="I5" i="8"/>
  <c r="I14" i="8"/>
  <c r="C6" i="7"/>
  <c r="C33" i="7"/>
  <c r="C13" i="7"/>
  <c r="C31" i="7"/>
  <c r="S6" i="8"/>
  <c r="S3" i="8"/>
  <c r="O2" i="10"/>
  <c r="L3" i="8" s="1"/>
  <c r="O8" i="10"/>
  <c r="L9" i="8" s="1"/>
  <c r="O2" i="11"/>
  <c r="M3" i="8" s="1"/>
  <c r="O8" i="11"/>
  <c r="M9" i="8" s="1"/>
  <c r="O11" i="11"/>
  <c r="M12" i="8" s="1"/>
  <c r="C15" i="7"/>
  <c r="C36" i="7"/>
  <c r="C39" i="7"/>
  <c r="T3" i="8"/>
  <c r="S10" i="8"/>
  <c r="T10" i="8"/>
  <c r="R6" i="12"/>
  <c r="S6" i="12" s="1"/>
  <c r="R9" i="12"/>
  <c r="S9" i="12" s="1"/>
  <c r="C18" i="7"/>
  <c r="S7" i="8"/>
  <c r="O3" i="10"/>
  <c r="L4" i="8" s="1"/>
  <c r="O3" i="11"/>
  <c r="M4" i="8" s="1"/>
  <c r="O6" i="11"/>
  <c r="M7" i="8" s="1"/>
  <c r="C9" i="7"/>
  <c r="C30" i="7"/>
  <c r="C7" i="7"/>
  <c r="C25" i="7"/>
  <c r="C12" i="7"/>
  <c r="C27" i="7"/>
  <c r="C16" i="7"/>
  <c r="C28" i="7"/>
  <c r="C40" i="7"/>
  <c r="C3" i="7"/>
  <c r="C24" i="7"/>
  <c r="C10" i="7"/>
  <c r="C22" i="7"/>
  <c r="C37" i="7"/>
  <c r="C2" i="7"/>
  <c r="C5" i="7"/>
  <c r="C8" i="7"/>
  <c r="C11" i="7"/>
  <c r="C14" i="7"/>
  <c r="C17" i="7"/>
  <c r="C20" i="7"/>
  <c r="C23" i="7"/>
  <c r="C26" i="7"/>
  <c r="C29" i="7"/>
  <c r="C32" i="7"/>
  <c r="C35" i="7"/>
  <c r="C4" i="7"/>
  <c r="C19" i="7"/>
  <c r="O4" i="10"/>
  <c r="L5" i="8" s="1"/>
  <c r="O7" i="10"/>
  <c r="L8" i="8" s="1"/>
  <c r="O10" i="10"/>
  <c r="L11" i="8" s="1"/>
  <c r="O4" i="11"/>
  <c r="M5" i="8" s="1"/>
  <c r="O7" i="11"/>
  <c r="M8" i="8" s="1"/>
  <c r="O10" i="11"/>
  <c r="M11" i="8" s="1"/>
  <c r="U12" i="8" l="1"/>
  <c r="U8" i="8"/>
  <c r="U14" i="8"/>
  <c r="U5" i="8"/>
  <c r="U9" i="8"/>
  <c r="U3" i="8"/>
  <c r="V12" i="8" s="1"/>
  <c r="U6" i="8"/>
  <c r="U13" i="8"/>
  <c r="U4" i="8"/>
  <c r="J4" i="8"/>
  <c r="J10" i="8"/>
  <c r="J12" i="8"/>
  <c r="J5" i="8"/>
  <c r="J3" i="8"/>
  <c r="J14" i="8"/>
  <c r="J7" i="8"/>
  <c r="J9" i="8"/>
  <c r="J11" i="8"/>
  <c r="J13" i="8"/>
  <c r="J8" i="8"/>
  <c r="J6" i="8"/>
  <c r="R7" i="8"/>
  <c r="U7" i="8" s="1"/>
  <c r="T6" i="12"/>
  <c r="K7" i="8" s="1"/>
  <c r="T4" i="12"/>
  <c r="K5" i="8" s="1"/>
  <c r="T13" i="12"/>
  <c r="K14" i="8" s="1"/>
  <c r="T8" i="12"/>
  <c r="K9" i="8" s="1"/>
  <c r="T2" i="12"/>
  <c r="K3" i="8" s="1"/>
  <c r="T11" i="12"/>
  <c r="K12" i="8" s="1"/>
  <c r="T7" i="12"/>
  <c r="K8" i="8" s="1"/>
  <c r="T5" i="12"/>
  <c r="K6" i="8" s="1"/>
  <c r="T12" i="12"/>
  <c r="K13" i="8" s="1"/>
  <c r="T10" i="12"/>
  <c r="K11" i="8" s="1"/>
  <c r="T3" i="12"/>
  <c r="K4" i="8" s="1"/>
  <c r="T9" i="12"/>
  <c r="K10" i="8" s="1"/>
  <c r="R10" i="8"/>
  <c r="U10" i="8" s="1"/>
  <c r="V14" i="8" l="1"/>
  <c r="V9" i="8"/>
  <c r="N9" i="8"/>
  <c r="V11" i="8"/>
  <c r="V6" i="8"/>
  <c r="N10" i="8"/>
  <c r="V13" i="8"/>
  <c r="V8" i="8"/>
  <c r="V10" i="8"/>
  <c r="V5" i="8"/>
  <c r="V7" i="8"/>
  <c r="V3" i="8"/>
  <c r="N5" i="8"/>
  <c r="N7" i="8"/>
  <c r="V4" i="8"/>
  <c r="N14" i="8"/>
  <c r="N3" i="8"/>
  <c r="N4" i="8"/>
  <c r="N12" i="8"/>
  <c r="N11" i="8"/>
  <c r="N8" i="8"/>
  <c r="N13" i="8"/>
  <c r="N6" i="8"/>
  <c r="O3" i="8" l="1"/>
  <c r="O11" i="8"/>
  <c r="O4" i="8"/>
  <c r="O8" i="8"/>
  <c r="O12" i="8"/>
  <c r="O9" i="8"/>
  <c r="O7" i="8"/>
  <c r="O13" i="8"/>
  <c r="O6" i="8"/>
  <c r="O10" i="8"/>
  <c r="O14" i="8"/>
  <c r="O5" i="8"/>
</calcChain>
</file>

<file path=xl/sharedStrings.xml><?xml version="1.0" encoding="utf-8"?>
<sst xmlns="http://schemas.openxmlformats.org/spreadsheetml/2006/main" count="354" uniqueCount="228">
  <si>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</si>
  <si>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</si>
  <si>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</si>
  <si>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</si>
  <si>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</si>
  <si>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</si>
  <si>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</si>
  <si>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</si>
  <si>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</si>
  <si>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</si>
  <si>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</si>
  <si>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</si>
  <si>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</si>
  <si>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</si>
  <si>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</si>
  <si>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</si>
  <si>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</si>
  <si>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</si>
  <si>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</si>
  <si>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</si>
  <si>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</si>
  <si>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</si>
  <si>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</si>
  <si>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</si>
  <si>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</si>
  <si>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</si>
  <si>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</si>
  <si>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t>
  </si>
  <si>
    <t>Team Name</t>
  </si>
  <si>
    <t>Coach Name</t>
  </si>
  <si>
    <t>Pod Number</t>
  </si>
  <si>
    <t>Two emcees:</t>
  </si>
  <si>
    <t>Setting this to TRUE will alternate shading in the closing ceremony script to make it easier to read</t>
  </si>
  <si>
    <t>Greenbrier Panthers</t>
  </si>
  <si>
    <t>John Sammons</t>
  </si>
  <si>
    <t>Norfolk Collegiate O.A.K.S.</t>
  </si>
  <si>
    <t>Skip Morrow</t>
  </si>
  <si>
    <t>OLMC White Team</t>
  </si>
  <si>
    <t>Patrick McFadden</t>
  </si>
  <si>
    <t>ESPs</t>
  </si>
  <si>
    <t>Heather Perry</t>
  </si>
  <si>
    <t>Dynamite Dolphins</t>
  </si>
  <si>
    <t>Jonathan Torch</t>
  </si>
  <si>
    <t>OLMC Aquinas</t>
  </si>
  <si>
    <t>Wired Dolphins</t>
  </si>
  <si>
    <t>Scorpion Tech Force</t>
  </si>
  <si>
    <t>Jhalak Pattnaik</t>
  </si>
  <si>
    <t>MCH Marvels</t>
  </si>
  <si>
    <t>Kathy Hendrickson</t>
  </si>
  <si>
    <t>SMS Eaglebots 1</t>
  </si>
  <si>
    <t>Lisa Bromley</t>
  </si>
  <si>
    <t>MCH Monarchs</t>
  </si>
  <si>
    <t>Kempsville Dino-Nuggets</t>
  </si>
  <si>
    <t>Kiel Phillips</t>
  </si>
  <si>
    <t>Advance</t>
  </si>
  <si>
    <t>Yes</t>
  </si>
  <si>
    <t>No</t>
  </si>
  <si>
    <t>Alt</t>
  </si>
  <si>
    <t>Key</t>
  </si>
  <si>
    <t>Value</t>
  </si>
  <si>
    <t>Tournament Year</t>
  </si>
  <si>
    <t>2025</t>
  </si>
  <si>
    <t>FLL Season Title</t>
  </si>
  <si>
    <t>Unearthed</t>
  </si>
  <si>
    <t>Tournament Short Name</t>
  </si>
  <si>
    <t>Norfolk</t>
  </si>
  <si>
    <t>Tournament Long Name</t>
  </si>
  <si>
    <t>Norfolk 2025 Unearthed Qualifier Tournament</t>
  </si>
  <si>
    <t>Completed Script File</t>
  </si>
  <si>
    <t>C:/github-projects/OJS_Script_maker_NG/2025-all/tournaments\Norfolk\closing_ceremony.html</t>
  </si>
  <si>
    <t>Using Divisions</t>
  </si>
  <si>
    <t>Advancing</t>
  </si>
  <si>
    <t>Award</t>
  </si>
  <si>
    <t>ID</t>
  </si>
  <si>
    <t>Robot Game Awards</t>
  </si>
  <si>
    <t>Champions 1st Place</t>
  </si>
  <si>
    <t>J_AWD_CHAMP</t>
  </si>
  <si>
    <t>Robot Game 1st Place</t>
  </si>
  <si>
    <t>Champions 2nd Place</t>
  </si>
  <si>
    <t>Robot Game 2nd Place</t>
  </si>
  <si>
    <t>Innovation Project 1st Place</t>
  </si>
  <si>
    <t>J_AWD_IP</t>
  </si>
  <si>
    <t>Robot Game 3rd Place</t>
  </si>
  <si>
    <t>Robot Design 1st Place</t>
  </si>
  <si>
    <t>J_AWD_RD</t>
  </si>
  <si>
    <t>Core Values 1st Place</t>
  </si>
  <si>
    <t>J_AWD_CV</t>
  </si>
  <si>
    <t>Core Values 2nd Place</t>
  </si>
  <si>
    <t>Core Values 3rd Place</t>
  </si>
  <si>
    <t>Judges 1</t>
  </si>
  <si>
    <t>J_AWD_Judges</t>
  </si>
  <si>
    <t>Judges 2</t>
  </si>
  <si>
    <t>Judges 3</t>
  </si>
  <si>
    <t>Breakthrough 1st Place</t>
  </si>
  <si>
    <t>J_AWD_BT</t>
  </si>
  <si>
    <t>Fooziest 1</t>
  </si>
  <si>
    <t>J_AWD_Foo</t>
  </si>
  <si>
    <t>ColumnName</t>
  </si>
  <si>
    <t>Name</t>
  </si>
  <si>
    <t>DivAward</t>
  </si>
  <si>
    <t>Count</t>
  </si>
  <si>
    <t>Label1</t>
  </si>
  <si>
    <t>Label2</t>
  </si>
  <si>
    <t>Label3</t>
  </si>
  <si>
    <t>ScriptTagD1</t>
  </si>
  <si>
    <t>ScriptTagD2</t>
  </si>
  <si>
    <t>ScriptTagNoDiv</t>
  </si>
  <si>
    <t>Champions</t>
  </si>
  <si>
    <t>FALSE</t>
  </si>
  <si>
    <t>Champions 3rd Place</t>
  </si>
  <si>
    <t>J_AWD_CHAMP_D1</t>
  </si>
  <si>
    <t>J_AWD_CHAMP_D2</t>
  </si>
  <si>
    <t>Robot Design</t>
  </si>
  <si>
    <t>Robot Design 2nd Place</t>
  </si>
  <si>
    <t>Robot Design 3rd Place</t>
  </si>
  <si>
    <t>J_AWD_RD_D1</t>
  </si>
  <si>
    <t>J_AWD_RD_D2</t>
  </si>
  <si>
    <t>Innovation Project</t>
  </si>
  <si>
    <t>Innovation Project 2nd Place</t>
  </si>
  <si>
    <t>Innovation Project 3rd Place</t>
  </si>
  <si>
    <t>J_AWD_IP_D1</t>
  </si>
  <si>
    <t>J_AWD_IP_D2</t>
  </si>
  <si>
    <t>Core Values</t>
  </si>
  <si>
    <t>J_AWD_CV_D1</t>
  </si>
  <si>
    <t>J_AWD_CV_D2</t>
  </si>
  <si>
    <t>Judges</t>
  </si>
  <si>
    <t>P_AWD_RG</t>
  </si>
  <si>
    <t>Robot Game</t>
  </si>
  <si>
    <t>P_AWD_RG_D1</t>
  </si>
  <si>
    <t>P_AWD_RG_D2</t>
  </si>
  <si>
    <t>Breakthrough</t>
  </si>
  <si>
    <t>Breakthrough 2nd Place</t>
  </si>
  <si>
    <t>Breakthrough 3rd Place</t>
  </si>
  <si>
    <t>Foobar</t>
  </si>
  <si>
    <t>Fooziest 2</t>
  </si>
  <si>
    <t>Fooziest 3</t>
  </si>
  <si>
    <t>_D1</t>
  </si>
  <si>
    <t>J_AWD_RisAll</t>
  </si>
  <si>
    <t>Rising Allstar</t>
  </si>
  <si>
    <t>Rising Allstar 1st Place</t>
  </si>
  <si>
    <t>Rising Allstar 2nd Place</t>
  </si>
  <si>
    <t>Rising Allstar 3rd Place</t>
  </si>
  <si>
    <t>J_AWD_CL</t>
  </si>
  <si>
    <t>Community Leader</t>
  </si>
  <si>
    <t>Community Leader 1st Place</t>
  </si>
  <si>
    <t>Community Leader 2nd Place</t>
  </si>
  <si>
    <t>Community Leader 3rd Place</t>
  </si>
  <si>
    <t>ADV</t>
  </si>
  <si>
    <t>Advancing 1</t>
  </si>
  <si>
    <t>Advancing 2</t>
  </si>
  <si>
    <t>Advancing 3</t>
  </si>
  <si>
    <t>ADV_D1</t>
  </si>
  <si>
    <t>ADV_D2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</si>
  <si>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</si>
  <si>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</si>
  <si>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</si>
  <si>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</si>
  <si>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</si>
  <si>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</si>
  <si>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</si>
  <si>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</si>
  <si>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</si>
  <si>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</si>
  <si>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</si>
  <si>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</si>
  <si>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</si>
  <si>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</si>
  <si>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</si>
  <si>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</si>
  <si>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</si>
  <si>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</si>
  <si>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</si>
  <si>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</si>
  <si>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</si>
  <si>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</si>
  <si>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</si>
  <si>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</si>
  <si>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</si>
  <si>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</si>
  <si>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</si>
  <si>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</si>
  <si>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</si>
  <si>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</si>
  <si>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</si>
  <si>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</si>
  <si>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</si>
  <si>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</si>
  <si>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</si>
  <si>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</si>
  <si>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</si>
  <si>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</si>
  <si>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</si>
  <si>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</si>
  <si>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</si>
  <si>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</si>
  <si>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</si>
  <si>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</si>
  <si>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</si>
  <si>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</si>
  <si>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</si>
  <si>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</si>
  <si>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</si>
  <si>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</si>
  <si>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</si>
  <si>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</si>
  <si>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</si>
  <si>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</si>
  <si>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</si>
  <si>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</si>
  <si>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</si>
  <si>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</si>
  <si>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</si>
  <si>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</si>
  <si>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</si>
  <si>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</si>
  <si>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</si>
  <si>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</si>
  <si>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</si>
  <si>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</si>
  <si>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</si>
  <si>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</si>
  <si>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</si>
  <si>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</si>
  <si>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</si>
  <si>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Team Number</t>
  </si>
  <si>
    <t>Deliberated Rank</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</si>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</sst>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2" fillId="0" borderId="0" xfId="0" applyFont="1"/>
    <xf numFmtId="0" fontId="2" fillId="0" borderId="0" xfId="0" applyFont="1" applyProtection="1">
      <protection locked="0"/>
    </xf>
    <xf numFmtId="1" fontId="2" fillId="0" borderId="0" xfId="0" applyNumberFormat="1" applyFont="1"/>
    <xf numFmtId="0" fontId="2" fillId="0" borderId="0" xfId="0" applyFont="1" applyAlignment="1">
      <alignment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3">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9BC2E6"/>
          <bgColor rgb="FF9BC2E6"/>
        </patternFill>
      </fill>
    </dxf>
    <dxf>
      <font>
        <color rgb="FFFFFFFF"/>
      </font>
      <fill>
        <patternFill patternType="solid">
          <fgColor rgb="FF4472C4"/>
          <bgColor rgb="FF4472C4"/>
        </patternFill>
      </fill>
    </dxf>
    <dxf>
      <fill>
        <patternFill patternType="solid">
          <fgColor rgb="FFCD7F32"/>
          <bgColor rgb="FFCD7F32"/>
        </patternFill>
      </fill>
    </dxf>
    <dxf>
      <fill>
        <patternFill patternType="solid">
          <fgColor rgb="FFC0C0C0"/>
          <bgColor rgb="FFC0C0C0"/>
        </patternFill>
      </fill>
    </dxf>
    <dxf>
      <fill>
        <patternFill patternType="solid">
          <fgColor rgb="FFFFD700"/>
          <bgColor rgb="FFFFD700"/>
        </patternFill>
      </fill>
    </dxf>
    <dxf>
      <fill>
        <patternFill patternType="solid">
          <fgColor rgb="FFFFFF99"/>
          <bgColor rgb="FFFFFF99"/>
        </patternFill>
      </fill>
    </dxf>
    <dxf>
      <fill>
        <patternFill patternType="solid">
          <fgColor rgb="FFFFFF99"/>
          <bgColor rgb="FFFFFF99"/>
        </patternFill>
      </fill>
    </dxf>
    <dxf>
      <fill>
        <patternFill patternType="solid">
          <fgColor rgb="FFFFFF99"/>
          <bgColor rgb="FFFFFF99"/>
        </patternFill>
      </fill>
    </dxf>
    <dxf>
      <fill>
        <patternFill patternType="solid">
          <fgColor rgb="FF00FF00"/>
          <bgColor rgb="FF00FF00"/>
        </patternFill>
      </fill>
    </dxf>
    <dxf>
      <fill>
        <patternFill patternType="solid">
          <fgColor rgb="FF00FF00"/>
          <bgColor rgb="FF00FF00"/>
        </patternFill>
      </fill>
    </dxf>
    <dxf>
      <font>
        <color rgb="FFFFFFFF"/>
      </font>
      <fill>
        <patternFill patternType="solid">
          <fgColor rgb="FF4472C4"/>
          <bgColor rgb="FF4472C4"/>
        </patternFill>
      </fill>
    </dxf>
    <dxf>
      <font>
        <i/>
        <sz val="11"/>
        <color rgb="FF800080"/>
      </font>
      <fill>
        <patternFill patternType="solid">
          <fgColor rgb="FFFF0000"/>
          <bgColor rgb="FFFF0000"/>
        </patternFill>
      </fill>
    </dxf>
    <dxf>
      <font>
        <i/>
        <sz val="12"/>
        <color rgb="FF800080"/>
      </font>
      <fill>
        <patternFill patternType="solid">
          <fgColor rgb="FF00FF00"/>
          <bgColor rgb="FF00FF00"/>
        </patternFill>
      </fill>
    </dxf>
    <dxf>
      <border>
        <bottom style="thin">
          <color rgb="FF002060"/>
        </bottom>
        <vertical/>
        <horizontal/>
      </border>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2" dataDxfId="161">
  <autoFilter ref="A2:D14" xr:uid="{00000000-0009-0000-0100-000001000000}"/>
  <sortState xmlns:xlrd2="http://schemas.microsoft.com/office/spreadsheetml/2017/richdata2" ref="A3:D3">
    <sortCondition ref="A3"/>
  </sortState>
  <tableColumns count="4">
    <tableColumn id="1" xr3:uid="{00000000-0010-0000-0000-000001000000}" name="Team #" dataDxfId="160"/>
    <tableColumn id="2" xr3:uid="{00000000-0010-0000-0000-000002000000}" name="Team Name" dataDxfId="159"/>
    <tableColumn id="3" xr3:uid="{00000000-0010-0000-0000-000003000000}" name="Coach Name" dataDxfId="158"/>
    <tableColumn id="4" xr3:uid="{00000000-0010-0000-0000-000004000000}" name="Pod Number" dataDxfId="1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B8" totalsRowShown="0" headerRowDxfId="156" dataDxfId="155">
  <autoFilter ref="A1:B8" xr:uid="{00000000-0009-0000-0100-000003000000}"/>
  <tableColumns count="2">
    <tableColumn id="1" xr3:uid="{00000000-0010-0000-0200-000001000000}" name="Key" dataDxfId="154"/>
    <tableColumn id="2" xr3:uid="{00000000-0010-0000-0200-000002000000}" name="Value" dataDxfId="1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Dropdowns" displayName="AwardListDropdowns" ref="A2:B14" totalsRowShown="0">
  <autoFilter ref="A2:B14" xr:uid="{00000000-0009-0000-0100-000004000000}"/>
  <tableColumns count="2">
    <tableColumn id="1" xr3:uid="{00000000-0010-0000-0300-000001000000}" name="Award"/>
    <tableColumn id="2" xr3:uid="{00000000-0010-0000-0300-000002000000}"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D2:D5" totalsRowShown="0">
  <autoFilter ref="D2:D5"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wardDef" displayName="AwardDef" ref="A1:J12" totalsRowShown="0">
  <autoFilter ref="A1:J12" xr:uid="{00000000-0009-0000-0100-000006000000}"/>
  <tableColumns count="10">
    <tableColumn id="1" xr3:uid="{00000000-0010-0000-0500-000001000000}" name="ColumnName"/>
    <tableColumn id="2" xr3:uid="{00000000-0010-0000-0500-000002000000}" name="Name"/>
    <tableColumn id="3" xr3:uid="{00000000-0010-0000-0500-000003000000}" name="DivAward"/>
    <tableColumn id="4" xr3:uid="{00000000-0010-0000-0500-000004000000}" name="Count"/>
    <tableColumn id="7" xr3:uid="{00000000-0010-0000-0500-000007000000}" name="Label1"/>
    <tableColumn id="8" xr3:uid="{00000000-0010-0000-0500-000008000000}" name="Label2"/>
    <tableColumn id="9" xr3:uid="{00000000-0010-0000-0500-000009000000}" name="Label3"/>
    <tableColumn id="19" xr3:uid="{00000000-0010-0000-0500-000013000000}" name="ScriptTagD1"/>
    <tableColumn id="10" xr3:uid="{00000000-0010-0000-0500-00000A000000}" name="ScriptTagD2"/>
    <tableColumn id="11" xr3:uid="{00000000-0010-0000-0500-00000B000000}"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ournamentData" displayName="TournamentData" ref="A2:W14" totalsRowShown="0" headerRowDxfId="138" dataDxfId="136" headerRowBorderDxfId="137">
  <autoFilter ref="A2:W14" xr:uid="{00000000-0009-0000-0100-000007000000}"/>
  <sortState xmlns:xlrd2="http://schemas.microsoft.com/office/spreadsheetml/2017/richdata2" ref="A3:W3">
    <sortCondition ref="A3"/>
  </sortState>
  <tableColumns count="23">
    <tableColumn id="1" xr3:uid="{00000000-0010-0000-0600-000001000000}" name="Team #" dataDxfId="135"/>
    <tableColumn id="13" xr3:uid="{00000000-0010-0000-0600-00000D000000}" name="POD" dataDxfId="134">
      <calculatedColumnFormula>INDEX(OfficialTeamList[Pod Number],MATCH(TournamentData[[#This Row],[Team '#]], OfficialTeamList[Team '#],0))</calculatedColumnFormula>
    </tableColumn>
    <tableColumn id="2" xr3:uid="{00000000-0010-0000-0600-000002000000}" name="Team Name" dataDxfId="133">
      <calculatedColumnFormula>INDEX(OfficialTeamList[Team Name],MATCH(TournamentData[[#This Row],[Team '#]], OfficialTeamList[Team '#],0))</calculatedColumnFormula>
    </tableColumn>
    <tableColumn id="6" xr3:uid="{00000000-0010-0000-06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6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6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6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6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6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600-00000F000000}" name="Robot Game Rank" dataDxfId="126">
      <calculatedColumnFormula>_xlfn.RANK.EQ(TournamentData[[#This Row],[Max Robot Game Score]],TournamentData[Max Robot Game Score])</calculatedColumnFormula>
    </tableColumn>
    <tableColumn id="3" xr3:uid="{00000000-0010-0000-0600-000003000000}" name="Core Values Rank" dataDxfId="125">
      <calculatedColumnFormula>INDEX(CoreValuesResults[Core Values Rank],MATCH(TournamentData[[#This Row],[Team '#]],CoreValuesResults[Team '#],0))</calculatedColumnFormula>
    </tableColumn>
    <tableColumn id="4" xr3:uid="{00000000-0010-0000-0600-000004000000}" name="Innovation Project Rank" dataDxfId="124">
      <calculatedColumnFormula>INDEX(InnovationProjectResults[Innovation Project Rank],MATCH(TournamentData[[#This Row],[Team '#]],InnovationProjectResults[Team '#],0))</calculatedColumnFormula>
    </tableColumn>
    <tableColumn id="5" xr3:uid="{00000000-0010-0000-0600-000005000000}" name="Robot Design Rank" dataDxfId="123">
      <calculatedColumnFormula>INDEX(RobotDesignResults[Robot Design Rank],MATCH(TournamentData[[#This Row],[Team '#]],RobotDesignResults[Team '#],0))</calculatedColumnFormula>
    </tableColumn>
    <tableColumn id="14" xr3:uid="{00000000-0010-0000-0600-00000E000000}" name="Champion's Score" dataDxfId="122">
      <calculatedColumnFormula>SUM(TournamentData[[#This Row],[Robot Game Rank]:[Robot Design Rank]])</calculatedColumnFormula>
    </tableColumn>
    <tableColumn id="11" xr3:uid="{00000000-0010-0000-0600-00000B000000}" name="Champion's Rank" dataDxfId="121">
      <calculatedColumnFormula>RANK(TournamentData[[#This Row],[Champion''s Score]],TournamentData[Champion''s Score],1)</calculatedColumnFormula>
    </tableColumn>
    <tableColumn id="12" xr3:uid="{00000000-0010-0000-0600-00000C000000}" name="Award" dataDxfId="120"/>
    <tableColumn id="21" xr3:uid="{00000000-0010-0000-0600-000015000000}" name="Advance?" dataDxfId="119" dataCellStyle="Normal"/>
    <tableColumn id="28" xr3:uid="{00000000-0010-0000-06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6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6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6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600-000018000000}" name="Overall Ranking - Geometric Mean" dataDxfId="114">
      <calculatedColumnFormula>IF(U3,_xlfn.RANK.EQ(U3,U$3:U$3,0),NumberOfTeams)</calculatedColumnFormula>
    </tableColumn>
    <tableColumn id="20" xr3:uid="{00000000-0010-0000-06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obotGameScores" displayName="RobotGameScores" ref="A1:F13" totalsRowShown="0" headerRowDxfId="112" dataDxfId="110" headerRowBorderDxfId="111">
  <autoFilter ref="A1:F13" xr:uid="{00000000-0009-0000-0100-000008000000}"/>
  <sortState xmlns:xlrd2="http://schemas.microsoft.com/office/spreadsheetml/2017/richdata2" ref="A2:F2">
    <sortCondition ref="A2"/>
  </sortState>
  <tableColumns count="6">
    <tableColumn id="2" xr3:uid="{00000000-0010-0000-0700-000002000000}" name="Team #" dataDxfId="109"/>
    <tableColumn id="9" xr3:uid="{00000000-0010-0000-0700-000009000000}" name="Team Name" dataDxfId="108">
      <calculatedColumnFormula>INDEX(OfficialTeamList[Team Name],MATCH(RobotGameScores[[#This Row],[Team '#]], OfficialTeamList[Team '#],0))</calculatedColumnFormula>
    </tableColumn>
    <tableColumn id="3" xr3:uid="{00000000-0010-0000-0700-000003000000}" name="Robot Game 1 Score" dataDxfId="107"/>
    <tableColumn id="4" xr3:uid="{00000000-0010-0000-0700-000004000000}" name="Robot Game 2 Score" dataDxfId="106"/>
    <tableColumn id="5" xr3:uid="{00000000-0010-0000-0700-000005000000}" name="Robot Game 3 Score" dataDxfId="105"/>
    <tableColumn id="8" xr3:uid="{00000000-0010-0000-07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InnovationProjectResults" displayName="InnovationProjectResults" ref="A1:O13" totalsRowShown="0" headerRowDxfId="103" dataDxfId="102">
  <autoFilter ref="A1:O13" xr:uid="{00000000-0009-0000-0100-000009000000}"/>
  <sortState xmlns:xlrd2="http://schemas.microsoft.com/office/spreadsheetml/2017/richdata2" ref="A2:O2">
    <sortCondition ref="A2"/>
  </sortState>
  <tableColumns count="15">
    <tableColumn id="1" xr3:uid="{00000000-0010-0000-0800-000001000000}" name="Team #" dataDxfId="101"/>
    <tableColumn id="6" xr3:uid="{00000000-0010-0000-0800-000006000000}" name="POD" dataDxfId="100">
      <calculatedColumnFormula>INDEX(OfficialTeamList[Pod Number],MATCH(InnovationProjectResults[[#This Row],[Team '#]], OfficialTeamList[Team '#],0))</calculatedColumnFormula>
    </tableColumn>
    <tableColumn id="2" xr3:uid="{00000000-0010-0000-0800-000002000000}" name="Team Name" dataDxfId="99">
      <calculatedColumnFormula>INDEX(OfficialTeamList[Team Name],MATCH(InnovationProjectResults[[#This Row],[Team '#]], OfficialTeamList[Team '#],0))</calculatedColumnFormula>
    </tableColumn>
    <tableColumn id="3" xr3:uid="{00000000-0010-0000-0800-000003000000}" name="Identify - Define" dataDxfId="98"/>
    <tableColumn id="4" xr3:uid="{00000000-0010-0000-0800-000004000000}" name="Identify - Research (CV)" dataDxfId="97"/>
    <tableColumn id="5" xr3:uid="{00000000-0010-0000-0800-000005000000}" name="Design - Plan" dataDxfId="96"/>
    <tableColumn id="7" xr3:uid="{00000000-0010-0000-0800-000007000000}" name="Design - Teamwork (CV)" dataDxfId="95"/>
    <tableColumn id="10" xr3:uid="{00000000-0010-0000-0800-00000A000000}" name="Create - Innovation (CV)" dataDxfId="94"/>
    <tableColumn id="8" xr3:uid="{00000000-0010-0000-0800-000008000000}" name="Create - Model" dataDxfId="93"/>
    <tableColumn id="9" xr3:uid="{00000000-0010-0000-0800-000009000000}" name="Iterate - Sharing" dataDxfId="92"/>
    <tableColumn id="11" xr3:uid="{00000000-0010-0000-0800-00000B000000}" name="Iterate - Improvement" dataDxfId="91"/>
    <tableColumn id="12" xr3:uid="{00000000-0010-0000-0800-00000C000000}" name="Communicate - Impact (CV)" dataDxfId="90"/>
    <tableColumn id="13" xr3:uid="{00000000-0010-0000-0800-00000D000000}" name="Communicate - Fun (CV)" dataDxfId="89"/>
    <tableColumn id="19" xr3:uid="{00000000-0010-0000-0800-000013000000}" name="Innovation Project Score" dataDxfId="88">
      <calculatedColumnFormula>SUM(InnovationProjectResults[[#This Row],[Identify - Define]:[Communicate - Fun (CV)]])</calculatedColumnFormula>
    </tableColumn>
    <tableColumn id="20" xr3:uid="{00000000-0010-0000-08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obotDesignResults" displayName="RobotDesignResults" ref="A1:O13" totalsRowShown="0" headerRowDxfId="86" dataDxfId="85">
  <autoFilter ref="A1:O13" xr:uid="{00000000-0009-0000-0100-00000A000000}"/>
  <sortState xmlns:xlrd2="http://schemas.microsoft.com/office/spreadsheetml/2017/richdata2" ref="A2:O2">
    <sortCondition ref="A2"/>
  </sortState>
  <tableColumns count="15">
    <tableColumn id="1" xr3:uid="{00000000-0010-0000-0900-000001000000}" name="Team #" dataDxfId="84"/>
    <tableColumn id="10" xr3:uid="{00000000-0010-0000-0900-00000A000000}" name="POD" dataDxfId="83">
      <calculatedColumnFormula>INDEX(OfficialTeamList[Pod Number],MATCH(RobotDesignResults[[#This Row],[Team '#]], OfficialTeamList[Team '#],0))</calculatedColumnFormula>
    </tableColumn>
    <tableColumn id="2" xr3:uid="{00000000-0010-0000-0900-000002000000}" name="Team Name" dataDxfId="82">
      <calculatedColumnFormula>INDEX(OfficialTeamList[Team Name],MATCH(RobotDesignResults[[#This Row],[Team '#]], OfficialTeamList[Team '#],0))</calculatedColumnFormula>
    </tableColumn>
    <tableColumn id="3" xr3:uid="{00000000-0010-0000-0900-000003000000}" name="Identify - Strategy" dataDxfId="81"/>
    <tableColumn id="4" xr3:uid="{00000000-0010-0000-0900-000004000000}" name="Identify - Research (CV)" dataDxfId="80"/>
    <tableColumn id="5" xr3:uid="{00000000-0010-0000-0900-000005000000}" name="Design - Ideas (CV)" dataDxfId="79"/>
    <tableColumn id="7" xr3:uid="{00000000-0010-0000-0900-000007000000}" name="Design - Building/Coding" dataDxfId="78"/>
    <tableColumn id="6" xr3:uid="{00000000-0010-0000-0900-000006000000}" name="Create - Attachments" dataDxfId="77"/>
    <tableColumn id="8" xr3:uid="{00000000-0010-0000-0900-000008000000}" name="Create - Code/ Sensors" dataDxfId="76"/>
    <tableColumn id="9" xr3:uid="{00000000-0010-0000-0900-000009000000}" name="Iterate - Testing" dataDxfId="75"/>
    <tableColumn id="11" xr3:uid="{00000000-0010-0000-0900-00000B000000}" name="Iterate - Improvements (CV)" dataDxfId="74"/>
    <tableColumn id="12" xr3:uid="{00000000-0010-0000-0900-00000C000000}" name="Communicate - Impact (CV)" dataDxfId="73"/>
    <tableColumn id="13" xr3:uid="{00000000-0010-0000-0900-00000D000000}" name="Communicate - Fun (CV)" dataDxfId="72"/>
    <tableColumn id="19" xr3:uid="{00000000-0010-0000-0900-000013000000}" name="Robot Design Score" dataDxfId="71">
      <calculatedColumnFormula>SUM(RobotDesignResults[[#This Row],[Identify - Strategy]:[Communicate - Fun (CV)]])</calculatedColumnFormula>
    </tableColumn>
    <tableColumn id="20" xr3:uid="{00000000-0010-0000-09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oreValuesResults" displayName="CoreValuesResults" ref="A1:T13" totalsRowShown="0" headerRowDxfId="69" dataDxfId="68">
  <autoFilter ref="A1:T13" xr:uid="{00000000-0009-0000-0100-00000B000000}"/>
  <sortState xmlns:xlrd2="http://schemas.microsoft.com/office/spreadsheetml/2017/richdata2" ref="A2:T2">
    <sortCondition ref="A2"/>
  </sortState>
  <tableColumns count="20">
    <tableColumn id="1" xr3:uid="{00000000-0010-0000-0A00-000001000000}" name="Team #" dataDxfId="67"/>
    <tableColumn id="9" xr3:uid="{00000000-0010-0000-0A00-000009000000}" name="POD" dataDxfId="66">
      <calculatedColumnFormula>INDEX(OfficialTeamList[Pod Number],MATCH(CoreValuesResults[[#This Row],[Team '#]], OfficialTeamList[Team '#],0))</calculatedColumnFormula>
    </tableColumn>
    <tableColumn id="2" xr3:uid="{00000000-0010-0000-0A00-000002000000}" name="Team Name" dataDxfId="65">
      <calculatedColumnFormula>INDEX(OfficialTeamList[Team Name],MATCH(CoreValuesResults[[#This Row],[Team '#]], OfficialTeamList[Team '#],0))</calculatedColumnFormula>
    </tableColumn>
    <tableColumn id="3" xr3:uid="{00000000-0010-0000-0A00-000003000000}" name="Identify - Research (CV-IP)" dataDxfId="64">
      <calculatedColumnFormula>INDEX(InnovationProjectResults[Identify - Research (CV)],MATCH(CoreValuesResults[[#This Row],[Team '#]],InnovationProjectResults[Team '#],0))</calculatedColumnFormula>
    </tableColumn>
    <tableColumn id="4" xr3:uid="{00000000-0010-0000-0A00-000004000000}" name="Design - Teamwork (CV-IP)" dataDxfId="63">
      <calculatedColumnFormula>INDEX(InnovationProjectResults[Design - Teamwork (CV)],MATCH(CoreValuesResults[[#This Row],[Team '#]],InnovationProjectResults[Team '#],0))</calculatedColumnFormula>
    </tableColumn>
    <tableColumn id="5" xr3:uid="{00000000-0010-0000-0A00-000005000000}" name="Create - Innovation (CV-IP)" dataDxfId="62">
      <calculatedColumnFormula>INDEX(InnovationProjectResults[Create - Innovation (CV)],MATCH(CoreValuesResults[[#This Row],[Team '#]],InnovationProjectResults[Team '#],0))</calculatedColumnFormula>
    </tableColumn>
    <tableColumn id="11" xr3:uid="{00000000-0010-0000-0A00-00000B000000}" name="Communicate - Impact (CV-IP)" dataDxfId="61">
      <calculatedColumnFormula>INDEX(InnovationProjectResults[Communicate - Impact (CV)],MATCH(CoreValuesResults[[#This Row],[Team '#]],InnovationProjectResults[Team '#],0))</calculatedColumnFormula>
    </tableColumn>
    <tableColumn id="12" xr3:uid="{00000000-0010-0000-0A00-00000C000000}" name="Communicate - Fun (CV-IP)" dataDxfId="60">
      <calculatedColumnFormula>INDEX(InnovationProjectResults[Communicate - Fun (CV)],MATCH(CoreValuesResults[[#This Row],[Team '#]],InnovationProjectResults[Team '#],0))</calculatedColumnFormula>
    </tableColumn>
    <tableColumn id="22" xr3:uid="{00000000-0010-0000-0A00-000016000000}" name="Identify - Research (CV-RD)" dataDxfId="59">
      <calculatedColumnFormula>INDEX(RobotDesignResults[Identify - Research (CV)],MATCH(CoreValuesResults[[#This Row],[Team '#]],RobotDesignResults[Team '#],0))</calculatedColumnFormula>
    </tableColumn>
    <tableColumn id="25" xr3:uid="{00000000-0010-0000-0A00-000019000000}" name="Design - Ideas (CV-RD)" dataDxfId="58">
      <calculatedColumnFormula>INDEX(RobotDesignResults[Design - Ideas (CV)],MATCH(CoreValuesResults[[#This Row],[Team '#]],RobotDesignResults[Team '#],0))</calculatedColumnFormula>
    </tableColumn>
    <tableColumn id="24" xr3:uid="{00000000-0010-0000-0A00-000018000000}" name="Iterate - Improvements (CV-RD)" dataDxfId="57">
      <calculatedColumnFormula>INDEX(RobotDesignResults[Iterate - Improvements (CV)],MATCH(CoreValuesResults[[#This Row],[Team '#]],RobotDesignResults[Team '#],0))</calculatedColumnFormula>
    </tableColumn>
    <tableColumn id="23" xr3:uid="{00000000-0010-0000-0A00-000017000000}" name="Communicate - Impact (CV-RD)" dataDxfId="56">
      <calculatedColumnFormula>INDEX(RobotDesignResults[Communicate - Impact (CV)],MATCH(CoreValuesResults[[#This Row],[Team '#]],RobotDesignResults[Team '#],0))</calculatedColumnFormula>
    </tableColumn>
    <tableColumn id="13" xr3:uid="{00000000-0010-0000-0A00-00000D000000}" name="Communicate - Fun (CV-RD)" dataDxfId="55">
      <calculatedColumnFormula>INDEX(RobotDesignResults[Communicate - Fun (CV)],MATCH(CoreValuesResults[[#This Row],[Team '#]],RobotDesignResults[Team '#],0))</calculatedColumnFormula>
    </tableColumn>
    <tableColumn id="7" xr3:uid="{00000000-0010-0000-0A00-000007000000}" name="Gracious Professionalism 1" dataDxfId="54"/>
    <tableColumn id="8" xr3:uid="{00000000-0010-0000-0A00-000008000000}" name="Gracious Professionalism 2" dataDxfId="53"/>
    <tableColumn id="6" xr3:uid="{00000000-0010-0000-0A00-000006000000}" name="Gracious Professionalism 3" dataDxfId="52"/>
    <tableColumn id="14" xr3:uid="{00000000-0010-0000-0A00-00000E000000}" name="Gracious Professionalism Total" dataDxfId="51">
      <calculatedColumnFormula>SUM(CoreValuesResults[[#This Row],[Gracious Professionalism 1]:[Gracious Professionalism 3]])</calculatedColumnFormula>
    </tableColumn>
    <tableColumn id="18" xr3:uid="{00000000-0010-0000-0A00-000012000000}" name="Gracious Professionalism Score" dataDxfId="50">
      <calculatedColumnFormula>SUM(N2:Q2)</calculatedColumnFormula>
    </tableColumn>
    <tableColumn id="19" xr3:uid="{00000000-0010-0000-0A00-000013000000}" name="Core Values Score" dataDxfId="49">
      <calculatedColumnFormula>SUM(CoreValuesResults[[#This Row],[Identify - Research (CV-IP)]:[Communicate - Fun (CV-RD)]],CoreValuesResults[[#This Row],[Gracious Professionalism Score]])</calculatedColumnFormula>
    </tableColumn>
    <tableColumn id="20" xr3:uid="{00000000-0010-0000-0A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hampionsDelib" displayName="ChampionsDelib" ref="B3:E18" totalsRowShown="0" headerRowDxfId="47" dataDxfId="46">
  <autoFilter ref="B3:E18" xr:uid="{00000000-0009-0000-0100-00000C000000}"/>
  <tableColumns count="4">
    <tableColumn id="1" xr3:uid="{00000000-0010-0000-0B00-000001000000}" name="Team Number" dataDxfId="45"/>
    <tableColumn id="2" xr3:uid="{00000000-0010-0000-0B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B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B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RobotGameDelib" displayName="RobotGameDelib" ref="G3:J18" totalsRowShown="0" headerRowDxfId="41" dataDxfId="40">
  <autoFilter ref="G3:J18" xr:uid="{00000000-0009-0000-0100-00000D000000}"/>
  <tableColumns count="4">
    <tableColumn id="1" xr3:uid="{00000000-0010-0000-0C00-000001000000}" name="Team Number" dataDxfId="39"/>
    <tableColumn id="2" xr3:uid="{00000000-0010-0000-0C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C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C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oreValuesDelib" displayName="CoreValuesDelib" ref="B21:E36" totalsRowShown="0" headerRowDxfId="35" dataDxfId="34">
  <autoFilter ref="B21:E36" xr:uid="{00000000-0009-0000-0100-00000E000000}"/>
  <tableColumns count="4">
    <tableColumn id="1" xr3:uid="{00000000-0010-0000-0D00-000001000000}" name="Team Number" dataDxfId="33"/>
    <tableColumn id="2" xr3:uid="{00000000-0010-0000-0D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D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D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RobotDesignDelib" displayName="RobotDesignDelib" ref="G21:J36" totalsRowShown="0" headerRowDxfId="29" dataDxfId="28">
  <autoFilter ref="G21:J36" xr:uid="{00000000-0009-0000-0100-00000F000000}"/>
  <tableColumns count="4">
    <tableColumn id="1" xr3:uid="{00000000-0010-0000-0E00-000001000000}" name="Team Number" dataDxfId="27"/>
    <tableColumn id="2" xr3:uid="{00000000-0010-0000-0E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E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E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InnovationProjectDelib" displayName="InnovationProjectDelib" ref="L21:O36" totalsRowShown="0" headerRowDxfId="23" dataDxfId="22">
  <autoFilter ref="L21:O36" xr:uid="{00000000-0009-0000-0100-000010000000}"/>
  <tableColumns count="4">
    <tableColumn id="1" xr3:uid="{00000000-0010-0000-0F00-000001000000}" name="Team Number" dataDxfId="21"/>
    <tableColumn id="2" xr3:uid="{00000000-0010-0000-0F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F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F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BreakthroughDelib" displayName="BreakthroughDelib" ref="B39:E54" totalsRowShown="0" headerRowDxfId="17" dataDxfId="16">
  <autoFilter ref="B39:E54" xr:uid="{00000000-0009-0000-0100-000011000000}"/>
  <tableColumns count="4">
    <tableColumn id="1" xr3:uid="{00000000-0010-0000-1000-000001000000}" name="Team Number" dataDxfId="15"/>
    <tableColumn id="2" xr3:uid="{00000000-0010-0000-10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10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10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RookiAllStarDelib" displayName="RookiAllStarDelib" ref="G39:J54" totalsRowShown="0" headerRowDxfId="11" dataDxfId="10">
  <autoFilter ref="G39:J54" xr:uid="{00000000-0009-0000-0100-000012000000}"/>
  <tableColumns count="4">
    <tableColumn id="1" xr3:uid="{00000000-0010-0000-1100-000001000000}" name="Team Number" dataDxfId="9"/>
    <tableColumn id="2" xr3:uid="{00000000-0010-0000-11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11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11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MotivateDelib" displayName="MotivateDelib" ref="L39:O54" totalsRowShown="0" headerRowDxfId="5" dataDxfId="4">
  <autoFilter ref="L39:O54" xr:uid="{00000000-0009-0000-0100-000013000000}"/>
  <tableColumns count="4">
    <tableColumn id="1" xr3:uid="{00000000-0010-0000-1200-000001000000}" name="Team Number" dataDxfId="3"/>
    <tableColumn id="2" xr3:uid="{00000000-0010-0000-12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12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12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4" width="9.140625" style="33" customWidth="1"/>
    <col min="5" max="16384" width="9.140625" style="33"/>
  </cols>
  <sheetData>
    <row r="1" spans="2:3" ht="115.5" customHeight="1" x14ac:dyDescent="0.25">
      <c r="C1" s="82" t="s">
        <v>0</v>
      </c>
    </row>
    <row r="2" spans="2:3" ht="102.75" customHeight="1" x14ac:dyDescent="0.25">
      <c r="C2" s="81" t="s">
        <v>1</v>
      </c>
    </row>
    <row r="3" spans="2:3" ht="39.75" customHeight="1" x14ac:dyDescent="0.25">
      <c r="C3" s="91" t="s">
        <v>2</v>
      </c>
    </row>
    <row r="4" spans="2:3" ht="110.25" customHeight="1" x14ac:dyDescent="0.25">
      <c r="B4" s="89" t="s">
        <v>3</v>
      </c>
      <c r="C4" s="83" t="s">
        <v>4</v>
      </c>
    </row>
    <row r="5" spans="2:3" ht="36" customHeight="1" x14ac:dyDescent="0.25">
      <c r="B5" s="88"/>
      <c r="C5" s="36"/>
    </row>
    <row r="6" spans="2:3" ht="121.5" customHeight="1" x14ac:dyDescent="0.25">
      <c r="B6" s="89" t="s">
        <v>5</v>
      </c>
      <c r="C6" s="83" t="s">
        <v>6</v>
      </c>
    </row>
    <row r="7" spans="2:3" ht="31.5" customHeight="1" x14ac:dyDescent="0.25">
      <c r="B7" s="90"/>
    </row>
    <row r="8" spans="2:3" ht="138" customHeight="1" x14ac:dyDescent="0.25">
      <c r="B8" s="90"/>
      <c r="C8" s="84" t="s">
        <v>7</v>
      </c>
    </row>
    <row r="9" spans="2:3" ht="117" customHeight="1" x14ac:dyDescent="0.25">
      <c r="B9" s="89" t="s">
        <v>8</v>
      </c>
      <c r="C9" s="83" t="s">
        <v>9</v>
      </c>
    </row>
    <row r="10" spans="2:3" ht="52.9" customHeight="1" x14ac:dyDescent="0.25">
      <c r="B10" s="90"/>
      <c r="C10" s="84" t="s">
        <v>10</v>
      </c>
    </row>
    <row r="11" spans="2:3" ht="1.9" customHeight="1" x14ac:dyDescent="0.25">
      <c r="B11" s="90"/>
    </row>
    <row r="12" spans="2:3" ht="20.45" customHeight="1" x14ac:dyDescent="0.25">
      <c r="B12" s="90"/>
    </row>
    <row r="13" spans="2:3" ht="73.5" customHeight="1" x14ac:dyDescent="0.25">
      <c r="B13" s="89" t="s">
        <v>11</v>
      </c>
      <c r="C13" s="83" t="s">
        <v>12</v>
      </c>
    </row>
    <row r="14" spans="2:3" ht="95.25" customHeight="1" x14ac:dyDescent="0.25">
      <c r="B14" s="89" t="s">
        <v>13</v>
      </c>
      <c r="C14" s="88" t="s">
        <v>14</v>
      </c>
    </row>
    <row r="15" spans="2:3" ht="105" customHeight="1" x14ac:dyDescent="0.25">
      <c r="B15" s="89" t="s">
        <v>15</v>
      </c>
      <c r="C15" s="88" t="s">
        <v>16</v>
      </c>
    </row>
    <row r="16" spans="2:3" ht="30" customHeight="1" x14ac:dyDescent="0.25">
      <c r="B16" s="37"/>
      <c r="C16" s="34"/>
    </row>
    <row r="17" spans="2:3" ht="39.950000000000003" customHeight="1" thickBot="1" x14ac:dyDescent="0.3">
      <c r="C17" s="35" t="s">
        <v>17</v>
      </c>
    </row>
    <row r="18" spans="2:3" ht="63.75" customHeight="1" thickBot="1" x14ac:dyDescent="0.3">
      <c r="B18" s="34"/>
      <c r="C18" s="85" t="s">
        <v>18</v>
      </c>
    </row>
    <row r="19" spans="2:3" ht="39.950000000000003" customHeight="1" thickBot="1" x14ac:dyDescent="0.3">
      <c r="C19" s="87" t="s">
        <v>19</v>
      </c>
    </row>
    <row r="20" spans="2:3" ht="63" customHeight="1" thickBot="1" x14ac:dyDescent="0.3">
      <c r="C20" s="87" t="s">
        <v>20</v>
      </c>
    </row>
    <row r="21" spans="2:3" ht="60" customHeight="1" thickBot="1" x14ac:dyDescent="0.3">
      <c r="C21" s="86" t="s">
        <v>21</v>
      </c>
    </row>
    <row r="22" spans="2:3" ht="39.950000000000003" customHeight="1" thickBot="1" x14ac:dyDescent="0.3">
      <c r="C22" s="86" t="s">
        <v>22</v>
      </c>
    </row>
    <row r="23" spans="2:3" ht="39.950000000000003" customHeight="1" thickBot="1" x14ac:dyDescent="0.3">
      <c r="C23" s="87"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14"/>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9" width="9.140625" style="5" customWidth="1"/>
    <col min="10" max="16384" width="9.140625" style="5"/>
  </cols>
  <sheetData>
    <row r="1" spans="1:9" s="1" customFormat="1" ht="61.5" customHeight="1" thickBot="1" x14ac:dyDescent="0.3">
      <c r="A1" s="103" t="s">
        <v>24</v>
      </c>
      <c r="B1" s="104"/>
      <c r="C1" s="104"/>
      <c r="D1" s="104"/>
      <c r="E1" s="7" t="s">
        <v>25</v>
      </c>
      <c r="F1" s="79">
        <f>COUNT(OfficialTeamList[Team '#])</f>
        <v>12</v>
      </c>
      <c r="G1" s="79" t="s">
        <v>26</v>
      </c>
      <c r="H1" s="80">
        <f>MAX(OfficialTeamList[Pod Number])</f>
        <v>0</v>
      </c>
      <c r="I1" s="78"/>
    </row>
    <row r="2" spans="1:9" s="2" customFormat="1" ht="21" customHeight="1" thickBot="1" x14ac:dyDescent="0.3">
      <c r="A2" s="7" t="s">
        <v>27</v>
      </c>
      <c r="B2" s="7" t="s">
        <v>28</v>
      </c>
      <c r="C2" s="6" t="s">
        <v>29</v>
      </c>
      <c r="D2" s="6" t="s">
        <v>30</v>
      </c>
      <c r="E2" s="97" t="s">
        <v>31</v>
      </c>
      <c r="F2" s="98" t="b">
        <v>0</v>
      </c>
      <c r="G2" s="3" t="s">
        <v>32</v>
      </c>
    </row>
    <row r="3" spans="1:9" s="2" customFormat="1" ht="21" customHeight="1" x14ac:dyDescent="0.25">
      <c r="A3" s="68">
        <v>9021</v>
      </c>
      <c r="B3" s="68" t="s">
        <v>33</v>
      </c>
      <c r="C3" s="68" t="s">
        <v>34</v>
      </c>
      <c r="D3" s="69">
        <v>0</v>
      </c>
      <c r="H3" s="3"/>
    </row>
    <row r="4" spans="1:9" ht="21" customHeight="1" x14ac:dyDescent="0.25">
      <c r="A4" s="99">
        <v>24277</v>
      </c>
      <c r="B4" s="99" t="s">
        <v>35</v>
      </c>
      <c r="C4" s="99" t="s">
        <v>36</v>
      </c>
      <c r="D4" s="100">
        <v>0</v>
      </c>
    </row>
    <row r="5" spans="1:9" ht="21" customHeight="1" x14ac:dyDescent="0.25">
      <c r="A5" s="99">
        <v>26034</v>
      </c>
      <c r="B5" s="99" t="s">
        <v>37</v>
      </c>
      <c r="C5" s="99" t="s">
        <v>38</v>
      </c>
      <c r="D5" s="100">
        <v>0</v>
      </c>
    </row>
    <row r="6" spans="1:9" ht="21" customHeight="1" x14ac:dyDescent="0.25">
      <c r="A6" s="99">
        <v>60801</v>
      </c>
      <c r="B6" s="99" t="s">
        <v>39</v>
      </c>
      <c r="C6" s="99" t="s">
        <v>40</v>
      </c>
      <c r="D6" s="100">
        <v>0</v>
      </c>
    </row>
    <row r="7" spans="1:9" ht="21" customHeight="1" x14ac:dyDescent="0.25">
      <c r="A7" s="99">
        <v>62149</v>
      </c>
      <c r="B7" s="99" t="s">
        <v>41</v>
      </c>
      <c r="C7" s="99" t="s">
        <v>42</v>
      </c>
      <c r="D7" s="100">
        <v>0</v>
      </c>
    </row>
    <row r="8" spans="1:9" ht="21" customHeight="1" x14ac:dyDescent="0.25">
      <c r="A8" s="99">
        <v>62706</v>
      </c>
      <c r="B8" s="99" t="s">
        <v>43</v>
      </c>
      <c r="C8" s="99" t="s">
        <v>38</v>
      </c>
      <c r="D8" s="100">
        <v>0</v>
      </c>
    </row>
    <row r="9" spans="1:9" ht="21" customHeight="1" x14ac:dyDescent="0.25">
      <c r="A9" s="99">
        <v>67083</v>
      </c>
      <c r="B9" s="99" t="s">
        <v>44</v>
      </c>
      <c r="C9" s="99" t="s">
        <v>42</v>
      </c>
      <c r="D9" s="100">
        <v>0</v>
      </c>
    </row>
    <row r="10" spans="1:9" ht="21" customHeight="1" x14ac:dyDescent="0.25">
      <c r="A10" s="99">
        <v>67801</v>
      </c>
      <c r="B10" s="99" t="s">
        <v>45</v>
      </c>
      <c r="C10" s="99" t="s">
        <v>46</v>
      </c>
      <c r="D10" s="100">
        <v>0</v>
      </c>
    </row>
    <row r="11" spans="1:9" ht="21" customHeight="1" x14ac:dyDescent="0.25">
      <c r="A11" s="99">
        <v>68850</v>
      </c>
      <c r="B11" s="99" t="s">
        <v>47</v>
      </c>
      <c r="C11" s="99" t="s">
        <v>48</v>
      </c>
      <c r="D11" s="100">
        <v>0</v>
      </c>
    </row>
    <row r="12" spans="1:9" ht="21" customHeight="1" x14ac:dyDescent="0.25">
      <c r="A12" s="99">
        <v>71673</v>
      </c>
      <c r="B12" s="99" t="s">
        <v>49</v>
      </c>
      <c r="C12" s="99" t="s">
        <v>50</v>
      </c>
      <c r="D12" s="100">
        <v>0</v>
      </c>
    </row>
    <row r="13" spans="1:9" ht="21" customHeight="1" x14ac:dyDescent="0.25">
      <c r="A13" s="99">
        <v>73002</v>
      </c>
      <c r="B13" s="99" t="s">
        <v>51</v>
      </c>
      <c r="C13" s="99" t="s">
        <v>48</v>
      </c>
      <c r="D13" s="100">
        <v>0</v>
      </c>
    </row>
    <row r="14" spans="1:9" ht="21" customHeight="1" x14ac:dyDescent="0.25">
      <c r="A14" s="99">
        <v>73106</v>
      </c>
      <c r="B14" s="99" t="s">
        <v>52</v>
      </c>
      <c r="C14" s="99" t="s">
        <v>53</v>
      </c>
      <c r="D14" s="100">
        <v>0</v>
      </c>
    </row>
  </sheetData>
  <sheetProtection password="CB4D" sheet="1" formatCells="0" formatColumns="0" formatRows="0" selectLockedCells="1" sort="0" autoFilter="0"/>
  <mergeCells count="1">
    <mergeCell ref="A1:D1"/>
  </mergeCells>
  <dataValidations count="1">
    <dataValidation type="list" allowBlank="1" showInputMessage="1" showErrorMessage="1" sqref="F2" xr:uid="{00000000-0002-0000-0100-000000000000}">
      <formula1>"TRUE,FALSE"</formula1>
    </dataValidation>
  </dataValidation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54</v>
      </c>
    </row>
    <row r="2" spans="1:1" x14ac:dyDescent="0.25">
      <c r="A2" t="s">
        <v>55</v>
      </c>
    </row>
    <row r="3" spans="1:1" x14ac:dyDescent="0.25">
      <c r="A3" t="s">
        <v>56</v>
      </c>
    </row>
    <row r="4" spans="1:1" x14ac:dyDescent="0.25">
      <c r="A4" t="s">
        <v>57</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8"/>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58</v>
      </c>
      <c r="B1" t="s">
        <v>59</v>
      </c>
    </row>
    <row r="2" spans="1:2" x14ac:dyDescent="0.25">
      <c r="A2" t="s">
        <v>60</v>
      </c>
      <c r="B2" t="s">
        <v>61</v>
      </c>
    </row>
    <row r="3" spans="1:2" x14ac:dyDescent="0.25">
      <c r="A3" t="s">
        <v>62</v>
      </c>
      <c r="B3" t="s">
        <v>63</v>
      </c>
    </row>
    <row r="4" spans="1:2" x14ac:dyDescent="0.25">
      <c r="A4" t="s">
        <v>64</v>
      </c>
      <c r="B4" t="s">
        <v>65</v>
      </c>
    </row>
    <row r="5" spans="1:2" x14ac:dyDescent="0.25">
      <c r="A5" t="s">
        <v>66</v>
      </c>
      <c r="B5" t="s">
        <v>67</v>
      </c>
    </row>
    <row r="6" spans="1:2" x14ac:dyDescent="0.25">
      <c r="A6" t="s">
        <v>68</v>
      </c>
      <c r="B6" t="s">
        <v>69</v>
      </c>
    </row>
    <row r="7" spans="1:2" x14ac:dyDescent="0.25">
      <c r="A7" t="s">
        <v>70</v>
      </c>
      <c r="B7" t="b">
        <v>0</v>
      </c>
    </row>
    <row r="8" spans="1:2" x14ac:dyDescent="0.25">
      <c r="A8" t="s">
        <v>71</v>
      </c>
      <c r="B8">
        <v>3</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14"/>
  <sheetViews>
    <sheetView workbookViewId="0"/>
  </sheetViews>
  <sheetFormatPr defaultRowHeight="15" x14ac:dyDescent="0.25"/>
  <cols>
    <col min="1" max="2" width="34.5703125" customWidth="1"/>
    <col min="4" max="4" width="30.28515625" customWidth="1"/>
  </cols>
  <sheetData>
    <row r="1" spans="1:4" x14ac:dyDescent="0.25">
      <c r="A1">
        <f>COUNTA(AwardListDropdowns[Award])</f>
        <v>12</v>
      </c>
    </row>
    <row r="2" spans="1:4" x14ac:dyDescent="0.25">
      <c r="A2" t="s">
        <v>72</v>
      </c>
      <c r="B2" t="s">
        <v>73</v>
      </c>
      <c r="D2" t="s">
        <v>74</v>
      </c>
    </row>
    <row r="3" spans="1:4" x14ac:dyDescent="0.25">
      <c r="A3" t="s">
        <v>75</v>
      </c>
      <c r="B3" t="s">
        <v>76</v>
      </c>
      <c r="D3" t="s">
        <v>77</v>
      </c>
    </row>
    <row r="4" spans="1:4" x14ac:dyDescent="0.25">
      <c r="A4" t="s">
        <v>78</v>
      </c>
      <c r="B4" t="s">
        <v>76</v>
      </c>
      <c r="D4" t="s">
        <v>79</v>
      </c>
    </row>
    <row r="5" spans="1:4" x14ac:dyDescent="0.25">
      <c r="A5" t="s">
        <v>80</v>
      </c>
      <c r="B5" t="s">
        <v>81</v>
      </c>
      <c r="D5" t="s">
        <v>82</v>
      </c>
    </row>
    <row r="6" spans="1:4" x14ac:dyDescent="0.25">
      <c r="A6" t="s">
        <v>83</v>
      </c>
      <c r="B6" t="s">
        <v>84</v>
      </c>
    </row>
    <row r="7" spans="1:4" x14ac:dyDescent="0.25">
      <c r="A7" t="s">
        <v>85</v>
      </c>
      <c r="B7" t="s">
        <v>86</v>
      </c>
    </row>
    <row r="8" spans="1:4" x14ac:dyDescent="0.25">
      <c r="A8" t="s">
        <v>87</v>
      </c>
      <c r="B8" t="s">
        <v>86</v>
      </c>
    </row>
    <row r="9" spans="1:4" x14ac:dyDescent="0.25">
      <c r="A9" t="s">
        <v>88</v>
      </c>
      <c r="B9" t="s">
        <v>86</v>
      </c>
    </row>
    <row r="10" spans="1:4" x14ac:dyDescent="0.25">
      <c r="A10" t="s">
        <v>89</v>
      </c>
      <c r="B10" t="s">
        <v>90</v>
      </c>
    </row>
    <row r="11" spans="1:4" x14ac:dyDescent="0.25">
      <c r="A11" t="s">
        <v>91</v>
      </c>
      <c r="B11" t="s">
        <v>90</v>
      </c>
    </row>
    <row r="12" spans="1:4" x14ac:dyDescent="0.25">
      <c r="A12" t="s">
        <v>92</v>
      </c>
      <c r="B12" t="s">
        <v>90</v>
      </c>
    </row>
    <row r="13" spans="1:4" x14ac:dyDescent="0.25">
      <c r="A13" t="s">
        <v>93</v>
      </c>
      <c r="B13" t="s">
        <v>94</v>
      </c>
    </row>
    <row r="14" spans="1:4" x14ac:dyDescent="0.25">
      <c r="A14" t="s">
        <v>95</v>
      </c>
      <c r="B14" t="s">
        <v>96</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J12"/>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97</v>
      </c>
      <c r="B1" t="s">
        <v>98</v>
      </c>
      <c r="C1" t="s">
        <v>99</v>
      </c>
      <c r="D1" t="s">
        <v>100</v>
      </c>
      <c r="E1" t="s">
        <v>101</v>
      </c>
      <c r="F1" t="s">
        <v>102</v>
      </c>
      <c r="G1" t="s">
        <v>103</v>
      </c>
      <c r="H1" t="s">
        <v>104</v>
      </c>
      <c r="I1" t="s">
        <v>105</v>
      </c>
      <c r="J1" t="s">
        <v>106</v>
      </c>
    </row>
    <row r="2" spans="1:10" x14ac:dyDescent="0.25">
      <c r="A2" t="s">
        <v>76</v>
      </c>
      <c r="B2" t="s">
        <v>107</v>
      </c>
      <c r="C2" t="s">
        <v>108</v>
      </c>
      <c r="D2">
        <v>2</v>
      </c>
      <c r="E2" t="s">
        <v>75</v>
      </c>
      <c r="F2" t="s">
        <v>78</v>
      </c>
      <c r="G2" t="s">
        <v>109</v>
      </c>
      <c r="H2" t="s">
        <v>110</v>
      </c>
      <c r="I2" t="s">
        <v>111</v>
      </c>
      <c r="J2" t="s">
        <v>76</v>
      </c>
    </row>
    <row r="3" spans="1:10" x14ac:dyDescent="0.25">
      <c r="A3" t="s">
        <v>84</v>
      </c>
      <c r="B3" t="s">
        <v>112</v>
      </c>
      <c r="C3" t="s">
        <v>108</v>
      </c>
      <c r="D3">
        <v>1</v>
      </c>
      <c r="E3" t="s">
        <v>83</v>
      </c>
      <c r="F3" t="s">
        <v>113</v>
      </c>
      <c r="G3" t="s">
        <v>114</v>
      </c>
      <c r="H3" t="s">
        <v>115</v>
      </c>
      <c r="I3" t="s">
        <v>116</v>
      </c>
      <c r="J3" t="s">
        <v>84</v>
      </c>
    </row>
    <row r="4" spans="1:10" x14ac:dyDescent="0.25">
      <c r="A4" t="s">
        <v>81</v>
      </c>
      <c r="B4" t="s">
        <v>117</v>
      </c>
      <c r="C4" t="s">
        <v>108</v>
      </c>
      <c r="D4">
        <v>1</v>
      </c>
      <c r="E4" t="s">
        <v>80</v>
      </c>
      <c r="F4" t="s">
        <v>118</v>
      </c>
      <c r="G4" t="s">
        <v>119</v>
      </c>
      <c r="H4" t="s">
        <v>120</v>
      </c>
      <c r="I4" t="s">
        <v>121</v>
      </c>
      <c r="J4" t="s">
        <v>81</v>
      </c>
    </row>
    <row r="5" spans="1:10" x14ac:dyDescent="0.25">
      <c r="A5" t="s">
        <v>86</v>
      </c>
      <c r="B5" t="s">
        <v>122</v>
      </c>
      <c r="C5" t="s">
        <v>108</v>
      </c>
      <c r="D5">
        <v>3</v>
      </c>
      <c r="E5" t="s">
        <v>85</v>
      </c>
      <c r="F5" t="s">
        <v>87</v>
      </c>
      <c r="G5" t="s">
        <v>88</v>
      </c>
      <c r="H5" t="s">
        <v>123</v>
      </c>
      <c r="I5" t="s">
        <v>124</v>
      </c>
      <c r="J5" t="s">
        <v>86</v>
      </c>
    </row>
    <row r="6" spans="1:10" x14ac:dyDescent="0.25">
      <c r="A6" t="s">
        <v>90</v>
      </c>
      <c r="B6" t="s">
        <v>125</v>
      </c>
      <c r="C6" t="s">
        <v>108</v>
      </c>
      <c r="D6">
        <v>3</v>
      </c>
      <c r="E6" t="s">
        <v>89</v>
      </c>
      <c r="F6" t="s">
        <v>91</v>
      </c>
      <c r="G6" t="s">
        <v>92</v>
      </c>
      <c r="J6" t="s">
        <v>90</v>
      </c>
    </row>
    <row r="7" spans="1:10" x14ac:dyDescent="0.25">
      <c r="A7" t="s">
        <v>126</v>
      </c>
      <c r="B7" t="s">
        <v>127</v>
      </c>
      <c r="C7" t="s">
        <v>108</v>
      </c>
      <c r="D7">
        <v>3</v>
      </c>
      <c r="E7" t="s">
        <v>77</v>
      </c>
      <c r="F7" t="s">
        <v>79</v>
      </c>
      <c r="G7" t="s">
        <v>82</v>
      </c>
      <c r="H7" t="s">
        <v>128</v>
      </c>
      <c r="I7" t="s">
        <v>129</v>
      </c>
      <c r="J7" t="s">
        <v>126</v>
      </c>
    </row>
    <row r="8" spans="1:10" x14ac:dyDescent="0.25">
      <c r="A8" t="s">
        <v>94</v>
      </c>
      <c r="B8" t="s">
        <v>130</v>
      </c>
      <c r="C8" t="s">
        <v>108</v>
      </c>
      <c r="D8">
        <v>1</v>
      </c>
      <c r="E8" t="s">
        <v>93</v>
      </c>
      <c r="F8" t="s">
        <v>131</v>
      </c>
      <c r="G8" t="s">
        <v>132</v>
      </c>
      <c r="J8" t="s">
        <v>94</v>
      </c>
    </row>
    <row r="9" spans="1:10" x14ac:dyDescent="0.25">
      <c r="A9" t="s">
        <v>96</v>
      </c>
      <c r="B9" t="s">
        <v>133</v>
      </c>
      <c r="C9" t="s">
        <v>108</v>
      </c>
      <c r="D9">
        <v>1</v>
      </c>
      <c r="E9" t="s">
        <v>95</v>
      </c>
      <c r="F9" t="s">
        <v>134</v>
      </c>
      <c r="G9" t="s">
        <v>135</v>
      </c>
      <c r="I9" t="s">
        <v>136</v>
      </c>
      <c r="J9" t="s">
        <v>96</v>
      </c>
    </row>
    <row r="10" spans="1:10" x14ac:dyDescent="0.25">
      <c r="A10" t="s">
        <v>137</v>
      </c>
      <c r="B10" t="s">
        <v>138</v>
      </c>
      <c r="C10" t="s">
        <v>108</v>
      </c>
      <c r="D10">
        <v>0</v>
      </c>
      <c r="E10" t="s">
        <v>139</v>
      </c>
      <c r="F10" t="s">
        <v>140</v>
      </c>
      <c r="G10" t="s">
        <v>141</v>
      </c>
      <c r="J10" t="s">
        <v>137</v>
      </c>
    </row>
    <row r="11" spans="1:10" x14ac:dyDescent="0.25">
      <c r="A11" t="s">
        <v>142</v>
      </c>
      <c r="B11" t="s">
        <v>143</v>
      </c>
      <c r="C11" t="s">
        <v>108</v>
      </c>
      <c r="D11">
        <v>0</v>
      </c>
      <c r="E11" t="s">
        <v>144</v>
      </c>
      <c r="F11" t="s">
        <v>145</v>
      </c>
      <c r="G11" t="s">
        <v>146</v>
      </c>
      <c r="J11" t="s">
        <v>142</v>
      </c>
    </row>
    <row r="12" spans="1:10" x14ac:dyDescent="0.25">
      <c r="A12" t="s">
        <v>147</v>
      </c>
      <c r="B12" t="s">
        <v>71</v>
      </c>
      <c r="C12" t="s">
        <v>108</v>
      </c>
      <c r="D12">
        <v>3</v>
      </c>
      <c r="E12" t="s">
        <v>148</v>
      </c>
      <c r="F12" t="s">
        <v>149</v>
      </c>
      <c r="G12" t="s">
        <v>150</v>
      </c>
      <c r="H12" t="s">
        <v>151</v>
      </c>
      <c r="I12" t="s">
        <v>152</v>
      </c>
      <c r="J12" t="s">
        <v>147</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153</v>
      </c>
      <c r="C1" s="59" t="s">
        <v>154</v>
      </c>
      <c r="D1" t="s">
        <v>155</v>
      </c>
      <c r="E1" t="s">
        <v>156</v>
      </c>
      <c r="F1" t="s">
        <v>157</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pageSetUpPr fitToPage="1"/>
  </sheetPr>
  <dimension ref="A1:AC14"/>
  <sheetViews>
    <sheetView tabSelected="1" zoomScaleNormal="100" workbookViewId="0">
      <pane xSplit="3" ySplit="2" topLeftCell="F3" activePane="bottomRight" state="frozen"/>
      <selection pane="topRight" activeCell="C1" sqref="C1"/>
      <selection pane="bottomLeft" activeCell="A3" sqref="A3"/>
      <selection pane="bottomRight" activeCell="Q6" sqref="Q6"/>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4" width="9.140625" style="24" customWidth="1"/>
    <col min="35" max="16384" width="9.140625" style="24"/>
  </cols>
  <sheetData>
    <row r="1" spans="1:26" s="43" customFormat="1" ht="54.75" customHeight="1" x14ac:dyDescent="0.25">
      <c r="A1" s="105" t="s">
        <v>158</v>
      </c>
      <c r="B1" s="106"/>
      <c r="C1" s="106"/>
      <c r="D1" s="105" t="s">
        <v>127</v>
      </c>
      <c r="E1" s="106"/>
      <c r="F1" s="106"/>
      <c r="G1" s="106"/>
      <c r="H1" s="106"/>
      <c r="I1" s="106"/>
      <c r="J1" s="106"/>
      <c r="K1" s="105" t="s">
        <v>159</v>
      </c>
      <c r="L1" s="106"/>
      <c r="M1" s="106"/>
      <c r="N1" s="105" t="s">
        <v>160</v>
      </c>
      <c r="O1" s="106"/>
      <c r="P1" s="4" t="s">
        <v>161</v>
      </c>
      <c r="Q1" s="95">
        <f>VLOOKUP("ADV", AwardDef[], 4,0)</f>
        <v>3</v>
      </c>
      <c r="R1" s="105" t="s">
        <v>162</v>
      </c>
      <c r="S1" s="106"/>
      <c r="T1" s="106"/>
      <c r="U1" s="106"/>
      <c r="V1" s="106"/>
      <c r="W1" s="9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3 of 3 permitted advancing teams
You have selected an alternative advancing team</v>
      </c>
      <c r="X1" s="4"/>
      <c r="Z1" s="45"/>
    </row>
    <row r="2" spans="1:26" s="9" customFormat="1" ht="118.5" customHeight="1" x14ac:dyDescent="0.25">
      <c r="A2" s="47" t="s">
        <v>27</v>
      </c>
      <c r="B2" s="47" t="s">
        <v>153</v>
      </c>
      <c r="C2" s="47" t="s">
        <v>28</v>
      </c>
      <c r="D2" s="48" t="s">
        <v>163</v>
      </c>
      <c r="E2" s="48" t="s">
        <v>164</v>
      </c>
      <c r="F2" s="48" t="s">
        <v>165</v>
      </c>
      <c r="G2" s="48" t="s">
        <v>166</v>
      </c>
      <c r="H2" s="48" t="s">
        <v>167</v>
      </c>
      <c r="I2" s="48" t="s">
        <v>168</v>
      </c>
      <c r="J2" s="49" t="s">
        <v>169</v>
      </c>
      <c r="K2" s="50" t="s">
        <v>170</v>
      </c>
      <c r="L2" s="51" t="s">
        <v>171</v>
      </c>
      <c r="M2" s="52" t="s">
        <v>172</v>
      </c>
      <c r="N2" s="53" t="s">
        <v>173</v>
      </c>
      <c r="O2" s="54" t="s">
        <v>174</v>
      </c>
      <c r="P2" s="47" t="s">
        <v>72</v>
      </c>
      <c r="Q2" s="47" t="s">
        <v>175</v>
      </c>
      <c r="R2" s="27" t="s">
        <v>176</v>
      </c>
      <c r="S2" s="28" t="s">
        <v>177</v>
      </c>
      <c r="T2" s="29" t="s">
        <v>178</v>
      </c>
      <c r="U2" s="30" t="s">
        <v>179</v>
      </c>
      <c r="V2" s="31" t="s">
        <v>180</v>
      </c>
      <c r="W2" s="32" t="s">
        <v>181</v>
      </c>
      <c r="Z2" s="44"/>
    </row>
    <row r="3" spans="1:26" ht="21" customHeight="1" x14ac:dyDescent="0.25">
      <c r="A3" s="99">
        <v>9021</v>
      </c>
      <c r="B3" s="99">
        <f>INDEX(OfficialTeamList[Pod Number],MATCH(TournamentData[[#This Row],[Team '#]], OfficialTeamList[Team '#],0))</f>
        <v>0</v>
      </c>
      <c r="C3" s="94" t="str">
        <f>INDEX(OfficialTeamList[Team Name],MATCH(TournamentData[[#This Row],[Team '#]], OfficialTeamList[Team '#],0))</f>
        <v>Greenbrier Panthers</v>
      </c>
      <c r="D3" s="72">
        <f>IF(TournamentData[[#This Row],[Team '#]]="","",IF(ISNA(INDEX('Robot Game Scores'!C:C,MATCH(TournamentData[[#This Row],[Team '#]], 'Robot Game Scores'!$A:$A,0))),0,INDEX('Robot Game Scores'!C:C,MATCH(TournamentData[[#This Row],[Team '#]], 'Robot Game Scores'!$A:$A,0))))</f>
        <v>182</v>
      </c>
      <c r="E3" s="72">
        <f>IF(TournamentData[[#This Row],[Team '#]]="","",IF(ISNA(INDEX('Robot Game Scores'!D:D,MATCH(TournamentData[[#This Row],[Team '#]], 'Robot Game Scores'!$A:$A,0))),0,INDEX('Robot Game Scores'!D:D,MATCH(TournamentData[[#This Row],[Team '#]], 'Robot Game Scores'!$A:$A,0))))</f>
        <v>124</v>
      </c>
      <c r="F3" s="72">
        <f>IF(TournamentData[[#This Row],[Team '#]]="","",IF(ISNA(INDEX('Robot Game Scores'!E:E,MATCH(TournamentData[[#This Row],[Team '#]], 'Robot Game Scores'!$A:$A,0))),0,INDEX('Robot Game Scores'!E:E,MATCH(TournamentData[[#This Row],[Team '#]], 'Robot Game Scores'!$A:$A,0))))</f>
        <v>92</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182.01240920000001</v>
      </c>
      <c r="J3" s="72">
        <f>_xlfn.RANK.EQ(TournamentData[[#This Row],[Max Robot Game Score]],TournamentData[Max Robot Game Score])</f>
        <v>12</v>
      </c>
      <c r="K3" s="72">
        <f>INDEX(CoreValuesResults[Core Values Rank],MATCH(TournamentData[[#This Row],[Team '#]],CoreValuesResults[Team '#],0))</f>
        <v>6</v>
      </c>
      <c r="L3" s="72">
        <f>INDEX(InnovationProjectResults[Innovation Project Rank],MATCH(TournamentData[[#This Row],[Team '#]],InnovationProjectResults[Team '#],0))</f>
        <v>6</v>
      </c>
      <c r="M3" s="72">
        <f>INDEX(RobotDesignResults[Robot Design Rank],MATCH(TournamentData[[#This Row],[Team '#]],RobotDesignResults[Team '#],0))</f>
        <v>7</v>
      </c>
      <c r="N3" s="72">
        <f>SUM(TournamentData[[#This Row],[Robot Game Rank]:[Robot Design Rank]])</f>
        <v>31</v>
      </c>
      <c r="O3" s="101">
        <f>RANK(TournamentData[[#This Row],[Champion''s Score]],TournamentData[Champion''s Score],1)</f>
        <v>10</v>
      </c>
      <c r="P3" s="73" t="s">
        <v>75</v>
      </c>
      <c r="Q3" s="77" t="s">
        <v>55</v>
      </c>
      <c r="R3" s="74">
        <f>IF(ISNA(INDEX(CoreValuesResults[Core Values Score],MATCH(TournamentData[[#This Row],[Team '#]],CoreValuesResults[Team '#],0))),0,INDEX(CoreValuesResults[Core Values Score],MATCH(TournamentData[[#This Row],[Team '#]],CoreValuesResults[Team '#],0)))</f>
        <v>45</v>
      </c>
      <c r="S3" s="74">
        <f>IF(ISNA(INDEX(InnovationProjectResults[Innovation Project Score],MATCH(TournamentData[[#This Row],[Team '#]],InnovationProjectResults[Team '#],0))),0,INDEX(InnovationProjectResults[Innovation Project Score],MATCH(TournamentData[[#This Row],[Team '#]],InnovationProjectResults[Team '#],0)))</f>
        <v>25</v>
      </c>
      <c r="T3" s="74">
        <f>IF(ISNA(INDEX(RobotDesignResults[Robot Design Score],MATCH(TournamentData[[#This Row],[Team '#]],RobotDesignResults[Team '#],0))),0,INDEX(RobotDesignResults[Robot Design Score],MATCH(TournamentData[[#This Row],[Team '#]],RobotDesignResults[Team '#],0)))</f>
        <v>23</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46.584918407936762</v>
      </c>
      <c r="V3" s="73">
        <f>IF(U3,_xlfn.RANK.EQ(U3,U$3:U$3,0),NumberOfTeams)</f>
        <v>1</v>
      </c>
      <c r="W3" s="73"/>
    </row>
    <row r="4" spans="1:26" ht="21" customHeight="1" x14ac:dyDescent="0.25">
      <c r="A4" s="99">
        <v>24277</v>
      </c>
      <c r="B4" s="99">
        <f>INDEX(OfficialTeamList[Pod Number],MATCH(TournamentData[[#This Row],[Team '#]], OfficialTeamList[Team '#],0))</f>
        <v>0</v>
      </c>
      <c r="C4" s="94" t="str">
        <f>INDEX(OfficialTeamList[Team Name],MATCH(TournamentData[[#This Row],[Team '#]], OfficialTeamList[Team '#],0))</f>
        <v>Norfolk Collegiate O.A.K.S.</v>
      </c>
      <c r="D4" s="72">
        <f>IF(TournamentData[[#This Row],[Team '#]]="","",IF(ISNA(INDEX('Robot Game Scores'!C:C,MATCH(TournamentData[[#This Row],[Team '#]], 'Robot Game Scores'!$A:$A,0))),0,INDEX('Robot Game Scores'!C:C,MATCH(TournamentData[[#This Row],[Team '#]], 'Robot Game Scores'!$A:$A,0))))</f>
        <v>195</v>
      </c>
      <c r="E4" s="72">
        <f>IF(TournamentData[[#This Row],[Team '#]]="","",IF(ISNA(INDEX('Robot Game Scores'!D:D,MATCH(TournamentData[[#This Row],[Team '#]], 'Robot Game Scores'!$A:$A,0))),0,INDEX('Robot Game Scores'!D:D,MATCH(TournamentData[[#This Row],[Team '#]], 'Robot Game Scores'!$A:$A,0))))</f>
        <v>223</v>
      </c>
      <c r="F4" s="72">
        <f>IF(TournamentData[[#This Row],[Team '#]]="","",IF(ISNA(INDEX('Robot Game Scores'!E:E,MATCH(TournamentData[[#This Row],[Team '#]], 'Robot Game Scores'!$A:$A,0))),0,INDEX('Robot Game Scores'!E:E,MATCH(TournamentData[[#This Row],[Team '#]], 'Robot Game Scores'!$A:$A,0))))</f>
        <v>139</v>
      </c>
      <c r="G4" s="72" t="e">
        <f>IF(TournamentData[[#This Row],[Team '#]]="","",IF(ISNA(INDEX('Robot Game Scores'!#REF!,MATCH(TournamentData[[#This Row],[Team '#]], 'Robot Game Scores'!$A:$A,0))),0,INDEX('Robot Game Scores'!#REF!,MATCH(TournamentData[[#This Row],[Team '#]], 'Robot Game Scores'!$A:$A,0))))</f>
        <v>#REF!</v>
      </c>
      <c r="H4" s="72" t="e">
        <f>IF(TournamentData[[#This Row],[Team '#]]="","",IF(ISNA(INDEX('Robot Game Scores'!#REF!,MATCH(TournamentData[[#This Row],[Team '#]], 'Robot Game Scores'!$A:$A,0))),0,INDEX('Robot Game Scores'!#REF!,MATCH(TournamentData[[#This Row],[Team '#]], 'Robot Game Scores'!$A:$A,0))))</f>
        <v>#REF!</v>
      </c>
      <c r="I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223.01951389999999</v>
      </c>
      <c r="J4" s="72">
        <f>_xlfn.RANK.EQ(TournamentData[[#This Row],[Max Robot Game Score]],TournamentData[Max Robot Game Score])</f>
        <v>11</v>
      </c>
      <c r="K4" s="72">
        <f>INDEX(CoreValuesResults[Core Values Rank],MATCH(TournamentData[[#This Row],[Team '#]],CoreValuesResults[Team '#],0))</f>
        <v>9</v>
      </c>
      <c r="L4" s="72">
        <f>INDEX(InnovationProjectResults[Innovation Project Rank],MATCH(TournamentData[[#This Row],[Team '#]],InnovationProjectResults[Team '#],0))</f>
        <v>12</v>
      </c>
      <c r="M4" s="72">
        <f>INDEX(RobotDesignResults[Robot Design Rank],MATCH(TournamentData[[#This Row],[Team '#]],RobotDesignResults[Team '#],0))</f>
        <v>7</v>
      </c>
      <c r="N4" s="72">
        <f>SUM(TournamentData[[#This Row],[Robot Game Rank]:[Robot Design Rank]])</f>
        <v>39</v>
      </c>
      <c r="O4" s="101">
        <f>RANK(TournamentData[[#This Row],[Champion''s Score]],TournamentData[Champion''s Score],1)</f>
        <v>12</v>
      </c>
      <c r="P4" s="73" t="s">
        <v>78</v>
      </c>
      <c r="Q4" s="77" t="s">
        <v>55</v>
      </c>
      <c r="R4" s="74">
        <f>IF(ISNA(INDEX(CoreValuesResults[Core Values Score],MATCH(TournamentData[[#This Row],[Team '#]],CoreValuesResults[Team '#],0))),0,INDEX(CoreValuesResults[Core Values Score],MATCH(TournamentData[[#This Row],[Team '#]],CoreValuesResults[Team '#],0)))</f>
        <v>43</v>
      </c>
      <c r="S4" s="74">
        <f>IF(ISNA(INDEX(InnovationProjectResults[Innovation Project Score],MATCH(TournamentData[[#This Row],[Team '#]],InnovationProjectResults[Team '#],0))),0,INDEX(InnovationProjectResults[Innovation Project Score],MATCH(TournamentData[[#This Row],[Team '#]],InnovationProjectResults[Team '#],0)))</f>
        <v>20</v>
      </c>
      <c r="T4" s="74">
        <f>IF(ISNA(INDEX(RobotDesignResults[Robot Design Score],MATCH(TournamentData[[#This Row],[Team '#]],RobotDesignResults[Team '#],0))),0,INDEX(RobotDesignResults[Robot Design Score],MATCH(TournamentData[[#This Row],[Team '#]],RobotDesignResults[Team '#],0)))</f>
        <v>23</v>
      </c>
      <c r="U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45.829201247374122</v>
      </c>
      <c r="V4" s="73">
        <f>IF(U3,_xlfn.RANK.EQ(U3,U$3:U$3,0),NumberOfTeams)</f>
        <v>1</v>
      </c>
      <c r="W4" s="73"/>
    </row>
    <row r="5" spans="1:26" ht="21" customHeight="1" x14ac:dyDescent="0.25">
      <c r="A5" s="99">
        <v>26034</v>
      </c>
      <c r="B5" s="99">
        <f>INDEX(OfficialTeamList[Pod Number],MATCH(TournamentData[[#This Row],[Team '#]], OfficialTeamList[Team '#],0))</f>
        <v>0</v>
      </c>
      <c r="C5" s="94" t="str">
        <f>INDEX(OfficialTeamList[Team Name],MATCH(TournamentData[[#This Row],[Team '#]], OfficialTeamList[Team '#],0))</f>
        <v>OLMC White Team</v>
      </c>
      <c r="D5" s="72">
        <f>IF(TournamentData[[#This Row],[Team '#]]="","",IF(ISNA(INDEX('Robot Game Scores'!C:C,MATCH(TournamentData[[#This Row],[Team '#]], 'Robot Game Scores'!$A:$A,0))),0,INDEX('Robot Game Scores'!C:C,MATCH(TournamentData[[#This Row],[Team '#]], 'Robot Game Scores'!$A:$A,0))))</f>
        <v>145</v>
      </c>
      <c r="E5" s="72">
        <f>IF(TournamentData[[#This Row],[Team '#]]="","",IF(ISNA(INDEX('Robot Game Scores'!D:D,MATCH(TournamentData[[#This Row],[Team '#]], 'Robot Game Scores'!$A:$A,0))),0,INDEX('Robot Game Scores'!D:D,MATCH(TournamentData[[#This Row],[Team '#]], 'Robot Game Scores'!$A:$A,0))))</f>
        <v>278</v>
      </c>
      <c r="F5" s="72">
        <f>IF(TournamentData[[#This Row],[Team '#]]="","",IF(ISNA(INDEX('Robot Game Scores'!E:E,MATCH(TournamentData[[#This Row],[Team '#]], 'Robot Game Scores'!$A:$A,0))),0,INDEX('Robot Game Scores'!E:E,MATCH(TournamentData[[#This Row],[Team '#]], 'Robot Game Scores'!$A:$A,0))))</f>
        <v>240</v>
      </c>
      <c r="G5" s="72" t="e">
        <f>IF(TournamentData[[#This Row],[Team '#]]="","",IF(ISNA(INDEX('Robot Game Scores'!#REF!,MATCH(TournamentData[[#This Row],[Team '#]], 'Robot Game Scores'!$A:$A,0))),0,INDEX('Robot Game Scores'!#REF!,MATCH(TournamentData[[#This Row],[Team '#]], 'Robot Game Scores'!$A:$A,0))))</f>
        <v>#REF!</v>
      </c>
      <c r="H5" s="72" t="e">
        <f>IF(TournamentData[[#This Row],[Team '#]]="","",IF(ISNA(INDEX('Robot Game Scores'!#REF!,MATCH(TournamentData[[#This Row],[Team '#]], 'Robot Game Scores'!$A:$A,0))),0,INDEX('Robot Game Scores'!#REF!,MATCH(TournamentData[[#This Row],[Team '#]], 'Robot Game Scores'!$A:$A,0))))</f>
        <v>#REF!</v>
      </c>
      <c r="I5"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278.02401450000002</v>
      </c>
      <c r="J5" s="72">
        <f>_xlfn.RANK.EQ(TournamentData[[#This Row],[Max Robot Game Score]],TournamentData[Max Robot Game Score])</f>
        <v>3</v>
      </c>
      <c r="K5" s="72">
        <f>INDEX(CoreValuesResults[Core Values Rank],MATCH(TournamentData[[#This Row],[Team '#]],CoreValuesResults[Team '#],0))</f>
        <v>5</v>
      </c>
      <c r="L5" s="72">
        <f>INDEX(InnovationProjectResults[Innovation Project Rank],MATCH(TournamentData[[#This Row],[Team '#]],InnovationProjectResults[Team '#],0))</f>
        <v>3</v>
      </c>
      <c r="M5" s="72">
        <f>INDEX(RobotDesignResults[Robot Design Rank],MATCH(TournamentData[[#This Row],[Team '#]],RobotDesignResults[Team '#],0))</f>
        <v>11</v>
      </c>
      <c r="N5" s="72">
        <f>SUM(TournamentData[[#This Row],[Robot Game Rank]:[Robot Design Rank]])</f>
        <v>22</v>
      </c>
      <c r="O5" s="101">
        <f>RANK(TournamentData[[#This Row],[Champion''s Score]],TournamentData[Champion''s Score],1)</f>
        <v>5</v>
      </c>
      <c r="P5" s="73" t="s">
        <v>80</v>
      </c>
      <c r="Q5" s="77" t="s">
        <v>55</v>
      </c>
      <c r="R5" s="74">
        <f>IF(ISNA(INDEX(CoreValuesResults[Core Values Score],MATCH(TournamentData[[#This Row],[Team '#]],CoreValuesResults[Team '#],0))),0,INDEX(CoreValuesResults[Core Values Score],MATCH(TournamentData[[#This Row],[Team '#]],CoreValuesResults[Team '#],0)))</f>
        <v>46</v>
      </c>
      <c r="S5" s="74">
        <f>IF(ISNA(INDEX(InnovationProjectResults[Innovation Project Score],MATCH(TournamentData[[#This Row],[Team '#]],InnovationProjectResults[Team '#],0))),0,INDEX(InnovationProjectResults[Innovation Project Score],MATCH(TournamentData[[#This Row],[Team '#]],InnovationProjectResults[Team '#],0)))</f>
        <v>27</v>
      </c>
      <c r="T5" s="74">
        <f>IF(ISNA(INDEX(RobotDesignResults[Robot Design Score],MATCH(TournamentData[[#This Row],[Team '#]],RobotDesignResults[Team '#],0))),0,INDEX(RobotDesignResults[Robot Design Score],MATCH(TournamentData[[#This Row],[Team '#]],RobotDesignResults[Team '#],0)))</f>
        <v>21</v>
      </c>
      <c r="U5"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51.892644119092672</v>
      </c>
      <c r="V5" s="73">
        <f>IF(U3,_xlfn.RANK.EQ(U3,U$3:U$3,0),NumberOfTeams)</f>
        <v>1</v>
      </c>
      <c r="W5" s="73"/>
    </row>
    <row r="6" spans="1:26" ht="21" customHeight="1" x14ac:dyDescent="0.25">
      <c r="A6" s="99">
        <v>60801</v>
      </c>
      <c r="B6" s="99">
        <f>INDEX(OfficialTeamList[Pod Number],MATCH(TournamentData[[#This Row],[Team '#]], OfficialTeamList[Team '#],0))</f>
        <v>0</v>
      </c>
      <c r="C6" s="94" t="str">
        <f>INDEX(OfficialTeamList[Team Name],MATCH(TournamentData[[#This Row],[Team '#]], OfficialTeamList[Team '#],0))</f>
        <v>ESPs</v>
      </c>
      <c r="D6" s="72">
        <f>IF(TournamentData[[#This Row],[Team '#]]="","",IF(ISNA(INDEX('Robot Game Scores'!C:C,MATCH(TournamentData[[#This Row],[Team '#]], 'Robot Game Scores'!$A:$A,0))),0,INDEX('Robot Game Scores'!C:C,MATCH(TournamentData[[#This Row],[Team '#]], 'Robot Game Scores'!$A:$A,0))))</f>
        <v>235</v>
      </c>
      <c r="E6" s="72">
        <f>IF(TournamentData[[#This Row],[Team '#]]="","",IF(ISNA(INDEX('Robot Game Scores'!D:D,MATCH(TournamentData[[#This Row],[Team '#]], 'Robot Game Scores'!$A:$A,0))),0,INDEX('Robot Game Scores'!D:D,MATCH(TournamentData[[#This Row],[Team '#]], 'Robot Game Scores'!$A:$A,0))))</f>
        <v>111</v>
      </c>
      <c r="F6" s="72">
        <f>IF(TournamentData[[#This Row],[Team '#]]="","",IF(ISNA(INDEX('Robot Game Scores'!E:E,MATCH(TournamentData[[#This Row],[Team '#]], 'Robot Game Scores'!$A:$A,0))),0,INDEX('Robot Game Scores'!E:E,MATCH(TournamentData[[#This Row],[Team '#]], 'Robot Game Scores'!$A:$A,0))))</f>
        <v>107</v>
      </c>
      <c r="G6" s="72" t="e">
        <f>IF(TournamentData[[#This Row],[Team '#]]="","",IF(ISNA(INDEX('Robot Game Scores'!#REF!,MATCH(TournamentData[[#This Row],[Team '#]], 'Robot Game Scores'!$A:$A,0))),0,INDEX('Robot Game Scores'!#REF!,MATCH(TournamentData[[#This Row],[Team '#]], 'Robot Game Scores'!$A:$A,0))))</f>
        <v>#REF!</v>
      </c>
      <c r="H6" s="72" t="e">
        <f>IF(TournamentData[[#This Row],[Team '#]]="","",IF(ISNA(INDEX('Robot Game Scores'!#REF!,MATCH(TournamentData[[#This Row],[Team '#]], 'Robot Game Scores'!$A:$A,0))),0,INDEX('Robot Game Scores'!#REF!,MATCH(TournamentData[[#This Row],[Team '#]], 'Robot Game Scores'!$A:$A,0))))</f>
        <v>#REF!</v>
      </c>
      <c r="I6"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235.01111069999999</v>
      </c>
      <c r="J6" s="72">
        <f>_xlfn.RANK.EQ(TournamentData[[#This Row],[Max Robot Game Score]],TournamentData[Max Robot Game Score])</f>
        <v>8</v>
      </c>
      <c r="K6" s="72">
        <f>INDEX(CoreValuesResults[Core Values Rank],MATCH(TournamentData[[#This Row],[Team '#]],CoreValuesResults[Team '#],0))</f>
        <v>10</v>
      </c>
      <c r="L6" s="72">
        <f>INDEX(InnovationProjectResults[Innovation Project Rank],MATCH(TournamentData[[#This Row],[Team '#]],InnovationProjectResults[Team '#],0))</f>
        <v>9</v>
      </c>
      <c r="M6" s="72">
        <f>INDEX(RobotDesignResults[Robot Design Rank],MATCH(TournamentData[[#This Row],[Team '#]],RobotDesignResults[Team '#],0))</f>
        <v>7</v>
      </c>
      <c r="N6" s="72">
        <f>SUM(TournamentData[[#This Row],[Robot Game Rank]:[Robot Design Rank]])</f>
        <v>34</v>
      </c>
      <c r="O6" s="101">
        <f>RANK(TournamentData[[#This Row],[Champion''s Score]],TournamentData[Champion''s Score],1)</f>
        <v>11</v>
      </c>
      <c r="P6" s="73" t="s">
        <v>83</v>
      </c>
      <c r="Q6" s="77" t="s">
        <v>57</v>
      </c>
      <c r="R6" s="74">
        <f>IF(ISNA(INDEX(CoreValuesResults[Core Values Score],MATCH(TournamentData[[#This Row],[Team '#]],CoreValuesResults[Team '#],0))),0,INDEX(CoreValuesResults[Core Values Score],MATCH(TournamentData[[#This Row],[Team '#]],CoreValuesResults[Team '#],0)))</f>
        <v>40</v>
      </c>
      <c r="S6" s="74">
        <f>IF(ISNA(INDEX(InnovationProjectResults[Innovation Project Score],MATCH(TournamentData[[#This Row],[Team '#]],InnovationProjectResults[Team '#],0))),0,INDEX(InnovationProjectResults[Innovation Project Score],MATCH(TournamentData[[#This Row],[Team '#]],InnovationProjectResults[Team '#],0)))</f>
        <v>24</v>
      </c>
      <c r="T6" s="74">
        <f>IF(ISNA(INDEX(RobotDesignResults[Robot Design Score],MATCH(TournamentData[[#This Row],[Team '#]],RobotDesignResults[Team '#],0))),0,INDEX(RobotDesignResults[Robot Design Score],MATCH(TournamentData[[#This Row],[Team '#]],RobotDesignResults[Team '#],0)))</f>
        <v>23</v>
      </c>
      <c r="U6"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47.727849441097433</v>
      </c>
      <c r="V6" s="73">
        <f>IF(U3,_xlfn.RANK.EQ(U3,U$3:U$3,0),NumberOfTeams)</f>
        <v>1</v>
      </c>
      <c r="W6" s="73"/>
    </row>
    <row r="7" spans="1:26" ht="21" customHeight="1" x14ac:dyDescent="0.25">
      <c r="A7" s="99">
        <v>62149</v>
      </c>
      <c r="B7" s="99">
        <f>INDEX(OfficialTeamList[Pod Number],MATCH(TournamentData[[#This Row],[Team '#]], OfficialTeamList[Team '#],0))</f>
        <v>0</v>
      </c>
      <c r="C7" s="94" t="str">
        <f>INDEX(OfficialTeamList[Team Name],MATCH(TournamentData[[#This Row],[Team '#]], OfficialTeamList[Team '#],0))</f>
        <v>Dynamite Dolphins</v>
      </c>
      <c r="D7" s="72">
        <f>IF(TournamentData[[#This Row],[Team '#]]="","",IF(ISNA(INDEX('Robot Game Scores'!C:C,MATCH(TournamentData[[#This Row],[Team '#]], 'Robot Game Scores'!$A:$A,0))),0,INDEX('Robot Game Scores'!C:C,MATCH(TournamentData[[#This Row],[Team '#]], 'Robot Game Scores'!$A:$A,0))))</f>
        <v>193</v>
      </c>
      <c r="E7" s="72">
        <f>IF(TournamentData[[#This Row],[Team '#]]="","",IF(ISNA(INDEX('Robot Game Scores'!D:D,MATCH(TournamentData[[#This Row],[Team '#]], 'Robot Game Scores'!$A:$A,0))),0,INDEX('Robot Game Scores'!D:D,MATCH(TournamentData[[#This Row],[Team '#]], 'Robot Game Scores'!$A:$A,0))))</f>
        <v>259</v>
      </c>
      <c r="F7" s="72">
        <f>IF(TournamentData[[#This Row],[Team '#]]="","",IF(ISNA(INDEX('Robot Game Scores'!E:E,MATCH(TournamentData[[#This Row],[Team '#]], 'Robot Game Scores'!$A:$A,0))),0,INDEX('Robot Game Scores'!E:E,MATCH(TournamentData[[#This Row],[Team '#]], 'Robot Game Scores'!$A:$A,0))))</f>
        <v>216</v>
      </c>
      <c r="G7" s="72" t="e">
        <f>IF(TournamentData[[#This Row],[Team '#]]="","",IF(ISNA(INDEX('Robot Game Scores'!#REF!,MATCH(TournamentData[[#This Row],[Team '#]], 'Robot Game Scores'!$A:$A,0))),0,INDEX('Robot Game Scores'!#REF!,MATCH(TournamentData[[#This Row],[Team '#]], 'Robot Game Scores'!$A:$A,0))))</f>
        <v>#REF!</v>
      </c>
      <c r="H7" s="72" t="e">
        <f>IF(TournamentData[[#This Row],[Team '#]]="","",IF(ISNA(INDEX('Robot Game Scores'!#REF!,MATCH(TournamentData[[#This Row],[Team '#]], 'Robot Game Scores'!$A:$A,0))),0,INDEX('Robot Game Scores'!#REF!,MATCH(TournamentData[[#This Row],[Team '#]], 'Robot Game Scores'!$A:$A,0))))</f>
        <v>#REF!</v>
      </c>
      <c r="I7"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259.0216193</v>
      </c>
      <c r="J7" s="72">
        <f>_xlfn.RANK.EQ(TournamentData[[#This Row],[Max Robot Game Score]],TournamentData[Max Robot Game Score])</f>
        <v>6</v>
      </c>
      <c r="K7" s="72">
        <f>INDEX(CoreValuesResults[Core Values Rank],MATCH(TournamentData[[#This Row],[Team '#]],CoreValuesResults[Team '#],0))</f>
        <v>1</v>
      </c>
      <c r="L7" s="72">
        <f>INDEX(InnovationProjectResults[Innovation Project Rank],MATCH(TournamentData[[#This Row],[Team '#]],InnovationProjectResults[Team '#],0))</f>
        <v>6</v>
      </c>
      <c r="M7" s="72">
        <f>INDEX(RobotDesignResults[Robot Design Rank],MATCH(TournamentData[[#This Row],[Team '#]],RobotDesignResults[Team '#],0))</f>
        <v>1</v>
      </c>
      <c r="N7" s="72">
        <f>SUM(TournamentData[[#This Row],[Robot Game Rank]:[Robot Design Rank]])</f>
        <v>14</v>
      </c>
      <c r="O7" s="101">
        <f>RANK(TournamentData[[#This Row],[Champion''s Score]],TournamentData[Champion''s Score],1)</f>
        <v>1</v>
      </c>
      <c r="P7" s="73" t="s">
        <v>85</v>
      </c>
      <c r="Q7" s="77"/>
      <c r="R7" s="74">
        <f>IF(ISNA(INDEX(CoreValuesResults[Core Values Score],MATCH(TournamentData[[#This Row],[Team '#]],CoreValuesResults[Team '#],0))),0,INDEX(CoreValuesResults[Core Values Score],MATCH(TournamentData[[#This Row],[Team '#]],CoreValuesResults[Team '#],0)))</f>
        <v>48</v>
      </c>
      <c r="S7" s="74">
        <f>IF(ISNA(INDEX(InnovationProjectResults[Innovation Project Score],MATCH(TournamentData[[#This Row],[Team '#]],InnovationProjectResults[Team '#],0))),0,INDEX(InnovationProjectResults[Innovation Project Score],MATCH(TournamentData[[#This Row],[Team '#]],InnovationProjectResults[Team '#],0)))</f>
        <v>25</v>
      </c>
      <c r="T7" s="74">
        <f>IF(ISNA(INDEX(RobotDesignResults[Robot Design Score],MATCH(TournamentData[[#This Row],[Team '#]],RobotDesignResults[Team '#],0))),0,INDEX(RobotDesignResults[Robot Design Score],MATCH(TournamentData[[#This Row],[Team '#]],RobotDesignResults[Team '#],0)))</f>
        <v>26</v>
      </c>
      <c r="U7"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53.317852886451611</v>
      </c>
      <c r="V7" s="73">
        <f>IF(U3,_xlfn.RANK.EQ(U3,U$3:U$3,0),NumberOfTeams)</f>
        <v>1</v>
      </c>
      <c r="W7" s="73"/>
    </row>
    <row r="8" spans="1:26" ht="21" customHeight="1" x14ac:dyDescent="0.25">
      <c r="A8" s="99">
        <v>62706</v>
      </c>
      <c r="B8" s="99">
        <f>INDEX(OfficialTeamList[Pod Number],MATCH(TournamentData[[#This Row],[Team '#]], OfficialTeamList[Team '#],0))</f>
        <v>0</v>
      </c>
      <c r="C8" s="94" t="str">
        <f>INDEX(OfficialTeamList[Team Name],MATCH(TournamentData[[#This Row],[Team '#]], OfficialTeamList[Team '#],0))</f>
        <v>OLMC Aquinas</v>
      </c>
      <c r="D8" s="72">
        <f>IF(TournamentData[[#This Row],[Team '#]]="","",IF(ISNA(INDEX('Robot Game Scores'!C:C,MATCH(TournamentData[[#This Row],[Team '#]], 'Robot Game Scores'!$A:$A,0))),0,INDEX('Robot Game Scores'!C:C,MATCH(TournamentData[[#This Row],[Team '#]], 'Robot Game Scores'!$A:$A,0))))</f>
        <v>91</v>
      </c>
      <c r="E8" s="72">
        <f>IF(TournamentData[[#This Row],[Team '#]]="","",IF(ISNA(INDEX('Robot Game Scores'!D:D,MATCH(TournamentData[[#This Row],[Team '#]], 'Robot Game Scores'!$A:$A,0))),0,INDEX('Robot Game Scores'!D:D,MATCH(TournamentData[[#This Row],[Team '#]], 'Robot Game Scores'!$A:$A,0))))</f>
        <v>214</v>
      </c>
      <c r="F8" s="72">
        <f>IF(TournamentData[[#This Row],[Team '#]]="","",IF(ISNA(INDEX('Robot Game Scores'!E:E,MATCH(TournamentData[[#This Row],[Team '#]], 'Robot Game Scores'!$A:$A,0))),0,INDEX('Robot Game Scores'!E:E,MATCH(TournamentData[[#This Row],[Team '#]], 'Robot Game Scores'!$A:$A,0))))</f>
        <v>242</v>
      </c>
      <c r="G8" s="72" t="e">
        <f>IF(TournamentData[[#This Row],[Team '#]]="","",IF(ISNA(INDEX('Robot Game Scores'!#REF!,MATCH(TournamentData[[#This Row],[Team '#]], 'Robot Game Scores'!$A:$A,0))),0,INDEX('Robot Game Scores'!#REF!,MATCH(TournamentData[[#This Row],[Team '#]], 'Robot Game Scores'!$A:$A,0))))</f>
        <v>#REF!</v>
      </c>
      <c r="H8" s="72" t="e">
        <f>IF(TournamentData[[#This Row],[Team '#]]="","",IF(ISNA(INDEX('Robot Game Scores'!#REF!,MATCH(TournamentData[[#This Row],[Team '#]], 'Robot Game Scores'!$A:$A,0))),0,INDEX('Robot Game Scores'!#REF!,MATCH(TournamentData[[#This Row],[Team '#]], 'Robot Game Scores'!$A:$A,0))))</f>
        <v>#REF!</v>
      </c>
      <c r="I8"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242.0214091</v>
      </c>
      <c r="J8" s="72">
        <f>_xlfn.RANK.EQ(TournamentData[[#This Row],[Max Robot Game Score]],TournamentData[Max Robot Game Score])</f>
        <v>7</v>
      </c>
      <c r="K8" s="72">
        <f>INDEX(CoreValuesResults[Core Values Rank],MATCH(TournamentData[[#This Row],[Team '#]],CoreValuesResults[Team '#],0))</f>
        <v>10</v>
      </c>
      <c r="L8" s="72">
        <f>INDEX(InnovationProjectResults[Innovation Project Rank],MATCH(TournamentData[[#This Row],[Team '#]],InnovationProjectResults[Team '#],0))</f>
        <v>11</v>
      </c>
      <c r="M8" s="72">
        <f>INDEX(RobotDesignResults[Robot Design Rank],MATCH(TournamentData[[#This Row],[Team '#]],RobotDesignResults[Team '#],0))</f>
        <v>1</v>
      </c>
      <c r="N8" s="72">
        <f>SUM(TournamentData[[#This Row],[Robot Game Rank]:[Robot Design Rank]])</f>
        <v>29</v>
      </c>
      <c r="O8" s="101">
        <f>RANK(TournamentData[[#This Row],[Champion''s Score]],TournamentData[Champion''s Score],1)</f>
        <v>9</v>
      </c>
      <c r="P8" s="73" t="s">
        <v>87</v>
      </c>
      <c r="Q8" s="77"/>
      <c r="R8" s="74">
        <f>IF(ISNA(INDEX(CoreValuesResults[Core Values Score],MATCH(TournamentData[[#This Row],[Team '#]],CoreValuesResults[Team '#],0))),0,INDEX(CoreValuesResults[Core Values Score],MATCH(TournamentData[[#This Row],[Team '#]],CoreValuesResults[Team '#],0)))</f>
        <v>40</v>
      </c>
      <c r="S8" s="74">
        <f>IF(ISNA(INDEX(InnovationProjectResults[Innovation Project Score],MATCH(TournamentData[[#This Row],[Team '#]],InnovationProjectResults[Team '#],0))),0,INDEX(InnovationProjectResults[Innovation Project Score],MATCH(TournamentData[[#This Row],[Team '#]],InnovationProjectResults[Team '#],0)))</f>
        <v>22</v>
      </c>
      <c r="T8" s="74">
        <f>IF(ISNA(INDEX(RobotDesignResults[Robot Design Score],MATCH(TournamentData[[#This Row],[Team '#]],RobotDesignResults[Team '#],0))),0,INDEX(RobotDesignResults[Robot Design Score],MATCH(TournamentData[[#This Row],[Team '#]],RobotDesignResults[Team '#],0)))</f>
        <v>26</v>
      </c>
      <c r="U8"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48.509572944874421</v>
      </c>
      <c r="V8" s="73">
        <f>IF(U3,_xlfn.RANK.EQ(U3,U$3:U$3,0),NumberOfTeams)</f>
        <v>1</v>
      </c>
      <c r="W8" s="73"/>
    </row>
    <row r="9" spans="1:26" ht="21" customHeight="1" x14ac:dyDescent="0.25">
      <c r="A9" s="99">
        <v>67083</v>
      </c>
      <c r="B9" s="99">
        <f>INDEX(OfficialTeamList[Pod Number],MATCH(TournamentData[[#This Row],[Team '#]], OfficialTeamList[Team '#],0))</f>
        <v>0</v>
      </c>
      <c r="C9" s="94" t="str">
        <f>INDEX(OfficialTeamList[Team Name],MATCH(TournamentData[[#This Row],[Team '#]], OfficialTeamList[Team '#],0))</f>
        <v>Wired Dolphins</v>
      </c>
      <c r="D9" s="72">
        <f>IF(TournamentData[[#This Row],[Team '#]]="","",IF(ISNA(INDEX('Robot Game Scores'!C:C,MATCH(TournamentData[[#This Row],[Team '#]], 'Robot Game Scores'!$A:$A,0))),0,INDEX('Robot Game Scores'!C:C,MATCH(TournamentData[[#This Row],[Team '#]], 'Robot Game Scores'!$A:$A,0))))</f>
        <v>152</v>
      </c>
      <c r="E9" s="72">
        <f>IF(TournamentData[[#This Row],[Team '#]]="","",IF(ISNA(INDEX('Robot Game Scores'!D:D,MATCH(TournamentData[[#This Row],[Team '#]], 'Robot Game Scores'!$A:$A,0))),0,INDEX('Robot Game Scores'!D:D,MATCH(TournamentData[[#This Row],[Team '#]], 'Robot Game Scores'!$A:$A,0))))</f>
        <v>152</v>
      </c>
      <c r="F9" s="72">
        <f>IF(TournamentData[[#This Row],[Team '#]]="","",IF(ISNA(INDEX('Robot Game Scores'!E:E,MATCH(TournamentData[[#This Row],[Team '#]], 'Robot Game Scores'!$A:$A,0))),0,INDEX('Robot Game Scores'!E:E,MATCH(TournamentData[[#This Row],[Team '#]], 'Robot Game Scores'!$A:$A,0))))</f>
        <v>225</v>
      </c>
      <c r="G9" s="72" t="e">
        <f>IF(TournamentData[[#This Row],[Team '#]]="","",IF(ISNA(INDEX('Robot Game Scores'!#REF!,MATCH(TournamentData[[#This Row],[Team '#]], 'Robot Game Scores'!$A:$A,0))),0,INDEX('Robot Game Scores'!#REF!,MATCH(TournamentData[[#This Row],[Team '#]], 'Robot Game Scores'!$A:$A,0))))</f>
        <v>#REF!</v>
      </c>
      <c r="H9" s="72" t="e">
        <f>IF(TournamentData[[#This Row],[Team '#]]="","",IF(ISNA(INDEX('Robot Game Scores'!#REF!,MATCH(TournamentData[[#This Row],[Team '#]], 'Robot Game Scores'!$A:$A,0))),0,INDEX('Robot Game Scores'!#REF!,MATCH(TournamentData[[#This Row],[Team '#]], 'Robot Game Scores'!$A:$A,0))))</f>
        <v>#REF!</v>
      </c>
      <c r="I9"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225.0152152</v>
      </c>
      <c r="J9" s="72">
        <f>_xlfn.RANK.EQ(TournamentData[[#This Row],[Max Robot Game Score]],TournamentData[Max Robot Game Score])</f>
        <v>10</v>
      </c>
      <c r="K9" s="72">
        <f>INDEX(CoreValuesResults[Core Values Rank],MATCH(TournamentData[[#This Row],[Team '#]],CoreValuesResults[Team '#],0))</f>
        <v>1</v>
      </c>
      <c r="L9" s="72">
        <f>INDEX(InnovationProjectResults[Innovation Project Rank],MATCH(TournamentData[[#This Row],[Team '#]],InnovationProjectResults[Team '#],0))</f>
        <v>4</v>
      </c>
      <c r="M9" s="72">
        <f>INDEX(RobotDesignResults[Robot Design Rank],MATCH(TournamentData[[#This Row],[Team '#]],RobotDesignResults[Team '#],0))</f>
        <v>1</v>
      </c>
      <c r="N9" s="72">
        <f>SUM(TournamentData[[#This Row],[Robot Game Rank]:[Robot Design Rank]])</f>
        <v>16</v>
      </c>
      <c r="O9" s="101">
        <f>RANK(TournamentData[[#This Row],[Champion''s Score]],TournamentData[Champion''s Score],1)</f>
        <v>4</v>
      </c>
      <c r="P9" s="73" t="s">
        <v>88</v>
      </c>
      <c r="Q9" s="77"/>
      <c r="R9" s="74">
        <f>IF(ISNA(INDEX(CoreValuesResults[Core Values Score],MATCH(TournamentData[[#This Row],[Team '#]],CoreValuesResults[Team '#],0))),0,INDEX(CoreValuesResults[Core Values Score],MATCH(TournamentData[[#This Row],[Team '#]],CoreValuesResults[Team '#],0)))</f>
        <v>48</v>
      </c>
      <c r="S9" s="74">
        <f>IF(ISNA(INDEX(InnovationProjectResults[Innovation Project Score],MATCH(TournamentData[[#This Row],[Team '#]],InnovationProjectResults[Team '#],0))),0,INDEX(InnovationProjectResults[Innovation Project Score],MATCH(TournamentData[[#This Row],[Team '#]],InnovationProjectResults[Team '#],0)))</f>
        <v>26</v>
      </c>
      <c r="T9" s="74">
        <f>IF(ISNA(INDEX(RobotDesignResults[Robot Design Score],MATCH(TournamentData[[#This Row],[Team '#]],RobotDesignResults[Team '#],0))),0,INDEX(RobotDesignResults[Robot Design Score],MATCH(TournamentData[[#This Row],[Team '#]],RobotDesignResults[Team '#],0)))</f>
        <v>26</v>
      </c>
      <c r="U9"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51.981637306467114</v>
      </c>
      <c r="V9" s="73">
        <f>IF(U3,_xlfn.RANK.EQ(U3,U$3:U$3,0),NumberOfTeams)</f>
        <v>1</v>
      </c>
      <c r="W9" s="73"/>
    </row>
    <row r="10" spans="1:26" ht="21" customHeight="1" x14ac:dyDescent="0.25">
      <c r="A10" s="99">
        <v>67801</v>
      </c>
      <c r="B10" s="99">
        <f>INDEX(OfficialTeamList[Pod Number],MATCH(TournamentData[[#This Row],[Team '#]], OfficialTeamList[Team '#],0))</f>
        <v>0</v>
      </c>
      <c r="C10" s="94" t="str">
        <f>INDEX(OfficialTeamList[Team Name],MATCH(TournamentData[[#This Row],[Team '#]], OfficialTeamList[Team '#],0))</f>
        <v>Scorpion Tech Force</v>
      </c>
      <c r="D10" s="72">
        <f>IF(TournamentData[[#This Row],[Team '#]]="","",IF(ISNA(INDEX('Robot Game Scores'!C:C,MATCH(TournamentData[[#This Row],[Team '#]], 'Robot Game Scores'!$A:$A,0))),0,INDEX('Robot Game Scores'!C:C,MATCH(TournamentData[[#This Row],[Team '#]], 'Robot Game Scores'!$A:$A,0))))</f>
        <v>198</v>
      </c>
      <c r="E10" s="72">
        <f>IF(TournamentData[[#This Row],[Team '#]]="","",IF(ISNA(INDEX('Robot Game Scores'!D:D,MATCH(TournamentData[[#This Row],[Team '#]], 'Robot Game Scores'!$A:$A,0))),0,INDEX('Robot Game Scores'!D:D,MATCH(TournamentData[[#This Row],[Team '#]], 'Robot Game Scores'!$A:$A,0))))</f>
        <v>170</v>
      </c>
      <c r="F10" s="72">
        <f>IF(TournamentData[[#This Row],[Team '#]]="","",IF(ISNA(INDEX('Robot Game Scores'!E:E,MATCH(TournamentData[[#This Row],[Team '#]], 'Robot Game Scores'!$A:$A,0))),0,INDEX('Robot Game Scores'!E:E,MATCH(TournamentData[[#This Row],[Team '#]], 'Robot Game Scores'!$A:$A,0))))</f>
        <v>276</v>
      </c>
      <c r="G10" s="72" t="e">
        <f>IF(TournamentData[[#This Row],[Team '#]]="","",IF(ISNA(INDEX('Robot Game Scores'!#REF!,MATCH(TournamentData[[#This Row],[Team '#]], 'Robot Game Scores'!$A:$A,0))),0,INDEX('Robot Game Scores'!#REF!,MATCH(TournamentData[[#This Row],[Team '#]], 'Robot Game Scores'!$A:$A,0))))</f>
        <v>#REF!</v>
      </c>
      <c r="H10" s="72" t="e">
        <f>IF(TournamentData[[#This Row],[Team '#]]="","",IF(ISNA(INDEX('Robot Game Scores'!#REF!,MATCH(TournamentData[[#This Row],[Team '#]], 'Robot Game Scores'!$A:$A,0))),0,INDEX('Robot Game Scores'!#REF!,MATCH(TournamentData[[#This Row],[Team '#]], 'Robot Game Scores'!$A:$A,0))))</f>
        <v>#REF!</v>
      </c>
      <c r="I10"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276.01981699999999</v>
      </c>
      <c r="J10" s="72">
        <f>_xlfn.RANK.EQ(TournamentData[[#This Row],[Max Robot Game Score]],TournamentData[Max Robot Game Score])</f>
        <v>4</v>
      </c>
      <c r="K10" s="72">
        <f>INDEX(CoreValuesResults[Core Values Rank],MATCH(TournamentData[[#This Row],[Team '#]],CoreValuesResults[Team '#],0))</f>
        <v>4</v>
      </c>
      <c r="L10" s="72">
        <f>INDEX(InnovationProjectResults[Innovation Project Rank],MATCH(TournamentData[[#This Row],[Team '#]],InnovationProjectResults[Team '#],0))</f>
        <v>2</v>
      </c>
      <c r="M10" s="72">
        <f>INDEX(RobotDesignResults[Robot Design Rank],MATCH(TournamentData[[#This Row],[Team '#]],RobotDesignResults[Team '#],0))</f>
        <v>5</v>
      </c>
      <c r="N10" s="72">
        <f>SUM(TournamentData[[#This Row],[Robot Game Rank]:[Robot Design Rank]])</f>
        <v>15</v>
      </c>
      <c r="O10" s="101">
        <f>RANK(TournamentData[[#This Row],[Champion''s Score]],TournamentData[Champion''s Score],1)</f>
        <v>2</v>
      </c>
      <c r="P10" s="73" t="s">
        <v>89</v>
      </c>
      <c r="Q10" s="77"/>
      <c r="R10" s="74">
        <f>IF(ISNA(INDEX(CoreValuesResults[Core Values Score],MATCH(TournamentData[[#This Row],[Team '#]],CoreValuesResults[Team '#],0))),0,INDEX(CoreValuesResults[Core Values Score],MATCH(TournamentData[[#This Row],[Team '#]],CoreValuesResults[Team '#],0)))</f>
        <v>47</v>
      </c>
      <c r="S10" s="74">
        <f>IF(ISNA(INDEX(InnovationProjectResults[Innovation Project Score],MATCH(TournamentData[[#This Row],[Team '#]],InnovationProjectResults[Team '#],0))),0,INDEX(InnovationProjectResults[Innovation Project Score],MATCH(TournamentData[[#This Row],[Team '#]],InnovationProjectResults[Team '#],0)))</f>
        <v>29</v>
      </c>
      <c r="T10" s="74">
        <f>IF(ISNA(INDEX(RobotDesignResults[Robot Design Score],MATCH(TournamentData[[#This Row],[Team '#]],RobotDesignResults[Team '#],0))),0,INDEX(RobotDesignResults[Robot Design Score],MATCH(TournamentData[[#This Row],[Team '#]],RobotDesignResults[Team '#],0)))</f>
        <v>24</v>
      </c>
      <c r="U10"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54.816567860274446</v>
      </c>
      <c r="V10" s="73">
        <f>IF(U3,_xlfn.RANK.EQ(U3,U$3:U$3,0),NumberOfTeams)</f>
        <v>1</v>
      </c>
      <c r="W10" s="73"/>
    </row>
    <row r="11" spans="1:26" ht="21" customHeight="1" x14ac:dyDescent="0.25">
      <c r="A11" s="99">
        <v>68850</v>
      </c>
      <c r="B11" s="99">
        <f>INDEX(OfficialTeamList[Pod Number],MATCH(TournamentData[[#This Row],[Team '#]], OfficialTeamList[Team '#],0))</f>
        <v>0</v>
      </c>
      <c r="C11" s="94" t="str">
        <f>INDEX(OfficialTeamList[Team Name],MATCH(TournamentData[[#This Row],[Team '#]], OfficialTeamList[Team '#],0))</f>
        <v>MCH Marvels</v>
      </c>
      <c r="D11" s="72">
        <f>IF(TournamentData[[#This Row],[Team '#]]="","",IF(ISNA(INDEX('Robot Game Scores'!C:C,MATCH(TournamentData[[#This Row],[Team '#]], 'Robot Game Scores'!$A:$A,0))),0,INDEX('Robot Game Scores'!C:C,MATCH(TournamentData[[#This Row],[Team '#]], 'Robot Game Scores'!$A:$A,0))))</f>
        <v>122</v>
      </c>
      <c r="E11" s="72">
        <f>IF(TournamentData[[#This Row],[Team '#]]="","",IF(ISNA(INDEX('Robot Game Scores'!D:D,MATCH(TournamentData[[#This Row],[Team '#]], 'Robot Game Scores'!$A:$A,0))),0,INDEX('Robot Game Scores'!D:D,MATCH(TournamentData[[#This Row],[Team '#]], 'Robot Game Scores'!$A:$A,0))))</f>
        <v>285</v>
      </c>
      <c r="F11" s="72">
        <f>IF(TournamentData[[#This Row],[Team '#]]="","",IF(ISNA(INDEX('Robot Game Scores'!E:E,MATCH(TournamentData[[#This Row],[Team '#]], 'Robot Game Scores'!$A:$A,0))),0,INDEX('Robot Game Scores'!E:E,MATCH(TournamentData[[#This Row],[Team '#]], 'Robot Game Scores'!$A:$A,0))))</f>
        <v>107</v>
      </c>
      <c r="G11" s="72" t="e">
        <f>IF(TournamentData[[#This Row],[Team '#]]="","",IF(ISNA(INDEX('Robot Game Scores'!#REF!,MATCH(TournamentData[[#This Row],[Team '#]], 'Robot Game Scores'!$A:$A,0))),0,INDEX('Robot Game Scores'!#REF!,MATCH(TournamentData[[#This Row],[Team '#]], 'Robot Game Scores'!$A:$A,0))))</f>
        <v>#REF!</v>
      </c>
      <c r="H11" s="72" t="e">
        <f>IF(TournamentData[[#This Row],[Team '#]]="","",IF(ISNA(INDEX('Robot Game Scores'!#REF!,MATCH(TournamentData[[#This Row],[Team '#]], 'Robot Game Scores'!$A:$A,0))),0,INDEX('Robot Game Scores'!#REF!,MATCH(TournamentData[[#This Row],[Team '#]], 'Robot Game Scores'!$A:$A,0))))</f>
        <v>#REF!</v>
      </c>
      <c r="I11"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285.01221070000003</v>
      </c>
      <c r="J11" s="72">
        <f>_xlfn.RANK.EQ(TournamentData[[#This Row],[Max Robot Game Score]],TournamentData[Max Robot Game Score])</f>
        <v>2</v>
      </c>
      <c r="K11" s="72">
        <f>INDEX(CoreValuesResults[Core Values Rank],MATCH(TournamentData[[#This Row],[Team '#]],CoreValuesResults[Team '#],0))</f>
        <v>12</v>
      </c>
      <c r="L11" s="72">
        <f>INDEX(InnovationProjectResults[Innovation Project Rank],MATCH(TournamentData[[#This Row],[Team '#]],InnovationProjectResults[Team '#],0))</f>
        <v>4</v>
      </c>
      <c r="M11" s="72">
        <f>INDEX(RobotDesignResults[Robot Design Rank],MATCH(TournamentData[[#This Row],[Team '#]],RobotDesignResults[Team '#],0))</f>
        <v>10</v>
      </c>
      <c r="N11" s="72">
        <f>SUM(TournamentData[[#This Row],[Robot Game Rank]:[Robot Design Rank]])</f>
        <v>28</v>
      </c>
      <c r="O11" s="101">
        <f>RANK(TournamentData[[#This Row],[Champion''s Score]],TournamentData[Champion''s Score],1)</f>
        <v>8</v>
      </c>
      <c r="P11" s="73" t="s">
        <v>91</v>
      </c>
      <c r="Q11" s="77"/>
      <c r="R11" s="74">
        <f>IF(ISNA(INDEX(CoreValuesResults[Core Values Score],MATCH(TournamentData[[#This Row],[Team '#]],CoreValuesResults[Team '#],0))),0,INDEX(CoreValuesResults[Core Values Score],MATCH(TournamentData[[#This Row],[Team '#]],CoreValuesResults[Team '#],0)))</f>
        <v>37</v>
      </c>
      <c r="S11" s="74">
        <f>IF(ISNA(INDEX(InnovationProjectResults[Innovation Project Score],MATCH(TournamentData[[#This Row],[Team '#]],InnovationProjectResults[Team '#],0))),0,INDEX(InnovationProjectResults[Innovation Project Score],MATCH(TournamentData[[#This Row],[Team '#]],InnovationProjectResults[Team '#],0)))</f>
        <v>26</v>
      </c>
      <c r="T11" s="74">
        <f>IF(ISNA(INDEX(RobotDesignResults[Robot Design Score],MATCH(TournamentData[[#This Row],[Team '#]],RobotDesignResults[Team '#],0))),0,INDEX(RobotDesignResults[Robot Design Score],MATCH(TournamentData[[#This Row],[Team '#]],RobotDesignResults[Team '#],0)))</f>
        <v>22</v>
      </c>
      <c r="U11"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49.558174997661027</v>
      </c>
      <c r="V11" s="73">
        <f>IF(U3,_xlfn.RANK.EQ(U3,U$3:U$3,0),NumberOfTeams)</f>
        <v>1</v>
      </c>
      <c r="W11" s="73"/>
    </row>
    <row r="12" spans="1:26" ht="21" customHeight="1" x14ac:dyDescent="0.25">
      <c r="A12" s="99">
        <v>71673</v>
      </c>
      <c r="B12" s="99">
        <f>INDEX(OfficialTeamList[Pod Number],MATCH(TournamentData[[#This Row],[Team '#]], OfficialTeamList[Team '#],0))</f>
        <v>0</v>
      </c>
      <c r="C12" s="94" t="str">
        <f>INDEX(OfficialTeamList[Team Name],MATCH(TournamentData[[#This Row],[Team '#]], OfficialTeamList[Team '#],0))</f>
        <v>SMS Eaglebots 1</v>
      </c>
      <c r="D12" s="72">
        <f>IF(TournamentData[[#This Row],[Team '#]]="","",IF(ISNA(INDEX('Robot Game Scores'!C:C,MATCH(TournamentData[[#This Row],[Team '#]], 'Robot Game Scores'!$A:$A,0))),0,INDEX('Robot Game Scores'!C:C,MATCH(TournamentData[[#This Row],[Team '#]], 'Robot Game Scores'!$A:$A,0))))</f>
        <v>120</v>
      </c>
      <c r="E12" s="72">
        <f>IF(TournamentData[[#This Row],[Team '#]]="","",IF(ISNA(INDEX('Robot Game Scores'!D:D,MATCH(TournamentData[[#This Row],[Team '#]], 'Robot Game Scores'!$A:$A,0))),0,INDEX('Robot Game Scores'!D:D,MATCH(TournamentData[[#This Row],[Team '#]], 'Robot Game Scores'!$A:$A,0))))</f>
        <v>232</v>
      </c>
      <c r="F12" s="72">
        <f>IF(TournamentData[[#This Row],[Team '#]]="","",IF(ISNA(INDEX('Robot Game Scores'!E:E,MATCH(TournamentData[[#This Row],[Team '#]], 'Robot Game Scores'!$A:$A,0))),0,INDEX('Robot Game Scores'!E:E,MATCH(TournamentData[[#This Row],[Team '#]], 'Robot Game Scores'!$A:$A,0))))</f>
        <v>172</v>
      </c>
      <c r="G12" s="72" t="e">
        <f>IF(TournamentData[[#This Row],[Team '#]]="","",IF(ISNA(INDEX('Robot Game Scores'!#REF!,MATCH(TournamentData[[#This Row],[Team '#]], 'Robot Game Scores'!$A:$A,0))),0,INDEX('Robot Game Scores'!#REF!,MATCH(TournamentData[[#This Row],[Team '#]], 'Robot Game Scores'!$A:$A,0))))</f>
        <v>#REF!</v>
      </c>
      <c r="H12" s="72" t="e">
        <f>IF(TournamentData[[#This Row],[Team '#]]="","",IF(ISNA(INDEX('Robot Game Scores'!#REF!,MATCH(TournamentData[[#This Row],[Team '#]], 'Robot Game Scores'!$A:$A,0))),0,INDEX('Robot Game Scores'!#REF!,MATCH(TournamentData[[#This Row],[Team '#]], 'Robot Game Scores'!$A:$A,0))))</f>
        <v>#REF!</v>
      </c>
      <c r="I12"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232.017212</v>
      </c>
      <c r="J12" s="72">
        <f>_xlfn.RANK.EQ(TournamentData[[#This Row],[Max Robot Game Score]],TournamentData[Max Robot Game Score])</f>
        <v>9</v>
      </c>
      <c r="K12" s="72">
        <f>INDEX(CoreValuesResults[Core Values Rank],MATCH(TournamentData[[#This Row],[Team '#]],CoreValuesResults[Team '#],0))</f>
        <v>1</v>
      </c>
      <c r="L12" s="72">
        <f>INDEX(InnovationProjectResults[Innovation Project Rank],MATCH(TournamentData[[#This Row],[Team '#]],InnovationProjectResults[Team '#],0))</f>
        <v>1</v>
      </c>
      <c r="M12" s="72">
        <f>INDEX(RobotDesignResults[Robot Design Rank],MATCH(TournamentData[[#This Row],[Team '#]],RobotDesignResults[Team '#],0))</f>
        <v>11</v>
      </c>
      <c r="N12" s="72">
        <f>SUM(TournamentData[[#This Row],[Robot Game Rank]:[Robot Design Rank]])</f>
        <v>22</v>
      </c>
      <c r="O12" s="101">
        <f>RANK(TournamentData[[#This Row],[Champion''s Score]],TournamentData[Champion''s Score],1)</f>
        <v>5</v>
      </c>
      <c r="P12" s="73" t="s">
        <v>92</v>
      </c>
      <c r="Q12" s="77"/>
      <c r="R12" s="74">
        <f>IF(ISNA(INDEX(CoreValuesResults[Core Values Score],MATCH(TournamentData[[#This Row],[Team '#]],CoreValuesResults[Team '#],0))),0,INDEX(CoreValuesResults[Core Values Score],MATCH(TournamentData[[#This Row],[Team '#]],CoreValuesResults[Team '#],0)))</f>
        <v>48</v>
      </c>
      <c r="S12" s="74">
        <f>IF(ISNA(INDEX(InnovationProjectResults[Innovation Project Score],MATCH(TournamentData[[#This Row],[Team '#]],InnovationProjectResults[Team '#],0))),0,INDEX(InnovationProjectResults[Innovation Project Score],MATCH(TournamentData[[#This Row],[Team '#]],InnovationProjectResults[Team '#],0)))</f>
        <v>31</v>
      </c>
      <c r="T12" s="74">
        <f>IF(ISNA(INDEX(RobotDesignResults[Robot Design Score],MATCH(TournamentData[[#This Row],[Team '#]],RobotDesignResults[Team '#],0))),0,INDEX(RobotDesignResults[Robot Design Score],MATCH(TournamentData[[#This Row],[Team '#]],RobotDesignResults[Team '#],0)))</f>
        <v>21</v>
      </c>
      <c r="U12"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51.890231406143009</v>
      </c>
      <c r="V12" s="73">
        <f>IF(U3,_xlfn.RANK.EQ(U3,U$3:U$3,0),NumberOfTeams)</f>
        <v>1</v>
      </c>
      <c r="W12" s="73"/>
    </row>
    <row r="13" spans="1:26" ht="21" customHeight="1" x14ac:dyDescent="0.25">
      <c r="A13" s="99">
        <v>73002</v>
      </c>
      <c r="B13" s="99">
        <f>INDEX(OfficialTeamList[Pod Number],MATCH(TournamentData[[#This Row],[Team '#]], OfficialTeamList[Team '#],0))</f>
        <v>0</v>
      </c>
      <c r="C13" s="94" t="str">
        <f>INDEX(OfficialTeamList[Team Name],MATCH(TournamentData[[#This Row],[Team '#]], OfficialTeamList[Team '#],0))</f>
        <v>MCH Monarchs</v>
      </c>
      <c r="D13" s="72">
        <f>IF(TournamentData[[#This Row],[Team '#]]="","",IF(ISNA(INDEX('Robot Game Scores'!C:C,MATCH(TournamentData[[#This Row],[Team '#]], 'Robot Game Scores'!$A:$A,0))),0,INDEX('Robot Game Scores'!C:C,MATCH(TournamentData[[#This Row],[Team '#]], 'Robot Game Scores'!$A:$A,0))))</f>
        <v>294</v>
      </c>
      <c r="E13" s="72">
        <f>IF(TournamentData[[#This Row],[Team '#]]="","",IF(ISNA(INDEX('Robot Game Scores'!D:D,MATCH(TournamentData[[#This Row],[Team '#]], 'Robot Game Scores'!$A:$A,0))),0,INDEX('Robot Game Scores'!D:D,MATCH(TournamentData[[#This Row],[Team '#]], 'Robot Game Scores'!$A:$A,0))))</f>
        <v>268</v>
      </c>
      <c r="F13" s="72">
        <f>IF(TournamentData[[#This Row],[Team '#]]="","",IF(ISNA(INDEX('Robot Game Scores'!E:E,MATCH(TournamentData[[#This Row],[Team '#]], 'Robot Game Scores'!$A:$A,0))),0,INDEX('Robot Game Scores'!E:E,MATCH(TournamentData[[#This Row],[Team '#]], 'Robot Game Scores'!$A:$A,0))))</f>
        <v>267</v>
      </c>
      <c r="G13" s="72" t="e">
        <f>IF(TournamentData[[#This Row],[Team '#]]="","",IF(ISNA(INDEX('Robot Game Scores'!#REF!,MATCH(TournamentData[[#This Row],[Team '#]], 'Robot Game Scores'!$A:$A,0))),0,INDEX('Robot Game Scores'!#REF!,MATCH(TournamentData[[#This Row],[Team '#]], 'Robot Game Scores'!$A:$A,0))))</f>
        <v>#REF!</v>
      </c>
      <c r="H13" s="72" t="e">
        <f>IF(TournamentData[[#This Row],[Team '#]]="","",IF(ISNA(INDEX('Robot Game Scores'!#REF!,MATCH(TournamentData[[#This Row],[Team '#]], 'Robot Game Scores'!$A:$A,0))),0,INDEX('Robot Game Scores'!#REF!,MATCH(TournamentData[[#This Row],[Team '#]], 'Robot Game Scores'!$A:$A,0))))</f>
        <v>#REF!</v>
      </c>
      <c r="I1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294.02682669999996</v>
      </c>
      <c r="J13" s="72">
        <f>_xlfn.RANK.EQ(TournamentData[[#This Row],[Max Robot Game Score]],TournamentData[Max Robot Game Score])</f>
        <v>1</v>
      </c>
      <c r="K13" s="72">
        <f>INDEX(CoreValuesResults[Core Values Rank],MATCH(TournamentData[[#This Row],[Team '#]],CoreValuesResults[Team '#],0))</f>
        <v>7</v>
      </c>
      <c r="L13" s="72">
        <f>INDEX(InnovationProjectResults[Innovation Project Rank],MATCH(TournamentData[[#This Row],[Team '#]],InnovationProjectResults[Team '#],0))</f>
        <v>6</v>
      </c>
      <c r="M13" s="72">
        <f>INDEX(RobotDesignResults[Robot Design Rank],MATCH(TournamentData[[#This Row],[Team '#]],RobotDesignResults[Team '#],0))</f>
        <v>1</v>
      </c>
      <c r="N13" s="72">
        <f>SUM(TournamentData[[#This Row],[Robot Game Rank]:[Robot Design Rank]])</f>
        <v>15</v>
      </c>
      <c r="O13" s="101">
        <f>RANK(TournamentData[[#This Row],[Champion''s Score]],TournamentData[Champion''s Score],1)</f>
        <v>2</v>
      </c>
      <c r="P13" s="73" t="s">
        <v>93</v>
      </c>
      <c r="Q13" s="77"/>
      <c r="R13" s="74">
        <f>IF(ISNA(INDEX(CoreValuesResults[Core Values Score],MATCH(TournamentData[[#This Row],[Team '#]],CoreValuesResults[Team '#],0))),0,INDEX(CoreValuesResults[Core Values Score],MATCH(TournamentData[[#This Row],[Team '#]],CoreValuesResults[Team '#],0)))</f>
        <v>44</v>
      </c>
      <c r="S13" s="74">
        <f>IF(ISNA(INDEX(InnovationProjectResults[Innovation Project Score],MATCH(TournamentData[[#This Row],[Team '#]],InnovationProjectResults[Team '#],0))),0,INDEX(InnovationProjectResults[Innovation Project Score],MATCH(TournamentData[[#This Row],[Team '#]],InnovationProjectResults[Team '#],0)))</f>
        <v>25</v>
      </c>
      <c r="T13" s="74">
        <f>IF(ISNA(INDEX(RobotDesignResults[Robot Design Score],MATCH(TournamentData[[#This Row],[Team '#]],RobotDesignResults[Team '#],0))),0,INDEX(RobotDesignResults[Robot Design Score],MATCH(TournamentData[[#This Row],[Team '#]],RobotDesignResults[Team '#],0)))</f>
        <v>26</v>
      </c>
      <c r="U1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53.850314927206639</v>
      </c>
      <c r="V13" s="73">
        <f>IF(U3,_xlfn.RANK.EQ(U3,U$3:U$3,0),NumberOfTeams)</f>
        <v>1</v>
      </c>
      <c r="W13" s="73"/>
    </row>
    <row r="14" spans="1:26" ht="21" customHeight="1" x14ac:dyDescent="0.25">
      <c r="A14" s="99">
        <v>73106</v>
      </c>
      <c r="B14" s="99">
        <f>INDEX(OfficialTeamList[Pod Number],MATCH(TournamentData[[#This Row],[Team '#]], OfficialTeamList[Team '#],0))</f>
        <v>0</v>
      </c>
      <c r="C14" s="94" t="str">
        <f>INDEX(OfficialTeamList[Team Name],MATCH(TournamentData[[#This Row],[Team '#]], OfficialTeamList[Team '#],0))</f>
        <v>Kempsville Dino-Nuggets</v>
      </c>
      <c r="D14" s="72">
        <f>IF(TournamentData[[#This Row],[Team '#]]="","",IF(ISNA(INDEX('Robot Game Scores'!C:C,MATCH(TournamentData[[#This Row],[Team '#]], 'Robot Game Scores'!$A:$A,0))),0,INDEX('Robot Game Scores'!C:C,MATCH(TournamentData[[#This Row],[Team '#]], 'Robot Game Scores'!$A:$A,0))))</f>
        <v>233</v>
      </c>
      <c r="E14" s="72">
        <f>IF(TournamentData[[#This Row],[Team '#]]="","",IF(ISNA(INDEX('Robot Game Scores'!D:D,MATCH(TournamentData[[#This Row],[Team '#]], 'Robot Game Scores'!$A:$A,0))),0,INDEX('Robot Game Scores'!D:D,MATCH(TournamentData[[#This Row],[Team '#]], 'Robot Game Scores'!$A:$A,0))))</f>
        <v>241</v>
      </c>
      <c r="F14" s="72">
        <f>IF(TournamentData[[#This Row],[Team '#]]="","",IF(ISNA(INDEX('Robot Game Scores'!E:E,MATCH(TournamentData[[#This Row],[Team '#]], 'Robot Game Scores'!$A:$A,0))),0,INDEX('Robot Game Scores'!E:E,MATCH(TournamentData[[#This Row],[Team '#]], 'Robot Game Scores'!$A:$A,0))))</f>
        <v>274</v>
      </c>
      <c r="G14" s="72" t="e">
        <f>IF(TournamentData[[#This Row],[Team '#]]="","",IF(ISNA(INDEX('Robot Game Scores'!#REF!,MATCH(TournamentData[[#This Row],[Team '#]], 'Robot Game Scores'!$A:$A,0))),0,INDEX('Robot Game Scores'!#REF!,MATCH(TournamentData[[#This Row],[Team '#]], 'Robot Game Scores'!$A:$A,0))))</f>
        <v>#REF!</v>
      </c>
      <c r="H14" s="72" t="e">
        <f>IF(TournamentData[[#This Row],[Team '#]]="","",IF(ISNA(INDEX('Robot Game Scores'!#REF!,MATCH(TournamentData[[#This Row],[Team '#]], 'Robot Game Scores'!$A:$A,0))),0,INDEX('Robot Game Scores'!#REF!,MATCH(TournamentData[[#This Row],[Team '#]], 'Robot Game Scores'!$A:$A,0))))</f>
        <v>#REF!</v>
      </c>
      <c r="I1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274.02412329999999</v>
      </c>
      <c r="J14" s="72">
        <f>_xlfn.RANK.EQ(TournamentData[[#This Row],[Max Robot Game Score]],TournamentData[Max Robot Game Score])</f>
        <v>5</v>
      </c>
      <c r="K14" s="72">
        <f>INDEX(CoreValuesResults[Core Values Rank],MATCH(TournamentData[[#This Row],[Team '#]],CoreValuesResults[Team '#],0))</f>
        <v>7</v>
      </c>
      <c r="L14" s="72">
        <f>INDEX(InnovationProjectResults[Innovation Project Rank],MATCH(TournamentData[[#This Row],[Team '#]],InnovationProjectResults[Team '#],0))</f>
        <v>10</v>
      </c>
      <c r="M14" s="72">
        <f>INDEX(RobotDesignResults[Robot Design Rank],MATCH(TournamentData[[#This Row],[Team '#]],RobotDesignResults[Team '#],0))</f>
        <v>5</v>
      </c>
      <c r="N14" s="72">
        <f>SUM(TournamentData[[#This Row],[Robot Game Rank]:[Robot Design Rank]])</f>
        <v>27</v>
      </c>
      <c r="O14" s="101">
        <f>RANK(TournamentData[[#This Row],[Champion''s Score]],TournamentData[Champion''s Score],1)</f>
        <v>7</v>
      </c>
      <c r="P14" s="73" t="s">
        <v>95</v>
      </c>
      <c r="Q14" s="77"/>
      <c r="R14" s="74">
        <f>IF(ISNA(INDEX(CoreValuesResults[Core Values Score],MATCH(TournamentData[[#This Row],[Team '#]],CoreValuesResults[Team '#],0))),0,INDEX(CoreValuesResults[Core Values Score],MATCH(TournamentData[[#This Row],[Team '#]],CoreValuesResults[Team '#],0)))</f>
        <v>44</v>
      </c>
      <c r="S14" s="74">
        <f>IF(ISNA(INDEX(InnovationProjectResults[Innovation Project Score],MATCH(TournamentData[[#This Row],[Team '#]],InnovationProjectResults[Team '#],0))),0,INDEX(InnovationProjectResults[Innovation Project Score],MATCH(TournamentData[[#This Row],[Team '#]],InnovationProjectResults[Team '#],0)))</f>
        <v>23</v>
      </c>
      <c r="T14" s="74">
        <f>IF(ISNA(INDEX(RobotDesignResults[Robot Design Score],MATCH(TournamentData[[#This Row],[Team '#]],RobotDesignResults[Team '#],0))),0,INDEX(RobotDesignResults[Robot Design Score],MATCH(TournamentData[[#This Row],[Team '#]],RobotDesignResults[Team '#],0)))</f>
        <v>24</v>
      </c>
      <c r="U1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50.791979384500301</v>
      </c>
      <c r="V14" s="73">
        <f>IF(U3,_xlfn.RANK.EQ(U3,U$3:U$3,0),NumberOfTeams)</f>
        <v>1</v>
      </c>
      <c r="W14" s="73"/>
    </row>
  </sheetData>
  <sheetProtection password="CB4D" sheet="1" formatCells="0" formatColumns="0" formatRows="0" selectLockedCells="1" sort="0" autoFilter="0"/>
  <mergeCells count="5">
    <mergeCell ref="R1:V1"/>
    <mergeCell ref="A1:C1"/>
    <mergeCell ref="D1:J1"/>
    <mergeCell ref="N1:O1"/>
    <mergeCell ref="K1:M1"/>
  </mergeCells>
  <conditionalFormatting sqref="A3:P3 R3:W3">
    <cfRule type="expression" dxfId="152" priority="17">
      <formula>ROW()-NumberOfTeams=2</formula>
    </cfRule>
  </conditionalFormatting>
  <conditionalFormatting sqref="P3:P14">
    <cfRule type="expression" dxfId="150" priority="3">
      <formula>COUNTIF($P$3:$P$14,P3)&gt;1</formula>
    </cfRule>
  </conditionalFormatting>
  <conditionalFormatting sqref="O3:O14">
    <cfRule type="expression" dxfId="149" priority="4">
      <formula>O3&lt;=$Q$1</formula>
    </cfRule>
  </conditionalFormatting>
  <conditionalFormatting sqref="Q1:Q2">
    <cfRule type="expression" dxfId="148" priority="5">
      <formula>COUNTIF($Q$3:$Q$14,"Yes")=$Q$1</formula>
    </cfRule>
  </conditionalFormatting>
  <conditionalFormatting sqref="W1">
    <cfRule type="expression" dxfId="147" priority="6">
      <formula>AND(COUNTIF($Q$3:$Q$14,"Yes")=$Q$1,COUNTIF($Q$3:$Q$14,"Alt")=1)</formula>
    </cfRule>
  </conditionalFormatting>
  <conditionalFormatting sqref="A3:I14">
    <cfRule type="expression" dxfId="146" priority="7">
      <formula>$P3&lt;&gt;""</formula>
    </cfRule>
  </conditionalFormatting>
  <conditionalFormatting sqref="K3:O14">
    <cfRule type="expression" dxfId="145" priority="18">
      <formula>$P3&lt;&gt;""</formula>
    </cfRule>
  </conditionalFormatting>
  <conditionalFormatting sqref="R3:W14">
    <cfRule type="expression" dxfId="144" priority="19">
      <formula>$P3&lt;&gt;""</formula>
    </cfRule>
  </conditionalFormatting>
  <conditionalFormatting sqref="J3:J14">
    <cfRule type="expression" dxfId="143" priority="10">
      <formula>J3=1</formula>
    </cfRule>
    <cfRule type="expression" dxfId="142" priority="11">
      <formula>J3=2</formula>
    </cfRule>
    <cfRule type="expression" dxfId="141" priority="12">
      <formula>J3=3</formula>
    </cfRule>
  </conditionalFormatting>
  <conditionalFormatting sqref="Q3:Q14">
    <cfRule type="expression" dxfId="140" priority="13">
      <formula>Q3="Yes"</formula>
    </cfRule>
    <cfRule type="expression" dxfId="139" priority="14">
      <formula>Q3="Alt"</formula>
    </cfRule>
  </conditionalFormatting>
  <dataValidations count="4">
    <dataValidation type="list" allowBlank="1" showInputMessage="1" showErrorMessage="1" sqref="Q3" xr:uid="{00000000-0002-0000-0700-000000000000}">
      <formula1>"Yes,No,Alt"</formula1>
    </dataValidation>
    <dataValidation type="list" allowBlank="1" showInputMessage="1" showErrorMessage="1" sqref="P3" xr:uid="{00000000-0002-0000-0700-000001000000}">
      <formula1>Awards</formula1>
    </dataValidation>
    <dataValidation type="list" allowBlank="1" sqref="Q3:Q14" xr:uid="{00000000-0002-0000-0700-000002000000}">
      <formula1>"Yes,No,Alt"</formula1>
    </dataValidation>
    <dataValidation type="list" allowBlank="1" sqref="P3:P14" xr:uid="{00000000-0002-0000-0700-000003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2" id="{00000000-000E-0000-0700-000002000000}">
            <xm:f>COUNTA(AwardListDropdowns!$A$3:$A$14)=COUNTA($P$3:$P$14)</xm:f>
            <x14:dxf>
              <font>
                <i/>
                <sz val="12"/>
                <color rgb="FF800080"/>
              </font>
              <fill>
                <patternFill patternType="solid">
                  <fgColor rgb="FF00FF00"/>
                  <bgColor rgb="FF00FF0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B050"/>
  </sheetPr>
  <dimension ref="A1:F13"/>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1" width="8.85546875" style="5" customWidth="1"/>
    <col min="12" max="16384" width="8.85546875" style="5"/>
  </cols>
  <sheetData>
    <row r="1" spans="1:6" s="40" customFormat="1" ht="150" customHeight="1" x14ac:dyDescent="0.25">
      <c r="A1" s="57" t="s">
        <v>27</v>
      </c>
      <c r="B1" s="57" t="s">
        <v>28</v>
      </c>
      <c r="C1" s="64" t="s">
        <v>182</v>
      </c>
      <c r="D1" s="64" t="s">
        <v>183</v>
      </c>
      <c r="E1" s="64" t="s">
        <v>184</v>
      </c>
      <c r="F1" s="58" t="s">
        <v>185</v>
      </c>
    </row>
    <row r="2" spans="1:6" ht="21" customHeight="1" x14ac:dyDescent="0.25">
      <c r="A2" s="99">
        <v>9021</v>
      </c>
      <c r="B2" s="102" t="str">
        <f>INDEX(OfficialTeamList[Team Name],MATCH(RobotGameScores[[#This Row],[Team '#]], OfficialTeamList[Team '#],0))</f>
        <v>Greenbrier Panthers</v>
      </c>
      <c r="C2" s="100">
        <v>182</v>
      </c>
      <c r="D2" s="100">
        <v>124</v>
      </c>
      <c r="E2" s="100">
        <v>92</v>
      </c>
      <c r="F2" s="76">
        <f>MAX(RobotGameScores[[#This Row],[Robot Game 1 Score]:[Robot Game 3 Score]])</f>
        <v>182</v>
      </c>
    </row>
    <row r="3" spans="1:6" ht="21" customHeight="1" x14ac:dyDescent="0.25">
      <c r="A3" s="99">
        <v>24277</v>
      </c>
      <c r="B3" s="102" t="str">
        <f>INDEX(OfficialTeamList[Team Name],MATCH(RobotGameScores[[#This Row],[Team '#]], OfficialTeamList[Team '#],0))</f>
        <v>Norfolk Collegiate O.A.K.S.</v>
      </c>
      <c r="C3" s="100">
        <v>195</v>
      </c>
      <c r="D3" s="100">
        <v>223</v>
      </c>
      <c r="E3" s="100">
        <v>139</v>
      </c>
      <c r="F3" s="76">
        <f>MAX(RobotGameScores[[#This Row],[Robot Game 1 Score]:[Robot Game 3 Score]])</f>
        <v>223</v>
      </c>
    </row>
    <row r="4" spans="1:6" ht="21" customHeight="1" x14ac:dyDescent="0.25">
      <c r="A4" s="99">
        <v>26034</v>
      </c>
      <c r="B4" s="102" t="str">
        <f>INDEX(OfficialTeamList[Team Name],MATCH(RobotGameScores[[#This Row],[Team '#]], OfficialTeamList[Team '#],0))</f>
        <v>OLMC White Team</v>
      </c>
      <c r="C4" s="100">
        <v>145</v>
      </c>
      <c r="D4" s="100">
        <v>278</v>
      </c>
      <c r="E4" s="100">
        <v>240</v>
      </c>
      <c r="F4" s="76">
        <f>MAX(RobotGameScores[[#This Row],[Robot Game 1 Score]:[Robot Game 3 Score]])</f>
        <v>278</v>
      </c>
    </row>
    <row r="5" spans="1:6" ht="21" customHeight="1" x14ac:dyDescent="0.25">
      <c r="A5" s="99">
        <v>60801</v>
      </c>
      <c r="B5" s="102" t="str">
        <f>INDEX(OfficialTeamList[Team Name],MATCH(RobotGameScores[[#This Row],[Team '#]], OfficialTeamList[Team '#],0))</f>
        <v>ESPs</v>
      </c>
      <c r="C5" s="100">
        <v>235</v>
      </c>
      <c r="D5" s="100">
        <v>111</v>
      </c>
      <c r="E5" s="100">
        <v>107</v>
      </c>
      <c r="F5" s="76">
        <f>MAX(RobotGameScores[[#This Row],[Robot Game 1 Score]:[Robot Game 3 Score]])</f>
        <v>235</v>
      </c>
    </row>
    <row r="6" spans="1:6" ht="21" customHeight="1" x14ac:dyDescent="0.25">
      <c r="A6" s="99">
        <v>62149</v>
      </c>
      <c r="B6" s="102" t="str">
        <f>INDEX(OfficialTeamList[Team Name],MATCH(RobotGameScores[[#This Row],[Team '#]], OfficialTeamList[Team '#],0))</f>
        <v>Dynamite Dolphins</v>
      </c>
      <c r="C6" s="100">
        <v>193</v>
      </c>
      <c r="D6" s="100">
        <v>259</v>
      </c>
      <c r="E6" s="100">
        <v>216</v>
      </c>
      <c r="F6" s="76">
        <f>MAX(RobotGameScores[[#This Row],[Robot Game 1 Score]:[Robot Game 3 Score]])</f>
        <v>259</v>
      </c>
    </row>
    <row r="7" spans="1:6" ht="21" customHeight="1" x14ac:dyDescent="0.25">
      <c r="A7" s="99">
        <v>62706</v>
      </c>
      <c r="B7" s="102" t="str">
        <f>INDEX(OfficialTeamList[Team Name],MATCH(RobotGameScores[[#This Row],[Team '#]], OfficialTeamList[Team '#],0))</f>
        <v>OLMC Aquinas</v>
      </c>
      <c r="C7" s="100">
        <v>91</v>
      </c>
      <c r="D7" s="100">
        <v>214</v>
      </c>
      <c r="E7" s="100">
        <v>242</v>
      </c>
      <c r="F7" s="76">
        <f>MAX(RobotGameScores[[#This Row],[Robot Game 1 Score]:[Robot Game 3 Score]])</f>
        <v>242</v>
      </c>
    </row>
    <row r="8" spans="1:6" ht="21" customHeight="1" x14ac:dyDescent="0.25">
      <c r="A8" s="99">
        <v>67083</v>
      </c>
      <c r="B8" s="102" t="str">
        <f>INDEX(OfficialTeamList[Team Name],MATCH(RobotGameScores[[#This Row],[Team '#]], OfficialTeamList[Team '#],0))</f>
        <v>Wired Dolphins</v>
      </c>
      <c r="C8" s="100">
        <v>152</v>
      </c>
      <c r="D8" s="100">
        <v>152</v>
      </c>
      <c r="E8" s="100">
        <v>225</v>
      </c>
      <c r="F8" s="76">
        <f>MAX(RobotGameScores[[#This Row],[Robot Game 1 Score]:[Robot Game 3 Score]])</f>
        <v>225</v>
      </c>
    </row>
    <row r="9" spans="1:6" ht="21" customHeight="1" x14ac:dyDescent="0.25">
      <c r="A9" s="99">
        <v>67801</v>
      </c>
      <c r="B9" s="102" t="str">
        <f>INDEX(OfficialTeamList[Team Name],MATCH(RobotGameScores[[#This Row],[Team '#]], OfficialTeamList[Team '#],0))</f>
        <v>Scorpion Tech Force</v>
      </c>
      <c r="C9" s="100">
        <v>198</v>
      </c>
      <c r="D9" s="100">
        <v>170</v>
      </c>
      <c r="E9" s="100">
        <v>276</v>
      </c>
      <c r="F9" s="76">
        <f>MAX(RobotGameScores[[#This Row],[Robot Game 1 Score]:[Robot Game 3 Score]])</f>
        <v>276</v>
      </c>
    </row>
    <row r="10" spans="1:6" ht="21" customHeight="1" x14ac:dyDescent="0.25">
      <c r="A10" s="99">
        <v>68850</v>
      </c>
      <c r="B10" s="102" t="str">
        <f>INDEX(OfficialTeamList[Team Name],MATCH(RobotGameScores[[#This Row],[Team '#]], OfficialTeamList[Team '#],0))</f>
        <v>MCH Marvels</v>
      </c>
      <c r="C10" s="100">
        <v>122</v>
      </c>
      <c r="D10" s="100">
        <v>285</v>
      </c>
      <c r="E10" s="100">
        <v>107</v>
      </c>
      <c r="F10" s="76">
        <f>MAX(RobotGameScores[[#This Row],[Robot Game 1 Score]:[Robot Game 3 Score]])</f>
        <v>285</v>
      </c>
    </row>
    <row r="11" spans="1:6" ht="21" customHeight="1" x14ac:dyDescent="0.25">
      <c r="A11" s="99">
        <v>71673</v>
      </c>
      <c r="B11" s="102" t="str">
        <f>INDEX(OfficialTeamList[Team Name],MATCH(RobotGameScores[[#This Row],[Team '#]], OfficialTeamList[Team '#],0))</f>
        <v>SMS Eaglebots 1</v>
      </c>
      <c r="C11" s="100">
        <v>120</v>
      </c>
      <c r="D11" s="100">
        <v>232</v>
      </c>
      <c r="E11" s="100">
        <v>172</v>
      </c>
      <c r="F11" s="76">
        <f>MAX(RobotGameScores[[#This Row],[Robot Game 1 Score]:[Robot Game 3 Score]])</f>
        <v>232</v>
      </c>
    </row>
    <row r="12" spans="1:6" ht="21" customHeight="1" x14ac:dyDescent="0.25">
      <c r="A12" s="99">
        <v>73002</v>
      </c>
      <c r="B12" s="102" t="str">
        <f>INDEX(OfficialTeamList[Team Name],MATCH(RobotGameScores[[#This Row],[Team '#]], OfficialTeamList[Team '#],0))</f>
        <v>MCH Monarchs</v>
      </c>
      <c r="C12" s="100">
        <v>294</v>
      </c>
      <c r="D12" s="100">
        <v>268</v>
      </c>
      <c r="E12" s="100">
        <v>267</v>
      </c>
      <c r="F12" s="76">
        <f>MAX(RobotGameScores[[#This Row],[Robot Game 1 Score]:[Robot Game 3 Score]])</f>
        <v>294</v>
      </c>
    </row>
    <row r="13" spans="1:6" ht="21" customHeight="1" x14ac:dyDescent="0.25">
      <c r="A13" s="99">
        <v>73106</v>
      </c>
      <c r="B13" s="102" t="str">
        <f>INDEX(OfficialTeamList[Team Name],MATCH(RobotGameScores[[#This Row],[Team '#]], OfficialTeamList[Team '#],0))</f>
        <v>Kempsville Dino-Nuggets</v>
      </c>
      <c r="C13" s="100">
        <v>233</v>
      </c>
      <c r="D13" s="100">
        <v>241</v>
      </c>
      <c r="E13" s="100">
        <v>274</v>
      </c>
      <c r="F13" s="76">
        <f>MAX(RobotGameScores[[#This Row],[Robot Game 1 Score]:[Robot Game 3 Score]])</f>
        <v>274</v>
      </c>
    </row>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16DB6"/>
    <pageSetUpPr fitToPage="1"/>
  </sheetPr>
  <dimension ref="A1:P1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153</v>
      </c>
      <c r="C1" s="56" t="s">
        <v>28</v>
      </c>
      <c r="D1" s="63" t="s">
        <v>186</v>
      </c>
      <c r="E1" s="63" t="s">
        <v>187</v>
      </c>
      <c r="F1" s="63" t="s">
        <v>188</v>
      </c>
      <c r="G1" s="63" t="s">
        <v>189</v>
      </c>
      <c r="H1" s="63" t="s">
        <v>190</v>
      </c>
      <c r="I1" s="63" t="s">
        <v>191</v>
      </c>
      <c r="J1" s="63" t="s">
        <v>192</v>
      </c>
      <c r="K1" s="63" t="s">
        <v>193</v>
      </c>
      <c r="L1" s="63" t="s">
        <v>194</v>
      </c>
      <c r="M1" s="63" t="s">
        <v>195</v>
      </c>
      <c r="N1" s="92" t="s">
        <v>196</v>
      </c>
      <c r="O1" s="93" t="s">
        <v>171</v>
      </c>
    </row>
    <row r="2" spans="1:15" ht="21" customHeight="1" x14ac:dyDescent="0.25">
      <c r="A2" s="99">
        <v>9021</v>
      </c>
      <c r="B2" s="99">
        <f>INDEX(OfficialTeamList[Pod Number],MATCH(InnovationProjectResults[[#This Row],[Team '#]], OfficialTeamList[Team '#],0))</f>
        <v>0</v>
      </c>
      <c r="C2" s="102" t="str">
        <f>INDEX(OfficialTeamList[Team Name],MATCH(InnovationProjectResults[[#This Row],[Team '#]], OfficialTeamList[Team '#],0))</f>
        <v>Greenbrier Panthers</v>
      </c>
      <c r="D2" s="100">
        <v>3</v>
      </c>
      <c r="E2" s="100">
        <v>3</v>
      </c>
      <c r="F2" s="100">
        <v>2</v>
      </c>
      <c r="G2" s="100">
        <v>3</v>
      </c>
      <c r="H2" s="100">
        <v>2</v>
      </c>
      <c r="I2" s="100">
        <v>1</v>
      </c>
      <c r="J2" s="100">
        <v>3</v>
      </c>
      <c r="K2" s="100">
        <v>1</v>
      </c>
      <c r="L2" s="100">
        <v>3</v>
      </c>
      <c r="M2" s="100">
        <v>4</v>
      </c>
      <c r="N2" s="76">
        <f>SUM(InnovationProjectResults[[#This Row],[Identify - Define]:[Communicate - Fun (CV)]])</f>
        <v>25</v>
      </c>
      <c r="O2" s="70">
        <f>_xlfn.RANK.EQ(InnovationProjectResults[[#This Row],[Innovation Project Score]],InnovationProjectResults[Innovation Project Score],0)</f>
        <v>6</v>
      </c>
    </row>
    <row r="3" spans="1:15" ht="21" customHeight="1" x14ac:dyDescent="0.25">
      <c r="A3" s="99">
        <v>24277</v>
      </c>
      <c r="B3" s="99">
        <f>INDEX(OfficialTeamList[Pod Number],MATCH(InnovationProjectResults[[#This Row],[Team '#]], OfficialTeamList[Team '#],0))</f>
        <v>0</v>
      </c>
      <c r="C3" s="102" t="str">
        <f>INDEX(OfficialTeamList[Team Name],MATCH(InnovationProjectResults[[#This Row],[Team '#]], OfficialTeamList[Team '#],0))</f>
        <v>Norfolk Collegiate O.A.K.S.</v>
      </c>
      <c r="D3" s="100">
        <v>3</v>
      </c>
      <c r="E3" s="100">
        <v>2</v>
      </c>
      <c r="F3" s="100">
        <v>2</v>
      </c>
      <c r="G3" s="100">
        <v>2</v>
      </c>
      <c r="H3" s="100">
        <v>2</v>
      </c>
      <c r="I3" s="100">
        <v>1</v>
      </c>
      <c r="J3" s="100">
        <v>1</v>
      </c>
      <c r="K3" s="100">
        <v>1</v>
      </c>
      <c r="L3" s="100">
        <v>2</v>
      </c>
      <c r="M3" s="100">
        <v>4</v>
      </c>
      <c r="N3" s="76">
        <f>SUM(InnovationProjectResults[[#This Row],[Identify - Define]:[Communicate - Fun (CV)]])</f>
        <v>20</v>
      </c>
      <c r="O3" s="70">
        <f>_xlfn.RANK.EQ(InnovationProjectResults[[#This Row],[Innovation Project Score]],InnovationProjectResults[Innovation Project Score],0)</f>
        <v>12</v>
      </c>
    </row>
    <row r="4" spans="1:15" ht="21" customHeight="1" x14ac:dyDescent="0.25">
      <c r="A4" s="99">
        <v>26034</v>
      </c>
      <c r="B4" s="99">
        <f>INDEX(OfficialTeamList[Pod Number],MATCH(InnovationProjectResults[[#This Row],[Team '#]], OfficialTeamList[Team '#],0))</f>
        <v>0</v>
      </c>
      <c r="C4" s="102" t="str">
        <f>INDEX(OfficialTeamList[Team Name],MATCH(InnovationProjectResults[[#This Row],[Team '#]], OfficialTeamList[Team '#],0))</f>
        <v>OLMC White Team</v>
      </c>
      <c r="D4" s="100">
        <v>3</v>
      </c>
      <c r="E4" s="100">
        <v>2</v>
      </c>
      <c r="F4" s="100">
        <v>3</v>
      </c>
      <c r="G4" s="100">
        <v>2</v>
      </c>
      <c r="H4" s="100">
        <v>3</v>
      </c>
      <c r="I4" s="100">
        <v>2</v>
      </c>
      <c r="J4" s="100">
        <v>3</v>
      </c>
      <c r="K4" s="100">
        <v>2</v>
      </c>
      <c r="L4" s="100">
        <v>4</v>
      </c>
      <c r="M4" s="100">
        <v>3</v>
      </c>
      <c r="N4" s="76">
        <f>SUM(InnovationProjectResults[[#This Row],[Identify - Define]:[Communicate - Fun (CV)]])</f>
        <v>27</v>
      </c>
      <c r="O4" s="70">
        <f>_xlfn.RANK.EQ(InnovationProjectResults[[#This Row],[Innovation Project Score]],InnovationProjectResults[Innovation Project Score],0)</f>
        <v>3</v>
      </c>
    </row>
    <row r="5" spans="1:15" ht="21" customHeight="1" x14ac:dyDescent="0.25">
      <c r="A5" s="99">
        <v>60801</v>
      </c>
      <c r="B5" s="99">
        <f>INDEX(OfficialTeamList[Pod Number],MATCH(InnovationProjectResults[[#This Row],[Team '#]], OfficialTeamList[Team '#],0))</f>
        <v>0</v>
      </c>
      <c r="C5" s="102" t="str">
        <f>INDEX(OfficialTeamList[Team Name],MATCH(InnovationProjectResults[[#This Row],[Team '#]], OfficialTeamList[Team '#],0))</f>
        <v>ESPs</v>
      </c>
      <c r="D5" s="100">
        <v>3</v>
      </c>
      <c r="E5" s="100">
        <v>3</v>
      </c>
      <c r="F5" s="100">
        <v>2</v>
      </c>
      <c r="G5" s="100">
        <v>3</v>
      </c>
      <c r="H5" s="100">
        <v>1</v>
      </c>
      <c r="I5" s="100">
        <v>2</v>
      </c>
      <c r="J5" s="100">
        <v>2</v>
      </c>
      <c r="K5" s="100">
        <v>4</v>
      </c>
      <c r="L5" s="100">
        <v>2</v>
      </c>
      <c r="M5" s="100">
        <v>2</v>
      </c>
      <c r="N5" s="76">
        <f>SUM(InnovationProjectResults[[#This Row],[Identify - Define]:[Communicate - Fun (CV)]])</f>
        <v>24</v>
      </c>
      <c r="O5" s="70">
        <f>_xlfn.RANK.EQ(InnovationProjectResults[[#This Row],[Innovation Project Score]],InnovationProjectResults[Innovation Project Score],0)</f>
        <v>9</v>
      </c>
    </row>
    <row r="6" spans="1:15" ht="21" customHeight="1" x14ac:dyDescent="0.25">
      <c r="A6" s="99">
        <v>62149</v>
      </c>
      <c r="B6" s="99">
        <f>INDEX(OfficialTeamList[Pod Number],MATCH(InnovationProjectResults[[#This Row],[Team '#]], OfficialTeamList[Team '#],0))</f>
        <v>0</v>
      </c>
      <c r="C6" s="102" t="str">
        <f>INDEX(OfficialTeamList[Team Name],MATCH(InnovationProjectResults[[#This Row],[Team '#]], OfficialTeamList[Team '#],0))</f>
        <v>Dynamite Dolphins</v>
      </c>
      <c r="D6" s="100">
        <v>1</v>
      </c>
      <c r="E6" s="100">
        <v>3</v>
      </c>
      <c r="F6" s="100">
        <v>2</v>
      </c>
      <c r="G6" s="100">
        <v>3</v>
      </c>
      <c r="H6" s="100">
        <v>3</v>
      </c>
      <c r="I6" s="100">
        <v>2</v>
      </c>
      <c r="J6" s="100">
        <v>3</v>
      </c>
      <c r="K6" s="100">
        <v>3</v>
      </c>
      <c r="L6" s="100">
        <v>1</v>
      </c>
      <c r="M6" s="100">
        <v>4</v>
      </c>
      <c r="N6" s="76">
        <f>SUM(InnovationProjectResults[[#This Row],[Identify - Define]:[Communicate - Fun (CV)]])</f>
        <v>25</v>
      </c>
      <c r="O6" s="70">
        <f>_xlfn.RANK.EQ(InnovationProjectResults[[#This Row],[Innovation Project Score]],InnovationProjectResults[Innovation Project Score],0)</f>
        <v>6</v>
      </c>
    </row>
    <row r="7" spans="1:15" ht="21" customHeight="1" x14ac:dyDescent="0.25">
      <c r="A7" s="99">
        <v>62706</v>
      </c>
      <c r="B7" s="99">
        <f>INDEX(OfficialTeamList[Pod Number],MATCH(InnovationProjectResults[[#This Row],[Team '#]], OfficialTeamList[Team '#],0))</f>
        <v>0</v>
      </c>
      <c r="C7" s="102" t="str">
        <f>INDEX(OfficialTeamList[Team Name],MATCH(InnovationProjectResults[[#This Row],[Team '#]], OfficialTeamList[Team '#],0))</f>
        <v>OLMC Aquinas</v>
      </c>
      <c r="D7" s="100">
        <v>2</v>
      </c>
      <c r="E7" s="100">
        <v>3</v>
      </c>
      <c r="F7" s="100">
        <v>3</v>
      </c>
      <c r="G7" s="100">
        <v>2</v>
      </c>
      <c r="H7" s="100">
        <v>1</v>
      </c>
      <c r="I7" s="100">
        <v>3</v>
      </c>
      <c r="J7" s="100">
        <v>1</v>
      </c>
      <c r="K7" s="100">
        <v>4</v>
      </c>
      <c r="L7" s="100">
        <v>1</v>
      </c>
      <c r="M7" s="100">
        <v>2</v>
      </c>
      <c r="N7" s="76">
        <f>SUM(InnovationProjectResults[[#This Row],[Identify - Define]:[Communicate - Fun (CV)]])</f>
        <v>22</v>
      </c>
      <c r="O7" s="70">
        <f>_xlfn.RANK.EQ(InnovationProjectResults[[#This Row],[Innovation Project Score]],InnovationProjectResults[Innovation Project Score],0)</f>
        <v>11</v>
      </c>
    </row>
    <row r="8" spans="1:15" ht="21" customHeight="1" x14ac:dyDescent="0.25">
      <c r="A8" s="99">
        <v>67083</v>
      </c>
      <c r="B8" s="99">
        <f>INDEX(OfficialTeamList[Pod Number],MATCH(InnovationProjectResults[[#This Row],[Team '#]], OfficialTeamList[Team '#],0))</f>
        <v>0</v>
      </c>
      <c r="C8" s="102" t="str">
        <f>INDEX(OfficialTeamList[Team Name],MATCH(InnovationProjectResults[[#This Row],[Team '#]], OfficialTeamList[Team '#],0))</f>
        <v>Wired Dolphins</v>
      </c>
      <c r="D8" s="100">
        <v>3</v>
      </c>
      <c r="E8" s="100">
        <v>2</v>
      </c>
      <c r="F8" s="100">
        <v>2</v>
      </c>
      <c r="G8" s="100">
        <v>3</v>
      </c>
      <c r="H8" s="100">
        <v>3</v>
      </c>
      <c r="I8" s="100">
        <v>2</v>
      </c>
      <c r="J8" s="100">
        <v>2</v>
      </c>
      <c r="K8" s="100">
        <v>3</v>
      </c>
      <c r="L8" s="100">
        <v>3</v>
      </c>
      <c r="M8" s="100">
        <v>3</v>
      </c>
      <c r="N8" s="76">
        <f>SUM(InnovationProjectResults[[#This Row],[Identify - Define]:[Communicate - Fun (CV)]])</f>
        <v>26</v>
      </c>
      <c r="O8" s="70">
        <f>_xlfn.RANK.EQ(InnovationProjectResults[[#This Row],[Innovation Project Score]],InnovationProjectResults[Innovation Project Score],0)</f>
        <v>4</v>
      </c>
    </row>
    <row r="9" spans="1:15" ht="21" customHeight="1" x14ac:dyDescent="0.25">
      <c r="A9" s="99">
        <v>67801</v>
      </c>
      <c r="B9" s="99">
        <f>INDEX(OfficialTeamList[Pod Number],MATCH(InnovationProjectResults[[#This Row],[Team '#]], OfficialTeamList[Team '#],0))</f>
        <v>0</v>
      </c>
      <c r="C9" s="102" t="str">
        <f>INDEX(OfficialTeamList[Team Name],MATCH(InnovationProjectResults[[#This Row],[Team '#]], OfficialTeamList[Team '#],0))</f>
        <v>Scorpion Tech Force</v>
      </c>
      <c r="D9" s="100">
        <v>3</v>
      </c>
      <c r="E9" s="100">
        <v>2</v>
      </c>
      <c r="F9" s="100">
        <v>2</v>
      </c>
      <c r="G9" s="100">
        <v>4</v>
      </c>
      <c r="H9" s="100">
        <v>4</v>
      </c>
      <c r="I9" s="100">
        <v>3</v>
      </c>
      <c r="J9" s="100">
        <v>3</v>
      </c>
      <c r="K9" s="100">
        <v>3</v>
      </c>
      <c r="L9" s="100">
        <v>2</v>
      </c>
      <c r="M9" s="100">
        <v>3</v>
      </c>
      <c r="N9" s="76">
        <f>SUM(InnovationProjectResults[[#This Row],[Identify - Define]:[Communicate - Fun (CV)]])</f>
        <v>29</v>
      </c>
      <c r="O9" s="70">
        <f>_xlfn.RANK.EQ(InnovationProjectResults[[#This Row],[Innovation Project Score]],InnovationProjectResults[Innovation Project Score],0)</f>
        <v>2</v>
      </c>
    </row>
    <row r="10" spans="1:15" ht="21" customHeight="1" x14ac:dyDescent="0.25">
      <c r="A10" s="99">
        <v>68850</v>
      </c>
      <c r="B10" s="99">
        <f>INDEX(OfficialTeamList[Pod Number],MATCH(InnovationProjectResults[[#This Row],[Team '#]], OfficialTeamList[Team '#],0))</f>
        <v>0</v>
      </c>
      <c r="C10" s="102" t="str">
        <f>INDEX(OfficialTeamList[Team Name],MATCH(InnovationProjectResults[[#This Row],[Team '#]], OfficialTeamList[Team '#],0))</f>
        <v>MCH Marvels</v>
      </c>
      <c r="D10" s="100">
        <v>3</v>
      </c>
      <c r="E10" s="100">
        <v>2</v>
      </c>
      <c r="F10" s="100">
        <v>4</v>
      </c>
      <c r="G10" s="100">
        <v>3</v>
      </c>
      <c r="H10" s="100">
        <v>1</v>
      </c>
      <c r="I10" s="100">
        <v>4</v>
      </c>
      <c r="J10" s="100">
        <v>3</v>
      </c>
      <c r="K10" s="100">
        <v>3</v>
      </c>
      <c r="L10" s="100">
        <v>1</v>
      </c>
      <c r="M10" s="100">
        <v>2</v>
      </c>
      <c r="N10" s="76">
        <f>SUM(InnovationProjectResults[[#This Row],[Identify - Define]:[Communicate - Fun (CV)]])</f>
        <v>26</v>
      </c>
      <c r="O10" s="70">
        <f>_xlfn.RANK.EQ(InnovationProjectResults[[#This Row],[Innovation Project Score]],InnovationProjectResults[Innovation Project Score],0)</f>
        <v>4</v>
      </c>
    </row>
    <row r="11" spans="1:15" ht="21" customHeight="1" x14ac:dyDescent="0.25">
      <c r="A11" s="99">
        <v>71673</v>
      </c>
      <c r="B11" s="99">
        <f>INDEX(OfficialTeamList[Pod Number],MATCH(InnovationProjectResults[[#This Row],[Team '#]], OfficialTeamList[Team '#],0))</f>
        <v>0</v>
      </c>
      <c r="C11" s="102" t="str">
        <f>INDEX(OfficialTeamList[Team Name],MATCH(InnovationProjectResults[[#This Row],[Team '#]], OfficialTeamList[Team '#],0))</f>
        <v>SMS Eaglebots 1</v>
      </c>
      <c r="D11" s="100">
        <v>2</v>
      </c>
      <c r="E11" s="100">
        <v>2</v>
      </c>
      <c r="F11" s="100">
        <v>2</v>
      </c>
      <c r="G11" s="100">
        <v>4</v>
      </c>
      <c r="H11" s="100">
        <v>4</v>
      </c>
      <c r="I11" s="100">
        <v>4</v>
      </c>
      <c r="J11" s="100">
        <v>3</v>
      </c>
      <c r="K11" s="100">
        <v>4</v>
      </c>
      <c r="L11" s="100">
        <v>3</v>
      </c>
      <c r="M11" s="100">
        <v>3</v>
      </c>
      <c r="N11" s="76">
        <f>SUM(InnovationProjectResults[[#This Row],[Identify - Define]:[Communicate - Fun (CV)]])</f>
        <v>31</v>
      </c>
      <c r="O11" s="70">
        <f>_xlfn.RANK.EQ(InnovationProjectResults[[#This Row],[Innovation Project Score]],InnovationProjectResults[Innovation Project Score],0)</f>
        <v>1</v>
      </c>
    </row>
    <row r="12" spans="1:15" ht="21" customHeight="1" x14ac:dyDescent="0.25">
      <c r="A12" s="99">
        <v>73002</v>
      </c>
      <c r="B12" s="99">
        <f>INDEX(OfficialTeamList[Pod Number],MATCH(InnovationProjectResults[[#This Row],[Team '#]], OfficialTeamList[Team '#],0))</f>
        <v>0</v>
      </c>
      <c r="C12" s="102" t="str">
        <f>INDEX(OfficialTeamList[Team Name],MATCH(InnovationProjectResults[[#This Row],[Team '#]], OfficialTeamList[Team '#],0))</f>
        <v>MCH Monarchs</v>
      </c>
      <c r="D12" s="100">
        <v>1</v>
      </c>
      <c r="E12" s="100">
        <v>2</v>
      </c>
      <c r="F12" s="100">
        <v>4</v>
      </c>
      <c r="G12" s="100">
        <v>3</v>
      </c>
      <c r="H12" s="100">
        <v>4</v>
      </c>
      <c r="I12" s="100">
        <v>2</v>
      </c>
      <c r="J12" s="100">
        <v>2</v>
      </c>
      <c r="K12" s="100">
        <v>4</v>
      </c>
      <c r="L12" s="100">
        <v>1</v>
      </c>
      <c r="M12" s="100">
        <v>2</v>
      </c>
      <c r="N12" s="76">
        <f>SUM(InnovationProjectResults[[#This Row],[Identify - Define]:[Communicate - Fun (CV)]])</f>
        <v>25</v>
      </c>
      <c r="O12" s="70">
        <f>_xlfn.RANK.EQ(InnovationProjectResults[[#This Row],[Innovation Project Score]],InnovationProjectResults[Innovation Project Score],0)</f>
        <v>6</v>
      </c>
    </row>
    <row r="13" spans="1:15" ht="21" customHeight="1" x14ac:dyDescent="0.25">
      <c r="A13" s="99">
        <v>73106</v>
      </c>
      <c r="B13" s="99">
        <f>INDEX(OfficialTeamList[Pod Number],MATCH(InnovationProjectResults[[#This Row],[Team '#]], OfficialTeamList[Team '#],0))</f>
        <v>0</v>
      </c>
      <c r="C13" s="102" t="str">
        <f>INDEX(OfficialTeamList[Team Name],MATCH(InnovationProjectResults[[#This Row],[Team '#]], OfficialTeamList[Team '#],0))</f>
        <v>Kempsville Dino-Nuggets</v>
      </c>
      <c r="D13" s="100">
        <v>3</v>
      </c>
      <c r="E13" s="100">
        <v>1</v>
      </c>
      <c r="F13" s="100">
        <v>3</v>
      </c>
      <c r="G13" s="100">
        <v>2</v>
      </c>
      <c r="H13" s="100">
        <v>3</v>
      </c>
      <c r="I13" s="100">
        <v>2</v>
      </c>
      <c r="J13" s="100">
        <v>1</v>
      </c>
      <c r="K13" s="100">
        <v>4</v>
      </c>
      <c r="L13" s="100">
        <v>2</v>
      </c>
      <c r="M13" s="100">
        <v>2</v>
      </c>
      <c r="N13" s="76">
        <f>SUM(InnovationProjectResults[[#This Row],[Identify - Define]:[Communicate - Fun (CV)]])</f>
        <v>23</v>
      </c>
      <c r="O13" s="70">
        <f>_xlfn.RANK.EQ(InnovationProjectResults[[#This Row],[Innovation Project Score]],InnovationProjectResults[Innovation Project Score],0)</f>
        <v>10</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pageSetUpPr fitToPage="1"/>
  </sheetPr>
  <dimension ref="A1:P1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153</v>
      </c>
      <c r="C1" s="56" t="s">
        <v>28</v>
      </c>
      <c r="D1" s="62" t="s">
        <v>197</v>
      </c>
      <c r="E1" s="62" t="s">
        <v>187</v>
      </c>
      <c r="F1" s="62" t="s">
        <v>198</v>
      </c>
      <c r="G1" s="62" t="s">
        <v>199</v>
      </c>
      <c r="H1" s="62" t="s">
        <v>200</v>
      </c>
      <c r="I1" s="62" t="s">
        <v>201</v>
      </c>
      <c r="J1" s="62" t="s">
        <v>202</v>
      </c>
      <c r="K1" s="62" t="s">
        <v>203</v>
      </c>
      <c r="L1" s="62" t="s">
        <v>194</v>
      </c>
      <c r="M1" s="62" t="s">
        <v>195</v>
      </c>
      <c r="N1" s="60" t="s">
        <v>178</v>
      </c>
      <c r="O1" s="61" t="s">
        <v>172</v>
      </c>
    </row>
    <row r="2" spans="1:15" ht="21" customHeight="1" x14ac:dyDescent="0.25">
      <c r="A2" s="99">
        <v>9021</v>
      </c>
      <c r="B2" s="99">
        <f>INDEX(OfficialTeamList[Pod Number],MATCH(RobotDesignResults[[#This Row],[Team '#]], OfficialTeamList[Team '#],0))</f>
        <v>0</v>
      </c>
      <c r="C2" s="102" t="str">
        <f>INDEX(OfficialTeamList[Team Name],MATCH(RobotDesignResults[[#This Row],[Team '#]], OfficialTeamList[Team '#],0))</f>
        <v>Greenbrier Panthers</v>
      </c>
      <c r="D2" s="100">
        <v>2</v>
      </c>
      <c r="E2" s="100">
        <v>2</v>
      </c>
      <c r="F2" s="100">
        <v>3</v>
      </c>
      <c r="G2" s="100">
        <v>1</v>
      </c>
      <c r="H2" s="100">
        <v>3</v>
      </c>
      <c r="I2" s="100">
        <v>4</v>
      </c>
      <c r="J2" s="100">
        <v>3</v>
      </c>
      <c r="K2" s="100">
        <v>1</v>
      </c>
      <c r="L2" s="100">
        <v>1</v>
      </c>
      <c r="M2" s="100">
        <v>3</v>
      </c>
      <c r="N2" s="76">
        <f>SUM(RobotDesignResults[[#This Row],[Identify - Strategy]:[Communicate - Fun (CV)]])</f>
        <v>23</v>
      </c>
      <c r="O2" s="70">
        <f>_xlfn.RANK.EQ(RobotDesignResults[[#This Row],[Robot Design Score]],RobotDesignResults[Robot Design Score],0)</f>
        <v>7</v>
      </c>
    </row>
    <row r="3" spans="1:15" ht="21" customHeight="1" x14ac:dyDescent="0.25">
      <c r="A3" s="99">
        <v>24277</v>
      </c>
      <c r="B3" s="99">
        <f>INDEX(OfficialTeamList[Pod Number],MATCH(RobotDesignResults[[#This Row],[Team '#]], OfficialTeamList[Team '#],0))</f>
        <v>0</v>
      </c>
      <c r="C3" s="102" t="str">
        <f>INDEX(OfficialTeamList[Team Name],MATCH(RobotDesignResults[[#This Row],[Team '#]], OfficialTeamList[Team '#],0))</f>
        <v>Norfolk Collegiate O.A.K.S.</v>
      </c>
      <c r="D3" s="100">
        <v>3</v>
      </c>
      <c r="E3" s="100">
        <v>2</v>
      </c>
      <c r="F3" s="100">
        <v>2</v>
      </c>
      <c r="G3" s="100">
        <v>2</v>
      </c>
      <c r="H3" s="100">
        <v>2</v>
      </c>
      <c r="I3" s="100">
        <v>2</v>
      </c>
      <c r="J3" s="100">
        <v>3</v>
      </c>
      <c r="K3" s="100">
        <v>2</v>
      </c>
      <c r="L3" s="100">
        <v>3</v>
      </c>
      <c r="M3" s="100">
        <v>2</v>
      </c>
      <c r="N3" s="76">
        <f>SUM(RobotDesignResults[[#This Row],[Identify - Strategy]:[Communicate - Fun (CV)]])</f>
        <v>23</v>
      </c>
      <c r="O3" s="70">
        <f>_xlfn.RANK.EQ(RobotDesignResults[[#This Row],[Robot Design Score]],RobotDesignResults[Robot Design Score],0)</f>
        <v>7</v>
      </c>
    </row>
    <row r="4" spans="1:15" ht="21" customHeight="1" x14ac:dyDescent="0.25">
      <c r="A4" s="99">
        <v>26034</v>
      </c>
      <c r="B4" s="99">
        <f>INDEX(OfficialTeamList[Pod Number],MATCH(RobotDesignResults[[#This Row],[Team '#]], OfficialTeamList[Team '#],0))</f>
        <v>0</v>
      </c>
      <c r="C4" s="102" t="str">
        <f>INDEX(OfficialTeamList[Team Name],MATCH(RobotDesignResults[[#This Row],[Team '#]], OfficialTeamList[Team '#],0))</f>
        <v>OLMC White Team</v>
      </c>
      <c r="D4" s="100">
        <v>2</v>
      </c>
      <c r="E4" s="100">
        <v>2</v>
      </c>
      <c r="F4" s="100">
        <v>2</v>
      </c>
      <c r="G4" s="100">
        <v>1</v>
      </c>
      <c r="H4" s="100">
        <v>2</v>
      </c>
      <c r="I4" s="100">
        <v>3</v>
      </c>
      <c r="J4" s="100">
        <v>1</v>
      </c>
      <c r="K4" s="100">
        <v>3</v>
      </c>
      <c r="L4" s="100">
        <v>2</v>
      </c>
      <c r="M4" s="100">
        <v>3</v>
      </c>
      <c r="N4" s="76">
        <f>SUM(RobotDesignResults[[#This Row],[Identify - Strategy]:[Communicate - Fun (CV)]])</f>
        <v>21</v>
      </c>
      <c r="O4" s="70">
        <f>_xlfn.RANK.EQ(RobotDesignResults[[#This Row],[Robot Design Score]],RobotDesignResults[Robot Design Score],0)</f>
        <v>11</v>
      </c>
    </row>
    <row r="5" spans="1:15" ht="21" customHeight="1" x14ac:dyDescent="0.25">
      <c r="A5" s="99">
        <v>60801</v>
      </c>
      <c r="B5" s="99">
        <f>INDEX(OfficialTeamList[Pod Number],MATCH(RobotDesignResults[[#This Row],[Team '#]], OfficialTeamList[Team '#],0))</f>
        <v>0</v>
      </c>
      <c r="C5" s="102" t="str">
        <f>INDEX(OfficialTeamList[Team Name],MATCH(RobotDesignResults[[#This Row],[Team '#]], OfficialTeamList[Team '#],0))</f>
        <v>ESPs</v>
      </c>
      <c r="D5" s="100">
        <v>4</v>
      </c>
      <c r="E5" s="100">
        <v>1</v>
      </c>
      <c r="F5" s="100">
        <v>2</v>
      </c>
      <c r="G5" s="100">
        <v>4</v>
      </c>
      <c r="H5" s="100">
        <v>2</v>
      </c>
      <c r="I5" s="100">
        <v>2</v>
      </c>
      <c r="J5" s="100">
        <v>2</v>
      </c>
      <c r="K5" s="100">
        <v>3</v>
      </c>
      <c r="L5" s="100">
        <v>2</v>
      </c>
      <c r="M5" s="100">
        <v>1</v>
      </c>
      <c r="N5" s="76">
        <f>SUM(RobotDesignResults[[#This Row],[Identify - Strategy]:[Communicate - Fun (CV)]])</f>
        <v>23</v>
      </c>
      <c r="O5" s="70">
        <f>_xlfn.RANK.EQ(RobotDesignResults[[#This Row],[Robot Design Score]],RobotDesignResults[Robot Design Score],0)</f>
        <v>7</v>
      </c>
    </row>
    <row r="6" spans="1:15" ht="21" customHeight="1" x14ac:dyDescent="0.25">
      <c r="A6" s="99">
        <v>62149</v>
      </c>
      <c r="B6" s="99">
        <f>INDEX(OfficialTeamList[Pod Number],MATCH(RobotDesignResults[[#This Row],[Team '#]], OfficialTeamList[Team '#],0))</f>
        <v>0</v>
      </c>
      <c r="C6" s="102" t="str">
        <f>INDEX(OfficialTeamList[Team Name],MATCH(RobotDesignResults[[#This Row],[Team '#]], OfficialTeamList[Team '#],0))</f>
        <v>Dynamite Dolphins</v>
      </c>
      <c r="D6" s="100">
        <v>2</v>
      </c>
      <c r="E6" s="100">
        <v>4</v>
      </c>
      <c r="F6" s="100">
        <v>1</v>
      </c>
      <c r="G6" s="100">
        <v>2</v>
      </c>
      <c r="H6" s="100">
        <v>3</v>
      </c>
      <c r="I6" s="100">
        <v>3</v>
      </c>
      <c r="J6" s="100">
        <v>2</v>
      </c>
      <c r="K6" s="100">
        <v>3</v>
      </c>
      <c r="L6" s="100">
        <v>4</v>
      </c>
      <c r="M6" s="100">
        <v>2</v>
      </c>
      <c r="N6" s="76">
        <f>SUM(RobotDesignResults[[#This Row],[Identify - Strategy]:[Communicate - Fun (CV)]])</f>
        <v>26</v>
      </c>
      <c r="O6" s="70">
        <f>_xlfn.RANK.EQ(RobotDesignResults[[#This Row],[Robot Design Score]],RobotDesignResults[Robot Design Score],0)</f>
        <v>1</v>
      </c>
    </row>
    <row r="7" spans="1:15" ht="21" customHeight="1" x14ac:dyDescent="0.25">
      <c r="A7" s="99">
        <v>62706</v>
      </c>
      <c r="B7" s="99">
        <f>INDEX(OfficialTeamList[Pod Number],MATCH(RobotDesignResults[[#This Row],[Team '#]], OfficialTeamList[Team '#],0))</f>
        <v>0</v>
      </c>
      <c r="C7" s="102" t="str">
        <f>INDEX(OfficialTeamList[Team Name],MATCH(RobotDesignResults[[#This Row],[Team '#]], OfficialTeamList[Team '#],0))</f>
        <v>OLMC Aquinas</v>
      </c>
      <c r="D7" s="100">
        <v>3</v>
      </c>
      <c r="E7" s="100">
        <v>1</v>
      </c>
      <c r="F7" s="100">
        <v>3</v>
      </c>
      <c r="G7" s="100">
        <v>3</v>
      </c>
      <c r="H7" s="100">
        <v>3</v>
      </c>
      <c r="I7" s="100">
        <v>4</v>
      </c>
      <c r="J7" s="100">
        <v>2</v>
      </c>
      <c r="K7" s="100">
        <v>1</v>
      </c>
      <c r="L7" s="100">
        <v>2</v>
      </c>
      <c r="M7" s="100">
        <v>4</v>
      </c>
      <c r="N7" s="76">
        <f>SUM(RobotDesignResults[[#This Row],[Identify - Strategy]:[Communicate - Fun (CV)]])</f>
        <v>26</v>
      </c>
      <c r="O7" s="70">
        <f>_xlfn.RANK.EQ(RobotDesignResults[[#This Row],[Robot Design Score]],RobotDesignResults[Robot Design Score],0)</f>
        <v>1</v>
      </c>
    </row>
    <row r="8" spans="1:15" ht="21" customHeight="1" x14ac:dyDescent="0.25">
      <c r="A8" s="99">
        <v>67083</v>
      </c>
      <c r="B8" s="99">
        <f>INDEX(OfficialTeamList[Pod Number],MATCH(RobotDesignResults[[#This Row],[Team '#]], OfficialTeamList[Team '#],0))</f>
        <v>0</v>
      </c>
      <c r="C8" s="102" t="str">
        <f>INDEX(OfficialTeamList[Team Name],MATCH(RobotDesignResults[[#This Row],[Team '#]], OfficialTeamList[Team '#],0))</f>
        <v>Wired Dolphins</v>
      </c>
      <c r="D8" s="100">
        <v>2</v>
      </c>
      <c r="E8" s="100">
        <v>4</v>
      </c>
      <c r="F8" s="100">
        <v>2</v>
      </c>
      <c r="G8" s="100">
        <v>3</v>
      </c>
      <c r="H8" s="100">
        <v>1</v>
      </c>
      <c r="I8" s="100">
        <v>4</v>
      </c>
      <c r="J8" s="100">
        <v>2</v>
      </c>
      <c r="K8" s="100">
        <v>2</v>
      </c>
      <c r="L8" s="100">
        <v>4</v>
      </c>
      <c r="M8" s="100">
        <v>2</v>
      </c>
      <c r="N8" s="76">
        <f>SUM(RobotDesignResults[[#This Row],[Identify - Strategy]:[Communicate - Fun (CV)]])</f>
        <v>26</v>
      </c>
      <c r="O8" s="70">
        <f>_xlfn.RANK.EQ(RobotDesignResults[[#This Row],[Robot Design Score]],RobotDesignResults[Robot Design Score],0)</f>
        <v>1</v>
      </c>
    </row>
    <row r="9" spans="1:15" ht="21" customHeight="1" x14ac:dyDescent="0.25">
      <c r="A9" s="99">
        <v>67801</v>
      </c>
      <c r="B9" s="99">
        <f>INDEX(OfficialTeamList[Pod Number],MATCH(RobotDesignResults[[#This Row],[Team '#]], OfficialTeamList[Team '#],0))</f>
        <v>0</v>
      </c>
      <c r="C9" s="102" t="str">
        <f>INDEX(OfficialTeamList[Team Name],MATCH(RobotDesignResults[[#This Row],[Team '#]], OfficialTeamList[Team '#],0))</f>
        <v>Scorpion Tech Force</v>
      </c>
      <c r="D9" s="100">
        <v>3</v>
      </c>
      <c r="E9" s="100">
        <v>2</v>
      </c>
      <c r="F9" s="100">
        <v>3</v>
      </c>
      <c r="G9" s="100">
        <v>2</v>
      </c>
      <c r="H9" s="100">
        <v>2</v>
      </c>
      <c r="I9" s="100">
        <v>2</v>
      </c>
      <c r="J9" s="100">
        <v>3</v>
      </c>
      <c r="K9" s="100">
        <v>2</v>
      </c>
      <c r="L9" s="100">
        <v>4</v>
      </c>
      <c r="M9" s="100">
        <v>1</v>
      </c>
      <c r="N9" s="76">
        <f>SUM(RobotDesignResults[[#This Row],[Identify - Strategy]:[Communicate - Fun (CV)]])</f>
        <v>24</v>
      </c>
      <c r="O9" s="70">
        <f>_xlfn.RANK.EQ(RobotDesignResults[[#This Row],[Robot Design Score]],RobotDesignResults[Robot Design Score],0)</f>
        <v>5</v>
      </c>
    </row>
    <row r="10" spans="1:15" ht="21" customHeight="1" x14ac:dyDescent="0.25">
      <c r="A10" s="99">
        <v>68850</v>
      </c>
      <c r="B10" s="99">
        <f>INDEX(OfficialTeamList[Pod Number],MATCH(RobotDesignResults[[#This Row],[Team '#]], OfficialTeamList[Team '#],0))</f>
        <v>0</v>
      </c>
      <c r="C10" s="102" t="str">
        <f>INDEX(OfficialTeamList[Team Name],MATCH(RobotDesignResults[[#This Row],[Team '#]], OfficialTeamList[Team '#],0))</f>
        <v>MCH Marvels</v>
      </c>
      <c r="D10" s="100">
        <v>3</v>
      </c>
      <c r="E10" s="100">
        <v>1</v>
      </c>
      <c r="F10" s="100">
        <v>1</v>
      </c>
      <c r="G10" s="100">
        <v>1</v>
      </c>
      <c r="H10" s="100">
        <v>4</v>
      </c>
      <c r="I10" s="100">
        <v>2</v>
      </c>
      <c r="J10" s="100">
        <v>4</v>
      </c>
      <c r="K10" s="100">
        <v>1</v>
      </c>
      <c r="L10" s="100">
        <v>2</v>
      </c>
      <c r="M10" s="100">
        <v>3</v>
      </c>
      <c r="N10" s="76">
        <f>SUM(RobotDesignResults[[#This Row],[Identify - Strategy]:[Communicate - Fun (CV)]])</f>
        <v>22</v>
      </c>
      <c r="O10" s="70">
        <f>_xlfn.RANK.EQ(RobotDesignResults[[#This Row],[Robot Design Score]],RobotDesignResults[Robot Design Score],0)</f>
        <v>10</v>
      </c>
    </row>
    <row r="11" spans="1:15" ht="21" customHeight="1" x14ac:dyDescent="0.25">
      <c r="A11" s="99">
        <v>71673</v>
      </c>
      <c r="B11" s="99">
        <f>INDEX(OfficialTeamList[Pod Number],MATCH(RobotDesignResults[[#This Row],[Team '#]], OfficialTeamList[Team '#],0))</f>
        <v>0</v>
      </c>
      <c r="C11" s="102" t="str">
        <f>INDEX(OfficialTeamList[Team Name],MATCH(RobotDesignResults[[#This Row],[Team '#]], OfficialTeamList[Team '#],0))</f>
        <v>SMS Eaglebots 1</v>
      </c>
      <c r="D11" s="100">
        <v>2</v>
      </c>
      <c r="E11" s="100">
        <v>2</v>
      </c>
      <c r="F11" s="100">
        <v>2</v>
      </c>
      <c r="G11" s="100">
        <v>2</v>
      </c>
      <c r="H11" s="100">
        <v>3</v>
      </c>
      <c r="I11" s="100">
        <v>1</v>
      </c>
      <c r="J11" s="100">
        <v>1</v>
      </c>
      <c r="K11" s="100">
        <v>3</v>
      </c>
      <c r="L11" s="100">
        <v>3</v>
      </c>
      <c r="M11" s="100">
        <v>2</v>
      </c>
      <c r="N11" s="76">
        <f>SUM(RobotDesignResults[[#This Row],[Identify - Strategy]:[Communicate - Fun (CV)]])</f>
        <v>21</v>
      </c>
      <c r="O11" s="70">
        <f>_xlfn.RANK.EQ(RobotDesignResults[[#This Row],[Robot Design Score]],RobotDesignResults[Robot Design Score],0)</f>
        <v>11</v>
      </c>
    </row>
    <row r="12" spans="1:15" ht="21" customHeight="1" x14ac:dyDescent="0.25">
      <c r="A12" s="99">
        <v>73002</v>
      </c>
      <c r="B12" s="99">
        <f>INDEX(OfficialTeamList[Pod Number],MATCH(RobotDesignResults[[#This Row],[Team '#]], OfficialTeamList[Team '#],0))</f>
        <v>0</v>
      </c>
      <c r="C12" s="102" t="str">
        <f>INDEX(OfficialTeamList[Team Name],MATCH(RobotDesignResults[[#This Row],[Team '#]], OfficialTeamList[Team '#],0))</f>
        <v>MCH Monarchs</v>
      </c>
      <c r="D12" s="100">
        <v>4</v>
      </c>
      <c r="E12" s="100">
        <v>3</v>
      </c>
      <c r="F12" s="100">
        <v>2</v>
      </c>
      <c r="G12" s="100">
        <v>1</v>
      </c>
      <c r="H12" s="100">
        <v>3</v>
      </c>
      <c r="I12" s="100">
        <v>3</v>
      </c>
      <c r="J12" s="100">
        <v>3</v>
      </c>
      <c r="K12" s="100">
        <v>1</v>
      </c>
      <c r="L12" s="100">
        <v>3</v>
      </c>
      <c r="M12" s="100">
        <v>3</v>
      </c>
      <c r="N12" s="76">
        <f>SUM(RobotDesignResults[[#This Row],[Identify - Strategy]:[Communicate - Fun (CV)]])</f>
        <v>26</v>
      </c>
      <c r="O12" s="70">
        <f>_xlfn.RANK.EQ(RobotDesignResults[[#This Row],[Robot Design Score]],RobotDesignResults[Robot Design Score],0)</f>
        <v>1</v>
      </c>
    </row>
    <row r="13" spans="1:15" ht="21" customHeight="1" x14ac:dyDescent="0.25">
      <c r="A13" s="99">
        <v>73106</v>
      </c>
      <c r="B13" s="99">
        <f>INDEX(OfficialTeamList[Pod Number],MATCH(RobotDesignResults[[#This Row],[Team '#]], OfficialTeamList[Team '#],0))</f>
        <v>0</v>
      </c>
      <c r="C13" s="102" t="str">
        <f>INDEX(OfficialTeamList[Team Name],MATCH(RobotDesignResults[[#This Row],[Team '#]], OfficialTeamList[Team '#],0))</f>
        <v>Kempsville Dino-Nuggets</v>
      </c>
      <c r="D13" s="100">
        <v>1</v>
      </c>
      <c r="E13" s="100">
        <v>4</v>
      </c>
      <c r="F13" s="100">
        <v>3</v>
      </c>
      <c r="G13" s="100">
        <v>2</v>
      </c>
      <c r="H13" s="100">
        <v>3</v>
      </c>
      <c r="I13" s="100">
        <v>3</v>
      </c>
      <c r="J13" s="100">
        <v>1</v>
      </c>
      <c r="K13" s="100">
        <v>3</v>
      </c>
      <c r="L13" s="100">
        <v>2</v>
      </c>
      <c r="M13" s="100">
        <v>2</v>
      </c>
      <c r="N13" s="76">
        <f>SUM(RobotDesignResults[[#This Row],[Identify - Strategy]:[Communicate - Fun (CV)]])</f>
        <v>24</v>
      </c>
      <c r="O13" s="70">
        <f>_xlfn.RANK.EQ(RobotDesignResults[[#This Row],[Robot Design Score]],RobotDesignResults[Robot Design Score],0)</f>
        <v>5</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0000"/>
    <pageSetUpPr fitToPage="1"/>
  </sheetPr>
  <dimension ref="A1:T13"/>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27</v>
      </c>
      <c r="B1" s="55" t="s">
        <v>153</v>
      </c>
      <c r="C1" s="56" t="s">
        <v>28</v>
      </c>
      <c r="D1" s="65" t="s">
        <v>204</v>
      </c>
      <c r="E1" s="65" t="s">
        <v>205</v>
      </c>
      <c r="F1" s="65" t="s">
        <v>206</v>
      </c>
      <c r="G1" s="65" t="s">
        <v>207</v>
      </c>
      <c r="H1" s="65" t="s">
        <v>208</v>
      </c>
      <c r="I1" s="65" t="s">
        <v>209</v>
      </c>
      <c r="J1" s="65" t="s">
        <v>210</v>
      </c>
      <c r="K1" s="65" t="s">
        <v>211</v>
      </c>
      <c r="L1" s="65" t="s">
        <v>212</v>
      </c>
      <c r="M1" s="65" t="s">
        <v>213</v>
      </c>
      <c r="N1" s="66" t="s">
        <v>214</v>
      </c>
      <c r="O1" s="66" t="s">
        <v>215</v>
      </c>
      <c r="P1" s="66" t="s">
        <v>216</v>
      </c>
      <c r="Q1" s="66" t="s">
        <v>217</v>
      </c>
      <c r="R1" s="67" t="s">
        <v>218</v>
      </c>
      <c r="S1" s="67" t="s">
        <v>176</v>
      </c>
      <c r="T1" s="67" t="s">
        <v>170</v>
      </c>
    </row>
    <row r="2" spans="1:20" ht="21" customHeight="1" x14ac:dyDescent="0.25">
      <c r="A2" s="99">
        <v>9021</v>
      </c>
      <c r="B2" s="99">
        <f>INDEX(OfficialTeamList[Pod Number],MATCH(CoreValuesResults[[#This Row],[Team '#]], OfficialTeamList[Team '#],0))</f>
        <v>0</v>
      </c>
      <c r="C2" s="102" t="str">
        <f>INDEX(OfficialTeamList[Team Name],MATCH(CoreValuesResults[[#This Row],[Team '#]], OfficialTeamList[Team '#],0))</f>
        <v>Greenbrier Panthers</v>
      </c>
      <c r="D2" s="71">
        <f>INDEX(InnovationProjectResults[Identify - Research (CV)],MATCH(CoreValuesResults[[#This Row],[Team '#]],InnovationProjectResults[Team '#],0))</f>
        <v>3</v>
      </c>
      <c r="E2" s="71">
        <f>INDEX(InnovationProjectResults[Design - Teamwork (CV)],MATCH(CoreValuesResults[[#This Row],[Team '#]],InnovationProjectResults[Team '#],0))</f>
        <v>3</v>
      </c>
      <c r="F2" s="71">
        <f>INDEX(InnovationProjectResults[Create - Innovation (CV)],MATCH(CoreValuesResults[[#This Row],[Team '#]],InnovationProjectResults[Team '#],0))</f>
        <v>2</v>
      </c>
      <c r="G2" s="71">
        <f>INDEX(InnovationProjectResults[Communicate - Impact (CV)],MATCH(CoreValuesResults[[#This Row],[Team '#]],InnovationProjectResults[Team '#],0))</f>
        <v>3</v>
      </c>
      <c r="H2" s="71">
        <f>INDEX(InnovationProjectResults[Communicate - Fun (CV)],MATCH(CoreValuesResults[[#This Row],[Team '#]],InnovationProjectResults[Team '#],0))</f>
        <v>4</v>
      </c>
      <c r="I2" s="71">
        <f>INDEX(RobotDesignResults[Identify - Research (CV)],MATCH(CoreValuesResults[[#This Row],[Team '#]],RobotDesignResults[Team '#],0))</f>
        <v>2</v>
      </c>
      <c r="J2" s="71">
        <f>INDEX(RobotDesignResults[Design - Ideas (CV)],MATCH(CoreValuesResults[[#This Row],[Team '#]],RobotDesignResults[Team '#],0))</f>
        <v>3</v>
      </c>
      <c r="K2" s="71">
        <f>INDEX(RobotDesignResults[Iterate - Improvements (CV)],MATCH(CoreValuesResults[[#This Row],[Team '#]],RobotDesignResults[Team '#],0))</f>
        <v>1</v>
      </c>
      <c r="L2" s="71">
        <f>INDEX(RobotDesignResults[Communicate - Impact (CV)],MATCH(CoreValuesResults[[#This Row],[Team '#]],RobotDesignResults[Team '#],0))</f>
        <v>1</v>
      </c>
      <c r="M2" s="71">
        <f>INDEX(RobotDesignResults[Communicate - Fun (CV)],MATCH(CoreValuesResults[[#This Row],[Team '#]],RobotDesignResults[Team '#],0))</f>
        <v>3</v>
      </c>
      <c r="N2" s="77">
        <v>4</v>
      </c>
      <c r="O2" s="77">
        <v>3</v>
      </c>
      <c r="P2" s="77">
        <v>3</v>
      </c>
      <c r="Q2" s="99">
        <f>SUM(CoreValuesResults[[#This Row],[Gracious Professionalism 1]:[Gracious Professionalism 3]])</f>
        <v>10</v>
      </c>
      <c r="R2" s="99">
        <f>SUM(N2:Q2)</f>
        <v>20</v>
      </c>
      <c r="S2" s="76">
        <f>SUM(CoreValuesResults[[#This Row],[Identify - Research (CV-IP)]:[Communicate - Fun (CV-RD)]],CoreValuesResults[[#This Row],[Gracious Professionalism Score]])</f>
        <v>45</v>
      </c>
      <c r="T2" s="70">
        <f>_xlfn.RANK.EQ(CoreValuesResults[[#This Row],[Core Values Score]],CoreValuesResults[Core Values Score],0)</f>
        <v>6</v>
      </c>
    </row>
    <row r="3" spans="1:20" ht="21" customHeight="1" x14ac:dyDescent="0.25">
      <c r="A3" s="99">
        <v>24277</v>
      </c>
      <c r="B3" s="99">
        <f>INDEX(OfficialTeamList[Pod Number],MATCH(CoreValuesResults[[#This Row],[Team '#]], OfficialTeamList[Team '#],0))</f>
        <v>0</v>
      </c>
      <c r="C3" s="102" t="str">
        <f>INDEX(OfficialTeamList[Team Name],MATCH(CoreValuesResults[[#This Row],[Team '#]], OfficialTeamList[Team '#],0))</f>
        <v>Norfolk Collegiate O.A.K.S.</v>
      </c>
      <c r="D3" s="71">
        <f>INDEX(InnovationProjectResults[Identify - Research (CV)],MATCH(CoreValuesResults[[#This Row],[Team '#]],InnovationProjectResults[Team '#],0))</f>
        <v>2</v>
      </c>
      <c r="E3" s="71">
        <f>INDEX(InnovationProjectResults[Design - Teamwork (CV)],MATCH(CoreValuesResults[[#This Row],[Team '#]],InnovationProjectResults[Team '#],0))</f>
        <v>2</v>
      </c>
      <c r="F3" s="71">
        <f>INDEX(InnovationProjectResults[Create - Innovation (CV)],MATCH(CoreValuesResults[[#This Row],[Team '#]],InnovationProjectResults[Team '#],0))</f>
        <v>2</v>
      </c>
      <c r="G3" s="71">
        <f>INDEX(InnovationProjectResults[Communicate - Impact (CV)],MATCH(CoreValuesResults[[#This Row],[Team '#]],InnovationProjectResults[Team '#],0))</f>
        <v>2</v>
      </c>
      <c r="H3" s="71">
        <f>INDEX(InnovationProjectResults[Communicate - Fun (CV)],MATCH(CoreValuesResults[[#This Row],[Team '#]],InnovationProjectResults[Team '#],0))</f>
        <v>4</v>
      </c>
      <c r="I3" s="71">
        <f>INDEX(RobotDesignResults[Identify - Research (CV)],MATCH(CoreValuesResults[[#This Row],[Team '#]],RobotDesignResults[Team '#],0))</f>
        <v>2</v>
      </c>
      <c r="J3" s="71">
        <f>INDEX(RobotDesignResults[Design - Ideas (CV)],MATCH(CoreValuesResults[[#This Row],[Team '#]],RobotDesignResults[Team '#],0))</f>
        <v>2</v>
      </c>
      <c r="K3" s="71">
        <f>INDEX(RobotDesignResults[Iterate - Improvements (CV)],MATCH(CoreValuesResults[[#This Row],[Team '#]],RobotDesignResults[Team '#],0))</f>
        <v>2</v>
      </c>
      <c r="L3" s="71">
        <f>INDEX(RobotDesignResults[Communicate - Impact (CV)],MATCH(CoreValuesResults[[#This Row],[Team '#]],RobotDesignResults[Team '#],0))</f>
        <v>3</v>
      </c>
      <c r="M3" s="71">
        <f>INDEX(RobotDesignResults[Communicate - Fun (CV)],MATCH(CoreValuesResults[[#This Row],[Team '#]],RobotDesignResults[Team '#],0))</f>
        <v>2</v>
      </c>
      <c r="N3" s="77">
        <v>3</v>
      </c>
      <c r="O3" s="77">
        <v>4</v>
      </c>
      <c r="P3" s="77">
        <v>2</v>
      </c>
      <c r="Q3" s="99">
        <f>SUM(CoreValuesResults[[#This Row],[Gracious Professionalism 1]:[Gracious Professionalism 3]])</f>
        <v>9</v>
      </c>
      <c r="R3" s="99">
        <f>SUM(N2:Q2)</f>
        <v>20</v>
      </c>
      <c r="S3" s="76">
        <f>SUM(CoreValuesResults[[#This Row],[Identify - Research (CV-IP)]:[Communicate - Fun (CV-RD)]],CoreValuesResults[[#This Row],[Gracious Professionalism Score]])</f>
        <v>43</v>
      </c>
      <c r="T3" s="70">
        <f>_xlfn.RANK.EQ(CoreValuesResults[[#This Row],[Core Values Score]],CoreValuesResults[Core Values Score],0)</f>
        <v>9</v>
      </c>
    </row>
    <row r="4" spans="1:20" ht="21" customHeight="1" x14ac:dyDescent="0.25">
      <c r="A4" s="99">
        <v>26034</v>
      </c>
      <c r="B4" s="99">
        <f>INDEX(OfficialTeamList[Pod Number],MATCH(CoreValuesResults[[#This Row],[Team '#]], OfficialTeamList[Team '#],0))</f>
        <v>0</v>
      </c>
      <c r="C4" s="102" t="str">
        <f>INDEX(OfficialTeamList[Team Name],MATCH(CoreValuesResults[[#This Row],[Team '#]], OfficialTeamList[Team '#],0))</f>
        <v>OLMC White Team</v>
      </c>
      <c r="D4" s="71">
        <f>INDEX(InnovationProjectResults[Identify - Research (CV)],MATCH(CoreValuesResults[[#This Row],[Team '#]],InnovationProjectResults[Team '#],0))</f>
        <v>2</v>
      </c>
      <c r="E4" s="71">
        <f>INDEX(InnovationProjectResults[Design - Teamwork (CV)],MATCH(CoreValuesResults[[#This Row],[Team '#]],InnovationProjectResults[Team '#],0))</f>
        <v>2</v>
      </c>
      <c r="F4" s="71">
        <f>INDEX(InnovationProjectResults[Create - Innovation (CV)],MATCH(CoreValuesResults[[#This Row],[Team '#]],InnovationProjectResults[Team '#],0))</f>
        <v>3</v>
      </c>
      <c r="G4" s="71">
        <f>INDEX(InnovationProjectResults[Communicate - Impact (CV)],MATCH(CoreValuesResults[[#This Row],[Team '#]],InnovationProjectResults[Team '#],0))</f>
        <v>4</v>
      </c>
      <c r="H4" s="71">
        <f>INDEX(InnovationProjectResults[Communicate - Fun (CV)],MATCH(CoreValuesResults[[#This Row],[Team '#]],InnovationProjectResults[Team '#],0))</f>
        <v>3</v>
      </c>
      <c r="I4" s="71">
        <f>INDEX(RobotDesignResults[Identify - Research (CV)],MATCH(CoreValuesResults[[#This Row],[Team '#]],RobotDesignResults[Team '#],0))</f>
        <v>2</v>
      </c>
      <c r="J4" s="71">
        <f>INDEX(RobotDesignResults[Design - Ideas (CV)],MATCH(CoreValuesResults[[#This Row],[Team '#]],RobotDesignResults[Team '#],0))</f>
        <v>2</v>
      </c>
      <c r="K4" s="71">
        <f>INDEX(RobotDesignResults[Iterate - Improvements (CV)],MATCH(CoreValuesResults[[#This Row],[Team '#]],RobotDesignResults[Team '#],0))</f>
        <v>3</v>
      </c>
      <c r="L4" s="71">
        <f>INDEX(RobotDesignResults[Communicate - Impact (CV)],MATCH(CoreValuesResults[[#This Row],[Team '#]],RobotDesignResults[Team '#],0))</f>
        <v>2</v>
      </c>
      <c r="M4" s="71">
        <f>INDEX(RobotDesignResults[Communicate - Fun (CV)],MATCH(CoreValuesResults[[#This Row],[Team '#]],RobotDesignResults[Team '#],0))</f>
        <v>3</v>
      </c>
      <c r="N4" s="77">
        <v>3</v>
      </c>
      <c r="O4" s="77">
        <v>2</v>
      </c>
      <c r="P4" s="77">
        <v>3</v>
      </c>
      <c r="Q4" s="99">
        <f>SUM(CoreValuesResults[[#This Row],[Gracious Professionalism 1]:[Gracious Professionalism 3]])</f>
        <v>8</v>
      </c>
      <c r="R4" s="99">
        <f>SUM(N2:Q2)</f>
        <v>20</v>
      </c>
      <c r="S4" s="76">
        <f>SUM(CoreValuesResults[[#This Row],[Identify - Research (CV-IP)]:[Communicate - Fun (CV-RD)]],CoreValuesResults[[#This Row],[Gracious Professionalism Score]])</f>
        <v>46</v>
      </c>
      <c r="T4" s="70">
        <f>_xlfn.RANK.EQ(CoreValuesResults[[#This Row],[Core Values Score]],CoreValuesResults[Core Values Score],0)</f>
        <v>5</v>
      </c>
    </row>
    <row r="5" spans="1:20" ht="21" customHeight="1" x14ac:dyDescent="0.25">
      <c r="A5" s="99">
        <v>60801</v>
      </c>
      <c r="B5" s="99">
        <f>INDEX(OfficialTeamList[Pod Number],MATCH(CoreValuesResults[[#This Row],[Team '#]], OfficialTeamList[Team '#],0))</f>
        <v>0</v>
      </c>
      <c r="C5" s="102" t="str">
        <f>INDEX(OfficialTeamList[Team Name],MATCH(CoreValuesResults[[#This Row],[Team '#]], OfficialTeamList[Team '#],0))</f>
        <v>ESPs</v>
      </c>
      <c r="D5" s="71">
        <f>INDEX(InnovationProjectResults[Identify - Research (CV)],MATCH(CoreValuesResults[[#This Row],[Team '#]],InnovationProjectResults[Team '#],0))</f>
        <v>3</v>
      </c>
      <c r="E5" s="71">
        <f>INDEX(InnovationProjectResults[Design - Teamwork (CV)],MATCH(CoreValuesResults[[#This Row],[Team '#]],InnovationProjectResults[Team '#],0))</f>
        <v>3</v>
      </c>
      <c r="F5" s="71">
        <f>INDEX(InnovationProjectResults[Create - Innovation (CV)],MATCH(CoreValuesResults[[#This Row],[Team '#]],InnovationProjectResults[Team '#],0))</f>
        <v>1</v>
      </c>
      <c r="G5" s="71">
        <f>INDEX(InnovationProjectResults[Communicate - Impact (CV)],MATCH(CoreValuesResults[[#This Row],[Team '#]],InnovationProjectResults[Team '#],0))</f>
        <v>2</v>
      </c>
      <c r="H5" s="71">
        <f>INDEX(InnovationProjectResults[Communicate - Fun (CV)],MATCH(CoreValuesResults[[#This Row],[Team '#]],InnovationProjectResults[Team '#],0))</f>
        <v>2</v>
      </c>
      <c r="I5" s="71">
        <f>INDEX(RobotDesignResults[Identify - Research (CV)],MATCH(CoreValuesResults[[#This Row],[Team '#]],RobotDesignResults[Team '#],0))</f>
        <v>1</v>
      </c>
      <c r="J5" s="71">
        <f>INDEX(RobotDesignResults[Design - Ideas (CV)],MATCH(CoreValuesResults[[#This Row],[Team '#]],RobotDesignResults[Team '#],0))</f>
        <v>2</v>
      </c>
      <c r="K5" s="71">
        <f>INDEX(RobotDesignResults[Iterate - Improvements (CV)],MATCH(CoreValuesResults[[#This Row],[Team '#]],RobotDesignResults[Team '#],0))</f>
        <v>3</v>
      </c>
      <c r="L5" s="71">
        <f>INDEX(RobotDesignResults[Communicate - Impact (CV)],MATCH(CoreValuesResults[[#This Row],[Team '#]],RobotDesignResults[Team '#],0))</f>
        <v>2</v>
      </c>
      <c r="M5" s="71">
        <f>INDEX(RobotDesignResults[Communicate - Fun (CV)],MATCH(CoreValuesResults[[#This Row],[Team '#]],RobotDesignResults[Team '#],0))</f>
        <v>1</v>
      </c>
      <c r="N5" s="77">
        <v>3</v>
      </c>
      <c r="O5" s="77">
        <v>3</v>
      </c>
      <c r="P5" s="77">
        <v>4</v>
      </c>
      <c r="Q5" s="99">
        <f>SUM(CoreValuesResults[[#This Row],[Gracious Professionalism 1]:[Gracious Professionalism 3]])</f>
        <v>10</v>
      </c>
      <c r="R5" s="99">
        <f>SUM(N2:Q2)</f>
        <v>20</v>
      </c>
      <c r="S5" s="76">
        <f>SUM(CoreValuesResults[[#This Row],[Identify - Research (CV-IP)]:[Communicate - Fun (CV-RD)]],CoreValuesResults[[#This Row],[Gracious Professionalism Score]])</f>
        <v>40</v>
      </c>
      <c r="T5" s="70">
        <f>_xlfn.RANK.EQ(CoreValuesResults[[#This Row],[Core Values Score]],CoreValuesResults[Core Values Score],0)</f>
        <v>10</v>
      </c>
    </row>
    <row r="6" spans="1:20" ht="21" customHeight="1" x14ac:dyDescent="0.25">
      <c r="A6" s="99">
        <v>62149</v>
      </c>
      <c r="B6" s="99">
        <f>INDEX(OfficialTeamList[Pod Number],MATCH(CoreValuesResults[[#This Row],[Team '#]], OfficialTeamList[Team '#],0))</f>
        <v>0</v>
      </c>
      <c r="C6" s="102" t="str">
        <f>INDEX(OfficialTeamList[Team Name],MATCH(CoreValuesResults[[#This Row],[Team '#]], OfficialTeamList[Team '#],0))</f>
        <v>Dynamite Dolphins</v>
      </c>
      <c r="D6" s="71">
        <f>INDEX(InnovationProjectResults[Identify - Research (CV)],MATCH(CoreValuesResults[[#This Row],[Team '#]],InnovationProjectResults[Team '#],0))</f>
        <v>3</v>
      </c>
      <c r="E6" s="71">
        <f>INDEX(InnovationProjectResults[Design - Teamwork (CV)],MATCH(CoreValuesResults[[#This Row],[Team '#]],InnovationProjectResults[Team '#],0))</f>
        <v>3</v>
      </c>
      <c r="F6" s="71">
        <f>INDEX(InnovationProjectResults[Create - Innovation (CV)],MATCH(CoreValuesResults[[#This Row],[Team '#]],InnovationProjectResults[Team '#],0))</f>
        <v>3</v>
      </c>
      <c r="G6" s="71">
        <f>INDEX(InnovationProjectResults[Communicate - Impact (CV)],MATCH(CoreValuesResults[[#This Row],[Team '#]],InnovationProjectResults[Team '#],0))</f>
        <v>1</v>
      </c>
      <c r="H6" s="71">
        <f>INDEX(InnovationProjectResults[Communicate - Fun (CV)],MATCH(CoreValuesResults[[#This Row],[Team '#]],InnovationProjectResults[Team '#],0))</f>
        <v>4</v>
      </c>
      <c r="I6" s="71">
        <f>INDEX(RobotDesignResults[Identify - Research (CV)],MATCH(CoreValuesResults[[#This Row],[Team '#]],RobotDesignResults[Team '#],0))</f>
        <v>4</v>
      </c>
      <c r="J6" s="71">
        <f>INDEX(RobotDesignResults[Design - Ideas (CV)],MATCH(CoreValuesResults[[#This Row],[Team '#]],RobotDesignResults[Team '#],0))</f>
        <v>1</v>
      </c>
      <c r="K6" s="71">
        <f>INDEX(RobotDesignResults[Iterate - Improvements (CV)],MATCH(CoreValuesResults[[#This Row],[Team '#]],RobotDesignResults[Team '#],0))</f>
        <v>3</v>
      </c>
      <c r="L6" s="71">
        <f>INDEX(RobotDesignResults[Communicate - Impact (CV)],MATCH(CoreValuesResults[[#This Row],[Team '#]],RobotDesignResults[Team '#],0))</f>
        <v>4</v>
      </c>
      <c r="M6" s="71">
        <f>INDEX(RobotDesignResults[Communicate - Fun (CV)],MATCH(CoreValuesResults[[#This Row],[Team '#]],RobotDesignResults[Team '#],0))</f>
        <v>2</v>
      </c>
      <c r="N6" s="77">
        <v>4</v>
      </c>
      <c r="O6" s="77">
        <v>3</v>
      </c>
      <c r="P6" s="77">
        <v>4</v>
      </c>
      <c r="Q6" s="99">
        <f>SUM(CoreValuesResults[[#This Row],[Gracious Professionalism 1]:[Gracious Professionalism 3]])</f>
        <v>11</v>
      </c>
      <c r="R6" s="99">
        <f>SUM(N2:Q2)</f>
        <v>20</v>
      </c>
      <c r="S6" s="76">
        <f>SUM(CoreValuesResults[[#This Row],[Identify - Research (CV-IP)]:[Communicate - Fun (CV-RD)]],CoreValuesResults[[#This Row],[Gracious Professionalism Score]])</f>
        <v>48</v>
      </c>
      <c r="T6" s="70">
        <f>_xlfn.RANK.EQ(CoreValuesResults[[#This Row],[Core Values Score]],CoreValuesResults[Core Values Score],0)</f>
        <v>1</v>
      </c>
    </row>
    <row r="7" spans="1:20" ht="21" customHeight="1" x14ac:dyDescent="0.25">
      <c r="A7" s="99">
        <v>62706</v>
      </c>
      <c r="B7" s="99">
        <f>INDEX(OfficialTeamList[Pod Number],MATCH(CoreValuesResults[[#This Row],[Team '#]], OfficialTeamList[Team '#],0))</f>
        <v>0</v>
      </c>
      <c r="C7" s="102" t="str">
        <f>INDEX(OfficialTeamList[Team Name],MATCH(CoreValuesResults[[#This Row],[Team '#]], OfficialTeamList[Team '#],0))</f>
        <v>OLMC Aquinas</v>
      </c>
      <c r="D7" s="71">
        <f>INDEX(InnovationProjectResults[Identify - Research (CV)],MATCH(CoreValuesResults[[#This Row],[Team '#]],InnovationProjectResults[Team '#],0))</f>
        <v>3</v>
      </c>
      <c r="E7" s="71">
        <f>INDEX(InnovationProjectResults[Design - Teamwork (CV)],MATCH(CoreValuesResults[[#This Row],[Team '#]],InnovationProjectResults[Team '#],0))</f>
        <v>2</v>
      </c>
      <c r="F7" s="71">
        <f>INDEX(InnovationProjectResults[Create - Innovation (CV)],MATCH(CoreValuesResults[[#This Row],[Team '#]],InnovationProjectResults[Team '#],0))</f>
        <v>1</v>
      </c>
      <c r="G7" s="71">
        <f>INDEX(InnovationProjectResults[Communicate - Impact (CV)],MATCH(CoreValuesResults[[#This Row],[Team '#]],InnovationProjectResults[Team '#],0))</f>
        <v>1</v>
      </c>
      <c r="H7" s="71">
        <f>INDEX(InnovationProjectResults[Communicate - Fun (CV)],MATCH(CoreValuesResults[[#This Row],[Team '#]],InnovationProjectResults[Team '#],0))</f>
        <v>2</v>
      </c>
      <c r="I7" s="71">
        <f>INDEX(RobotDesignResults[Identify - Research (CV)],MATCH(CoreValuesResults[[#This Row],[Team '#]],RobotDesignResults[Team '#],0))</f>
        <v>1</v>
      </c>
      <c r="J7" s="71">
        <f>INDEX(RobotDesignResults[Design - Ideas (CV)],MATCH(CoreValuesResults[[#This Row],[Team '#]],RobotDesignResults[Team '#],0))</f>
        <v>3</v>
      </c>
      <c r="K7" s="71">
        <f>INDEX(RobotDesignResults[Iterate - Improvements (CV)],MATCH(CoreValuesResults[[#This Row],[Team '#]],RobotDesignResults[Team '#],0))</f>
        <v>1</v>
      </c>
      <c r="L7" s="71">
        <f>INDEX(RobotDesignResults[Communicate - Impact (CV)],MATCH(CoreValuesResults[[#This Row],[Team '#]],RobotDesignResults[Team '#],0))</f>
        <v>2</v>
      </c>
      <c r="M7" s="71">
        <f>INDEX(RobotDesignResults[Communicate - Fun (CV)],MATCH(CoreValuesResults[[#This Row],[Team '#]],RobotDesignResults[Team '#],0))</f>
        <v>4</v>
      </c>
      <c r="N7" s="77">
        <v>4</v>
      </c>
      <c r="O7" s="77">
        <v>3</v>
      </c>
      <c r="P7" s="77">
        <v>3</v>
      </c>
      <c r="Q7" s="99">
        <f>SUM(CoreValuesResults[[#This Row],[Gracious Professionalism 1]:[Gracious Professionalism 3]])</f>
        <v>10</v>
      </c>
      <c r="R7" s="99">
        <f>SUM(N2:Q2)</f>
        <v>20</v>
      </c>
      <c r="S7" s="76">
        <f>SUM(CoreValuesResults[[#This Row],[Identify - Research (CV-IP)]:[Communicate - Fun (CV-RD)]],CoreValuesResults[[#This Row],[Gracious Professionalism Score]])</f>
        <v>40</v>
      </c>
      <c r="T7" s="70">
        <f>_xlfn.RANK.EQ(CoreValuesResults[[#This Row],[Core Values Score]],CoreValuesResults[Core Values Score],0)</f>
        <v>10</v>
      </c>
    </row>
    <row r="8" spans="1:20" ht="21" customHeight="1" x14ac:dyDescent="0.25">
      <c r="A8" s="99">
        <v>67083</v>
      </c>
      <c r="B8" s="99">
        <f>INDEX(OfficialTeamList[Pod Number],MATCH(CoreValuesResults[[#This Row],[Team '#]], OfficialTeamList[Team '#],0))</f>
        <v>0</v>
      </c>
      <c r="C8" s="102" t="str">
        <f>INDEX(OfficialTeamList[Team Name],MATCH(CoreValuesResults[[#This Row],[Team '#]], OfficialTeamList[Team '#],0))</f>
        <v>Wired Dolphins</v>
      </c>
      <c r="D8" s="71">
        <f>INDEX(InnovationProjectResults[Identify - Research (CV)],MATCH(CoreValuesResults[[#This Row],[Team '#]],InnovationProjectResults[Team '#],0))</f>
        <v>2</v>
      </c>
      <c r="E8" s="71">
        <f>INDEX(InnovationProjectResults[Design - Teamwork (CV)],MATCH(CoreValuesResults[[#This Row],[Team '#]],InnovationProjectResults[Team '#],0))</f>
        <v>3</v>
      </c>
      <c r="F8" s="71">
        <f>INDEX(InnovationProjectResults[Create - Innovation (CV)],MATCH(CoreValuesResults[[#This Row],[Team '#]],InnovationProjectResults[Team '#],0))</f>
        <v>3</v>
      </c>
      <c r="G8" s="71">
        <f>INDEX(InnovationProjectResults[Communicate - Impact (CV)],MATCH(CoreValuesResults[[#This Row],[Team '#]],InnovationProjectResults[Team '#],0))</f>
        <v>3</v>
      </c>
      <c r="H8" s="71">
        <f>INDEX(InnovationProjectResults[Communicate - Fun (CV)],MATCH(CoreValuesResults[[#This Row],[Team '#]],InnovationProjectResults[Team '#],0))</f>
        <v>3</v>
      </c>
      <c r="I8" s="71">
        <f>INDEX(RobotDesignResults[Identify - Research (CV)],MATCH(CoreValuesResults[[#This Row],[Team '#]],RobotDesignResults[Team '#],0))</f>
        <v>4</v>
      </c>
      <c r="J8" s="71">
        <f>INDEX(RobotDesignResults[Design - Ideas (CV)],MATCH(CoreValuesResults[[#This Row],[Team '#]],RobotDesignResults[Team '#],0))</f>
        <v>2</v>
      </c>
      <c r="K8" s="71">
        <f>INDEX(RobotDesignResults[Iterate - Improvements (CV)],MATCH(CoreValuesResults[[#This Row],[Team '#]],RobotDesignResults[Team '#],0))</f>
        <v>2</v>
      </c>
      <c r="L8" s="71">
        <f>INDEX(RobotDesignResults[Communicate - Impact (CV)],MATCH(CoreValuesResults[[#This Row],[Team '#]],RobotDesignResults[Team '#],0))</f>
        <v>4</v>
      </c>
      <c r="M8" s="71">
        <f>INDEX(RobotDesignResults[Communicate - Fun (CV)],MATCH(CoreValuesResults[[#This Row],[Team '#]],RobotDesignResults[Team '#],0))</f>
        <v>2</v>
      </c>
      <c r="N8" s="77">
        <v>3</v>
      </c>
      <c r="O8" s="77">
        <v>3</v>
      </c>
      <c r="P8" s="77">
        <v>3</v>
      </c>
      <c r="Q8" s="99">
        <f>SUM(CoreValuesResults[[#This Row],[Gracious Professionalism 1]:[Gracious Professionalism 3]])</f>
        <v>9</v>
      </c>
      <c r="R8" s="99">
        <f>SUM(N2:Q2)</f>
        <v>20</v>
      </c>
      <c r="S8" s="76">
        <f>SUM(CoreValuesResults[[#This Row],[Identify - Research (CV-IP)]:[Communicate - Fun (CV-RD)]],CoreValuesResults[[#This Row],[Gracious Professionalism Score]])</f>
        <v>48</v>
      </c>
      <c r="T8" s="70">
        <f>_xlfn.RANK.EQ(CoreValuesResults[[#This Row],[Core Values Score]],CoreValuesResults[Core Values Score],0)</f>
        <v>1</v>
      </c>
    </row>
    <row r="9" spans="1:20" ht="21" customHeight="1" x14ac:dyDescent="0.25">
      <c r="A9" s="99">
        <v>67801</v>
      </c>
      <c r="B9" s="99">
        <f>INDEX(OfficialTeamList[Pod Number],MATCH(CoreValuesResults[[#This Row],[Team '#]], OfficialTeamList[Team '#],0))</f>
        <v>0</v>
      </c>
      <c r="C9" s="102" t="str">
        <f>INDEX(OfficialTeamList[Team Name],MATCH(CoreValuesResults[[#This Row],[Team '#]], OfficialTeamList[Team '#],0))</f>
        <v>Scorpion Tech Force</v>
      </c>
      <c r="D9" s="71">
        <f>INDEX(InnovationProjectResults[Identify - Research (CV)],MATCH(CoreValuesResults[[#This Row],[Team '#]],InnovationProjectResults[Team '#],0))</f>
        <v>2</v>
      </c>
      <c r="E9" s="71">
        <f>INDEX(InnovationProjectResults[Design - Teamwork (CV)],MATCH(CoreValuesResults[[#This Row],[Team '#]],InnovationProjectResults[Team '#],0))</f>
        <v>4</v>
      </c>
      <c r="F9" s="71">
        <f>INDEX(InnovationProjectResults[Create - Innovation (CV)],MATCH(CoreValuesResults[[#This Row],[Team '#]],InnovationProjectResults[Team '#],0))</f>
        <v>4</v>
      </c>
      <c r="G9" s="71">
        <f>INDEX(InnovationProjectResults[Communicate - Impact (CV)],MATCH(CoreValuesResults[[#This Row],[Team '#]],InnovationProjectResults[Team '#],0))</f>
        <v>2</v>
      </c>
      <c r="H9" s="71">
        <f>INDEX(InnovationProjectResults[Communicate - Fun (CV)],MATCH(CoreValuesResults[[#This Row],[Team '#]],InnovationProjectResults[Team '#],0))</f>
        <v>3</v>
      </c>
      <c r="I9" s="71">
        <f>INDEX(RobotDesignResults[Identify - Research (CV)],MATCH(CoreValuesResults[[#This Row],[Team '#]],RobotDesignResults[Team '#],0))</f>
        <v>2</v>
      </c>
      <c r="J9" s="71">
        <f>INDEX(RobotDesignResults[Design - Ideas (CV)],MATCH(CoreValuesResults[[#This Row],[Team '#]],RobotDesignResults[Team '#],0))</f>
        <v>3</v>
      </c>
      <c r="K9" s="71">
        <f>INDEX(RobotDesignResults[Iterate - Improvements (CV)],MATCH(CoreValuesResults[[#This Row],[Team '#]],RobotDesignResults[Team '#],0))</f>
        <v>2</v>
      </c>
      <c r="L9" s="71">
        <f>INDEX(RobotDesignResults[Communicate - Impact (CV)],MATCH(CoreValuesResults[[#This Row],[Team '#]],RobotDesignResults[Team '#],0))</f>
        <v>4</v>
      </c>
      <c r="M9" s="71">
        <f>INDEX(RobotDesignResults[Communicate - Fun (CV)],MATCH(CoreValuesResults[[#This Row],[Team '#]],RobotDesignResults[Team '#],0))</f>
        <v>1</v>
      </c>
      <c r="N9" s="77">
        <v>3</v>
      </c>
      <c r="O9" s="77">
        <v>2</v>
      </c>
      <c r="P9" s="77">
        <v>2</v>
      </c>
      <c r="Q9" s="99">
        <f>SUM(CoreValuesResults[[#This Row],[Gracious Professionalism 1]:[Gracious Professionalism 3]])</f>
        <v>7</v>
      </c>
      <c r="R9" s="99">
        <f>SUM(N2:Q2)</f>
        <v>20</v>
      </c>
      <c r="S9" s="76">
        <f>SUM(CoreValuesResults[[#This Row],[Identify - Research (CV-IP)]:[Communicate - Fun (CV-RD)]],CoreValuesResults[[#This Row],[Gracious Professionalism Score]])</f>
        <v>47</v>
      </c>
      <c r="T9" s="70">
        <f>_xlfn.RANK.EQ(CoreValuesResults[[#This Row],[Core Values Score]],CoreValuesResults[Core Values Score],0)</f>
        <v>4</v>
      </c>
    </row>
    <row r="10" spans="1:20" ht="21" customHeight="1" x14ac:dyDescent="0.25">
      <c r="A10" s="99">
        <v>68850</v>
      </c>
      <c r="B10" s="99">
        <f>INDEX(OfficialTeamList[Pod Number],MATCH(CoreValuesResults[[#This Row],[Team '#]], OfficialTeamList[Team '#],0))</f>
        <v>0</v>
      </c>
      <c r="C10" s="102" t="str">
        <f>INDEX(OfficialTeamList[Team Name],MATCH(CoreValuesResults[[#This Row],[Team '#]], OfficialTeamList[Team '#],0))</f>
        <v>MCH Marvels</v>
      </c>
      <c r="D10" s="71">
        <f>INDEX(InnovationProjectResults[Identify - Research (CV)],MATCH(CoreValuesResults[[#This Row],[Team '#]],InnovationProjectResults[Team '#],0))</f>
        <v>2</v>
      </c>
      <c r="E10" s="71">
        <f>INDEX(InnovationProjectResults[Design - Teamwork (CV)],MATCH(CoreValuesResults[[#This Row],[Team '#]],InnovationProjectResults[Team '#],0))</f>
        <v>3</v>
      </c>
      <c r="F10" s="71">
        <f>INDEX(InnovationProjectResults[Create - Innovation (CV)],MATCH(CoreValuesResults[[#This Row],[Team '#]],InnovationProjectResults[Team '#],0))</f>
        <v>1</v>
      </c>
      <c r="G10" s="71">
        <f>INDEX(InnovationProjectResults[Communicate - Impact (CV)],MATCH(CoreValuesResults[[#This Row],[Team '#]],InnovationProjectResults[Team '#],0))</f>
        <v>1</v>
      </c>
      <c r="H10" s="71">
        <f>INDEX(InnovationProjectResults[Communicate - Fun (CV)],MATCH(CoreValuesResults[[#This Row],[Team '#]],InnovationProjectResults[Team '#],0))</f>
        <v>2</v>
      </c>
      <c r="I10" s="71">
        <f>INDEX(RobotDesignResults[Identify - Research (CV)],MATCH(CoreValuesResults[[#This Row],[Team '#]],RobotDesignResults[Team '#],0))</f>
        <v>1</v>
      </c>
      <c r="J10" s="71">
        <f>INDEX(RobotDesignResults[Design - Ideas (CV)],MATCH(CoreValuesResults[[#This Row],[Team '#]],RobotDesignResults[Team '#],0))</f>
        <v>1</v>
      </c>
      <c r="K10" s="71">
        <f>INDEX(RobotDesignResults[Iterate - Improvements (CV)],MATCH(CoreValuesResults[[#This Row],[Team '#]],RobotDesignResults[Team '#],0))</f>
        <v>1</v>
      </c>
      <c r="L10" s="71">
        <f>INDEX(RobotDesignResults[Communicate - Impact (CV)],MATCH(CoreValuesResults[[#This Row],[Team '#]],RobotDesignResults[Team '#],0))</f>
        <v>2</v>
      </c>
      <c r="M10" s="71">
        <f>INDEX(RobotDesignResults[Communicate - Fun (CV)],MATCH(CoreValuesResults[[#This Row],[Team '#]],RobotDesignResults[Team '#],0))</f>
        <v>3</v>
      </c>
      <c r="N10" s="77">
        <v>2</v>
      </c>
      <c r="O10" s="77">
        <v>3</v>
      </c>
      <c r="P10" s="77">
        <v>2</v>
      </c>
      <c r="Q10" s="99">
        <f>SUM(CoreValuesResults[[#This Row],[Gracious Professionalism 1]:[Gracious Professionalism 3]])</f>
        <v>7</v>
      </c>
      <c r="R10" s="99">
        <f>SUM(N2:Q2)</f>
        <v>20</v>
      </c>
      <c r="S10" s="76">
        <f>SUM(CoreValuesResults[[#This Row],[Identify - Research (CV-IP)]:[Communicate - Fun (CV-RD)]],CoreValuesResults[[#This Row],[Gracious Professionalism Score]])</f>
        <v>37</v>
      </c>
      <c r="T10" s="70">
        <f>_xlfn.RANK.EQ(CoreValuesResults[[#This Row],[Core Values Score]],CoreValuesResults[Core Values Score],0)</f>
        <v>12</v>
      </c>
    </row>
    <row r="11" spans="1:20" ht="21" customHeight="1" x14ac:dyDescent="0.25">
      <c r="A11" s="99">
        <v>71673</v>
      </c>
      <c r="B11" s="99">
        <f>INDEX(OfficialTeamList[Pod Number],MATCH(CoreValuesResults[[#This Row],[Team '#]], OfficialTeamList[Team '#],0))</f>
        <v>0</v>
      </c>
      <c r="C11" s="102" t="str">
        <f>INDEX(OfficialTeamList[Team Name],MATCH(CoreValuesResults[[#This Row],[Team '#]], OfficialTeamList[Team '#],0))</f>
        <v>SMS Eaglebots 1</v>
      </c>
      <c r="D11" s="71">
        <f>INDEX(InnovationProjectResults[Identify - Research (CV)],MATCH(CoreValuesResults[[#This Row],[Team '#]],InnovationProjectResults[Team '#],0))</f>
        <v>2</v>
      </c>
      <c r="E11" s="71">
        <f>INDEX(InnovationProjectResults[Design - Teamwork (CV)],MATCH(CoreValuesResults[[#This Row],[Team '#]],InnovationProjectResults[Team '#],0))</f>
        <v>4</v>
      </c>
      <c r="F11" s="71">
        <f>INDEX(InnovationProjectResults[Create - Innovation (CV)],MATCH(CoreValuesResults[[#This Row],[Team '#]],InnovationProjectResults[Team '#],0))</f>
        <v>4</v>
      </c>
      <c r="G11" s="71">
        <f>INDEX(InnovationProjectResults[Communicate - Impact (CV)],MATCH(CoreValuesResults[[#This Row],[Team '#]],InnovationProjectResults[Team '#],0))</f>
        <v>3</v>
      </c>
      <c r="H11" s="71">
        <f>INDEX(InnovationProjectResults[Communicate - Fun (CV)],MATCH(CoreValuesResults[[#This Row],[Team '#]],InnovationProjectResults[Team '#],0))</f>
        <v>3</v>
      </c>
      <c r="I11" s="71">
        <f>INDEX(RobotDesignResults[Identify - Research (CV)],MATCH(CoreValuesResults[[#This Row],[Team '#]],RobotDesignResults[Team '#],0))</f>
        <v>2</v>
      </c>
      <c r="J11" s="71">
        <f>INDEX(RobotDesignResults[Design - Ideas (CV)],MATCH(CoreValuesResults[[#This Row],[Team '#]],RobotDesignResults[Team '#],0))</f>
        <v>2</v>
      </c>
      <c r="K11" s="71">
        <f>INDEX(RobotDesignResults[Iterate - Improvements (CV)],MATCH(CoreValuesResults[[#This Row],[Team '#]],RobotDesignResults[Team '#],0))</f>
        <v>3</v>
      </c>
      <c r="L11" s="71">
        <f>INDEX(RobotDesignResults[Communicate - Impact (CV)],MATCH(CoreValuesResults[[#This Row],[Team '#]],RobotDesignResults[Team '#],0))</f>
        <v>3</v>
      </c>
      <c r="M11" s="71">
        <f>INDEX(RobotDesignResults[Communicate - Fun (CV)],MATCH(CoreValuesResults[[#This Row],[Team '#]],RobotDesignResults[Team '#],0))</f>
        <v>2</v>
      </c>
      <c r="N11" s="77">
        <v>3</v>
      </c>
      <c r="O11" s="77">
        <v>4</v>
      </c>
      <c r="P11" s="77">
        <v>2</v>
      </c>
      <c r="Q11" s="99">
        <f>SUM(CoreValuesResults[[#This Row],[Gracious Professionalism 1]:[Gracious Professionalism 3]])</f>
        <v>9</v>
      </c>
      <c r="R11" s="99">
        <f>SUM(N2:Q2)</f>
        <v>20</v>
      </c>
      <c r="S11" s="76">
        <f>SUM(CoreValuesResults[[#This Row],[Identify - Research (CV-IP)]:[Communicate - Fun (CV-RD)]],CoreValuesResults[[#This Row],[Gracious Professionalism Score]])</f>
        <v>48</v>
      </c>
      <c r="T11" s="70">
        <f>_xlfn.RANK.EQ(CoreValuesResults[[#This Row],[Core Values Score]],CoreValuesResults[Core Values Score],0)</f>
        <v>1</v>
      </c>
    </row>
    <row r="12" spans="1:20" ht="21" customHeight="1" x14ac:dyDescent="0.25">
      <c r="A12" s="99">
        <v>73002</v>
      </c>
      <c r="B12" s="99">
        <f>INDEX(OfficialTeamList[Pod Number],MATCH(CoreValuesResults[[#This Row],[Team '#]], OfficialTeamList[Team '#],0))</f>
        <v>0</v>
      </c>
      <c r="C12" s="102" t="str">
        <f>INDEX(OfficialTeamList[Team Name],MATCH(CoreValuesResults[[#This Row],[Team '#]], OfficialTeamList[Team '#],0))</f>
        <v>MCH Monarchs</v>
      </c>
      <c r="D12" s="71">
        <f>INDEX(InnovationProjectResults[Identify - Research (CV)],MATCH(CoreValuesResults[[#This Row],[Team '#]],InnovationProjectResults[Team '#],0))</f>
        <v>2</v>
      </c>
      <c r="E12" s="71">
        <f>INDEX(InnovationProjectResults[Design - Teamwork (CV)],MATCH(CoreValuesResults[[#This Row],[Team '#]],InnovationProjectResults[Team '#],0))</f>
        <v>3</v>
      </c>
      <c r="F12" s="71">
        <f>INDEX(InnovationProjectResults[Create - Innovation (CV)],MATCH(CoreValuesResults[[#This Row],[Team '#]],InnovationProjectResults[Team '#],0))</f>
        <v>4</v>
      </c>
      <c r="G12" s="71">
        <f>INDEX(InnovationProjectResults[Communicate - Impact (CV)],MATCH(CoreValuesResults[[#This Row],[Team '#]],InnovationProjectResults[Team '#],0))</f>
        <v>1</v>
      </c>
      <c r="H12" s="71">
        <f>INDEX(InnovationProjectResults[Communicate - Fun (CV)],MATCH(CoreValuesResults[[#This Row],[Team '#]],InnovationProjectResults[Team '#],0))</f>
        <v>2</v>
      </c>
      <c r="I12" s="71">
        <f>INDEX(RobotDesignResults[Identify - Research (CV)],MATCH(CoreValuesResults[[#This Row],[Team '#]],RobotDesignResults[Team '#],0))</f>
        <v>3</v>
      </c>
      <c r="J12" s="71">
        <f>INDEX(RobotDesignResults[Design - Ideas (CV)],MATCH(CoreValuesResults[[#This Row],[Team '#]],RobotDesignResults[Team '#],0))</f>
        <v>2</v>
      </c>
      <c r="K12" s="71">
        <f>INDEX(RobotDesignResults[Iterate - Improvements (CV)],MATCH(CoreValuesResults[[#This Row],[Team '#]],RobotDesignResults[Team '#],0))</f>
        <v>1</v>
      </c>
      <c r="L12" s="71">
        <f>INDEX(RobotDesignResults[Communicate - Impact (CV)],MATCH(CoreValuesResults[[#This Row],[Team '#]],RobotDesignResults[Team '#],0))</f>
        <v>3</v>
      </c>
      <c r="M12" s="71">
        <f>INDEX(RobotDesignResults[Communicate - Fun (CV)],MATCH(CoreValuesResults[[#This Row],[Team '#]],RobotDesignResults[Team '#],0))</f>
        <v>3</v>
      </c>
      <c r="N12" s="77">
        <v>2</v>
      </c>
      <c r="O12" s="77">
        <v>2</v>
      </c>
      <c r="P12" s="77">
        <v>4</v>
      </c>
      <c r="Q12" s="99">
        <f>SUM(CoreValuesResults[[#This Row],[Gracious Professionalism 1]:[Gracious Professionalism 3]])</f>
        <v>8</v>
      </c>
      <c r="R12" s="99">
        <f>SUM(N2:Q2)</f>
        <v>20</v>
      </c>
      <c r="S12" s="76">
        <f>SUM(CoreValuesResults[[#This Row],[Identify - Research (CV-IP)]:[Communicate - Fun (CV-RD)]],CoreValuesResults[[#This Row],[Gracious Professionalism Score]])</f>
        <v>44</v>
      </c>
      <c r="T12" s="70">
        <f>_xlfn.RANK.EQ(CoreValuesResults[[#This Row],[Core Values Score]],CoreValuesResults[Core Values Score],0)</f>
        <v>7</v>
      </c>
    </row>
    <row r="13" spans="1:20" ht="21" customHeight="1" x14ac:dyDescent="0.25">
      <c r="A13" s="99">
        <v>73106</v>
      </c>
      <c r="B13" s="99">
        <f>INDEX(OfficialTeamList[Pod Number],MATCH(CoreValuesResults[[#This Row],[Team '#]], OfficialTeamList[Team '#],0))</f>
        <v>0</v>
      </c>
      <c r="C13" s="102" t="str">
        <f>INDEX(OfficialTeamList[Team Name],MATCH(CoreValuesResults[[#This Row],[Team '#]], OfficialTeamList[Team '#],0))</f>
        <v>Kempsville Dino-Nuggets</v>
      </c>
      <c r="D13" s="71">
        <f>INDEX(InnovationProjectResults[Identify - Research (CV)],MATCH(CoreValuesResults[[#This Row],[Team '#]],InnovationProjectResults[Team '#],0))</f>
        <v>1</v>
      </c>
      <c r="E13" s="71">
        <f>INDEX(InnovationProjectResults[Design - Teamwork (CV)],MATCH(CoreValuesResults[[#This Row],[Team '#]],InnovationProjectResults[Team '#],0))</f>
        <v>2</v>
      </c>
      <c r="F13" s="71">
        <f>INDEX(InnovationProjectResults[Create - Innovation (CV)],MATCH(CoreValuesResults[[#This Row],[Team '#]],InnovationProjectResults[Team '#],0))</f>
        <v>3</v>
      </c>
      <c r="G13" s="71">
        <f>INDEX(InnovationProjectResults[Communicate - Impact (CV)],MATCH(CoreValuesResults[[#This Row],[Team '#]],InnovationProjectResults[Team '#],0))</f>
        <v>2</v>
      </c>
      <c r="H13" s="71">
        <f>INDEX(InnovationProjectResults[Communicate - Fun (CV)],MATCH(CoreValuesResults[[#This Row],[Team '#]],InnovationProjectResults[Team '#],0))</f>
        <v>2</v>
      </c>
      <c r="I13" s="71">
        <f>INDEX(RobotDesignResults[Identify - Research (CV)],MATCH(CoreValuesResults[[#This Row],[Team '#]],RobotDesignResults[Team '#],0))</f>
        <v>4</v>
      </c>
      <c r="J13" s="71">
        <f>INDEX(RobotDesignResults[Design - Ideas (CV)],MATCH(CoreValuesResults[[#This Row],[Team '#]],RobotDesignResults[Team '#],0))</f>
        <v>3</v>
      </c>
      <c r="K13" s="71">
        <f>INDEX(RobotDesignResults[Iterate - Improvements (CV)],MATCH(CoreValuesResults[[#This Row],[Team '#]],RobotDesignResults[Team '#],0))</f>
        <v>3</v>
      </c>
      <c r="L13" s="71">
        <f>INDEX(RobotDesignResults[Communicate - Impact (CV)],MATCH(CoreValuesResults[[#This Row],[Team '#]],RobotDesignResults[Team '#],0))</f>
        <v>2</v>
      </c>
      <c r="M13" s="71">
        <f>INDEX(RobotDesignResults[Communicate - Fun (CV)],MATCH(CoreValuesResults[[#This Row],[Team '#]],RobotDesignResults[Team '#],0))</f>
        <v>2</v>
      </c>
      <c r="N13" s="77">
        <v>3</v>
      </c>
      <c r="O13" s="77">
        <v>3</v>
      </c>
      <c r="P13" s="77">
        <v>3</v>
      </c>
      <c r="Q13" s="99">
        <f>SUM(CoreValuesResults[[#This Row],[Gracious Professionalism 1]:[Gracious Professionalism 3]])</f>
        <v>9</v>
      </c>
      <c r="R13" s="99">
        <f>SUM(N2:Q2)</f>
        <v>20</v>
      </c>
      <c r="S13" s="76">
        <f>SUM(CoreValuesResults[[#This Row],[Identify - Research (CV-IP)]:[Communicate - Fun (CV-RD)]],CoreValuesResults[[#This Row],[Gracious Professionalism Score]])</f>
        <v>44</v>
      </c>
      <c r="T13" s="70">
        <f>_xlfn.RANK.EQ(CoreValuesResults[[#This Row],[Core Values Score]],CoreValuesResults[Core Values Score],0)</f>
        <v>7</v>
      </c>
    </row>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219</v>
      </c>
      <c r="B1" s="26" t="s">
        <v>220</v>
      </c>
      <c r="C1" s="26" t="s">
        <v>221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222</v>
      </c>
      <c r="G2" s="5" t="s">
        <v>223</v>
      </c>
    </row>
    <row r="3" spans="2:10" ht="39.950000000000003" customHeight="1" x14ac:dyDescent="0.25">
      <c r="B3" s="10" t="s">
        <v>224</v>
      </c>
      <c r="C3" s="10" t="s">
        <v>28</v>
      </c>
      <c r="D3" s="11" t="s">
        <v>174</v>
      </c>
      <c r="E3" s="11" t="s">
        <v>225</v>
      </c>
      <c r="G3" s="20" t="s">
        <v>224</v>
      </c>
      <c r="H3" s="20" t="s">
        <v>28</v>
      </c>
      <c r="I3" s="21" t="s">
        <v>174</v>
      </c>
      <c r="J3" s="21" t="s">
        <v>225</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122</v>
      </c>
      <c r="G20" s="5" t="s">
        <v>112</v>
      </c>
      <c r="L20" s="5" t="s">
        <v>117</v>
      </c>
    </row>
    <row r="21" spans="2:15" ht="39.950000000000003" customHeight="1" x14ac:dyDescent="0.25">
      <c r="B21" s="14" t="s">
        <v>224</v>
      </c>
      <c r="C21" s="14" t="s">
        <v>28</v>
      </c>
      <c r="D21" s="15" t="s">
        <v>170</v>
      </c>
      <c r="E21" s="15" t="s">
        <v>225</v>
      </c>
      <c r="G21" s="18" t="s">
        <v>224</v>
      </c>
      <c r="H21" s="18" t="s">
        <v>28</v>
      </c>
      <c r="I21" s="19" t="s">
        <v>172</v>
      </c>
      <c r="J21" s="19" t="s">
        <v>225</v>
      </c>
      <c r="L21" s="16" t="s">
        <v>224</v>
      </c>
      <c r="M21" s="16" t="s">
        <v>28</v>
      </c>
      <c r="N21" s="17" t="s">
        <v>171</v>
      </c>
      <c r="O21" s="17" t="s">
        <v>225</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130</v>
      </c>
      <c r="G38" s="5" t="s">
        <v>226</v>
      </c>
      <c r="L38" s="5" t="s">
        <v>227</v>
      </c>
    </row>
    <row r="39" spans="2:15" ht="39.950000000000003" customHeight="1" x14ac:dyDescent="0.25">
      <c r="B39" s="12" t="s">
        <v>224</v>
      </c>
      <c r="C39" s="12" t="s">
        <v>28</v>
      </c>
      <c r="D39" s="13" t="s">
        <v>174</v>
      </c>
      <c r="E39" s="13" t="s">
        <v>225</v>
      </c>
      <c r="G39" s="12" t="s">
        <v>224</v>
      </c>
      <c r="H39" s="12" t="s">
        <v>28</v>
      </c>
      <c r="I39" s="13" t="s">
        <v>174</v>
      </c>
      <c r="J39" s="13" t="s">
        <v>225</v>
      </c>
      <c r="L39" s="12" t="s">
        <v>224</v>
      </c>
      <c r="M39" s="12" t="s">
        <v>28</v>
      </c>
      <c r="N39" s="13" t="s">
        <v>174</v>
      </c>
      <c r="O39" s="13" t="s">
        <v>225</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2025-12-26T16:17:28Z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