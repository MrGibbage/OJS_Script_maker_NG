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
    </mc:Choice>
  </mc:AlternateContent>
  <xr:revisionPtr revIDLastSave="0" documentId="13_ncr:1_{3AF65303-F0B3-4757-8CEF-695D26D7520F}" xr6:coauthVersionLast="47" xr6:coauthVersionMax="47" xr10:uidLastSave="{00000000-0000-0000-0000-000000000000}"/>
  <bookViews>
    <workbookView xWindow="4785" yWindow="1590" windowWidth="28800" windowHeight="15345" tabRatio="879" firstSheet="1" activeTab="3"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5" l="1"/>
  <c r="Q1" i="4"/>
  <c r="W1" i="4" s="1"/>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<sst xmlns="http://schemas.openxmlformats.org/spreadsheetml/2006/main" count="194" uniqueCount="140">
  <si>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</si>
  <si>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</si>
  <si>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</si>
  <si>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</si>
  <si>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</si>
  <si>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</si>
  <si>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</si>
  <si>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</si>
  <si>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</si>
  <si>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</si>
  <si>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</si>
  <si>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</si>
  <si>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</si>
  <si>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</si>
  <si>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</si>
  <si>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</si>
  <si>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</si>
  <si>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</si>
  <si>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</si>
  <si>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</si>
  <si>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</si>
  <si>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</si>
  <si>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</si>
  <si>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</si>
  <si>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</si>
  <si>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</si>
  <si>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</si>
  <si>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</si>
  <si>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</si>
  <si>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</si>
  <si>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</si>
  <si>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</si>
  <si>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</si>
  <si>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</si>
  <si>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</si>
  <si>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</si>
  <si>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</si>
  <si>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</si>
  <si>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</si>
  <si>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</si>
  <si>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</si>
  <si>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</si>
  <si>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</si>
  <si>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</si>
  <si>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</si>
  <si>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</si>
  <si>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</si>
  <si>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</si>
  <si>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</si>
  <si>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</si>
  <si>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</si>
  <si>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</si>
  <si>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</si>
  <si>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</si>
  <si>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</si>
  <si>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</si>
  <si>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</si>
  <si>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</si>
  <si>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</si>
  <si>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</si>
  <si>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</si>
  <si>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</si>
  <si>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</si>
  <si>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</si>
  <si>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</si>
  <si>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</si>
  <si>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</si>
  <si>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</si>
  <si>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</si>
  <si>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</si>
  <si>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</si>
  <si>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</si>
  <si>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</si>
  <si>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</si>
  <si>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</si>
  <si>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</si>
  <si>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</si>
  <si>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</si>
  <si>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</si>
  <si>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</si>
  <si>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</si>
  <si>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</si>
  <si>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</si>
  <si>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</si>
  <si>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</si>
  <si>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</si>
  <si>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</si>
  <si>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</si>
  <si>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</si>
  <si>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</si>
  <si>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</si>
  <si>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</si>
  <si>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</si>
  <si>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</si>
  <si>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</si>
  <si>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</si>
  <si>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</si>
  <si>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</si>
  <si>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</si>
  <si>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</si>
  <si>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</si>
  <si>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</si>
  <si>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</si>
  <si>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</si>
  <si>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</si>
  <si>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</si>
  <si>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</si>
  <si>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</si>
  <si>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</si>
  <si>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</si>
  <si>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</si>
  <si>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</si>
  <si>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</si>
  <si>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</si>
  <si>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</si>
  <si>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</si>
  <si>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</si>
  <si>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</si>
  <si>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TournCount</t>
  </si>
  <si>
    <t>D1Count</t>
  </si>
  <si>
    <t>D2Count</t>
  </si>
  <si>
    <t>Label1</t>
  </si>
  <si>
    <t>Label2</t>
  </si>
  <si>
    <t>Label3</t>
  </si>
  <si>
    <t>OnAwdDropDown</t>
  </si>
  <si>
    <t>Two emcees:</t>
  </si>
  <si>
    <t>Setting this to TRUE will alternate shading in the closing ceremony script to make it easier to read</t>
  </si>
  <si>
    <t>ColumnName</t>
  </si>
  <si>
    <t>DivAward</t>
  </si>
  <si>
    <t>Team #</t>
  </si>
  <si>
    <t>Coach Name</t>
  </si>
  <si>
    <t>Label4</t>
  </si>
  <si>
    <t>Label5</t>
  </si>
  <si>
    <t>Label6</t>
  </si>
  <si>
    <t>Label7</t>
  </si>
  <si>
    <t>Label8</t>
  </si>
  <si>
    <t>Label9</t>
  </si>
  <si>
    <t>Label10</t>
  </si>
  <si>
    <t>Label11</t>
  </si>
  <si>
    <t>Label12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</si>
</sst>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0">
    <dxf>
      <font>
        <color theme="9" tint="-0.499984740745262"/>
      </font>
      <fill>
        <patternFill>
          <bgColor rgb="FF00B050"/>
        </patternFill>
      </fill>
    </dxf>
    <dxf>
      <fill>
        <patternFill>
          <bgColor rgb="FF00FF0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59" dataDxfId="158">
  <autoFilter ref="A2:D3" xr:uid="{00000000-0009-0000-0100-000001000000}"/>
  <sortState xmlns:xlrd2="http://schemas.microsoft.com/office/spreadsheetml/2017/richdata2" ref="A3:D3">
    <sortCondition ref="A3"/>
  </sortState>
  <tableColumns count="4">
    <tableColumn id="1" xr3:uid="{00000000-0010-0000-0000-000001000000}" name="Team #" dataDxfId="157"/>
    <tableColumn id="2" xr3:uid="{00000000-0010-0000-0000-000002000000}" name="Team Name" dataDxfId="156"/>
    <tableColumn id="3" xr3:uid="{00000000-0010-0000-0000-000003000000}" name="Coach Name" dataDxfId="155"/>
    <tableColumn id="4" xr3:uid="{00000000-0010-0000-0000-000004000000}" name="Pod Number" dataDxfId="1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53" dataDxfId="152">
  <autoFilter ref="A1:B2" xr:uid="{00000000-0009-0000-0100-000002000000}"/>
  <tableColumns count="2">
    <tableColumn id="1" xr3:uid="{00000000-0010-0000-0100-000001000000}" name="Key" dataDxfId="151"/>
    <tableColumn id="2" xr3:uid="{00000000-0010-0000-0100-000002000000}" name="Value"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1:A2" insertRow="1"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2" insertRow="1" totalsRowShown="0">
  <autoFilter ref="C1:C2"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S2" insertRow="1" totalsRowShown="0">
  <autoFilter ref="A1:S2" xr:uid="{4A60105D-65EE-4571-8901-56D64658BBF8}"/>
  <tableColumns count="19">
    <tableColumn id="1" xr3:uid="{97F1F6E1-3F98-4FD7-BC7F-E3F63A97F117}" name="ColumnName"/>
    <tableColumn id="2" xr3:uid="{098F2C59-021C-472E-ABE4-F24EA74A9044}" name="Name"/>
    <tableColumn id="3" xr3:uid="{D59132ED-B8CC-49B0-87F0-2DFC53707E15}" name="DivAward"/>
    <tableColumn id="4" xr3:uid="{860CA091-BCAD-470A-BE18-965B06A531EA}" name="TournCount"/>
    <tableColumn id="5" xr3:uid="{CABD7809-3E41-4A8E-BC2A-9112A2A25B72}" name="D1Count"/>
    <tableColumn id="6" xr3:uid="{116C4F33-8CA9-4CA4-80E2-02710979C410}" name="D2Count"/>
    <tableColumn id="7" xr3:uid="{9CFA42FE-D6B7-4F8E-9C77-82F40C35F5FF}" name="Label1"/>
    <tableColumn id="8" xr3:uid="{D5325F22-7E43-4DE2-A5EF-7681A7B9D573}" name="Label2"/>
    <tableColumn id="9" xr3:uid="{0CBAFB7A-31D2-4C57-A445-E9C3A6FF65A2}" name="Label3"/>
    <tableColumn id="10" xr3:uid="{26711CB7-FFD8-4E80-BC78-B062265CD014}" name="Label4"/>
    <tableColumn id="11" xr3:uid="{105C9C03-0C69-4BE2-A858-7614A6F643E6}" name="Label5"/>
    <tableColumn id="12" xr3:uid="{8C9988D0-219E-49B7-B721-4C9C660BEC4A}" name="Label6"/>
    <tableColumn id="13" xr3:uid="{659E7DD8-1663-473A-B6CC-D27FA75B39B4}" name="Label7"/>
    <tableColumn id="14" xr3:uid="{B52A5A39-8036-496B-9720-EF52EE174697}" name="Label8"/>
    <tableColumn id="15" xr3:uid="{5092A011-64E7-4A36-BAE9-A0A739094616}" name="Label9"/>
    <tableColumn id="16" xr3:uid="{372D6FBF-3F7C-4EBA-ACED-82BC80D470DB}" name="Label10"/>
    <tableColumn id="17" xr3:uid="{DC719B88-24BB-403B-A5F4-BABAFE77954D}" name="Label11"/>
    <tableColumn id="18" xr3:uid="{E2C1FEA2-768F-429F-8EEC-EE09E5808DAE}" name="Label12"/>
    <tableColumn id="19" xr3:uid="{457C61B9-6B34-4DAB-A868-8FB062B32168}" name="OnAwdDropDow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9" dataDxfId="147" headerRowBorderDxfId="148">
  <autoFilter ref="A2:W3" xr:uid="{00000000-0009-0000-0100-000003000000}"/>
  <sortState xmlns:xlrd2="http://schemas.microsoft.com/office/spreadsheetml/2017/richdata2" ref="A3:W3">
    <sortCondition ref="A3"/>
  </sortState>
  <tableColumns count="23">
    <tableColumn id="1" xr3:uid="{00000000-0010-0000-0200-000001000000}" name="Team Number" dataDxfId="146"/>
    <tableColumn id="13" xr3:uid="{B6F7889F-87AA-4A84-B629-ACB1A9C3B938}" name="POD" dataDxfId="145">
      <calculatedColumnFormula>INDEX(OfficialTeamList[Pod Number],MATCH(TournamentData[[#This Row],[Team Number]], OfficialTeamList[Team '#],0))</calculatedColumnFormula>
    </tableColumn>
    <tableColumn id="2" xr3:uid="{00000000-0010-0000-0200-000002000000}" name="Team Name" dataDxfId="144">
      <calculatedColumnFormula>INDEX(OfficialTeamList[Team Name],MATCH(TournamentData[[#This Row],[Team Number]], OfficialTeamList[Team '#],0))</calculatedColumnFormula>
    </tableColumn>
    <tableColumn id="6" xr3:uid="{00000000-0010-0000-0200-000006000000}"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7">
      <calculatedColumnFormula>_xlfn.RANK.EQ(TournamentData[[#This Row],[Max Robot Game Score]],TournamentData[Max Robot Game Score])</calculatedColumnFormula>
    </tableColumn>
    <tableColumn id="3" xr3:uid="{00000000-0010-0000-0200-000003000000}" name="Core Values Rank" dataDxfId="136">
      <calculatedColumnFormula>INDEX(CoreValuesResults[Core Values Rank],MATCH(TournamentData[[#This Row],[Team Number]],CoreValuesResults[Team Number],0))</calculatedColumnFormula>
    </tableColumn>
    <tableColumn id="4" xr3:uid="{00000000-0010-0000-0200-000004000000}" name="Innovation Project Rank" dataDxfId="135">
      <calculatedColumnFormula>INDEX(InnovationProjectResults[Innovation Project Rank],MATCH(TournamentData[[#This Row],[Team Number]],InnovationProjectResults[Team Number],0))</calculatedColumnFormula>
    </tableColumn>
    <tableColumn id="5" xr3:uid="{00000000-0010-0000-0200-000005000000}" name="Robot Design Rank" dataDxfId="134">
      <calculatedColumnFormula>INDEX(RobotDesignResults[Robot Design Rank],MATCH(TournamentData[[#This Row],[Team Number]],RobotDesignResults[Team Number],0))</calculatedColumnFormula>
    </tableColumn>
    <tableColumn id="14" xr3:uid="{00000000-0010-0000-0200-00000E000000}" name="Champion's Score" dataDxfId="133">
      <calculatedColumnFormula>SUM(TournamentData[[#This Row],[Robot Game Rank]:[Robot Design Rank]])</calculatedColumnFormula>
    </tableColumn>
    <tableColumn id="11" xr3:uid="{00000000-0010-0000-0200-00000B000000}" name="Champion's Rank" dataDxfId="132">
      <calculatedColumnFormula>RANK(TournamentData[[#This Row],[Champion''s Score]],TournamentData[Champion''s Score],1)</calculatedColumnFormula>
    </tableColumn>
    <tableColumn id="12" xr3:uid="{00000000-0010-0000-0200-00000C000000}" name="Award" dataDxfId="131"/>
    <tableColumn id="21" xr3:uid="{00000000-0010-0000-0200-000015000000}" name="Advance?" dataDxfId="130" dataCellStyle="Normal"/>
    <tableColumn id="28" xr3:uid="{00000000-0010-0000-0200-00001C000000}"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5">
      <calculatedColumnFormula>IF(U3,_xlfn.RANK.EQ(U3,U$3:U$3,0),NumberOfTeams)</calculatedColumnFormula>
    </tableColumn>
    <tableColumn id="20" xr3:uid="{00000000-0010-0000-0200-000014000000}" name="Comments" dataDxfId="1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23" dataDxfId="121" headerRowBorderDxfId="122">
  <autoFilter ref="A1:F2" xr:uid="{00000000-0009-0000-0100-000004000000}"/>
  <sortState xmlns:xlrd2="http://schemas.microsoft.com/office/spreadsheetml/2017/richdata2" ref="A2:F2">
    <sortCondition ref="A2"/>
  </sortState>
  <tableColumns count="6">
    <tableColumn id="2" xr3:uid="{00000000-0010-0000-0300-000002000000}" name="Team Number" dataDxfId="120"/>
    <tableColumn id="9" xr3:uid="{00000000-0010-0000-0300-000009000000}" name="Team Name" dataDxfId="119">
      <calculatedColumnFormula>INDEX(OfficialTeamList[Team Name],MATCH(RobotGameScores[[#This Row],[Team Number]], OfficialTeamList[Team '#],0))</calculatedColumnFormula>
    </tableColumn>
    <tableColumn id="3" xr3:uid="{00000000-0010-0000-0300-000003000000}" name="Robot Game 1 Score" dataDxfId="118"/>
    <tableColumn id="4" xr3:uid="{00000000-0010-0000-0300-000004000000}" name="Robot Game 2 Score" dataDxfId="117"/>
    <tableColumn id="5" xr3:uid="{00000000-0010-0000-0300-000005000000}" name="Robot Game 3 Score" dataDxfId="116"/>
    <tableColumn id="8" xr3:uid="{00000000-0010-0000-0300-000008000000}"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14" dataDxfId="113">
  <autoFilter ref="A1:O2" xr:uid="{00000000-0009-0000-0100-000005000000}"/>
  <sortState xmlns:xlrd2="http://schemas.microsoft.com/office/spreadsheetml/2017/richdata2" ref="A2:O2">
    <sortCondition ref="A2"/>
  </sortState>
  <tableColumns count="15">
    <tableColumn id="1" xr3:uid="{00000000-0010-0000-0400-000001000000}" name="Team Number" dataDxfId="112"/>
    <tableColumn id="6" xr3:uid="{E46BEA07-C782-4EA7-A684-AB5012889F0E}" name="POD" dataDxfId="111">
      <calculatedColumnFormula>INDEX(OfficialTeamList[Pod Number],MATCH(InnovationProjectResults[[#This Row],[Team Number]], OfficialTeamList[Team '#],0))</calculatedColumnFormula>
    </tableColumn>
    <tableColumn id="2" xr3:uid="{00000000-0010-0000-0400-000002000000}" name="Team Name" dataDxfId="110">
      <calculatedColumnFormula>INDEX(OfficialTeamList[Team Name],MATCH(InnovationProjectResults[[#This Row],[Team Number]], OfficialTeamList[Team '#],0))</calculatedColumnFormula>
    </tableColumn>
    <tableColumn id="3" xr3:uid="{00000000-0010-0000-0400-000003000000}" name="Identify - Define" dataDxfId="109"/>
    <tableColumn id="4" xr3:uid="{00000000-0010-0000-0400-000004000000}" name="Identify - Research (CV)" dataDxfId="108"/>
    <tableColumn id="5" xr3:uid="{00000000-0010-0000-0400-000005000000}" name="Design - Plan" dataDxfId="107"/>
    <tableColumn id="7" xr3:uid="{00000000-0010-0000-0400-000007000000}" name="Design - Teamwork (CV)" dataDxfId="106"/>
    <tableColumn id="10" xr3:uid="{00000000-0010-0000-0400-00000A000000}" name="Create - Innovation (CV)" dataDxfId="105"/>
    <tableColumn id="8" xr3:uid="{00000000-0010-0000-0400-000008000000}" name="Create - Model" dataDxfId="104"/>
    <tableColumn id="9" xr3:uid="{00000000-0010-0000-0400-000009000000}" name="Iterate - Sharing" dataDxfId="103"/>
    <tableColumn id="11" xr3:uid="{00000000-0010-0000-0400-00000B000000}" name="Iterate - Improvement" dataDxfId="102"/>
    <tableColumn id="12" xr3:uid="{00000000-0010-0000-0400-00000C000000}" name="Communicate - Impact (CV)" dataDxfId="101"/>
    <tableColumn id="13" xr3:uid="{00000000-0010-0000-0400-00000D000000}" name="Communicate - Fun (CV)" dataDxfId="100"/>
    <tableColumn id="19" xr3:uid="{00000000-0010-0000-0400-000013000000}" name="Innovation Project Score" dataDxfId="99">
      <calculatedColumnFormula>SUM(InnovationProjectResults[[#This Row],[Identify - Define]:[Communicate - Fun (CV)]])</calculatedColumnFormula>
    </tableColumn>
    <tableColumn id="20" xr3:uid="{00000000-0010-0000-0400-00001400000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97" dataDxfId="96">
  <autoFilter ref="A1:O2" xr:uid="{00000000-0009-0000-0100-000006000000}"/>
  <sortState xmlns:xlrd2="http://schemas.microsoft.com/office/spreadsheetml/2017/richdata2" ref="A2:O2">
    <sortCondition ref="A2"/>
  </sortState>
  <tableColumns count="15">
    <tableColumn id="1" xr3:uid="{00000000-0010-0000-0500-000001000000}" name="Team Number" dataDxfId="95"/>
    <tableColumn id="10" xr3:uid="{C0D2F65A-10A9-404F-9BBE-190FF9BD2C0E}" name="POD" dataDxfId="94">
      <calculatedColumnFormula>INDEX(OfficialTeamList[Pod Number],MATCH(RobotDesignResults[[#This Row],[Team Number]], OfficialTeamList[Team '#],0))</calculatedColumnFormula>
    </tableColumn>
    <tableColumn id="2" xr3:uid="{00000000-0010-0000-0500-000002000000}" name="Team Name" dataDxfId="93">
      <calculatedColumnFormula>INDEX(OfficialTeamList[Team Name],MATCH(RobotDesignResults[[#This Row],[Team Number]], OfficialTeamList[Team '#],0))</calculatedColumnFormula>
    </tableColumn>
    <tableColumn id="3" xr3:uid="{00000000-0010-0000-0500-000003000000}" name="Identify - Strategy" dataDxfId="92"/>
    <tableColumn id="4" xr3:uid="{00000000-0010-0000-0500-000004000000}" name="Identify - Research (CV)" dataDxfId="91"/>
    <tableColumn id="5" xr3:uid="{00000000-0010-0000-0500-000005000000}" name="Design - Ideas (CV)" dataDxfId="90"/>
    <tableColumn id="7" xr3:uid="{00000000-0010-0000-0500-000007000000}" name="Design - Building/Coding" dataDxfId="89"/>
    <tableColumn id="6" xr3:uid="{00000000-0010-0000-0500-000006000000}" name="Create - Attachments" dataDxfId="88"/>
    <tableColumn id="8" xr3:uid="{00000000-0010-0000-0500-000008000000}" name="Create - Code/ Sensors" dataDxfId="87"/>
    <tableColumn id="9" xr3:uid="{00000000-0010-0000-0500-000009000000}" name="Iterate - Testing" dataDxfId="86"/>
    <tableColumn id="11" xr3:uid="{00000000-0010-0000-0500-00000B000000}" name="Iterate - Improvements (CV)" dataDxfId="85"/>
    <tableColumn id="12" xr3:uid="{00000000-0010-0000-0500-00000C000000}" name="Communicate - Impact (CV)" dataDxfId="84"/>
    <tableColumn id="13" xr3:uid="{00000000-0010-0000-0500-00000D000000}" name="Communicate - Fun (CV)" dataDxfId="83"/>
    <tableColumn id="19" xr3:uid="{00000000-0010-0000-0500-000013000000}" name="Robot Design Score" dataDxfId="82">
      <calculatedColumnFormula>SUM(RobotDesignResults[[#This Row],[Identify - Strategy]:[Communicate - Fun (CV)]])</calculatedColumnFormula>
    </tableColumn>
    <tableColumn id="20" xr3:uid="{00000000-0010-0000-0500-00001400000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80" dataDxfId="79">
  <autoFilter ref="A1:T2" xr:uid="{00000000-0009-0000-0100-000007000000}"/>
  <sortState xmlns:xlrd2="http://schemas.microsoft.com/office/spreadsheetml/2017/richdata2" ref="A2:T2">
    <sortCondition ref="A2"/>
  </sortState>
  <tableColumns count="20">
    <tableColumn id="1" xr3:uid="{00000000-0010-0000-0600-000001000000}" name="Team Number" dataDxfId="78"/>
    <tableColumn id="9" xr3:uid="{4361BCCF-6CA1-40A6-8943-E181C815C404}" name="POD" dataDxfId="77">
      <calculatedColumnFormula>INDEX(OfficialTeamList[Pod Number],MATCH(CoreValuesResults[[#This Row],[Team Number]], OfficialTeamList[Team '#],0))</calculatedColumnFormula>
    </tableColumn>
    <tableColumn id="2" xr3:uid="{00000000-0010-0000-0600-000002000000}" name="Team Name" dataDxfId="76">
      <calculatedColumnFormula>INDEX(OfficialTeamList[Team Name],MATCH(CoreValuesResults[[#This Row],[Team Number]], OfficialTeamList[Team '#],0))</calculatedColumnFormula>
    </tableColumn>
    <tableColumn id="3" xr3:uid="{00000000-0010-0000-0600-000003000000}" name="Identify - Research (CV-IP)" dataDxfId="75">
      <calculatedColumnFormula>INDEX(InnovationProjectResults[Identify - Research (CV)],MATCH(CoreValuesResults[[#This Row],[Team Number]],InnovationProjectResults[Team Number],0))</calculatedColumnFormula>
    </tableColumn>
    <tableColumn id="4" xr3:uid="{00000000-0010-0000-0600-000004000000}" name="Design - Teamwork (CV-IP)" dataDxfId="74">
      <calculatedColumnFormula>INDEX(InnovationProjectResults[Design - Teamwork (CV)],MATCH(CoreValuesResults[[#This Row],[Team Number]],InnovationProjectResults[Team Number],0))</calculatedColumnFormula>
    </tableColumn>
    <tableColumn id="5" xr3:uid="{00000000-0010-0000-0600-000005000000}" name="Create - Innovation (CV-IP)" dataDxfId="73">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72">
      <calculatedColumnFormula>INDEX(InnovationProjectResults[Communicate - Impact (CV)],MATCH(CoreValuesResults[[#This Row],[Team Number]],InnovationProjectResults[Team Number],0))</calculatedColumnFormula>
    </tableColumn>
    <tableColumn id="12" xr3:uid="{00000000-0010-0000-0600-00000C000000}" name="Communicate - Fun (CV-IP)" dataDxfId="71">
      <calculatedColumnFormula>INDEX(InnovationProjectResults[Communicate - Fun (CV)],MATCH(CoreValuesResults[[#This Row],[Team Number]],InnovationProjectResults[Team Number],0))</calculatedColumnFormula>
    </tableColumn>
    <tableColumn id="22" xr3:uid="{00000000-0010-0000-0600-000016000000}" name="Identify - Research (CV-RD)" dataDxfId="70">
      <calculatedColumnFormula>INDEX(RobotDesignResults[Identify - Research (CV)],MATCH(CoreValuesResults[[#This Row],[Team Number]],RobotDesignResults[Team Number],0))</calculatedColumnFormula>
    </tableColumn>
    <tableColumn id="25" xr3:uid="{00000000-0010-0000-0600-000019000000}" name="Design - Ideas (CV-RD)" dataDxfId="69">
      <calculatedColumnFormula>INDEX(RobotDesignResults[Design - Ideas (CV)],MATCH(CoreValuesResults[[#This Row],[Team Number]],RobotDesignResults[Team Number],0))</calculatedColumnFormula>
    </tableColumn>
    <tableColumn id="24" xr3:uid="{00000000-0010-0000-0600-000018000000}" name="Iterate - Improvements (CV-RD)" dataDxfId="68">
      <calculatedColumnFormula>INDEX(RobotDesignResults[Iterate - Improvements (CV)],MATCH(CoreValuesResults[[#This Row],[Team Number]],RobotDesignResults[Team Number],0))</calculatedColumnFormula>
    </tableColumn>
    <tableColumn id="23" xr3:uid="{00000000-0010-0000-0600-000017000000}" name="Communicate - Impact (CV-RD)" dataDxfId="67">
      <calculatedColumnFormula>INDEX(RobotDesignResults[Communicate - Impact (CV)],MATCH(CoreValuesResults[[#This Row],[Team Number]],RobotDesignResults[Team Number],0))</calculatedColumnFormula>
    </tableColumn>
    <tableColumn id="13" xr3:uid="{00000000-0010-0000-0600-00000D000000}" name="Communicate - Fun (CV-RD)" dataDxfId="66">
      <calculatedColumnFormula>INDEX(RobotDesignResults[Communicate - Fun (CV)],MATCH(CoreValuesResults[[#This Row],[Team Number]],RobotDesignResults[Team Number],0))</calculatedColumnFormula>
    </tableColumn>
    <tableColumn id="7" xr3:uid="{00000000-0010-0000-0600-000007000000}" name="Gracious Professionalism 1" dataDxfId="65"/>
    <tableColumn id="8" xr3:uid="{00000000-0010-0000-0600-000008000000}" name="Gracious Professionalism 2" dataDxfId="64"/>
    <tableColumn id="6" xr3:uid="{00000000-0010-0000-0600-000006000000}" name="Gracious Professionalism 3" dataDxfId="63"/>
    <tableColumn id="14" xr3:uid="{00000000-0010-0000-0600-00000E000000}" name="Gracious Professionalism Total" dataDxfId="62">
      <calculatedColumnFormula>SUM(CoreValuesResults[[#This Row],[Gracious Professionalism 1]:[Gracious Professionalism 3]])</calculatedColumnFormula>
    </tableColumn>
    <tableColumn id="18" xr3:uid="{00000000-0010-0000-0600-000012000000}" name="Gracious Professionalism Score" dataDxfId="61">
      <calculatedColumnFormula>SUM(N2:Q2)</calculatedColumnFormula>
    </tableColumn>
    <tableColumn id="19" xr3:uid="{00000000-0010-0000-0600-000013000000}" name="Core Values Score" dataDxfId="60">
      <calculatedColumnFormula>SUM(CoreValuesResults[[#This Row],[Identify - Research (CV-IP)]:[Communicate - Fun (CV-RD)]],CoreValuesResults[[#This Row],[Gracious Professionalism Score]])</calculatedColumnFormula>
    </tableColumn>
    <tableColumn id="20" xr3:uid="{00000000-0010-0000-0600-00001400000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8" dataDxfId="57">
  <autoFilter ref="B3:E18" xr:uid="{00000000-0009-0000-0100-000008000000}"/>
  <tableColumns count="4">
    <tableColumn id="1" xr3:uid="{00000000-0010-0000-0700-000001000000}" name="Team Number" dataDxfId="56"/>
    <tableColumn id="2" xr3:uid="{00000000-0010-0000-0700-000002000000}"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53"/>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52" dataDxfId="51">
  <autoFilter ref="G3:J18" xr:uid="{00000000-0009-0000-0100-000009000000}"/>
  <tableColumns count="4">
    <tableColumn id="1" xr3:uid="{00000000-0010-0000-0800-000001000000}" name="Team Number" dataDxfId="50"/>
    <tableColumn id="2" xr3:uid="{00000000-0010-0000-0800-000002000000}"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47"/>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46" dataDxfId="45">
  <autoFilter ref="B21:E36" xr:uid="{00000000-0009-0000-0100-00000A000000}"/>
  <tableColumns count="4">
    <tableColumn id="1" xr3:uid="{00000000-0010-0000-0900-000001000000}" name="Team Number" dataDxfId="44"/>
    <tableColumn id="2" xr3:uid="{00000000-0010-0000-0900-000002000000}"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4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40" dataDxfId="39">
  <autoFilter ref="G21:J36" xr:uid="{00000000-0009-0000-0100-00000B000000}"/>
  <tableColumns count="4">
    <tableColumn id="1" xr3:uid="{00000000-0010-0000-0A00-000001000000}" name="Team Number" dataDxfId="38"/>
    <tableColumn id="2" xr3:uid="{00000000-0010-0000-0A00-000002000000}"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35"/>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34" dataDxfId="33">
  <autoFilter ref="L21:O36" xr:uid="{00000000-0009-0000-0100-00000C000000}"/>
  <tableColumns count="4">
    <tableColumn id="1" xr3:uid="{00000000-0010-0000-0B00-000001000000}" name="Team Number" dataDxfId="32"/>
    <tableColumn id="2" xr3:uid="{00000000-0010-0000-0B00-000002000000}"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29"/>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8" dataDxfId="27">
  <autoFilter ref="B39:E54" xr:uid="{00000000-0009-0000-0100-00000D000000}"/>
  <tableColumns count="4">
    <tableColumn id="1" xr3:uid="{00000000-0010-0000-0C00-000001000000}" name="Team Number" dataDxfId="26"/>
    <tableColumn id="2" xr3:uid="{00000000-0010-0000-0C00-000002000000}"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23"/>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22" dataDxfId="21">
  <autoFilter ref="G39:J54" xr:uid="{00000000-0009-0000-0100-00000E000000}"/>
  <tableColumns count="4">
    <tableColumn id="1" xr3:uid="{00000000-0010-0000-0D00-000001000000}" name="Team Number" dataDxfId="20"/>
    <tableColumn id="2" xr3:uid="{00000000-0010-0000-0D00-000002000000}"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17"/>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16" dataDxfId="15">
  <autoFilter ref="L39:O54" xr:uid="{00000000-0009-0000-0100-00000F000000}"/>
  <tableColumns count="4">
    <tableColumn id="1" xr3:uid="{00000000-0010-0000-0E00-000001000000}" name="Team Number" dataDxfId="14"/>
    <tableColumn id="2" xr3:uid="{00000000-0010-0000-0E00-000002000000}"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1" t="s">
        <v>11</v>
      </c>
      <c r="B1" s="101"/>
      <c r="C1" s="101"/>
      <c r="D1" s="101"/>
      <c r="E1" s="7" t="s">
        <v>101</v>
      </c>
      <c r="F1" s="80">
        <f>COUNT(OfficialTeamList[Team '#])</f>
        <v>0</v>
      </c>
      <c r="G1" s="80" t="s">
        <v>102</v>
      </c>
      <c r="H1" s="81">
        <f>MAX(OfficialTeamList[Pod Number])</f>
        <v>0</v>
      </c>
      <c r="I1" s="79"/>
    </row>
    <row r="2" spans="1:9" s="2" customFormat="1" ht="21" customHeight="1" thickBot="1" x14ac:dyDescent="0.3">
      <c r="A2" s="7" t="s">
        <v>129</v>
      </c>
      <c r="B2" s="7" t="s">
        <v>13</v>
      </c>
      <c r="C2" s="6" t="s">
        <v>130</v>
      </c>
      <c r="D2" s="6" t="s">
        <v>14</v>
      </c>
      <c r="E2" s="99" t="s">
        <v>125</v>
      </c>
      <c r="F2" s="100" t="b">
        <v>0</v>
      </c>
      <c r="G2" s="3" t="s">
        <v>126</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tabSelected="1"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1"/>
  <sheetViews>
    <sheetView workbookViewId="0">
      <selection activeCell="A2" sqref="A2"/>
    </sheetView>
  </sheetViews>
  <sheetFormatPr defaultRowHeight="15" x14ac:dyDescent="0.25"/>
  <cols>
    <col min="1" max="1" width="34.5703125" customWidth="1"/>
    <col min="3" max="3" width="30.28515625" customWidth="1"/>
  </cols>
  <sheetData>
    <row r="1" spans="1:3" x14ac:dyDescent="0.25">
      <c r="A1" t="s">
        <v>35</v>
      </c>
      <c r="C1"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S1"/>
  <sheetViews>
    <sheetView workbookViewId="0">
      <selection sqref="A1:S1"/>
    </sheetView>
  </sheetViews>
  <sheetFormatPr defaultRowHeight="15" x14ac:dyDescent="0.25"/>
  <cols>
    <col min="1" max="1" width="17.5703125" bestFit="1" customWidth="1"/>
    <col min="2" max="2" width="8" bestFit="1" customWidth="1"/>
    <col min="3" max="3" width="13.7109375" bestFit="1" customWidth="1"/>
    <col min="4" max="5" width="10.85546875" bestFit="1" customWidth="1"/>
    <col min="6" max="6" width="26" bestFit="1" customWidth="1"/>
    <col min="7" max="7" width="26.7109375" bestFit="1" customWidth="1"/>
    <col min="8" max="8" width="26.28515625" bestFit="1" customWidth="1"/>
    <col min="9" max="9" width="19.5703125" bestFit="1" customWidth="1"/>
  </cols>
  <sheetData>
    <row r="1" spans="1:19" x14ac:dyDescent="0.25">
      <c r="A1" t="s">
        <v>127</v>
      </c>
      <c r="B1" t="s">
        <v>117</v>
      </c>
      <c r="C1" t="s">
        <v>128</v>
      </c>
      <c r="D1" t="s">
        <v>118</v>
      </c>
      <c r="E1" t="s">
        <v>119</v>
      </c>
      <c r="F1" t="s">
        <v>120</v>
      </c>
      <c r="G1" t="s">
        <v>121</v>
      </c>
      <c r="H1" t="s">
        <v>122</v>
      </c>
      <c r="I1" t="s">
        <v>123</v>
      </c>
      <c r="J1" t="s">
        <v>131</v>
      </c>
      <c r="K1" t="s">
        <v>132</v>
      </c>
      <c r="L1" t="s">
        <v>133</v>
      </c>
      <c r="M1" t="s">
        <v>134</v>
      </c>
      <c r="N1" t="s">
        <v>135</v>
      </c>
      <c r="O1" t="s">
        <v>136</v>
      </c>
      <c r="P1" t="s">
        <v>137</v>
      </c>
      <c r="Q1" t="s">
        <v>138</v>
      </c>
      <c r="R1" t="s">
        <v>139</v>
      </c>
      <c r="S1" t="s">
        <v>124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2" t="s">
        <v>17</v>
      </c>
      <c r="B1" s="102"/>
      <c r="C1" s="103"/>
      <c r="D1" s="102" t="s">
        <v>18</v>
      </c>
      <c r="E1" s="103"/>
      <c r="F1" s="103"/>
      <c r="G1" s="103"/>
      <c r="H1" s="103"/>
      <c r="I1" s="103"/>
      <c r="J1" s="103"/>
      <c r="K1" s="102" t="s">
        <v>19</v>
      </c>
      <c r="L1" s="103"/>
      <c r="M1" s="103"/>
      <c r="N1" s="102" t="s">
        <v>20</v>
      </c>
      <c r="O1" s="103"/>
      <c r="P1" s="4" t="s">
        <v>116</v>
      </c>
      <c r="Q1" s="97" t="e">
        <f>VLOOKUP("ADV", AwardDef[], 5,0)</f>
        <v>#N/A</v>
      </c>
      <c r="R1" s="102" t="s">
        <v>21</v>
      </c>
      <c r="S1" s="103"/>
      <c r="T1" s="103"/>
      <c r="U1" s="103"/>
      <c r="V1" s="103"/>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Number]], OfficialTeamList[Team '#],0))</f>
        <v>#N/A</v>
      </c>
      <c r="C3" s="95" t="e">
        <f>INDEX(OfficialTeamList[Team Name],MATCH(TournamentData[[#This Row],[Team Number]], OfficialTeamList[Team '#],0))</f>
        <v>#N/A</v>
      </c>
      <c r="D3" s="73">
        <f>IF(TournamentData[[#This Row],[Team Number]]="","",IF(ISNA(INDEX('Robot Game Scores'!C:C,MATCH(TournamentData[[#This Row],[Team Number]], 'Robot Game Scores'!$A:$A,0))),0,INDEX('Robot Game Scores'!C:C,MATCH(TournamentData[[#This Row],[Team Number]], 'Robot Game Scores'!$A:$A,0))))</f>
        <v>0</v>
      </c>
      <c r="E3" s="73">
        <f>IF(TournamentData[[#This Row],[Team Number]]="","",IF(ISNA(INDEX('Robot Game Scores'!D:D,MATCH(TournamentData[[#This Row],[Team Number]], 'Robot Game Scores'!$A:$A,0))),0,INDEX('Robot Game Scores'!D:D,MATCH(TournamentData[[#This Row],[Team Number]], 'Robot Game Scores'!$A:$A,0))))</f>
        <v>0</v>
      </c>
      <c r="F3" s="73">
        <f>IF(TournamentData[[#This Row],[Team Number]]="","",IF(ISNA(INDEX('Robot Game Scores'!E:E,MATCH(TournamentData[[#This Row],[Team Number]], 'Robot Game Scores'!$A:$A,0))),0,INDEX('Robot Game Scores'!E:E,MATCH(TournamentData[[#This Row],[Team Number]], 'Robot Game Scores'!$A:$A,0))))</f>
        <v>0</v>
      </c>
      <c r="G3" s="73" t="e">
        <f>IF(TournamentData[[#This Row],[Team Number]]="","",IF(ISNA(INDEX('Robot Game Scores'!#REF!,MATCH(TournamentData[[#This Row],[Team Number]], 'Robot Game Scores'!$A:$A,0))),0,INDEX('Robot Game Scores'!#REF!,MATCH(TournamentData[[#This Row],[Team Number]], 'Robot Game Scores'!$A:$A,0))))</f>
        <v>#REF!</v>
      </c>
      <c r="H3" s="73" t="e">
        <f>IF(TournamentData[[#This Row],[Team Number]]="","",IF(ISNA(INDEX('Robot Game Scores'!#REF!,MATCH(TournamentData[[#This Row],[Team Number]], 'Robot Game Scores'!$A:$A,0))),0,INDEX('Robot Game Scores'!#REF!,MATCH(TournamentData[[#This Row],[Team Number]],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Number]],CoreValuesResults[Team Number],0))</f>
        <v>#N/A</v>
      </c>
      <c r="L3" s="73" t="e">
        <f>INDEX(InnovationProjectResults[Innovation Project Rank],MATCH(TournamentData[[#This Row],[Team Number]],InnovationProjectResults[Team Number],0))</f>
        <v>#N/A</v>
      </c>
      <c r="M3" s="73" t="e">
        <f>INDEX(RobotDesignResults[Robot Design Rank],MATCH(TournamentData[[#This Row],[Team Number]],RobotDesignResults[Team Number],0))</f>
        <v>#N/A</v>
      </c>
      <c r="N3" s="73" t="e">
        <f>SUM(TournamentData[[#This Row],[Robot Game Rank]:[Robot Design Rank]])</f>
        <v>#N/A</v>
      </c>
      <c r="O3" s="72" t="e">
        <f>RANK(TournamentData[[#This Row],[Champion''s Score]],TournamentData[Champion''s Score],1)</f>
        <v>#N/A</v>
      </c>
      <c r="P3" s="74"/>
      <c r="Q3" s="78" t="s">
        <v>94</v>
      </c>
      <c r="R3" s="75">
        <f>IF(ISNA(INDEX(CoreValuesResults[Core Values Score],MATCH(TournamentData[[#This Row],[Team Number]],CoreValuesResults[Team Number],0))),0,INDEX(CoreValuesResults[Core Values Score],MATCH(TournamentData[[#This Row],[Team Number]],CoreValuesResults[Team Number],0)))</f>
        <v>0</v>
      </c>
      <c r="S3" s="75">
        <f>IF(ISNA(INDEX(InnovationProjectResults[Innovation Project Score],MATCH(TournamentData[[#This Row],[Team Number]],InnovationProjectResults[Team Number],0))),0,INDEX(InnovationProjectResults[Innovation Project Score],MATCH(TournamentData[[#This Row],[Team Number]],InnovationProjectResults[Team Number],0)))</f>
        <v>0</v>
      </c>
      <c r="T3" s="75">
        <f>IF(ISNA(INDEX(RobotDesignResults[Robot Design Score],MATCH(TournamentData[[#This Row],[Team Number]],RobotDesignResults[Team Number],0))),0,INDEX(RobotDesignResults[Robot Design Score],MATCH(TournamentData[[#This Row],[Team Number]],RobotDesignResults[Team Number],0)))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#REF!</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0" priority="17">
      <formula>ROW()-NumberOfTeams=2</formula>
    </cfRule>
  </conditionalFormatting>
  <conditionalFormatting sqref="A3:B3">
    <cfRule type="expression" dxfId="9" priority="11">
      <formula>IF($O3 &lt;= NumberofTeamsAdvancing,TRUE,FALSE)</formula>
    </cfRule>
  </conditionalFormatting>
  <conditionalFormatting sqref="C3:P3 R3:W3">
    <cfRule type="expression" dxfId="8" priority="21">
      <formula>IF($P3&lt;&gt;"",TRUE,FALSE)</formula>
    </cfRule>
  </conditionalFormatting>
  <conditionalFormatting sqref="Q3">
    <cfRule type="cellIs" dxfId="7" priority="322" stopIfTrue="1" operator="equal">
      <formula>"Yes"</formula>
    </cfRule>
    <cfRule type="cellIs" dxfId="6" priority="323" stopIfTrue="1" operator="equal">
      <formula>"Alt"</formula>
    </cfRule>
  </conditionalFormatting>
  <conditionalFormatting sqref="P3">
    <cfRule type="duplicateValues" dxfId="5" priority="331"/>
  </conditionalFormatting>
  <dataValidations count="2">
    <dataValidation type="list" allowBlank="1" showInputMessage="1" showErrorMessage="1" sqref="P3" xr:uid="{00000000-0002-0000-0300-000001000000}">
      <formula1>Awards</formula1>
    </dataValidation>
    <dataValidation type="list" allowBlank="1" showInputMessage="1" showErrorMessage="1" sqref="Q3"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24" id="{00000000-000E-0000-0400-00001E000000}">
            <xm:f>AND(J1=3,IF(VLOOKUP("Robot Game 3rd Place",AwardListDropdowns!$C$2:$C$6,1,FALSE)="Robot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25" id="{00000000-000E-0000-0400-00001F000000}">
            <xm:f>AND(J1=2,IF(VLOOKUP("Robot Game 2nd Place",AwardListDropdowns!$C$2:$C$6,1,FALSE)="Robot Game 2nd Place", TRUE, FALSE))</xm:f>
            <x14:dxf>
              <font>
                <b/>
                <i/>
                <color theme="1"/>
              </font>
              <fill>
                <patternFill>
                  <bgColor rgb="FFD7D7D7"/>
                </patternFill>
              </fill>
            </x14:dxf>
          </x14:cfRule>
          <x14:cfRule type="expression" priority="326" id="{00000000-000E-0000-0400-000020000000}">
            <xm:f>AND(J1=1,IF(VLOOKUP("Robot Game 1st Place",AwardListDropdowns!$C$2:$C$6,1,FALSE)="Robot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27" stopIfTrue="1" id="{C3B808DA-08E3-4603-A721-F32DD3A8C896}">
            <xm:f>COUNTIF($Q:$Q,"Yes")=Meta!#REF!</xm:f>
            <x14:dxf>
              <fill>
                <patternFill>
                  <bgColor rgb="FF00FF00"/>
                </patternFill>
              </fill>
            </x14:dxf>
          </x14:cfRule>
          <xm:sqref>Q2</xm:sqref>
        </x14:conditionalFormatting>
        <x14:conditionalFormatting xmlns:xm="http://schemas.microsoft.com/office/excel/2006/main">
          <x14:cfRule type="expression" priority="332" id="{BFED3AE6-6FBF-4AEB-8F7A-4C62E56E5629}">
            <xm:f>COUNTA(AwardListDropdowns!$A$2:$A$35)=COUNTA($P$3:$P$3)</xm:f>
            <x14:dxf>
              <font>
                <color theme="9" tint="-0.499984740745262"/>
              </font>
              <fill>
                <patternFill>
                  <bgColor rgb="FF00B050"/>
                </patternFill>
              </fill>
            </x14:dxf>
          </x14:cfRule>
          <xm:sqref>P2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activeCell="F2" sqref="F2"/>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v>
      </c>
      <c r="B1" s="57" t="s">
        <v>13</v>
      </c>
      <c r="C1" s="64" t="s">
        <v>42</v>
      </c>
      <c r="D1" s="64" t="s">
        <v>43</v>
      </c>
      <c r="E1" s="64" t="s">
        <v>44</v>
      </c>
      <c r="F1" s="58" t="s">
        <v>45</v>
      </c>
    </row>
    <row r="2" spans="1:6" ht="21" customHeight="1" x14ac:dyDescent="0.25">
      <c r="A2" s="68"/>
      <c r="B2" s="96" t="e">
        <f>INDEX(OfficialTeamList[Team Name],MATCH(RobotGameScores[[#This Row],[Team Number]],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Number]], OfficialTeamList[Team '#],0))</f>
        <v>#N/A</v>
      </c>
      <c r="C2" s="96" t="e">
        <f>INDEX(OfficialTeamList[Team Name],MATCH(InnovationProjectResults[[#This Row],[Team Number]],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Number]], OfficialTeamList[Team '#],0))</f>
        <v>#N/A</v>
      </c>
      <c r="C2" s="96" t="e">
        <f>INDEX(OfficialTeamList[Team Name],MATCH(RobotDesignResults[[#This Row],[Team Number]],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Number]], OfficialTeamList[Team '#],0))</f>
        <v>#N/A</v>
      </c>
      <c r="C2" s="96" t="e">
        <f>INDEX(OfficialTeamList[Team Name],MATCH(CoreValuesResults[[#This Row],[Team Number]], OfficialTeamList[Team '#],0))</f>
        <v>#N/A</v>
      </c>
      <c r="D2" s="71" t="e">
        <f>INDEX(InnovationProjectResults[Identify - Research (CV)],MATCH(CoreValuesResults[[#This Row],[Team Number]],InnovationProjectResults[Team Number],0))</f>
        <v>#N/A</v>
      </c>
      <c r="E2" s="71" t="e">
        <f>INDEX(InnovationProjectResults[Design - Teamwork (CV)],MATCH(CoreValuesResults[[#This Row],[Team Number]],InnovationProjectResults[Team Number],0))</f>
        <v>#N/A</v>
      </c>
      <c r="F2" s="71" t="e">
        <f>INDEX(InnovationProjectResults[Create - Innovation (CV)],MATCH(CoreValuesResults[[#This Row],[Team Number]],InnovationProjectResults[Team Number],0))</f>
        <v>#N/A</v>
      </c>
      <c r="G2" s="71" t="e">
        <f>INDEX(InnovationProjectResults[Communicate - Impact (CV)],MATCH(CoreValuesResults[[#This Row],[Team Number]],InnovationProjectResults[Team Number],0))</f>
        <v>#N/A</v>
      </c>
      <c r="H2" s="71" t="e">
        <f>INDEX(InnovationProjectResults[Communicate - Fun (CV)],MATCH(CoreValuesResults[[#This Row],[Team Number]],InnovationProjectResults[Team Number],0))</f>
        <v>#N/A</v>
      </c>
      <c r="I2" s="71" t="e">
        <f>INDEX(RobotDesignResults[Identify - Research (CV)],MATCH(CoreValuesResults[[#This Row],[Team Number]],RobotDesignResults[Team Number],0))</f>
        <v>#N/A</v>
      </c>
      <c r="J2" s="71" t="e">
        <f>INDEX(RobotDesignResults[Design - Ideas (CV)],MATCH(CoreValuesResults[[#This Row],[Team Number]],RobotDesignResults[Team Number],0))</f>
        <v>#N/A</v>
      </c>
      <c r="K2" s="71" t="e">
        <f>INDEX(RobotDesignResults[Iterate - Improvements (CV)],MATCH(CoreValuesResults[[#This Row],[Team Number]],RobotDesignResults[Team Number],0))</f>
        <v>#N/A</v>
      </c>
      <c r="L2" s="71" t="e">
        <f>INDEX(RobotDesignResults[Communicate - Impact (CV)],MATCH(CoreValuesResults[[#This Row],[Team Number]],RobotDesignResults[Team Number],0))</f>
        <v>#N/A</v>
      </c>
      <c r="M2" s="71" t="e">
        <f>INDEX(RobotDesignResults[Communicate - Fun (CV)],MATCH(CoreValuesResults[[#This Row],[Team Number]],RobotDesignResults[Team Number],0))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2025-12-19T12:20:09Z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