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5-all\"/>
    </mc:Choice>
  </mc:AlternateContent>
  <xr:revisionPtr revIDLastSave="0" documentId="13_ncr:1_{D7145C29-EA46-4840-8083-6DBA31633F6D}" xr6:coauthVersionLast="47" xr6:coauthVersionMax="47" xr10:uidLastSave="{00000000-0000-0000-0000-000000000000}"/>
  <bookViews>
    <workbookView xWindow="4200" yWindow="4200" windowWidth="28800" windowHeight="15345" tabRatio="879" activeTab="7" xr2:uid="{00000000-000D-0000-FFFF-FFFF00000000}"/>
  </bookViews>
  <sheets>
    <sheet name="Instructions" sheetId="1" r:id="rId1"/>
    <sheet name="Team and Program Information" sheetId="2" r:id="rId2"/>
    <sheet name="Data Validation" sheetId="12" r:id="rId3"/>
    <sheet name="Meta" sheetId="3" r:id="rId4"/>
    <sheet name="AwardListDropdowns" sheetId="11" r:id="rId5"/>
    <sheet name="AwardDef" sheetId="14" r:id="rId6"/>
    <sheet name="Pod Analysis" sheetId="13" r:id="rId7"/>
    <sheet name="Results and Rankings" sheetId="4" r:id="rId8"/>
    <sheet name="Robot Game Scores" sheetId="5" r:id="rId9"/>
    <sheet name="Innovation Project Input" sheetId="6" r:id="rId10"/>
    <sheet name="Robot Design Input" sheetId="7" r:id="rId11"/>
    <sheet name="Core Values Input" sheetId="8" r:id="rId12"/>
    <sheet name="GP Scores" sheetId="9" state="hidden" r:id="rId13"/>
    <sheet name="Area Deliberations" sheetId="10" state="hidden" r:id="rId14"/>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GPScores">'GP Scores'!$A:$C</definedName>
    <definedName name="_xlnm.Print_Area" localSheetId="0">Instructions!$B$1:$D$24</definedName>
    <definedName name="_xlnm.Print_Titles" localSheetId="7">'Results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1" l="1"/>
  <c r="Q1" i="4"/>
  <c r="W1" i="4" s="1"/>
  <c r="F2" i="5"/>
  <c r="H1" i="2"/>
  <c r="F1" i="2"/>
  <c r="B2" i="8" l="1"/>
  <c r="B2" i="7"/>
  <c r="B2" i="6"/>
  <c r="B3" i="4"/>
  <c r="B2" i="5"/>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D2" i="13" l="1"/>
  <c r="D3" i="13"/>
  <c r="D6" i="13"/>
  <c r="D9" i="13"/>
  <c r="D12" i="13"/>
  <c r="D15" i="13"/>
  <c r="D18" i="13"/>
  <c r="D21" i="13"/>
  <c r="D24" i="13"/>
  <c r="D27" i="13"/>
  <c r="D30" i="13"/>
  <c r="D33" i="13"/>
  <c r="D36" i="13"/>
  <c r="D39" i="13"/>
  <c r="D4" i="13"/>
  <c r="D7" i="13"/>
  <c r="D10" i="13"/>
  <c r="D13" i="13"/>
  <c r="D16" i="13"/>
  <c r="D19" i="13"/>
  <c r="D22" i="13"/>
  <c r="D25" i="13"/>
  <c r="D28" i="13"/>
  <c r="D31" i="13"/>
  <c r="D34" i="13"/>
  <c r="D37" i="13"/>
  <c r="D40" i="13"/>
  <c r="D5" i="13"/>
  <c r="D8" i="13"/>
  <c r="D11" i="13"/>
  <c r="D14" i="13"/>
  <c r="D17" i="13"/>
  <c r="D20" i="13"/>
  <c r="D23" i="13"/>
  <c r="D26" i="13"/>
  <c r="D29" i="13"/>
  <c r="D32" i="13"/>
  <c r="D35" i="13"/>
  <c r="D38" i="13"/>
  <c r="E5" i="13"/>
  <c r="E8" i="13"/>
  <c r="E11" i="13"/>
  <c r="E14" i="13"/>
  <c r="E17" i="13"/>
  <c r="E20" i="13"/>
  <c r="E23" i="13"/>
  <c r="E26" i="13"/>
  <c r="E29" i="13"/>
  <c r="E32" i="13"/>
  <c r="E35" i="13"/>
  <c r="E38" i="13"/>
  <c r="E12" i="13"/>
  <c r="E30" i="13"/>
  <c r="E9" i="13"/>
  <c r="E21" i="13"/>
  <c r="E15" i="13"/>
  <c r="E6" i="13"/>
  <c r="E18" i="13"/>
  <c r="E3" i="13"/>
  <c r="E2" i="13"/>
  <c r="E33" i="13"/>
  <c r="E4" i="13"/>
  <c r="E7" i="13"/>
  <c r="E10" i="13"/>
  <c r="E13" i="13"/>
  <c r="E16" i="13"/>
  <c r="E19" i="13"/>
  <c r="E22" i="13"/>
  <c r="E25" i="13"/>
  <c r="E28" i="13"/>
  <c r="E31" i="13"/>
  <c r="E34" i="13"/>
  <c r="E37" i="13"/>
  <c r="E40" i="13"/>
  <c r="E27" i="13"/>
  <c r="E36" i="13"/>
  <c r="E39" i="13"/>
  <c r="E24" i="13"/>
  <c r="C3" i="13"/>
  <c r="C6" i="13"/>
  <c r="C9" i="13"/>
  <c r="C12" i="13"/>
  <c r="C15" i="13"/>
  <c r="C18" i="13"/>
  <c r="C21" i="13"/>
  <c r="C24" i="13"/>
  <c r="C27" i="13"/>
  <c r="C30" i="13"/>
  <c r="C33" i="13"/>
  <c r="C36" i="13"/>
  <c r="C39" i="13"/>
  <c r="C4" i="13"/>
  <c r="C7" i="13"/>
  <c r="C10" i="13"/>
  <c r="C13" i="13"/>
  <c r="C16" i="13"/>
  <c r="C19" i="13"/>
  <c r="C22" i="13"/>
  <c r="C25" i="13"/>
  <c r="C28" i="13"/>
  <c r="C31" i="13"/>
  <c r="C34" i="13"/>
  <c r="C37" i="13"/>
  <c r="C40" i="13"/>
  <c r="C5" i="13"/>
  <c r="C8" i="13"/>
  <c r="C11" i="13"/>
  <c r="C14" i="13"/>
  <c r="C17" i="13"/>
  <c r="C20" i="13"/>
  <c r="C23" i="13"/>
  <c r="C26" i="13"/>
  <c r="C29" i="13"/>
  <c r="C32" i="13"/>
  <c r="C35" i="13"/>
  <c r="C38" i="13"/>
  <c r="F24" i="13"/>
  <c r="F5" i="13"/>
  <c r="F8" i="13"/>
  <c r="F11" i="13"/>
  <c r="F14" i="13"/>
  <c r="F17" i="13"/>
  <c r="F20" i="13"/>
  <c r="F23" i="13"/>
  <c r="F26" i="13"/>
  <c r="F29" i="13"/>
  <c r="F32" i="13"/>
  <c r="F35" i="13"/>
  <c r="F38" i="13"/>
  <c r="F9" i="13"/>
  <c r="F36" i="13"/>
  <c r="F15" i="13"/>
  <c r="F12" i="13"/>
  <c r="F39" i="13"/>
  <c r="F3" i="13"/>
  <c r="F6" i="13"/>
  <c r="F27" i="13"/>
  <c r="F37" i="13"/>
  <c r="F21" i="13"/>
  <c r="F4" i="13"/>
  <c r="F7" i="13"/>
  <c r="F10" i="13"/>
  <c r="F13" i="13"/>
  <c r="F16" i="13"/>
  <c r="F19" i="13"/>
  <c r="F22" i="13"/>
  <c r="F25" i="13"/>
  <c r="F28" i="13"/>
  <c r="F31" i="13"/>
  <c r="F34" i="13"/>
  <c r="F40" i="13"/>
  <c r="F33" i="13"/>
  <c r="F2" i="13"/>
  <c r="F30" i="13"/>
  <c r="F18" i="13"/>
  <c r="O2" i="6"/>
  <c r="O2" i="7"/>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T2" i="8" l="1"/>
  <c r="J3" i="4"/>
  <c r="K3" i="4"/>
  <c r="U3" i="4"/>
  <c r="V3" i="4" s="1"/>
  <c r="N3" i="4" l="1"/>
  <c r="C2" i="13" s="1"/>
  <c r="O3" i="4" l="1"/>
</calcChain>
</file>

<file path=xl/sharedStrings.xml><?xml version="1.0" encoding="utf-8"?>
<sst xmlns="http://schemas.openxmlformats.org/spreadsheetml/2006/main" count="185" uniqueCount="132">
  <si>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</si>
  <si>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</si>
  <si>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</si>
  <si>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</si>
  <si>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</si>
  <si>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</si>
  <si>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</si>
  <si>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</si>
  <si>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</si>
  <si>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</si>
  <si>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</si>
  <si>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</si>
  <si>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</si>
  <si>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</si>
  <si>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Pod Number</t>
  </si>
  <si>
    <t>Key</t>
  </si>
  <si>
    <t>Value</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</si>
  <si>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</si>
  <si>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</si>
  <si>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</si>
  <si>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</si>
  <si>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</si>
  <si>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</si>
  <si>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</si>
  <si>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</si>
  <si>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</si>
  <si>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</si>
  <si>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</si>
  <si>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</si>
  <si>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</si>
  <si>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</si>
  <si>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</si>
  <si>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</si>
  <si>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</si>
  <si>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</si>
  <si>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</si>
  <si>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</si>
  <si>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</si>
  <si>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</si>
  <si>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</si>
  <si>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</si>
  <si>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</si>
  <si>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</si>
  <si>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</si>
  <si>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</si>
  <si>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</si>
  <si>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</si>
  <si>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</si>
  <si>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</si>
  <si>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</si>
  <si>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</si>
  <si>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</si>
  <si>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</si>
  <si>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</si>
  <si>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</si>
  <si>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</si>
  <si>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</si>
  <si>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</si>
  <si>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</si>
  <si>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</si>
  <si>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</si>
  <si>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</si>
  <si>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</si>
  <si>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</si>
  <si>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</si>
  <si>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</si>
  <si>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</si>
  <si>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</si>
  <si>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</si>
  <si>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</si>
  <si>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</si>
  <si>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</si>
  <si>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</si>
  <si>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</si>
  <si>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</si>
  <si>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</si>
  <si>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</si>
  <si>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</si>
  <si>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</si>
  <si>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</si>
  <si>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</si>
  <si>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</si>
  <si>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</si>
  <si>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</si>
  <si>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</si>
  <si>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</si>
  <si>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</si>
  <si>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</si>
  <si>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</si>
  <si>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</si>
  <si>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</si>
  <si>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Robot Game Awards</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</si>
  <si>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</si>
  <si>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</si>
  <si>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</si>
  <si>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</si>
  <si>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</si>
  <si>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</si>
  <si>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</si>
  <si>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</si>
  <si>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</si>
  <si>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</si>
  <si>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</si>
  <si>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</si>
  <si>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</si>
  <si>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</si>
  <si>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</si>
  <si>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</si>
  <si>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</si>
  <si>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</si>
  <si>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</si>
  <si>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</si>
  <si>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</si>
  <si>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</si>
  <si>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</si>
  <si>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</si>
  <si>
    <t>Awards</t>
  </si>
  <si>
    <t>Name</t>
  </si>
  <si>
    <t>Label1</t>
  </si>
  <si>
    <t>Label2</t>
  </si>
  <si>
    <t>Label3</t>
  </si>
  <si>
    <t>Two emcees:</t>
  </si>
  <si>
    <t>Setting this to TRUE will alternate shading in the closing ceremony script to make it easier to read</t>
  </si>
  <si>
    <t>ColumnName</t>
  </si>
  <si>
    <t>DivAward</t>
  </si>
  <si>
    <t>Team #</t>
  </si>
  <si>
    <t>Coach Name</t>
  </si>
  <si>
    <t>ID</t>
  </si>
  <si>
    <t>ScriptTagD1</t>
  </si>
  <si>
    <t>ScriptTagD2</t>
  </si>
  <si>
    <t>ScriptTagNoDiv</t>
  </si>
  <si>
    <t>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</si>
</sst>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4">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0" fillId="3" borderId="0" xfId="0" applyFill="1" applyAlignment="1">
      <alignment horizontal="center" vertical="center"/>
    </xf>
    <xf numFmtId="0" fontId="15" fillId="3" borderId="0" xfId="0" applyFont="1" applyFill="1" applyAlignment="1">
      <alignment horizontal="left" vertical="center"/>
    </xf>
    <xf numFmtId="0" fontId="16" fillId="3" borderId="0" xfId="0" applyFont="1" applyFill="1" applyAlignment="1">
      <alignment horizontal="left" vertical="center"/>
    </xf>
    <xf numFmtId="0" fontId="15" fillId="3" borderId="0" xfId="0" applyFont="1" applyFill="1" applyAlignment="1">
      <alignment vertical="top" wrapText="1"/>
    </xf>
    <xf numFmtId="49" fontId="15" fillId="3" borderId="0" xfId="0" applyNumberFormat="1" applyFont="1" applyFill="1" applyAlignment="1">
      <alignment horizontal="left" vertical="center"/>
    </xf>
    <xf numFmtId="0" fontId="14" fillId="0" borderId="0" xfId="0" applyFont="1" applyAlignment="1">
      <alignment horizontal="center" vertical="center"/>
    </xf>
    <xf numFmtId="0" fontId="0" fillId="0" borderId="4" xfId="0" applyBorder="1"/>
    <xf numFmtId="0" fontId="17" fillId="0" borderId="0" xfId="0" applyFont="1" applyAlignment="1">
      <alignment horizontal="center" vertical="center" textRotation="90"/>
    </xf>
    <xf numFmtId="0" fontId="20" fillId="0" borderId="0" xfId="0" applyFont="1"/>
    <xf numFmtId="165" fontId="14" fillId="0" borderId="0" xfId="0" applyNumberFormat="1" applyFont="1" applyAlignment="1">
      <alignment horizontal="center" vertical="center"/>
    </xf>
    <xf numFmtId="0" fontId="22" fillId="0" borderId="0" xfId="0" applyFont="1" applyAlignment="1">
      <alignment horizontal="left" vertical="center"/>
    </xf>
    <xf numFmtId="0" fontId="8" fillId="0" borderId="0" xfId="0" applyFont="1" applyAlignment="1">
      <alignment horizontal="center" vertical="center" wrapText="1"/>
    </xf>
    <xf numFmtId="0" fontId="23" fillId="0" borderId="0" xfId="0" applyFont="1" applyAlignment="1">
      <alignment horizontal="left" vertical="center" wrapText="1"/>
    </xf>
    <xf numFmtId="0" fontId="24"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6" fillId="19" borderId="0" xfId="0" applyNumberFormat="1" applyFont="1" applyFill="1" applyAlignment="1">
      <alignment horizontal="center" vertical="center" textRotation="90" wrapText="1"/>
    </xf>
    <xf numFmtId="0" fontId="26" fillId="19" borderId="0" xfId="0" applyFont="1" applyFill="1" applyAlignment="1">
      <alignment horizontal="center" vertical="center" textRotation="90" wrapText="1"/>
    </xf>
    <xf numFmtId="0" fontId="27" fillId="18" borderId="0" xfId="0" applyFont="1" applyFill="1" applyAlignment="1">
      <alignment horizontal="center" vertical="center" textRotation="90" wrapText="1"/>
    </xf>
    <xf numFmtId="0" fontId="27" fillId="10" borderId="0" xfId="0" applyFont="1" applyFill="1" applyAlignment="1">
      <alignment horizontal="center" vertical="center" textRotation="90" wrapText="1"/>
    </xf>
    <xf numFmtId="0" fontId="27" fillId="18" borderId="3" xfId="0" applyFont="1" applyFill="1" applyBorder="1" applyAlignment="1">
      <alignment horizontal="center" vertical="center" textRotation="90" wrapText="1"/>
    </xf>
    <xf numFmtId="0" fontId="25" fillId="16" borderId="0" xfId="0" applyFont="1" applyFill="1" applyAlignment="1">
      <alignment horizontal="center" vertical="center" textRotation="90" wrapText="1"/>
    </xf>
    <xf numFmtId="0" fontId="27"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6" fillId="0" borderId="0" xfId="0" applyFont="1"/>
    <xf numFmtId="0" fontId="19"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0" fontId="0" fillId="0" borderId="0" xfId="0" applyProtection="1">
      <protection locked="0"/>
    </xf>
    <xf numFmtId="0" fontId="1" fillId="21" borderId="0" xfId="0" applyFont="1" applyFill="1" applyAlignment="1" applyProtection="1">
      <alignment horizontal="center" vertical="center"/>
      <protection locked="0"/>
    </xf>
    <xf numFmtId="0" fontId="28" fillId="0" borderId="0" xfId="0" applyFont="1" applyAlignment="1">
      <alignment horizontal="center" vertical="center"/>
    </xf>
    <xf numFmtId="0" fontId="28" fillId="0" borderId="0" xfId="0" applyFont="1" applyAlignment="1">
      <alignment vertical="center"/>
    </xf>
    <xf numFmtId="0" fontId="21" fillId="3" borderId="0" xfId="0" applyFont="1" applyFill="1" applyAlignment="1">
      <alignment horizontal="center" vertical="center" wrapText="1"/>
    </xf>
    <xf numFmtId="0" fontId="30" fillId="3" borderId="0" xfId="0" applyFont="1" applyFill="1" applyAlignment="1">
      <alignment horizontal="center" vertical="center"/>
    </xf>
    <xf numFmtId="0" fontId="29" fillId="3" borderId="0" xfId="0" applyFont="1" applyFill="1" applyAlignment="1">
      <alignment horizontal="left" vertical="top" wrapText="1"/>
    </xf>
    <xf numFmtId="0" fontId="28" fillId="3" borderId="0" xfId="0" applyFont="1" applyFill="1" applyAlignment="1">
      <alignment horizontal="left" vertical="top" wrapText="1"/>
    </xf>
    <xf numFmtId="0" fontId="18" fillId="20" borderId="5" xfId="0" applyFont="1" applyFill="1" applyBorder="1" applyAlignment="1">
      <alignment horizontal="left" vertical="top" wrapText="1"/>
    </xf>
    <xf numFmtId="0" fontId="18" fillId="20" borderId="6" xfId="0" applyFont="1" applyFill="1" applyBorder="1" applyAlignment="1">
      <alignment horizontal="left" vertical="top" wrapText="1"/>
    </xf>
    <xf numFmtId="0" fontId="18" fillId="20" borderId="7" xfId="0" applyFont="1" applyFill="1" applyBorder="1" applyAlignment="1">
      <alignment horizontal="left" vertical="top" wrapText="1"/>
    </xf>
    <xf numFmtId="0" fontId="29" fillId="3" borderId="0" xfId="0" applyFont="1" applyFill="1" applyAlignment="1">
      <alignment vertical="top" wrapText="1"/>
    </xf>
    <xf numFmtId="49" fontId="29" fillId="3" borderId="0" xfId="0" applyNumberFormat="1" applyFont="1" applyFill="1" applyAlignment="1">
      <alignment horizontal="left" vertical="top"/>
    </xf>
    <xf numFmtId="0" fontId="29" fillId="3" borderId="0" xfId="0" applyFont="1" applyFill="1" applyAlignment="1">
      <alignment horizontal="left" vertical="center"/>
    </xf>
    <xf numFmtId="0" fontId="28" fillId="3" borderId="0" xfId="0" applyFont="1" applyFill="1" applyAlignment="1">
      <alignment horizontal="left" vertical="top"/>
    </xf>
    <xf numFmtId="1" fontId="14" fillId="5" borderId="0" xfId="0" applyNumberFormat="1" applyFont="1" applyFill="1" applyAlignment="1">
      <alignment horizontal="center" vertical="center" textRotation="90"/>
    </xf>
    <xf numFmtId="0" fontId="14"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2" fillId="0" borderId="0" xfId="0" applyFont="1" applyAlignment="1">
      <alignment horizontal="center" vertical="center"/>
    </xf>
    <xf numFmtId="0" fontId="4" fillId="0" borderId="0" xfId="0" applyFont="1" applyAlignment="1">
      <alignment horizontal="left" vertical="center" wrapText="1"/>
    </xf>
    <xf numFmtId="0" fontId="1" fillId="0" borderId="0" xfId="0" applyFont="1" applyAlignment="1">
      <alignment horizontal="center" vertical="center"/>
    </xf>
    <xf numFmtId="0" fontId="2" fillId="22" borderId="7" xfId="0" applyFont="1" applyFill="1" applyBorder="1" applyAlignment="1" applyProtection="1">
      <alignment horizontal="center" vertical="center"/>
      <protection locked="0"/>
    </xf>
    <xf numFmtId="0" fontId="5" fillId="2" borderId="0" xfId="0" applyFont="1" applyFill="1" applyAlignment="1">
      <alignment horizontal="center" vertical="center"/>
    </xf>
    <xf numFmtId="0" fontId="4" fillId="0" borderId="0" xfId="0" applyFont="1" applyAlignment="1">
      <alignment horizontal="center" vertical="center"/>
    </xf>
    <xf numFmtId="0" fontId="22" fillId="0" borderId="0" xfId="0" applyFont="1" applyAlignment="1">
      <alignment horizontal="left" vertical="center"/>
    </xf>
  </cellXfs>
  <cellStyles count="1">
    <cellStyle name="Normal" xfId="0" builtinId="0"/>
  </cellStyles>
  <dxfs count="153">
    <dxf>
      <fill>
        <patternFill>
          <bgColor rgb="FFC5CAE9"/>
        </patternFill>
      </fill>
    </dxf>
    <dxf>
      <fill>
        <patternFill>
          <bgColor rgb="FF42A5F5"/>
        </patternFill>
      </fill>
    </dxf>
    <dxf>
      <border>
        <bottom style="thin">
          <color rgb="FF002060"/>
        </bottom>
        <vertical/>
        <horizontal/>
      </border>
    </dxf>
    <dxf>
      <border>
        <bottom style="thin">
          <color rgb="FF002060"/>
        </bottom>
        <vertical/>
        <horizontal/>
      </bord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3" insertRow="1" totalsRowShown="0" headerRowDxfId="152" dataDxfId="151">
  <autoFilter ref="A2:D3" xr:uid="{00000000-0009-0000-0100-000001000000}"/>
  <sortState xmlns:xlrd2="http://schemas.microsoft.com/office/spreadsheetml/2017/richdata2" ref="A3:D3">
    <sortCondition ref="A3"/>
  </sortState>
  <tableColumns count="4">
    <tableColumn id="1" xr3:uid="{00000000-0010-0000-0000-000001000000}" name="Team #" dataDxfId="150"/>
    <tableColumn id="2" xr3:uid="{00000000-0010-0000-0000-000002000000}" name="Team Name" dataDxfId="149"/>
    <tableColumn id="3" xr3:uid="{00000000-0010-0000-0000-000003000000}" name="Coach Name" dataDxfId="148"/>
    <tableColumn id="4" xr3:uid="{00000000-0010-0000-0000-000004000000}" name="Pod Number" dataDxfId="14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B2" insertRow="1" totalsRowShown="0" headerRowDxfId="146" dataDxfId="145">
  <autoFilter ref="A1:B2" xr:uid="{00000000-0009-0000-0100-000002000000}"/>
  <tableColumns count="2">
    <tableColumn id="1" xr3:uid="{00000000-0010-0000-0100-000001000000}" name="Key" dataDxfId="144"/>
    <tableColumn id="2" xr3:uid="{00000000-0010-0000-0100-000002000000}" name="Value" dataDxfId="14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Dropdowns" displayName="AwardListDropdowns" ref="A2:B3" insertRow="1" totalsRowShown="0">
  <autoFilter ref="A2:B3" xr:uid="{935E6FC7-ABB3-44EF-8F9A-EBF699B1222F}"/>
  <tableColumns count="2">
    <tableColumn id="1" xr3:uid="{CE237E0F-E5C9-450C-B71B-1C7768DD5AEC}" name="Award"/>
    <tableColumn id="2" xr3:uid="{328EE640-BC79-44D5-89D3-5A903E95B0C3}" name="I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D2:D3" insertRow="1" totalsRowShown="0">
  <autoFilter ref="D2:D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60105D-65EE-4571-8901-56D64658BBF8}" name="AwardDef" displayName="AwardDef" ref="A1:J2" insertRow="1" totalsRowShown="0">
  <autoFilter ref="A1:J2" xr:uid="{4A60105D-65EE-4571-8901-56D64658BBF8}"/>
  <tableColumns count="10">
    <tableColumn id="1" xr3:uid="{97F1F6E1-3F98-4FD7-BC7F-E3F63A97F117}" name="ColumnName"/>
    <tableColumn id="2" xr3:uid="{098F2C59-021C-472E-ABE4-F24EA74A9044}" name="Name"/>
    <tableColumn id="3" xr3:uid="{D59132ED-B8CC-49B0-87F0-2DFC53707E15}" name="DivAward"/>
    <tableColumn id="4" xr3:uid="{860CA091-BCAD-470A-BE18-965B06A531EA}" name="Count"/>
    <tableColumn id="7" xr3:uid="{9CFA42FE-D6B7-4F8E-9C77-82F40C35F5FF}" name="Label1"/>
    <tableColumn id="8" xr3:uid="{D5325F22-7E43-4DE2-A5EF-7681A7B9D573}" name="Label2"/>
    <tableColumn id="9" xr3:uid="{0CBAFB7A-31D2-4C57-A445-E9C3A6FF65A2}" name="Label3"/>
    <tableColumn id="19" xr3:uid="{457C61B9-6B34-4DAB-A868-8FB062B32168}" name="ScriptTagD1"/>
    <tableColumn id="10" xr3:uid="{8F1C05C7-30A5-4F37-B0C4-1EEA33F29B8F}" name="ScriptTagD2"/>
    <tableColumn id="11" xr3:uid="{B363D76D-DE60-49C7-B3D8-86FA9776BFE7}" name="ScriptTagNoDiv"/>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3" totalsRowShown="0" headerRowDxfId="142" dataDxfId="140" headerRowBorderDxfId="141">
  <autoFilter ref="A2:W3" xr:uid="{00000000-0009-0000-0100-000003000000}"/>
  <sortState xmlns:xlrd2="http://schemas.microsoft.com/office/spreadsheetml/2017/richdata2" ref="A3:W3">
    <sortCondition ref="A3"/>
  </sortState>
  <tableColumns count="23">
    <tableColumn id="1" xr3:uid="{00000000-0010-0000-0200-000001000000}" name="Team #" dataDxfId="139"/>
    <tableColumn id="13" xr3:uid="{B6F7889F-87AA-4A84-B629-ACB1A9C3B938}" name="POD" dataDxfId="138">
      <calculatedColumnFormula>INDEX(OfficialTeamList[Pod Number],MATCH(TournamentData[[#This Row],[Team '#]], OfficialTeamList[Team '#],0))</calculatedColumnFormula>
    </tableColumn>
    <tableColumn id="2" xr3:uid="{00000000-0010-0000-0200-000002000000}" name="Team Name" dataDxfId="137">
      <calculatedColumnFormula>INDEX(OfficialTeamList[Team Name],MATCH(TournamentData[[#This Row],[Team '#]], OfficialTeamList[Team '#],0))</calculatedColumnFormula>
    </tableColumn>
    <tableColumn id="6" xr3:uid="{00000000-0010-0000-0200-000006000000}" name="Robot Game Score 1" dataDxfId="136">
      <calculatedColumnFormula>IF(TournamentData[[#This Row],[Team '#]]="","",IF(ISNA(INDEX('Robot Game Scores'!C:C,MATCH(TournamentData[[#This Row],[Team '#]], 'Robot Game Scores'!$A:$A,0))),0,INDEX('Robot Game Scores'!C:C,MATCH(TournamentData[[#This Row],[Team '#]], 'Robot Game Scores'!$A:$A,0))))</calculatedColumnFormula>
    </tableColumn>
    <tableColumn id="7" xr3:uid="{00000000-0010-0000-0200-000007000000}" name="Robot Game Score 2" dataDxfId="135">
      <calculatedColumnFormula>IF(TournamentData[[#This Row],[Team '#]]="","",IF(ISNA(INDEX('Robot Game Scores'!D:D,MATCH(TournamentData[[#This Row],[Team '#]], 'Robot Game Scores'!$A:$A,0))),0,INDEX('Robot Game Scores'!D:D,MATCH(TournamentData[[#This Row],[Team '#]], 'Robot Game Scores'!$A:$A,0))))</calculatedColumnFormula>
    </tableColumn>
    <tableColumn id="8" xr3:uid="{00000000-0010-0000-0200-000008000000}" name="Robot Game Score 3" dataDxfId="134">
      <calculatedColumnFormula>IF(TournamentData[[#This Row],[Team '#]]="","",IF(ISNA(INDEX('Robot Game Scores'!E:E,MATCH(TournamentData[[#This Row],[Team '#]], 'Robot Game Scores'!$A:$A,0))),0,INDEX('Robot Game Scores'!E:E,MATCH(TournamentData[[#This Row],[Team '#]], 'Robot Game Scores'!$A:$A,0))))</calculatedColumnFormula>
    </tableColumn>
    <tableColumn id="16" xr3:uid="{00000000-0010-0000-0200-000010000000}" name="Robot Game Score 4" dataDxfId="133">
      <calculatedColumnFormula>IF(TournamentData[[#This Row],[Team '#]]="","",IF(ISNA(INDEX('Robot Game Scores'!#REF!,MATCH(TournamentData[[#This Row],[Team '#]], 'Robot Game Scores'!$A:$A,0))),0,INDEX('Robot Game Scores'!#REF!,MATCH(TournamentData[[#This Row],[Team '#]], 'Robot Game Scores'!$A:$A,0))))</calculatedColumnFormula>
    </tableColumn>
    <tableColumn id="9" xr3:uid="{00000000-0010-0000-0200-000009000000}" name="Robot Game Score 5" dataDxfId="132">
      <calculatedColumnFormula>IF(TournamentData[[#This Row],[Team '#]]="","",IF(ISNA(INDEX('Robot Game Scores'!#REF!,MATCH(TournamentData[[#This Row],[Team '#]], 'Robot Game Scores'!$A:$A,0))),0,INDEX('Robot Game Scores'!#REF!,MATCH(TournamentData[[#This Row],[Team '#]], 'Robot Game Scores'!$A:$A,0))))</calculatedColumnFormula>
    </tableColumn>
    <tableColumn id="10" xr3:uid="{00000000-0010-0000-0200-00000A000000}" name="Max Robot Game Score" dataDxfId="131">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30">
      <calculatedColumnFormula>_xlfn.RANK.EQ(TournamentData[[#This Row],[Max Robot Game Score]],TournamentData[Max Robot Game Score])</calculatedColumnFormula>
    </tableColumn>
    <tableColumn id="3" xr3:uid="{00000000-0010-0000-0200-000003000000}" name="Core Values Rank" dataDxfId="129">
      <calculatedColumnFormula>INDEX(CoreValuesResults[Core Values Rank],MATCH(TournamentData[[#This Row],[Team '#]],CoreValuesResults[Team '#],0))</calculatedColumnFormula>
    </tableColumn>
    <tableColumn id="4" xr3:uid="{00000000-0010-0000-0200-000004000000}" name="Innovation Project Rank" dataDxfId="128">
      <calculatedColumnFormula>INDEX(InnovationProjectResults[Innovation Project Rank],MATCH(TournamentData[[#This Row],[Team '#]],InnovationProjectResults[Team '#],0))</calculatedColumnFormula>
    </tableColumn>
    <tableColumn id="5" xr3:uid="{00000000-0010-0000-0200-000005000000}" name="Robot Design Rank" dataDxfId="127">
      <calculatedColumnFormula>INDEX(RobotDesignResults[Robot Design Rank],MATCH(TournamentData[[#This Row],[Team '#]],RobotDesignResults[Team '#],0))</calculatedColumnFormula>
    </tableColumn>
    <tableColumn id="14" xr3:uid="{00000000-0010-0000-0200-00000E000000}" name="Champion's Score" dataDxfId="126">
      <calculatedColumnFormula>SUM(TournamentData[[#This Row],[Robot Game Rank]:[Robot Design Rank]])</calculatedColumnFormula>
    </tableColumn>
    <tableColumn id="11" xr3:uid="{00000000-0010-0000-0200-00000B000000}" name="Champion's Rank" dataDxfId="125">
      <calculatedColumnFormula>RANK(TournamentData[[#This Row],[Champion''s Score]],TournamentData[Champion''s Score],1)</calculatedColumnFormula>
    </tableColumn>
    <tableColumn id="12" xr3:uid="{00000000-0010-0000-0200-00000C000000}" name="Award" dataDxfId="124"/>
    <tableColumn id="21" xr3:uid="{00000000-0010-0000-0200-000015000000}" name="Advance?" dataDxfId="123" dataCellStyle="Normal"/>
    <tableColumn id="28" xr3:uid="{00000000-0010-0000-0200-00001C000000}" name="Core Values Score" dataDxfId="122">
      <calculatedColumnFormula>IF(ISNA(INDEX(CoreValuesResults[Core Values Score],MATCH(TournamentData[[#This Row],[Team '#]],CoreValuesResults[Team '#],0))),0,INDEX(CoreValuesResults[Core Values Score],MATCH(TournamentData[[#This Row],[Team '#]],CoreValuesResults[Team '#],0)))</calculatedColumnFormula>
    </tableColumn>
    <tableColumn id="27" xr3:uid="{00000000-0010-0000-0200-00001B000000}" name="Innovattion Project Score" dataDxfId="121">
      <calculatedColumnFormula>IF(ISNA(INDEX(InnovationProjectResults[Innovation Project Score],MATCH(TournamentData[[#This Row],[Team '#]],InnovationProjectResults[Team '#],0))),0,INDEX(InnovationProjectResults[Innovation Project Score],MATCH(TournamentData[[#This Row],[Team '#]],InnovationProjectResults[Team '#],0)))</calculatedColumnFormula>
    </tableColumn>
    <tableColumn id="26" xr3:uid="{00000000-0010-0000-0200-00001A000000}" name="Robot Design Score" dataDxfId="120">
      <calculatedColumnFormula>IF(ISNA(INDEX(RobotDesignResults[Robot Design Score],MATCH(TournamentData[[#This Row],[Team '#]],RobotDesignResults[Team '#],0))),0,INDEX(RobotDesignResults[Robot Design Score],MATCH(TournamentData[[#This Row],[Team '#]],RobotDesignResults[Team '#],0)))</calculatedColumnFormula>
    </tableColumn>
    <tableColumn id="25" xr3:uid="{00000000-0010-0000-0200-000019000000}" name="Overall Score - Geometric Mean" dataDxfId="119">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8">
      <calculatedColumnFormula>IF(U3,_xlfn.RANK.EQ(U3,U$3:U$3,0),NumberOfTeams)</calculatedColumnFormula>
    </tableColumn>
    <tableColumn id="20" xr3:uid="{00000000-0010-0000-0200-000014000000}" name="Comments" dataDxfId="11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2" totalsRowShown="0" headerRowDxfId="116" dataDxfId="114" headerRowBorderDxfId="115">
  <autoFilter ref="A1:F2" xr:uid="{00000000-0009-0000-0100-000004000000}"/>
  <sortState xmlns:xlrd2="http://schemas.microsoft.com/office/spreadsheetml/2017/richdata2" ref="A2:F2">
    <sortCondition ref="A2"/>
  </sortState>
  <tableColumns count="6">
    <tableColumn id="2" xr3:uid="{00000000-0010-0000-0300-000002000000}" name="Team #" dataDxfId="113"/>
    <tableColumn id="9" xr3:uid="{00000000-0010-0000-0300-000009000000}" name="Team Name" dataDxfId="112">
      <calculatedColumnFormula>INDEX(OfficialTeamList[Team Name],MATCH(RobotGameScores[[#This Row],[Team '#]], OfficialTeamList[Team '#],0))</calculatedColumnFormula>
    </tableColumn>
    <tableColumn id="3" xr3:uid="{00000000-0010-0000-0300-000003000000}" name="Robot Game 1 Score" dataDxfId="111"/>
    <tableColumn id="4" xr3:uid="{00000000-0010-0000-0300-000004000000}" name="Robot Game 2 Score" dataDxfId="110"/>
    <tableColumn id="5" xr3:uid="{00000000-0010-0000-0300-000005000000}" name="Robot Game 3 Score" dataDxfId="109"/>
    <tableColumn id="8" xr3:uid="{00000000-0010-0000-0300-000008000000}" name="Highest Robot Game Score" dataDxfId="108">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2" totalsRowShown="0" headerRowDxfId="107" dataDxfId="106">
  <autoFilter ref="A1:O2" xr:uid="{00000000-0009-0000-0100-000005000000}"/>
  <sortState xmlns:xlrd2="http://schemas.microsoft.com/office/spreadsheetml/2017/richdata2" ref="A2:O2">
    <sortCondition ref="A2"/>
  </sortState>
  <tableColumns count="15">
    <tableColumn id="1" xr3:uid="{00000000-0010-0000-0400-000001000000}" name="Team #" dataDxfId="105"/>
    <tableColumn id="6" xr3:uid="{E46BEA07-C782-4EA7-A684-AB5012889F0E}" name="POD" dataDxfId="104">
      <calculatedColumnFormula>INDEX(OfficialTeamList[Pod Number],MATCH(InnovationProjectResults[[#This Row],[Team '#]], OfficialTeamList[Team '#],0))</calculatedColumnFormula>
    </tableColumn>
    <tableColumn id="2" xr3:uid="{00000000-0010-0000-0400-000002000000}" name="Team Name" dataDxfId="103">
      <calculatedColumnFormula>INDEX(OfficialTeamList[Team Name],MATCH(InnovationProjectResults[[#This Row],[Team '#]], OfficialTeamList[Team '#],0))</calculatedColumnFormula>
    </tableColumn>
    <tableColumn id="3" xr3:uid="{00000000-0010-0000-0400-000003000000}" name="Identify - Define" dataDxfId="102"/>
    <tableColumn id="4" xr3:uid="{00000000-0010-0000-0400-000004000000}" name="Identify - Research (CV)" dataDxfId="101"/>
    <tableColumn id="5" xr3:uid="{00000000-0010-0000-0400-000005000000}" name="Design - Plan" dataDxfId="100"/>
    <tableColumn id="7" xr3:uid="{00000000-0010-0000-0400-000007000000}" name="Design - Teamwork (CV)" dataDxfId="99"/>
    <tableColumn id="10" xr3:uid="{00000000-0010-0000-0400-00000A000000}" name="Create - Innovation (CV)" dataDxfId="98"/>
    <tableColumn id="8" xr3:uid="{00000000-0010-0000-0400-000008000000}" name="Create - Model" dataDxfId="97"/>
    <tableColumn id="9" xr3:uid="{00000000-0010-0000-0400-000009000000}" name="Iterate - Sharing" dataDxfId="96"/>
    <tableColumn id="11" xr3:uid="{00000000-0010-0000-0400-00000B000000}" name="Iterate - Improvement" dataDxfId="95"/>
    <tableColumn id="12" xr3:uid="{00000000-0010-0000-0400-00000C000000}" name="Communicate - Impact (CV)" dataDxfId="94"/>
    <tableColumn id="13" xr3:uid="{00000000-0010-0000-0400-00000D000000}" name="Communicate - Fun (CV)" dataDxfId="93"/>
    <tableColumn id="19" xr3:uid="{00000000-0010-0000-0400-000013000000}" name="Innovation Project Score" dataDxfId="92">
      <calculatedColumnFormula>SUM(InnovationProjectResults[[#This Row],[Identify - Define]:[Communicate - Fun (CV)]])</calculatedColumnFormula>
    </tableColumn>
    <tableColumn id="20" xr3:uid="{00000000-0010-0000-0400-000014000000}" name="Innovation Project Rank" dataDxfId="91">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2" totalsRowShown="0" headerRowDxfId="90" dataDxfId="89">
  <autoFilter ref="A1:O2" xr:uid="{00000000-0009-0000-0100-000006000000}"/>
  <sortState xmlns:xlrd2="http://schemas.microsoft.com/office/spreadsheetml/2017/richdata2" ref="A2:O2">
    <sortCondition ref="A2"/>
  </sortState>
  <tableColumns count="15">
    <tableColumn id="1" xr3:uid="{00000000-0010-0000-0500-000001000000}" name="Team #" dataDxfId="88"/>
    <tableColumn id="10" xr3:uid="{C0D2F65A-10A9-404F-9BBE-190FF9BD2C0E}" name="POD" dataDxfId="87">
      <calculatedColumnFormula>INDEX(OfficialTeamList[Pod Number],MATCH(RobotDesignResults[[#This Row],[Team '#]], OfficialTeamList[Team '#],0))</calculatedColumnFormula>
    </tableColumn>
    <tableColumn id="2" xr3:uid="{00000000-0010-0000-0500-000002000000}" name="Team Name" dataDxfId="86">
      <calculatedColumnFormula>INDEX(OfficialTeamList[Team Name],MATCH(RobotDesignResults[[#This Row],[Team '#]], OfficialTeamList[Team '#],0))</calculatedColumnFormula>
    </tableColumn>
    <tableColumn id="3" xr3:uid="{00000000-0010-0000-0500-000003000000}" name="Identify - Strategy" dataDxfId="85"/>
    <tableColumn id="4" xr3:uid="{00000000-0010-0000-0500-000004000000}" name="Identify - Research (CV)" dataDxfId="84"/>
    <tableColumn id="5" xr3:uid="{00000000-0010-0000-0500-000005000000}" name="Design - Ideas (CV)" dataDxfId="83"/>
    <tableColumn id="7" xr3:uid="{00000000-0010-0000-0500-000007000000}" name="Design - Building/Coding" dataDxfId="82"/>
    <tableColumn id="6" xr3:uid="{00000000-0010-0000-0500-000006000000}" name="Create - Attachments" dataDxfId="81"/>
    <tableColumn id="8" xr3:uid="{00000000-0010-0000-0500-000008000000}" name="Create - Code/ Sensors" dataDxfId="80"/>
    <tableColumn id="9" xr3:uid="{00000000-0010-0000-0500-000009000000}" name="Iterate - Testing" dataDxfId="79"/>
    <tableColumn id="11" xr3:uid="{00000000-0010-0000-0500-00000B000000}" name="Iterate - Improvements (CV)" dataDxfId="78"/>
    <tableColumn id="12" xr3:uid="{00000000-0010-0000-0500-00000C000000}" name="Communicate - Impact (CV)" dataDxfId="77"/>
    <tableColumn id="13" xr3:uid="{00000000-0010-0000-0500-00000D000000}" name="Communicate - Fun (CV)" dataDxfId="76"/>
    <tableColumn id="19" xr3:uid="{00000000-0010-0000-0500-000013000000}" name="Robot Design Score" dataDxfId="75">
      <calculatedColumnFormula>SUM(RobotDesignResults[[#This Row],[Identify - Strategy]:[Communicate - Fun (CV)]])</calculatedColumnFormula>
    </tableColumn>
    <tableColumn id="20" xr3:uid="{00000000-0010-0000-0500-000014000000}" name="Robot Design Rank" dataDxfId="74">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2" totalsRowShown="0" headerRowDxfId="73" dataDxfId="72">
  <autoFilter ref="A1:T2" xr:uid="{00000000-0009-0000-0100-000007000000}"/>
  <sortState xmlns:xlrd2="http://schemas.microsoft.com/office/spreadsheetml/2017/richdata2" ref="A2:T2">
    <sortCondition ref="A2"/>
  </sortState>
  <tableColumns count="20">
    <tableColumn id="1" xr3:uid="{00000000-0010-0000-0600-000001000000}" name="Team #" dataDxfId="71"/>
    <tableColumn id="9" xr3:uid="{4361BCCF-6CA1-40A6-8943-E181C815C404}" name="POD" dataDxfId="70">
      <calculatedColumnFormula>INDEX(OfficialTeamList[Pod Number],MATCH(CoreValuesResults[[#This Row],[Team '#]], OfficialTeamList[Team '#],0))</calculatedColumnFormula>
    </tableColumn>
    <tableColumn id="2" xr3:uid="{00000000-0010-0000-0600-000002000000}" name="Team Name" dataDxfId="69">
      <calculatedColumnFormula>INDEX(OfficialTeamList[Team Name],MATCH(CoreValuesResults[[#This Row],[Team '#]], OfficialTeamList[Team '#],0))</calculatedColumnFormula>
    </tableColumn>
    <tableColumn id="3" xr3:uid="{00000000-0010-0000-0600-000003000000}" name="Identify - Research (CV-IP)" dataDxfId="68">
      <calculatedColumnFormula>INDEX(InnovationProjectResults[Identify - Research (CV)],MATCH(CoreValuesResults[[#This Row],[Team '#]],InnovationProjectResults[Team '#],0))</calculatedColumnFormula>
    </tableColumn>
    <tableColumn id="4" xr3:uid="{00000000-0010-0000-0600-000004000000}" name="Design - Teamwork (CV-IP)" dataDxfId="67">
      <calculatedColumnFormula>INDEX(InnovationProjectResults[Design - Teamwork (CV)],MATCH(CoreValuesResults[[#This Row],[Team '#]],InnovationProjectResults[Team '#],0))</calculatedColumnFormula>
    </tableColumn>
    <tableColumn id="5" xr3:uid="{00000000-0010-0000-0600-000005000000}" name="Create - Innovation (CV-IP)" dataDxfId="66">
      <calculatedColumnFormula>INDEX(InnovationProjectResults[Create - Innovation (CV)],MATCH(CoreValuesResults[[#This Row],[Team '#]],InnovationProjectResults[Team '#],0))</calculatedColumnFormula>
    </tableColumn>
    <tableColumn id="11" xr3:uid="{00000000-0010-0000-0600-00000B000000}" name="Communicate - Impact (CV-IP)" dataDxfId="65">
      <calculatedColumnFormula>INDEX(InnovationProjectResults[Communicate - Impact (CV)],MATCH(CoreValuesResults[[#This Row],[Team '#]],InnovationProjectResults[Team '#],0))</calculatedColumnFormula>
    </tableColumn>
    <tableColumn id="12" xr3:uid="{00000000-0010-0000-0600-00000C000000}" name="Communicate - Fun (CV-IP)" dataDxfId="64">
      <calculatedColumnFormula>INDEX(InnovationProjectResults[Communicate - Fun (CV)],MATCH(CoreValuesResults[[#This Row],[Team '#]],InnovationProjectResults[Team '#],0))</calculatedColumnFormula>
    </tableColumn>
    <tableColumn id="22" xr3:uid="{00000000-0010-0000-0600-000016000000}" name="Identify - Research (CV-RD)" dataDxfId="63">
      <calculatedColumnFormula>INDEX(RobotDesignResults[Identify - Research (CV)],MATCH(CoreValuesResults[[#This Row],[Team '#]],RobotDesignResults[Team '#],0))</calculatedColumnFormula>
    </tableColumn>
    <tableColumn id="25" xr3:uid="{00000000-0010-0000-0600-000019000000}" name="Design - Ideas (CV-RD)" dataDxfId="62">
      <calculatedColumnFormula>INDEX(RobotDesignResults[Design - Ideas (CV)],MATCH(CoreValuesResults[[#This Row],[Team '#]],RobotDesignResults[Team '#],0))</calculatedColumnFormula>
    </tableColumn>
    <tableColumn id="24" xr3:uid="{00000000-0010-0000-0600-000018000000}" name="Iterate - Improvements (CV-RD)" dataDxfId="61">
      <calculatedColumnFormula>INDEX(RobotDesignResults[Iterate - Improvements (CV)],MATCH(CoreValuesResults[[#This Row],[Team '#]],RobotDesignResults[Team '#],0))</calculatedColumnFormula>
    </tableColumn>
    <tableColumn id="23" xr3:uid="{00000000-0010-0000-0600-000017000000}" name="Communicate - Impact (CV-RD)" dataDxfId="60">
      <calculatedColumnFormula>INDEX(RobotDesignResults[Communicate - Impact (CV)],MATCH(CoreValuesResults[[#This Row],[Team '#]],RobotDesignResults[Team '#],0))</calculatedColumnFormula>
    </tableColumn>
    <tableColumn id="13" xr3:uid="{00000000-0010-0000-0600-00000D000000}" name="Communicate - Fun (CV-RD)" dataDxfId="59">
      <calculatedColumnFormula>INDEX(RobotDesignResults[Communicate - Fun (CV)],MATCH(CoreValuesResults[[#This Row],[Team '#]],RobotDesignResults[Team '#],0))</calculatedColumnFormula>
    </tableColumn>
    <tableColumn id="7" xr3:uid="{00000000-0010-0000-0600-000007000000}" name="Gracious Professionalism 1" dataDxfId="58"/>
    <tableColumn id="8" xr3:uid="{00000000-0010-0000-0600-000008000000}" name="Gracious Professionalism 2" dataDxfId="57"/>
    <tableColumn id="6" xr3:uid="{00000000-0010-0000-0600-000006000000}" name="Gracious Professionalism 3" dataDxfId="56"/>
    <tableColumn id="14" xr3:uid="{00000000-0010-0000-0600-00000E000000}" name="Gracious Professionalism Total" dataDxfId="55">
      <calculatedColumnFormula>SUM(CoreValuesResults[[#This Row],[Gracious Professionalism 1]:[Gracious Professionalism 3]])</calculatedColumnFormula>
    </tableColumn>
    <tableColumn id="18" xr3:uid="{00000000-0010-0000-0600-000012000000}" name="Gracious Professionalism Score" dataDxfId="54">
      <calculatedColumnFormula>SUM(N2:Q2)</calculatedColumnFormula>
    </tableColumn>
    <tableColumn id="19" xr3:uid="{00000000-0010-0000-0600-000013000000}" name="Core Values Score" dataDxfId="53">
      <calculatedColumnFormula>SUM(CoreValuesResults[[#This Row],[Identify - Research (CV-IP)]:[Communicate - Fun (CV-RD)]],CoreValuesResults[[#This Row],[Gracious Professionalism Score]])</calculatedColumnFormula>
    </tableColumn>
    <tableColumn id="20" xr3:uid="{00000000-0010-0000-0600-000014000000}" name="Core Values Rank" dataDxfId="52">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51" dataDxfId="50">
  <autoFilter ref="B3:E18" xr:uid="{00000000-0009-0000-0100-000008000000}"/>
  <tableColumns count="4">
    <tableColumn id="1" xr3:uid="{00000000-0010-0000-0700-000001000000}" name="Team Number" dataDxfId="49"/>
    <tableColumn id="2" xr3:uid="{00000000-0010-0000-0700-000002000000}" name="Team Name" dataDxfId="48">
      <calculatedColumnFormula>IF(ISNA(INDEX(OfficialTeamList[Team Name],MATCH(ChampionsDelib[[#This Row],[Team Number]], OfficialTeamList[Team '#],0))),"",INDEX(OfficialTeamList[Team Name],MATCH(ChampionsDelib[[#This Row],[Team Number]], OfficialTeamList[Team '#],0)))</calculatedColumnFormula>
    </tableColumn>
    <tableColumn id="3" xr3:uid="{00000000-0010-0000-0700-000003000000}" name="Champion's Rank" dataDxfId="47">
      <calculatedColumnFormula>IF(ISNA(INDEX(TournamentData[Champion''s Rank],MATCH(ChampionsDelib[[#This Row],[Team Number]],TournamentData[Team '#],0))),NumberOfTeams+1,INDEX(TournamentData[Champion''s Rank],MATCH(ChampionsDelib[[#This Row],[Team Number]],TournamentData[Team '#],0)))</calculatedColumnFormula>
    </tableColumn>
    <tableColumn id="4" xr3:uid="{00000000-0010-0000-0700-000004000000}" name="Deliberated Rank" dataDxfId="46"/>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5" dataDxfId="44">
  <autoFilter ref="G3:J18" xr:uid="{00000000-0009-0000-0100-000009000000}"/>
  <tableColumns count="4">
    <tableColumn id="1" xr3:uid="{00000000-0010-0000-0800-000001000000}" name="Team Number" dataDxfId="43"/>
    <tableColumn id="2" xr3:uid="{00000000-0010-0000-0800-000002000000}" name="Team Name" dataDxfId="42">
      <calculatedColumnFormula>IF(ISNA(INDEX(OfficialTeamList[Team Name],MATCH(RobotGameDelib[[#This Row],[Team Number]], OfficialTeamList[Team '#],0))),"",INDEX(OfficialTeamList[Team Name],MATCH(RobotGameDelib[[#This Row],[Team Number]], OfficialTeamList[Team '#],0)))</calculatedColumnFormula>
    </tableColumn>
    <tableColumn id="3" xr3:uid="{00000000-0010-0000-0800-000003000000}" name="Champion's Rank" dataDxfId="41">
      <calculatedColumnFormula>IF(ISNA(INDEX(TournamentData[Champion''s Rank],MATCH(RobotGameDelib[[#This Row],[Team Number]],TournamentData[Team '#],0))),NumberOfTeams+1,INDEX(TournamentData[Champion''s Rank],MATCH(RobotGameDelib[[#This Row],[Team Number]],TournamentData[Team '#],0)))</calculatedColumnFormula>
    </tableColumn>
    <tableColumn id="4" xr3:uid="{00000000-0010-0000-0800-000004000000}" name="Deliberated Rank" dataDxfId="40"/>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9" dataDxfId="38">
  <autoFilter ref="B21:E36" xr:uid="{00000000-0009-0000-0100-00000A000000}"/>
  <tableColumns count="4">
    <tableColumn id="1" xr3:uid="{00000000-0010-0000-0900-000001000000}" name="Team Number" dataDxfId="37"/>
    <tableColumn id="2" xr3:uid="{00000000-0010-0000-0900-000002000000}" name="Team Name" dataDxfId="36">
      <calculatedColumnFormula>IF(ISNA(INDEX(OfficialTeamList[Team Name],MATCH(CoreValuesDelib[[#This Row],[Team Number]], OfficialTeamList[Team '#],0))),"",INDEX(OfficialTeamList[Team Name],MATCH(CoreValuesDelib[[#This Row],[Team Number]], OfficialTeamList[Team '#],0)))</calculatedColumnFormula>
    </tableColumn>
    <tableColumn id="3" xr3:uid="{00000000-0010-0000-0900-000003000000}" name="Core Values Rank" dataDxfId="35">
      <calculatedColumnFormula>IF(ISNA(INDEX(CoreValuesResults[Core Values Rank],MATCH(CoreValuesDelib[[#This Row],[Team Number]],CoreValuesResults[Team '#],0))),NumberOfTeams+1,INDEX(CoreValuesResults[Core Values Rank],MATCH(CoreValuesDelib[[#This Row],[Team Number]],CoreValuesResults[Team '#],0)))</calculatedColumnFormula>
    </tableColumn>
    <tableColumn id="4" xr3:uid="{00000000-0010-0000-0900-000004000000}" name="Deliberated Rank" dataDxfId="34"/>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33" dataDxfId="32">
  <autoFilter ref="G21:J36" xr:uid="{00000000-0009-0000-0100-00000B000000}"/>
  <tableColumns count="4">
    <tableColumn id="1" xr3:uid="{00000000-0010-0000-0A00-000001000000}" name="Team Number" dataDxfId="31"/>
    <tableColumn id="2" xr3:uid="{00000000-0010-0000-0A00-000002000000}" name="Team Name" dataDxfId="30">
      <calculatedColumnFormula>IF(ISNA(INDEX(OfficialTeamList[Team Name],MATCH(RobotDesignDelib[[#This Row],[Team Number]], OfficialTeamList[Team '#],0))),"",INDEX(OfficialTeamList[Team Name],MATCH(RobotDesignDelib[[#This Row],[Team Number]], OfficialTeamList[Team '#],0)))</calculatedColumnFormula>
    </tableColumn>
    <tableColumn id="3" xr3:uid="{00000000-0010-0000-0A00-000003000000}" name="Robot Design Rank" dataDxfId="29">
      <calculatedColumnFormula>IF(ISNA(INDEX(RobotDesignResults[Robot Design Rank],MATCH(RobotDesignDelib[[#This Row],[Team Number]],RobotDesignResults[Team '#],0))),NumberOfTeams+1,INDEX(RobotDesignResults[Robot Design Rank],MATCH(RobotDesignDelib[[#This Row],[Team Number]],RobotDesignResults[Team '#],0)))</calculatedColumnFormula>
    </tableColumn>
    <tableColumn id="4" xr3:uid="{00000000-0010-0000-0A00-000004000000}" name="Deliberated Rank" dataDxfId="28"/>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7" dataDxfId="26">
  <autoFilter ref="L21:O36" xr:uid="{00000000-0009-0000-0100-00000C000000}"/>
  <tableColumns count="4">
    <tableColumn id="1" xr3:uid="{00000000-0010-0000-0B00-000001000000}" name="Team Number" dataDxfId="25"/>
    <tableColumn id="2" xr3:uid="{00000000-0010-0000-0B00-000002000000}" name="Team Name" dataDxfId="24">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xr3:uid="{00000000-0010-0000-0B00-000003000000}" name="Innovation Project Rank" dataDxfId="23">
      <calculatedColumnFormula>IF(ISNA(INDEX(InnovationProjectResults[Innovation Project Rank],MATCH(InnovationProjectDelib[[#This Row],[Team Number]],InnovationProjectResults[Team '#],0))),NumberOfTeams+1,INDEX(InnovationProjectResults[Innovation Project Rank],MATCH(InnovationProjectDelib[[#This Row],[Team Number]],InnovationProjectResults[Team '#],0)))</calculatedColumnFormula>
    </tableColumn>
    <tableColumn id="4" xr3:uid="{00000000-0010-0000-0B00-000004000000}" name="Deliberated Rank" dataDxfId="22"/>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21" dataDxfId="20">
  <autoFilter ref="B39:E54" xr:uid="{00000000-0009-0000-0100-00000D000000}"/>
  <tableColumns count="4">
    <tableColumn id="1" xr3:uid="{00000000-0010-0000-0C00-000001000000}" name="Team Number" dataDxfId="19"/>
    <tableColumn id="2" xr3:uid="{00000000-0010-0000-0C00-000002000000}" name="Team Name" dataDxfId="18">
      <calculatedColumnFormula>IF(ISNA(INDEX(OfficialTeamList[Team Name],MATCH(BreakthroughDelib[[#This Row],[Team Number]], OfficialTeamList[Team '#],0))),"",INDEX(OfficialTeamList[Team Name],MATCH(BreakthroughDelib[[#This Row],[Team Number]], OfficialTeamList[Team '#],0)))</calculatedColumnFormula>
    </tableColumn>
    <tableColumn id="3" xr3:uid="{00000000-0010-0000-0C00-000003000000}" name="Champion's Rank" dataDxfId="17">
      <calculatedColumnFormula>IF(ISNA(INDEX(TournamentData[Champion''s Rank],MATCH(BreakthroughDelib[[#This Row],[Team Number]],TournamentData[Team '#],0))),NumberOfTeams+1,INDEX(TournamentData[Champion''s Rank],MATCH(BreakthroughDelib[[#This Row],[Team Number]],TournamentData[Team '#],0)))</calculatedColumnFormula>
    </tableColumn>
    <tableColumn id="4" xr3:uid="{00000000-0010-0000-0C00-000004000000}" name="Deliberated Rank" dataDxfId="16"/>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5" dataDxfId="14">
  <autoFilter ref="G39:J54" xr:uid="{00000000-0009-0000-0100-00000E000000}"/>
  <tableColumns count="4">
    <tableColumn id="1" xr3:uid="{00000000-0010-0000-0D00-000001000000}" name="Team Number" dataDxfId="13"/>
    <tableColumn id="2" xr3:uid="{00000000-0010-0000-0D00-000002000000}" name="Team Name" dataDxfId="12">
      <calculatedColumnFormula>IF(ISNA(INDEX(OfficialTeamList[Team Name],MATCH(RookiAllStarDelib[[#This Row],[Team Number]], OfficialTeamList[Team '#],0))),"",INDEX(OfficialTeamList[Team Name],MATCH(RookiAllStarDelib[[#This Row],[Team Number]], OfficialTeamList[Team '#],0)))</calculatedColumnFormula>
    </tableColumn>
    <tableColumn id="3" xr3:uid="{00000000-0010-0000-0D00-000003000000}" name="Champion's Rank" dataDxfId="11">
      <calculatedColumnFormula>IF(ISNA(INDEX(TournamentData[Champion''s Rank],MATCH(RookiAllStarDelib[[#This Row],[Team Number]],TournamentData[Team '#],0))),NumberOfTeams+1,INDEX(TournamentData[Champion''s Rank],MATCH(RookiAllStarDelib[[#This Row],[Team Number]],TournamentData[Team '#],0)))</calculatedColumnFormula>
    </tableColumn>
    <tableColumn id="4" xr3:uid="{00000000-0010-0000-0D00-000004000000}" name="Deliberated Rank" dataDxfId="10"/>
  </tableColumns>
  <tableStyleInfo name="TableStyleMedium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9" dataDxfId="8">
  <autoFilter ref="L39:O54" xr:uid="{00000000-0009-0000-0100-00000F000000}"/>
  <tableColumns count="4">
    <tableColumn id="1" xr3:uid="{00000000-0010-0000-0E00-000001000000}" name="Team Number" dataDxfId="7"/>
    <tableColumn id="2" xr3:uid="{00000000-0010-0000-0E00-000002000000}" name="Team Name" dataDxfId="6">
      <calculatedColumnFormula>IF(ISNA(INDEX(OfficialTeamList[Team Name],MATCH(MotivateDelib[[#This Row],[Team Number]], OfficialTeamList[Team '#],0))),"",INDEX(OfficialTeamList[Team Name],MATCH(MotivateDelib[[#This Row],[Team Number]], OfficialTeamList[Team '#],0)))</calculatedColumnFormula>
    </tableColumn>
    <tableColumn id="3" xr3:uid="{00000000-0010-0000-0E00-000003000000}" name="Champion's Rank" dataDxfId="5">
      <calculatedColumnFormula>IF(ISNA(INDEX(TournamentData[Champion''s Rank],MATCH(MotivateDelib[[#This Row],[Team Number]],TournamentData[Team '#],0))),NumberOfTeams+1,INDEX(TournamentData[Champion''s Rank],MATCH(MotivateDelib[[#This Row],[Team Number]],TournamentData[Team '#],0)))</calculatedColumnFormula>
    </tableColumn>
    <tableColumn id="4" xr3:uid="{00000000-0010-0000-0E00-000004000000}" name="Deliberated Rank" dataDxfId="4"/>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table" Target="../tables/table13.xml"/><Relationship Id="rId1" Type="http://schemas.openxmlformats.org/officeDocument/2006/relationships/table" Target="../tables/table12.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3" customWidth="1"/>
    <col min="3" max="3" width="210.28515625" style="33" customWidth="1"/>
    <col min="4" max="16384" width="9.140625" style="33"/>
  </cols>
  <sheetData>
    <row r="1" spans="2:3" ht="115.5" customHeight="1" x14ac:dyDescent="0.25">
      <c r="C1" s="83" t="s">
        <v>103</v>
      </c>
    </row>
    <row r="2" spans="2:3" ht="102.75" customHeight="1" x14ac:dyDescent="0.25">
      <c r="C2" s="82" t="s">
        <v>0</v>
      </c>
    </row>
    <row r="3" spans="2:3" ht="39.75" customHeight="1" x14ac:dyDescent="0.25">
      <c r="C3" s="92" t="s">
        <v>115</v>
      </c>
    </row>
    <row r="4" spans="2:3" ht="110.25" customHeight="1" x14ac:dyDescent="0.25">
      <c r="B4" s="90" t="s">
        <v>1</v>
      </c>
      <c r="C4" s="84" t="s">
        <v>105</v>
      </c>
    </row>
    <row r="5" spans="2:3" ht="36" customHeight="1" x14ac:dyDescent="0.25">
      <c r="B5" s="89"/>
      <c r="C5" s="36"/>
    </row>
    <row r="6" spans="2:3" ht="121.5" customHeight="1" x14ac:dyDescent="0.25">
      <c r="B6" s="90" t="s">
        <v>2</v>
      </c>
      <c r="C6" s="84" t="s">
        <v>104</v>
      </c>
    </row>
    <row r="7" spans="2:3" ht="31.5" customHeight="1" x14ac:dyDescent="0.25">
      <c r="B7" s="91"/>
    </row>
    <row r="8" spans="2:3" ht="138" customHeight="1" x14ac:dyDescent="0.25">
      <c r="B8" s="91"/>
      <c r="C8" s="85" t="s">
        <v>106</v>
      </c>
    </row>
    <row r="9" spans="2:3" ht="117" customHeight="1" x14ac:dyDescent="0.25">
      <c r="B9" s="90" t="s">
        <v>3</v>
      </c>
      <c r="C9" s="84" t="s">
        <v>107</v>
      </c>
    </row>
    <row r="10" spans="2:3" ht="52.9" customHeight="1" x14ac:dyDescent="0.25">
      <c r="B10" s="91"/>
      <c r="C10" s="85" t="s">
        <v>108</v>
      </c>
    </row>
    <row r="11" spans="2:3" ht="1.9" customHeight="1" x14ac:dyDescent="0.25">
      <c r="B11" s="91"/>
    </row>
    <row r="12" spans="2:3" ht="20.45" customHeight="1" x14ac:dyDescent="0.25">
      <c r="B12" s="91"/>
    </row>
    <row r="13" spans="2:3" ht="73.5" customHeight="1" x14ac:dyDescent="0.25">
      <c r="B13" s="90" t="s">
        <v>4</v>
      </c>
      <c r="C13" s="84" t="s">
        <v>109</v>
      </c>
    </row>
    <row r="14" spans="2:3" ht="95.25" customHeight="1" x14ac:dyDescent="0.25">
      <c r="B14" s="90" t="s">
        <v>5</v>
      </c>
      <c r="C14" s="89" t="s">
        <v>6</v>
      </c>
    </row>
    <row r="15" spans="2:3" ht="105" customHeight="1" x14ac:dyDescent="0.25">
      <c r="B15" s="90" t="s">
        <v>112</v>
      </c>
      <c r="C15" s="89" t="s">
        <v>113</v>
      </c>
    </row>
    <row r="16" spans="2:3" ht="30" customHeight="1" x14ac:dyDescent="0.25">
      <c r="B16" s="37"/>
      <c r="C16" s="34"/>
    </row>
    <row r="17" spans="2:3" ht="39.950000000000003" customHeight="1" thickBot="1" x14ac:dyDescent="0.3">
      <c r="C17" s="35" t="s">
        <v>7</v>
      </c>
    </row>
    <row r="18" spans="2:3" ht="63.75" customHeight="1" thickBot="1" x14ac:dyDescent="0.3">
      <c r="B18" s="34"/>
      <c r="C18" s="86" t="s">
        <v>110</v>
      </c>
    </row>
    <row r="19" spans="2:3" ht="39.950000000000003" customHeight="1" thickBot="1" x14ac:dyDescent="0.3">
      <c r="C19" s="88" t="s">
        <v>8</v>
      </c>
    </row>
    <row r="20" spans="2:3" ht="63" customHeight="1" thickBot="1" x14ac:dyDescent="0.3">
      <c r="C20" s="88" t="s">
        <v>9</v>
      </c>
    </row>
    <row r="21" spans="2:3" ht="60" customHeight="1" thickBot="1" x14ac:dyDescent="0.3">
      <c r="C21" s="87" t="s">
        <v>10</v>
      </c>
    </row>
    <row r="22" spans="2:3" ht="39.950000000000003" customHeight="1" thickBot="1" x14ac:dyDescent="0.3">
      <c r="C22" s="87" t="s">
        <v>114</v>
      </c>
    </row>
    <row r="23" spans="2:3" ht="39.950000000000003" customHeight="1" thickBot="1" x14ac:dyDescent="0.3">
      <c r="C23" s="88" t="s">
        <v>111</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3"/>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5.28515625" style="5" customWidth="1"/>
    <col min="6" max="8" width="9.140625" style="5" customWidth="1"/>
    <col min="9" max="16384" width="9.140625" style="5"/>
  </cols>
  <sheetData>
    <row r="1" spans="1:9" s="1" customFormat="1" ht="61.5" customHeight="1" thickBot="1" x14ac:dyDescent="0.3">
      <c r="A1" s="101" t="s">
        <v>11</v>
      </c>
      <c r="B1" s="101"/>
      <c r="C1" s="101"/>
      <c r="D1" s="101"/>
      <c r="E1" s="7" t="s">
        <v>101</v>
      </c>
      <c r="F1" s="80">
        <f>COUNT(OfficialTeamList[Team '#])</f>
        <v>0</v>
      </c>
      <c r="G1" s="80" t="s">
        <v>102</v>
      </c>
      <c r="H1" s="81">
        <f>MAX(OfficialTeamList[Pod Number])</f>
        <v>0</v>
      </c>
      <c r="I1" s="79"/>
    </row>
    <row r="2" spans="1:9" s="2" customFormat="1" ht="21" customHeight="1" thickBot="1" x14ac:dyDescent="0.3">
      <c r="A2" s="7" t="s">
        <v>125</v>
      </c>
      <c r="B2" s="7" t="s">
        <v>13</v>
      </c>
      <c r="C2" s="6" t="s">
        <v>126</v>
      </c>
      <c r="D2" s="6" t="s">
        <v>14</v>
      </c>
      <c r="E2" s="99" t="s">
        <v>121</v>
      </c>
      <c r="F2" s="100" t="b">
        <v>0</v>
      </c>
      <c r="G2" s="3" t="s">
        <v>122</v>
      </c>
    </row>
    <row r="3" spans="1:9" s="2" customFormat="1" ht="21" customHeight="1" x14ac:dyDescent="0.25">
      <c r="A3" s="68"/>
      <c r="B3" s="68"/>
      <c r="C3" s="68"/>
      <c r="D3" s="69"/>
      <c r="H3" s="3"/>
    </row>
  </sheetData>
  <sheetProtection selectLockedCells="1" sort="0" autoFilter="0"/>
  <mergeCells count="1">
    <mergeCell ref="A1:D1"/>
  </mergeCells>
  <dataValidations count="1">
    <dataValidation type="list" allowBlank="1" showInputMessage="1" showErrorMessage="1" sqref="F2" xr:uid="{566CBE83-13FD-47FE-B50D-3EF16DE304D0}">
      <formula1>"TRUE,FALSE"</formula1>
    </dataValidation>
  </dataValidation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92</v>
      </c>
    </row>
    <row r="2" spans="1:1" x14ac:dyDescent="0.25">
      <c r="A2" t="s">
        <v>93</v>
      </c>
    </row>
    <row r="3" spans="1:1" x14ac:dyDescent="0.25">
      <c r="A3" t="s">
        <v>94</v>
      </c>
    </row>
    <row r="4" spans="1:1" x14ac:dyDescent="0.25">
      <c r="A4" t="s">
        <v>95</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1"/>
  <sheetViews>
    <sheetView workbookViewId="0">
      <selection activeCell="A2" sqref="A2"/>
    </sheetView>
  </sheetViews>
  <sheetFormatPr defaultRowHeight="15" x14ac:dyDescent="0.25"/>
  <cols>
    <col min="1" max="1" width="29.42578125" customWidth="1"/>
    <col min="2" max="2" width="75.85546875" customWidth="1"/>
  </cols>
  <sheetData>
    <row r="1" spans="1:2" x14ac:dyDescent="0.25">
      <c r="A1" t="s">
        <v>15</v>
      </c>
      <c r="B1" t="s">
        <v>16</v>
      </c>
    </row>
  </sheetData>
  <sheetProtection selectLockedCells="1" sort="0"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D2"/>
  <sheetViews>
    <sheetView workbookViewId="0"/>
  </sheetViews>
  <sheetFormatPr defaultRowHeight="15" x14ac:dyDescent="0.25"/>
  <cols>
    <col min="1" max="2" width="34.5703125" customWidth="1"/>
    <col min="4" max="4" width="30.28515625" customWidth="1"/>
  </cols>
  <sheetData>
    <row r="1" spans="1:4" x14ac:dyDescent="0.25">
      <c r="A1">
        <f>COUNTA(AwardListDropdowns[Award])</f>
        <v>0</v>
      </c>
    </row>
    <row r="2" spans="1:4" x14ac:dyDescent="0.25">
      <c r="A2" t="s">
        <v>35</v>
      </c>
      <c r="B2" t="s">
        <v>127</v>
      </c>
      <c r="D2" t="s">
        <v>91</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EB3D9-C0BF-4C5F-998C-D89D8C3DF522}">
  <sheetPr codeName="Sheet14"/>
  <dimension ref="A1:J1"/>
  <sheetViews>
    <sheetView workbookViewId="0">
      <selection activeCell="A2" sqref="A2"/>
    </sheetView>
  </sheetViews>
  <sheetFormatPr defaultRowHeight="15" x14ac:dyDescent="0.25"/>
  <cols>
    <col min="1" max="1" width="17.5703125" bestFit="1" customWidth="1"/>
    <col min="2" max="2" width="8" bestFit="1" customWidth="1"/>
    <col min="3" max="3" width="13.7109375" bestFit="1" customWidth="1"/>
    <col min="4" max="4" width="10.85546875" bestFit="1" customWidth="1"/>
    <col min="5" max="7" width="9" bestFit="1" customWidth="1"/>
    <col min="8" max="9" width="13.5703125" bestFit="1" customWidth="1"/>
    <col min="10" max="10" width="16.85546875" bestFit="1" customWidth="1"/>
  </cols>
  <sheetData>
    <row r="1" spans="1:10" x14ac:dyDescent="0.25">
      <c r="A1" t="s">
        <v>123</v>
      </c>
      <c r="B1" t="s">
        <v>117</v>
      </c>
      <c r="C1" t="s">
        <v>124</v>
      </c>
      <c r="D1" t="s">
        <v>131</v>
      </c>
      <c r="E1" t="s">
        <v>118</v>
      </c>
      <c r="F1" t="s">
        <v>119</v>
      </c>
      <c r="G1" t="s">
        <v>120</v>
      </c>
      <c r="H1" t="s">
        <v>128</v>
      </c>
      <c r="I1" t="s">
        <v>129</v>
      </c>
      <c r="J1" t="s">
        <v>130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96</v>
      </c>
      <c r="C1" s="59" t="s">
        <v>97</v>
      </c>
      <c r="D1" t="s">
        <v>98</v>
      </c>
      <c r="E1" t="s">
        <v>99</v>
      </c>
      <c r="F1" t="s">
        <v>100</v>
      </c>
    </row>
    <row r="2" spans="2:6" x14ac:dyDescent="0.25">
      <c r="B2">
        <v>1</v>
      </c>
      <c r="C2" t="str">
        <f>IF(ISERR(AVERAGEIF(TournamentData[POD],'Pod Analysis'!B2,TournamentData[Champion''s Score])),"",AVERAGEIF(TournamentData[POD],'Pod Analysis'!B2,TournamentData[Champion''s Score]))</f>
        <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3"/>
  <sheetViews>
    <sheetView tabSelected="1" zoomScaleNormal="100" workbookViewId="0">
      <pane xSplit="3" ySplit="2" topLeftCell="F3" activePane="bottomRight" state="frozen"/>
      <selection pane="topRight" activeCell="C1" sqref="C1"/>
      <selection pane="bottomLeft" activeCell="A3" sqref="A3"/>
      <selection pane="bottomRight" activeCell="Q3" sqref="Q3"/>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6" bestFit="1" customWidth="1"/>
    <col min="27" max="29" width="9.140625" style="25" customWidth="1"/>
    <col min="30" max="33" width="9.140625" style="24" customWidth="1"/>
    <col min="34" max="16384" width="9.140625" style="24"/>
  </cols>
  <sheetData>
    <row r="1" spans="1:26" s="43" customFormat="1" ht="54.75" customHeight="1" x14ac:dyDescent="0.25">
      <c r="A1" s="102" t="s">
        <v>17</v>
      </c>
      <c r="B1" s="102"/>
      <c r="C1" s="103"/>
      <c r="D1" s="102" t="s">
        <v>18</v>
      </c>
      <c r="E1" s="103"/>
      <c r="F1" s="103"/>
      <c r="G1" s="103"/>
      <c r="H1" s="103"/>
      <c r="I1" s="103"/>
      <c r="J1" s="103"/>
      <c r="K1" s="102" t="s">
        <v>19</v>
      </c>
      <c r="L1" s="103"/>
      <c r="M1" s="103"/>
      <c r="N1" s="102" t="s">
        <v>20</v>
      </c>
      <c r="O1" s="103"/>
      <c r="P1" s="4" t="s">
        <v>116</v>
      </c>
      <c r="Q1" s="97" t="e">
        <f>VLOOKUP("ADV", AwardDef[], 4,0)</f>
        <v>#N/A</v>
      </c>
      <c r="R1" s="102" t="s">
        <v>21</v>
      </c>
      <c r="S1" s="103"/>
      <c r="T1" s="103"/>
      <c r="U1" s="103"/>
      <c r="V1" s="103"/>
      <c r="W1" s="98" t="e">
        <f>"You have selected " &amp; COUNTIF(TournamentData[Advance?],"Yes") &amp; " of " &amp; Q1 &amp; " permitted advancing teams" &amp; CHAR(10) &amp; IF(COUNTIF(TournamentData[Advance?],"Alt")&gt;0,"You have selected an alternative advancing team", "You have NOT selected an alternative advancing team")</f>
        <v>#N/A</v>
      </c>
      <c r="X1" s="4"/>
      <c r="Z1" s="45"/>
    </row>
    <row r="2" spans="1:26" s="9" customFormat="1" ht="118.5" customHeight="1" x14ac:dyDescent="0.25">
      <c r="A2" s="47" t="s">
        <v>125</v>
      </c>
      <c r="B2" s="47" t="s">
        <v>96</v>
      </c>
      <c r="C2" s="47" t="s">
        <v>13</v>
      </c>
      <c r="D2" s="48" t="s">
        <v>23</v>
      </c>
      <c r="E2" s="48" t="s">
        <v>24</v>
      </c>
      <c r="F2" s="48" t="s">
        <v>25</v>
      </c>
      <c r="G2" s="48" t="s">
        <v>26</v>
      </c>
      <c r="H2" s="48" t="s">
        <v>27</v>
      </c>
      <c r="I2" s="48" t="s">
        <v>28</v>
      </c>
      <c r="J2" s="49" t="s">
        <v>29</v>
      </c>
      <c r="K2" s="50" t="s">
        <v>30</v>
      </c>
      <c r="L2" s="51" t="s">
        <v>31</v>
      </c>
      <c r="M2" s="52" t="s">
        <v>32</v>
      </c>
      <c r="N2" s="53" t="s">
        <v>33</v>
      </c>
      <c r="O2" s="54" t="s">
        <v>34</v>
      </c>
      <c r="P2" s="47" t="s">
        <v>35</v>
      </c>
      <c r="Q2" s="47" t="s">
        <v>36</v>
      </c>
      <c r="R2" s="27" t="s">
        <v>37</v>
      </c>
      <c r="S2" s="28" t="s">
        <v>38</v>
      </c>
      <c r="T2" s="29" t="s">
        <v>39</v>
      </c>
      <c r="U2" s="30" t="s">
        <v>40</v>
      </c>
      <c r="V2" s="31" t="s">
        <v>41</v>
      </c>
      <c r="W2" s="32" t="s">
        <v>22</v>
      </c>
      <c r="Z2" s="44"/>
    </row>
    <row r="3" spans="1:26" ht="21" customHeight="1" x14ac:dyDescent="0.25">
      <c r="A3" s="68">
        <v>1</v>
      </c>
      <c r="B3" s="68" t="e">
        <f>INDEX(OfficialTeamList[Pod Number],MATCH(TournamentData[[#This Row],[Team '#]], OfficialTeamList[Team '#],0))</f>
        <v>#N/A</v>
      </c>
      <c r="C3" s="95" t="e">
        <f>INDEX(OfficialTeamList[Team Name],MATCH(TournamentData[[#This Row],[Team '#]], OfficialTeamList[Team '#],0))</f>
        <v>#N/A</v>
      </c>
      <c r="D3" s="73">
        <f>IF(TournamentData[[#This Row],[Team '#]]="","",IF(ISNA(INDEX('Robot Game Scores'!C:C,MATCH(TournamentData[[#This Row],[Team '#]], 'Robot Game Scores'!$A:$A,0))),0,INDEX('Robot Game Scores'!C:C,MATCH(TournamentData[[#This Row],[Team '#]], 'Robot Game Scores'!$A:$A,0))))</f>
        <v>0</v>
      </c>
      <c r="E3" s="73">
        <f>IF(TournamentData[[#This Row],[Team '#]]="","",IF(ISNA(INDEX('Robot Game Scores'!D:D,MATCH(TournamentData[[#This Row],[Team '#]], 'Robot Game Scores'!$A:$A,0))),0,INDEX('Robot Game Scores'!D:D,MATCH(TournamentData[[#This Row],[Team '#]], 'Robot Game Scores'!$A:$A,0))))</f>
        <v>0</v>
      </c>
      <c r="F3" s="73">
        <f>IF(TournamentData[[#This Row],[Team '#]]="","",IF(ISNA(INDEX('Robot Game Scores'!E:E,MATCH(TournamentData[[#This Row],[Team '#]], 'Robot Game Scores'!$A:$A,0))),0,INDEX('Robot Game Scores'!E:E,MATCH(TournamentData[[#This Row],[Team '#]], 'Robot Game Scores'!$A:$A,0))))</f>
        <v>0</v>
      </c>
      <c r="G3" s="73" t="e">
        <f>IF(TournamentData[[#This Row],[Team '#]]="","",IF(ISNA(INDEX('Robot Game Scores'!#REF!,MATCH(TournamentData[[#This Row],[Team '#]], 'Robot Game Scores'!$A:$A,0))),0,INDEX('Robot Game Scores'!#REF!,MATCH(TournamentData[[#This Row],[Team '#]], 'Robot Game Scores'!$A:$A,0))))</f>
        <v>#REF!</v>
      </c>
      <c r="H3" s="73" t="e">
        <f>IF(TournamentData[[#This Row],[Team '#]]="","",IF(ISNA(INDEX('Robot Game Scores'!#REF!,MATCH(TournamentData[[#This Row],[Team '#]], 'Robot Game Scores'!$A:$A,0))),0,INDEX('Robot Game Scores'!#REF!,MATCH(TournamentData[[#This Row],[Team '#]], 'Robot Game Scores'!$A:$A,0))))</f>
        <v>#REF!</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3">
        <f>_xlfn.RANK.EQ(TournamentData[[#This Row],[Max Robot Game Score]],TournamentData[Max Robot Game Score])</f>
        <v>1</v>
      </c>
      <c r="K3" s="73" t="e">
        <f>INDEX(CoreValuesResults[Core Values Rank],MATCH(TournamentData[[#This Row],[Team '#]],CoreValuesResults[Team '#],0))</f>
        <v>#N/A</v>
      </c>
      <c r="L3" s="73" t="e">
        <f>INDEX(InnovationProjectResults[Innovation Project Rank],MATCH(TournamentData[[#This Row],[Team '#]],InnovationProjectResults[Team '#],0))</f>
        <v>#N/A</v>
      </c>
      <c r="M3" s="73" t="e">
        <f>INDEX(RobotDesignResults[Robot Design Rank],MATCH(TournamentData[[#This Row],[Team '#]],RobotDesignResults[Team '#],0))</f>
        <v>#N/A</v>
      </c>
      <c r="N3" s="73" t="e">
        <f>SUM(TournamentData[[#This Row],[Robot Game Rank]:[Robot Design Rank]])</f>
        <v>#N/A</v>
      </c>
      <c r="O3" s="72" t="e">
        <f>RANK(TournamentData[[#This Row],[Champion''s Score]],TournamentData[Champion''s Score],1)</f>
        <v>#N/A</v>
      </c>
      <c r="P3" s="74"/>
      <c r="Q3" s="78"/>
      <c r="R3" s="75">
        <f>IF(ISNA(INDEX(CoreValuesResults[Core Values Score],MATCH(TournamentData[[#This Row],[Team '#]],CoreValuesResults[Team '#],0))),0,INDEX(CoreValuesResults[Core Values Score],MATCH(TournamentData[[#This Row],[Team '#]],CoreValuesResults[Team '#],0)))</f>
        <v>0</v>
      </c>
      <c r="S3" s="75">
        <f>IF(ISNA(INDEX(InnovationProjectResults[Innovation Project Score],MATCH(TournamentData[[#This Row],[Team '#]],InnovationProjectResults[Team '#],0))),0,INDEX(InnovationProjectResults[Innovation Project Score],MATCH(TournamentData[[#This Row],[Team '#]],InnovationProjectResults[Team '#],0)))</f>
        <v>0</v>
      </c>
      <c r="T3" s="75">
        <f>IF(ISNA(INDEX(RobotDesignResults[Robot Design Score],MATCH(TournamentData[[#This Row],[Team '#]],RobotDesignResults[Team '#],0))),0,INDEX(RobotDesignResults[Robot Design Score],MATCH(TournamentData[[#This Row],[Team '#]],RobotDesignResults[Team '#],0)))</f>
        <v>0</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74" t="e">
        <f>IF(U3,_xlfn.RANK.EQ(U3,U$3:U$3,0),NumberOfTeams)</f>
        <v>#NAME?</v>
      </c>
      <c r="W3" s="74"/>
    </row>
  </sheetData>
  <sheetProtection selectLockedCells="1" sort="0" autoFilter="0"/>
  <protectedRanges>
    <protectedRange sqref="A2:W3" name="EditRar"/>
  </protectedRanges>
  <mergeCells count="5">
    <mergeCell ref="K1:M1"/>
    <mergeCell ref="R1:V1"/>
    <mergeCell ref="A1:C1"/>
    <mergeCell ref="D1:J1"/>
    <mergeCell ref="N1:O1"/>
  </mergeCells>
  <conditionalFormatting sqref="R3:W3 A3:P3">
    <cfRule type="expression" dxfId="3" priority="17">
      <formula>ROW()-NumberOfTeams=2</formula>
    </cfRule>
  </conditionalFormatting>
  <dataValidations count="2">
    <dataValidation type="list" allowBlank="1" showInputMessage="1" showErrorMessage="1" sqref="Q3" xr:uid="{2C2099C3-6EB6-4930-811F-FE6BE23CA489}">
      <formula1>"Yes,No,Alt"</formula1>
    </dataValidation>
    <dataValidation type="list" allowBlank="1" showInputMessage="1" showErrorMessage="1" sqref="P3" xr:uid="{00000000-0002-0000-0300-000001000000}">
      <formula1>Awards</formula1>
    </dataValidation>
  </dataValidations>
  <pageMargins left="0.7" right="0.7" top="0.75" bottom="0.75" header="0.3" footer="0.3"/>
  <pageSetup scale="39" fitToHeight="0" orientation="landscape"/>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2"/>
  <sheetViews>
    <sheetView zoomScaleNormal="100" workbookViewId="0">
      <pane ySplit="1" topLeftCell="A2" activePane="bottomLeft" state="frozen"/>
      <selection pane="bottomLeft"/>
    </sheetView>
  </sheetViews>
  <sheetFormatPr defaultColWidth="8.85546875" defaultRowHeight="30" customHeight="1" x14ac:dyDescent="0.25"/>
  <cols>
    <col min="1" max="1" width="16.7109375" style="38" customWidth="1"/>
    <col min="2" max="2" width="32.7109375" style="38" customWidth="1"/>
    <col min="3" max="5" width="7.42578125" style="38" customWidth="1"/>
    <col min="6" max="6" width="10.42578125" style="42" customWidth="1"/>
    <col min="7" max="10" width="8.85546875" style="5" customWidth="1"/>
    <col min="11" max="16384" width="8.85546875" style="5"/>
  </cols>
  <sheetData>
    <row r="1" spans="1:6" s="40" customFormat="1" ht="150" customHeight="1" x14ac:dyDescent="0.25">
      <c r="A1" s="57" t="s">
        <v>125</v>
      </c>
      <c r="B1" s="57" t="s">
        <v>13</v>
      </c>
      <c r="C1" s="64" t="s">
        <v>42</v>
      </c>
      <c r="D1" s="64" t="s">
        <v>43</v>
      </c>
      <c r="E1" s="64" t="s">
        <v>44</v>
      </c>
      <c r="F1" s="58" t="s">
        <v>45</v>
      </c>
    </row>
    <row r="2" spans="1:6" ht="21" customHeight="1" x14ac:dyDescent="0.25">
      <c r="A2" s="68"/>
      <c r="B2" s="96" t="e">
        <f>INDEX(OfficialTeamList[Team Name],MATCH(RobotGameScores[[#This Row],[Team '#]], OfficialTeamList[Team '#],0))</f>
        <v>#N/A</v>
      </c>
      <c r="C2" s="69"/>
      <c r="D2" s="69"/>
      <c r="E2" s="69"/>
      <c r="F2" s="77">
        <f>MAX(RobotGameScores[[#This Row],[Robot Game 1 Score]:[Robot Game 3 Score]])</f>
        <v>0</v>
      </c>
    </row>
  </sheetData>
  <sheetProtection selectLockedCells="1" sort="0" autoFilter="0"/>
  <protectedRanges>
    <protectedRange sqref="A1:F2" name="EditRgScores"/>
  </protectedRange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125</v>
      </c>
      <c r="B1" s="55" t="s">
        <v>96</v>
      </c>
      <c r="C1" s="56" t="s">
        <v>13</v>
      </c>
      <c r="D1" s="63" t="s">
        <v>46</v>
      </c>
      <c r="E1" s="63" t="s">
        <v>47</v>
      </c>
      <c r="F1" s="63" t="s">
        <v>48</v>
      </c>
      <c r="G1" s="63" t="s">
        <v>49</v>
      </c>
      <c r="H1" s="63" t="s">
        <v>50</v>
      </c>
      <c r="I1" s="63" t="s">
        <v>51</v>
      </c>
      <c r="J1" s="63" t="s">
        <v>52</v>
      </c>
      <c r="K1" s="63" t="s">
        <v>53</v>
      </c>
      <c r="L1" s="63" t="s">
        <v>54</v>
      </c>
      <c r="M1" s="63" t="s">
        <v>55</v>
      </c>
      <c r="N1" s="93" t="s">
        <v>56</v>
      </c>
      <c r="O1" s="94" t="s">
        <v>31</v>
      </c>
    </row>
    <row r="2" spans="1:15" ht="21" customHeight="1" x14ac:dyDescent="0.25">
      <c r="A2" s="68"/>
      <c r="B2" s="68" t="e">
        <f>INDEX(OfficialTeamList[Pod Number],MATCH(InnovationProjectResults[[#This Row],[Team '#]], OfficialTeamList[Team '#],0))</f>
        <v>#N/A</v>
      </c>
      <c r="C2" s="96" t="e">
        <f>INDEX(OfficialTeamList[Team Name],MATCH(InnovationProjectResults[[#This Row],[Team '#]], OfficialTeamList[Team '#],0))</f>
        <v>#N/A</v>
      </c>
      <c r="D2" s="69"/>
      <c r="E2" s="69"/>
      <c r="F2" s="69"/>
      <c r="G2" s="69"/>
      <c r="H2" s="69"/>
      <c r="I2" s="69"/>
      <c r="J2" s="69"/>
      <c r="K2" s="69"/>
      <c r="L2" s="69"/>
      <c r="M2" s="69"/>
      <c r="N2" s="77">
        <f>SUM(InnovationProjectResults[[#This Row],[Identify - Define]:[Communicate - Fun (CV)]])</f>
        <v>0</v>
      </c>
      <c r="O2" s="70">
        <f>_xlfn.RANK.EQ(InnovationProjectResults[[#This Row],[Innovation Project Score]],InnovationProjectResults[Innovation Project Score],0)</f>
        <v>1</v>
      </c>
    </row>
  </sheetData>
  <sheetProtection selectLockedCells="1" sort="0" autoFilter="0"/>
  <protectedRanges>
    <protectedRange sqref="A1:O2"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125</v>
      </c>
      <c r="B1" s="55" t="s">
        <v>96</v>
      </c>
      <c r="C1" s="56" t="s">
        <v>13</v>
      </c>
      <c r="D1" s="62" t="s">
        <v>57</v>
      </c>
      <c r="E1" s="62" t="s">
        <v>47</v>
      </c>
      <c r="F1" s="62" t="s">
        <v>58</v>
      </c>
      <c r="G1" s="62" t="s">
        <v>59</v>
      </c>
      <c r="H1" s="62" t="s">
        <v>60</v>
      </c>
      <c r="I1" s="62" t="s">
        <v>61</v>
      </c>
      <c r="J1" s="62" t="s">
        <v>62</v>
      </c>
      <c r="K1" s="62" t="s">
        <v>63</v>
      </c>
      <c r="L1" s="62" t="s">
        <v>54</v>
      </c>
      <c r="M1" s="62" t="s">
        <v>55</v>
      </c>
      <c r="N1" s="60" t="s">
        <v>39</v>
      </c>
      <c r="O1" s="61" t="s">
        <v>32</v>
      </c>
    </row>
    <row r="2" spans="1:15" ht="21" customHeight="1" x14ac:dyDescent="0.25">
      <c r="A2" s="68"/>
      <c r="B2" s="68" t="e">
        <f>INDEX(OfficialTeamList[Pod Number],MATCH(RobotDesignResults[[#This Row],[Team '#]], OfficialTeamList[Team '#],0))</f>
        <v>#N/A</v>
      </c>
      <c r="C2" s="96" t="e">
        <f>INDEX(OfficialTeamList[Team Name],MATCH(RobotDesignResults[[#This Row],[Team '#]], OfficialTeamList[Team '#],0))</f>
        <v>#N/A</v>
      </c>
      <c r="D2" s="69"/>
      <c r="E2" s="69"/>
      <c r="F2" s="69"/>
      <c r="G2" s="69"/>
      <c r="H2" s="69"/>
      <c r="I2" s="69"/>
      <c r="J2" s="69"/>
      <c r="K2" s="69"/>
      <c r="L2" s="69"/>
      <c r="M2" s="69"/>
      <c r="N2" s="77">
        <f>SUM(RobotDesignResults[[#This Row],[Identify - Strategy]:[Communicate - Fun (CV)]])</f>
        <v>0</v>
      </c>
      <c r="O2" s="70">
        <f>_xlfn.RANK.EQ(RobotDesignResults[[#This Row],[Robot Design Score]],RobotDesignResults[Robot Design Score],0)</f>
        <v>1</v>
      </c>
    </row>
  </sheetData>
  <sheetProtection selectLockedCells="1" sort="0" autoFilter="0"/>
  <protectedRanges>
    <protectedRange sqref="A1:O2"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T2"/>
  <sheetViews>
    <sheetView zoomScaleNormal="100" zoomScalePageLayoutView="140" workbookViewId="0">
      <pane ySplit="1" topLeftCell="A2" activePane="bottomLeft" state="frozen"/>
      <selection pane="bottomLeft"/>
    </sheetView>
  </sheetViews>
  <sheetFormatPr defaultColWidth="8.42578125" defaultRowHeight="30" customHeight="1" x14ac:dyDescent="0.25"/>
  <cols>
    <col min="1" max="1" width="16.7109375" customWidth="1"/>
    <col min="2" max="2" width="8.7109375" customWidth="1"/>
    <col min="3" max="3" width="32.7109375" customWidth="1"/>
    <col min="4" max="4" width="7" style="41" customWidth="1"/>
    <col min="5" max="6" width="5.85546875" style="41" customWidth="1"/>
    <col min="7" max="7" width="6.28515625" style="41" customWidth="1"/>
    <col min="8" max="13" width="5.85546875" style="41" customWidth="1"/>
    <col min="14" max="14" width="8.28515625" bestFit="1" customWidth="1"/>
    <col min="15" max="18" width="7.42578125" customWidth="1"/>
    <col min="19" max="19" width="10.42578125" customWidth="1"/>
    <col min="20" max="20" width="15.42578125" customWidth="1"/>
  </cols>
  <sheetData>
    <row r="1" spans="1:20" ht="150" customHeight="1" x14ac:dyDescent="0.25">
      <c r="A1" s="55" t="s">
        <v>125</v>
      </c>
      <c r="B1" s="55" t="s">
        <v>96</v>
      </c>
      <c r="C1" s="56" t="s">
        <v>13</v>
      </c>
      <c r="D1" s="65" t="s">
        <v>64</v>
      </c>
      <c r="E1" s="65" t="s">
        <v>65</v>
      </c>
      <c r="F1" s="65" t="s">
        <v>66</v>
      </c>
      <c r="G1" s="65" t="s">
        <v>67</v>
      </c>
      <c r="H1" s="65" t="s">
        <v>68</v>
      </c>
      <c r="I1" s="65" t="s">
        <v>69</v>
      </c>
      <c r="J1" s="65" t="s">
        <v>70</v>
      </c>
      <c r="K1" s="65" t="s">
        <v>71</v>
      </c>
      <c r="L1" s="65" t="s">
        <v>72</v>
      </c>
      <c r="M1" s="65" t="s">
        <v>73</v>
      </c>
      <c r="N1" s="66" t="s">
        <v>74</v>
      </c>
      <c r="O1" s="66" t="s">
        <v>75</v>
      </c>
      <c r="P1" s="66" t="s">
        <v>76</v>
      </c>
      <c r="Q1" s="66" t="s">
        <v>77</v>
      </c>
      <c r="R1" s="67" t="s">
        <v>78</v>
      </c>
      <c r="S1" s="67" t="s">
        <v>37</v>
      </c>
      <c r="T1" s="67" t="s">
        <v>30</v>
      </c>
    </row>
    <row r="2" spans="1:20" ht="21" customHeight="1" x14ac:dyDescent="0.25">
      <c r="A2" s="68"/>
      <c r="B2" s="68" t="e">
        <f>INDEX(OfficialTeamList[Pod Number],MATCH(CoreValuesResults[[#This Row],[Team '#]], OfficialTeamList[Team '#],0))</f>
        <v>#N/A</v>
      </c>
      <c r="C2" s="96" t="e">
        <f>INDEX(OfficialTeamList[Team Name],MATCH(CoreValuesResults[[#This Row],[Team '#]], OfficialTeamList[Team '#],0))</f>
        <v>#N/A</v>
      </c>
      <c r="D2" s="71" t="e">
        <f>INDEX(InnovationProjectResults[Identify - Research (CV)],MATCH(CoreValuesResults[[#This Row],[Team '#]],InnovationProjectResults[Team '#],0))</f>
        <v>#N/A</v>
      </c>
      <c r="E2" s="71" t="e">
        <f>INDEX(InnovationProjectResults[Design - Teamwork (CV)],MATCH(CoreValuesResults[[#This Row],[Team '#]],InnovationProjectResults[Team '#],0))</f>
        <v>#N/A</v>
      </c>
      <c r="F2" s="71" t="e">
        <f>INDEX(InnovationProjectResults[Create - Innovation (CV)],MATCH(CoreValuesResults[[#This Row],[Team '#]],InnovationProjectResults[Team '#],0))</f>
        <v>#N/A</v>
      </c>
      <c r="G2" s="71" t="e">
        <f>INDEX(InnovationProjectResults[Communicate - Impact (CV)],MATCH(CoreValuesResults[[#This Row],[Team '#]],InnovationProjectResults[Team '#],0))</f>
        <v>#N/A</v>
      </c>
      <c r="H2" s="71" t="e">
        <f>INDEX(InnovationProjectResults[Communicate - Fun (CV)],MATCH(CoreValuesResults[[#This Row],[Team '#]],InnovationProjectResults[Team '#],0))</f>
        <v>#N/A</v>
      </c>
      <c r="I2" s="71" t="e">
        <f>INDEX(RobotDesignResults[Identify - Research (CV)],MATCH(CoreValuesResults[[#This Row],[Team '#]],RobotDesignResults[Team '#],0))</f>
        <v>#N/A</v>
      </c>
      <c r="J2" s="71" t="e">
        <f>INDEX(RobotDesignResults[Design - Ideas (CV)],MATCH(CoreValuesResults[[#This Row],[Team '#]],RobotDesignResults[Team '#],0))</f>
        <v>#N/A</v>
      </c>
      <c r="K2" s="71" t="e">
        <f>INDEX(RobotDesignResults[Iterate - Improvements (CV)],MATCH(CoreValuesResults[[#This Row],[Team '#]],RobotDesignResults[Team '#],0))</f>
        <v>#N/A</v>
      </c>
      <c r="L2" s="71" t="e">
        <f>INDEX(RobotDesignResults[Communicate - Impact (CV)],MATCH(CoreValuesResults[[#This Row],[Team '#]],RobotDesignResults[Team '#],0))</f>
        <v>#N/A</v>
      </c>
      <c r="M2" s="71" t="e">
        <f>INDEX(RobotDesignResults[Communicate - Fun (CV)],MATCH(CoreValuesResults[[#This Row],[Team '#]],RobotDesignResults[Team '#],0))</f>
        <v>#N/A</v>
      </c>
      <c r="N2" s="78"/>
      <c r="O2" s="78"/>
      <c r="P2" s="78"/>
      <c r="Q2" s="68">
        <f>SUM(CoreValuesResults[[#This Row],[Gracious Professionalism 1]:[Gracious Professionalism 3]])</f>
        <v>0</v>
      </c>
      <c r="R2" s="68">
        <f t="shared" ref="R2" si="0">SUM(N2:Q2)</f>
        <v>0</v>
      </c>
      <c r="S2" s="77" t="e">
        <f>SUM(CoreValuesResults[[#This Row],[Identify - Research (CV-IP)]:[Communicate - Fun (CV-RD)]],CoreValuesResults[[#This Row],[Gracious Professionalism Score]])</f>
        <v>#N/A</v>
      </c>
      <c r="T2" s="70" t="e">
        <f>_xlfn.RANK.EQ(CoreValuesResults[[#This Row],[Core Values Score]],CoreValuesResults[Core Values Score],0)</f>
        <v>#N/A</v>
      </c>
    </row>
  </sheetData>
  <sheetProtection selectLockedCells="1" sort="0" autoFilter="0"/>
  <protectedRanges>
    <protectedRange sqref="A1:T2"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79</v>
      </c>
      <c r="B1" s="26" t="s">
        <v>80</v>
      </c>
      <c r="C1" s="26" t="s">
        <v>81</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82</v>
      </c>
      <c r="G2" s="5" t="s">
        <v>83</v>
      </c>
    </row>
    <row r="3" spans="2:10" ht="39.950000000000003" customHeight="1" x14ac:dyDescent="0.25">
      <c r="B3" s="10" t="s">
        <v>12</v>
      </c>
      <c r="C3" s="10" t="s">
        <v>13</v>
      </c>
      <c r="D3" s="11" t="s">
        <v>34</v>
      </c>
      <c r="E3" s="11" t="s">
        <v>84</v>
      </c>
      <c r="G3" s="20" t="s">
        <v>12</v>
      </c>
      <c r="H3" s="20" t="s">
        <v>13</v>
      </c>
      <c r="I3" s="21" t="s">
        <v>34</v>
      </c>
      <c r="J3" s="21" t="s">
        <v>84</v>
      </c>
    </row>
    <row r="4" spans="2:10" ht="20.25" customHeight="1" x14ac:dyDescent="0.25">
      <c r="C4" s="5" t="str">
        <f>IF(ISNA(INDEX(OfficialTeamList[Team Name],MATCH(ChampionsDelib[[#This Row],[Team Number]], OfficialTeamList[Team '#],0))),"",INDEX(OfficialTeamList[Team Name],MATCH(ChampionsDelib[[#This Row],[Team Number]], OfficialTeamList[Team '#],0)))</f>
        <v/>
      </c>
      <c r="D4" s="5" t="e">
        <f>IF(ISNA(INDEX(TournamentData[Champion''s Rank],MATCH(ChampionsDelib[[#This Row],[Team Number]],TournamentData[Team '#],0))),NumberOfTeams+1,INDEX(TournamentData[Champion''s Rank],MATCH(ChampionsDelib[[#This Row],[Team Number]],TournamentData[Team '#],0)))</f>
        <v>#NAME?</v>
      </c>
      <c r="H4" s="5" t="str">
        <f>IF(ISNA(INDEX(OfficialTeamList[Team Name],MATCH(RobotGameDelib[[#This Row],[Team Number]], OfficialTeamList[Team '#],0))),"",INDEX(OfficialTeamList[Team Name],MATCH(RobotGameDelib[[#This Row],[Team Number]], OfficialTeamList[Team '#],0)))</f>
        <v/>
      </c>
      <c r="I4" s="5" t="e">
        <f>IF(ISNA(INDEX(TournamentData[Champion''s Rank],MATCH(RobotGameDelib[[#This Row],[Team Number]],TournamentData[Team '#],0))),NumberOfTeams+1,INDEX(TournamentData[Champion''s Rank],MATCH(RobotGameDelib[[#This Row],[Team Number]],TournamentData[Team '#],0)))</f>
        <v>#NAME?</v>
      </c>
    </row>
    <row r="5" spans="2:10" ht="20.25" customHeight="1" x14ac:dyDescent="0.25">
      <c r="C5" s="5" t="str">
        <f>IF(ISNA(INDEX(OfficialTeamList[Team Name],MATCH(ChampionsDelib[[#This Row],[Team Number]], OfficialTeamList[Team '#],0))),"",INDEX(OfficialTeamList[Team Name],MATCH(ChampionsDelib[[#This Row],[Team Number]], OfficialTeamList[Team '#],0)))</f>
        <v/>
      </c>
      <c r="D5" s="5" t="e">
        <f>IF(ISNA(INDEX(TournamentData[Champion''s Rank],MATCH(ChampionsDelib[[#This Row],[Team Number]],TournamentData[Team '#],0))),NumberOfTeams+1,INDEX(TournamentData[Champion''s Rank],MATCH(ChampionsDelib[[#This Row],[Team Number]],TournamentData[Team '#],0)))</f>
        <v>#NAME?</v>
      </c>
      <c r="H5" s="5" t="str">
        <f>IF(ISNA(INDEX(OfficialTeamList[Team Name],MATCH(RobotGameDelib[[#This Row],[Team Number]], OfficialTeamList[Team '#],0))),"",INDEX(OfficialTeamList[Team Name],MATCH(RobotGameDelib[[#This Row],[Team Number]], OfficialTeamList[Team '#],0)))</f>
        <v/>
      </c>
      <c r="I5" s="5" t="e">
        <f>IF(ISNA(INDEX(TournamentData[Champion''s Rank],MATCH(RobotGameDelib[[#This Row],[Team Number]],TournamentData[Team '#],0))),NumberOfTeams+1,INDEX(TournamentData[Champion''s Rank],MATCH(RobotGameDelib[[#This Row],[Team Number]],TournamentData[Team '#],0)))</f>
        <v>#NAME?</v>
      </c>
    </row>
    <row r="6" spans="2:10" ht="20.25" customHeight="1" x14ac:dyDescent="0.25">
      <c r="C6" s="5" t="str">
        <f>IF(ISNA(INDEX(OfficialTeamList[Team Name],MATCH(ChampionsDelib[[#This Row],[Team Number]], OfficialTeamList[Team '#],0))),"",INDEX(OfficialTeamList[Team Name],MATCH(ChampionsDelib[[#This Row],[Team Number]], OfficialTeamList[Team '#],0)))</f>
        <v/>
      </c>
      <c r="D6" s="5" t="e">
        <f>IF(ISNA(INDEX(TournamentData[Champion''s Rank],MATCH(ChampionsDelib[[#This Row],[Team Number]],TournamentData[Team '#],0))),NumberOfTeams+1,INDEX(TournamentData[Champion''s Rank],MATCH(ChampionsDelib[[#This Row],[Team Number]],TournamentData[Team '#],0)))</f>
        <v>#NAME?</v>
      </c>
      <c r="H6" s="5" t="str">
        <f>IF(ISNA(INDEX(OfficialTeamList[Team Name],MATCH(RobotGameDelib[[#This Row],[Team Number]], OfficialTeamList[Team '#],0))),"",INDEX(OfficialTeamList[Team Name],MATCH(RobotGameDelib[[#This Row],[Team Number]], OfficialTeamList[Team '#],0)))</f>
        <v/>
      </c>
      <c r="I6" s="5" t="e">
        <f>IF(ISNA(INDEX(TournamentData[Champion''s Rank],MATCH(RobotGameDelib[[#This Row],[Team Number]],TournamentData[Team '#],0))),NumberOfTeams+1,INDEX(TournamentData[Champion''s Rank],MATCH(RobotGameDelib[[#This Row],[Team Number]],TournamentData[Team '#],0)))</f>
        <v>#NAME?</v>
      </c>
    </row>
    <row r="7" spans="2:10" ht="20.25" customHeight="1" x14ac:dyDescent="0.25">
      <c r="C7" s="5" t="str">
        <f>IF(ISNA(INDEX(OfficialTeamList[Team Name],MATCH(ChampionsDelib[[#This Row],[Team Number]], OfficialTeamList[Team '#],0))),"",INDEX(OfficialTeamList[Team Name],MATCH(ChampionsDelib[[#This Row],[Team Number]], OfficialTeamList[Team '#],0)))</f>
        <v/>
      </c>
      <c r="D7" s="5" t="e">
        <f>IF(ISNA(INDEX(TournamentData[Champion''s Rank],MATCH(ChampionsDelib[[#This Row],[Team Number]],TournamentData[Team '#],0))),NumberOfTeams+1,INDEX(TournamentData[Champion''s Rank],MATCH(ChampionsDelib[[#This Row],[Team Number]],TournamentData[Team '#],0)))</f>
        <v>#NAME?</v>
      </c>
      <c r="H7" s="5" t="str">
        <f>IF(ISNA(INDEX(OfficialTeamList[Team Name],MATCH(RobotGameDelib[[#This Row],[Team Number]], OfficialTeamList[Team '#],0))),"",INDEX(OfficialTeamList[Team Name],MATCH(RobotGameDelib[[#This Row],[Team Number]], OfficialTeamList[Team '#],0)))</f>
        <v/>
      </c>
      <c r="I7" s="5" t="e">
        <f>IF(ISNA(INDEX(TournamentData[Champion''s Rank],MATCH(RobotGameDelib[[#This Row],[Team Number]],TournamentData[Team '#],0))),NumberOfTeams+1,INDEX(TournamentData[Champion''s Rank],MATCH(RobotGameDelib[[#This Row],[Team Number]],TournamentData[Team '#],0)))</f>
        <v>#NAME?</v>
      </c>
    </row>
    <row r="8" spans="2:10" ht="20.25" customHeight="1" x14ac:dyDescent="0.25">
      <c r="C8" s="5" t="str">
        <f>IF(ISNA(INDEX(OfficialTeamList[Team Name],MATCH(ChampionsDelib[[#This Row],[Team Number]], OfficialTeamList[Team '#],0))),"",INDEX(OfficialTeamList[Team Name],MATCH(ChampionsDelib[[#This Row],[Team Number]], OfficialTeamList[Team '#],0)))</f>
        <v/>
      </c>
      <c r="D8" s="5" t="e">
        <f>IF(ISNA(INDEX(TournamentData[Champion''s Rank],MATCH(ChampionsDelib[[#This Row],[Team Number]],TournamentData[Team '#],0))),NumberOfTeams+1,INDEX(TournamentData[Champion''s Rank],MATCH(ChampionsDelib[[#This Row],[Team Number]],TournamentData[Team '#],0)))</f>
        <v>#NAME?</v>
      </c>
      <c r="H8" s="5" t="str">
        <f>IF(ISNA(INDEX(OfficialTeamList[Team Name],MATCH(RobotGameDelib[[#This Row],[Team Number]], OfficialTeamList[Team '#],0))),"",INDEX(OfficialTeamList[Team Name],MATCH(RobotGameDelib[[#This Row],[Team Number]], OfficialTeamList[Team '#],0)))</f>
        <v/>
      </c>
      <c r="I8" s="5" t="e">
        <f>IF(ISNA(INDEX(TournamentData[Champion''s Rank],MATCH(RobotGameDelib[[#This Row],[Team Number]],TournamentData[Team '#],0))),NumberOfTeams+1,INDEX(TournamentData[Champion''s Rank],MATCH(RobotGameDelib[[#This Row],[Team Number]],TournamentData[Team '#],0)))</f>
        <v>#NAME?</v>
      </c>
    </row>
    <row r="9" spans="2:10" ht="20.25" customHeight="1" x14ac:dyDescent="0.25">
      <c r="C9" s="5" t="str">
        <f>IF(ISNA(INDEX(OfficialTeamList[Team Name],MATCH(ChampionsDelib[[#This Row],[Team Number]], OfficialTeamList[Team '#],0))),"",INDEX(OfficialTeamList[Team Name],MATCH(ChampionsDelib[[#This Row],[Team Number]], OfficialTeamList[Team '#],0)))</f>
        <v/>
      </c>
      <c r="D9" s="5" t="e">
        <f>IF(ISNA(INDEX(TournamentData[Champion''s Rank],MATCH(ChampionsDelib[[#This Row],[Team Number]],TournamentData[Team '#],0))),NumberOfTeams+1,INDEX(TournamentData[Champion''s Rank],MATCH(ChampionsDelib[[#This Row],[Team Number]],TournamentData[Team '#],0)))</f>
        <v>#NAME?</v>
      </c>
      <c r="H9" s="5" t="str">
        <f>IF(ISNA(INDEX(OfficialTeamList[Team Name],MATCH(RobotGameDelib[[#This Row],[Team Number]], OfficialTeamList[Team '#],0))),"",INDEX(OfficialTeamList[Team Name],MATCH(RobotGameDelib[[#This Row],[Team Number]], OfficialTeamList[Team '#],0)))</f>
        <v/>
      </c>
      <c r="I9" s="5" t="e">
        <f>IF(ISNA(INDEX(TournamentData[Champion''s Rank],MATCH(RobotGameDelib[[#This Row],[Team Number]],TournamentData[Team '#],0))),NumberOfTeams+1,INDEX(TournamentData[Champion''s Rank],MATCH(RobotGameDelib[[#This Row],[Team Number]],TournamentData[Team '#],0)))</f>
        <v>#NAME?</v>
      </c>
    </row>
    <row r="10" spans="2:10" ht="20.25" customHeight="1" x14ac:dyDescent="0.25">
      <c r="C10" s="5" t="str">
        <f>IF(ISNA(INDEX(OfficialTeamList[Team Name],MATCH(ChampionsDelib[[#This Row],[Team Number]], OfficialTeamList[Team '#],0))),"",INDEX(OfficialTeamList[Team Name],MATCH(ChampionsDelib[[#This Row],[Team Number]], OfficialTeamList[Team '#],0)))</f>
        <v/>
      </c>
      <c r="D10" s="5" t="e">
        <f>IF(ISNA(INDEX(TournamentData[Champion''s Rank],MATCH(ChampionsDelib[[#This Row],[Team Number]],TournamentData[Team '#],0))),NumberOfTeams+1,INDEX(TournamentData[Champion''s Rank],MATCH(ChampionsDelib[[#This Row],[Team Number]],TournamentData[Team '#],0)))</f>
        <v>#NAME?</v>
      </c>
      <c r="H10" s="5" t="str">
        <f>IF(ISNA(INDEX(OfficialTeamList[Team Name],MATCH(RobotGameDelib[[#This Row],[Team Number]], OfficialTeamList[Team '#],0))),"",INDEX(OfficialTeamList[Team Name],MATCH(RobotGameDelib[[#This Row],[Team Number]], OfficialTeamList[Team '#],0)))</f>
        <v/>
      </c>
      <c r="I10" s="5" t="e">
        <f>IF(ISNA(INDEX(TournamentData[Champion''s Rank],MATCH(RobotGameDelib[[#This Row],[Team Number]],TournamentData[Team '#],0))),NumberOfTeams+1,INDEX(TournamentData[Champion''s Rank],MATCH(RobotGameDelib[[#This Row],[Team Number]],TournamentData[Team '#],0)))</f>
        <v>#NAME?</v>
      </c>
    </row>
    <row r="11" spans="2:10" ht="20.25" customHeight="1" x14ac:dyDescent="0.25">
      <c r="C11" s="5" t="str">
        <f>IF(ISNA(INDEX(OfficialTeamList[Team Name],MATCH(ChampionsDelib[[#This Row],[Team Number]], OfficialTeamList[Team '#],0))),"",INDEX(OfficialTeamList[Team Name],MATCH(ChampionsDelib[[#This Row],[Team Number]], OfficialTeamList[Team '#],0)))</f>
        <v/>
      </c>
      <c r="D11" s="5" t="e">
        <f>IF(ISNA(INDEX(TournamentData[Champion''s Rank],MATCH(ChampionsDelib[[#This Row],[Team Number]],TournamentData[Team '#],0))),NumberOfTeams+1,INDEX(TournamentData[Champion''s Rank],MATCH(ChampionsDelib[[#This Row],[Team Number]],TournamentData[Team '#],0)))</f>
        <v>#NAME?</v>
      </c>
      <c r="H11" s="5" t="str">
        <f>IF(ISNA(INDEX(OfficialTeamList[Team Name],MATCH(RobotGameDelib[[#This Row],[Team Number]], OfficialTeamList[Team '#],0))),"",INDEX(OfficialTeamList[Team Name],MATCH(RobotGameDelib[[#This Row],[Team Number]], OfficialTeamList[Team '#],0)))</f>
        <v/>
      </c>
      <c r="I11" s="5" t="e">
        <f>IF(ISNA(INDEX(TournamentData[Champion''s Rank],MATCH(RobotGameDelib[[#This Row],[Team Number]],TournamentData[Team '#],0))),NumberOfTeams+1,INDEX(TournamentData[Champion''s Rank],MATCH(RobotGameDelib[[#This Row],[Team Number]],TournamentData[Team '#],0)))</f>
        <v>#NAME?</v>
      </c>
    </row>
    <row r="12" spans="2:10" ht="20.25" customHeight="1" x14ac:dyDescent="0.25">
      <c r="C12" s="5" t="str">
        <f>IF(ISNA(INDEX(OfficialTeamList[Team Name],MATCH(ChampionsDelib[[#This Row],[Team Number]], OfficialTeamList[Team '#],0))),"",INDEX(OfficialTeamList[Team Name],MATCH(ChampionsDelib[[#This Row],[Team Number]], OfficialTeamList[Team '#],0)))</f>
        <v/>
      </c>
      <c r="D12" s="5" t="e">
        <f>IF(ISNA(INDEX(TournamentData[Champion''s Rank],MATCH(ChampionsDelib[[#This Row],[Team Number]],TournamentData[Team '#],0))),NumberOfTeams+1,INDEX(TournamentData[Champion''s Rank],MATCH(ChampionsDelib[[#This Row],[Team Number]],TournamentData[Team '#],0)))</f>
        <v>#NAME?</v>
      </c>
      <c r="H12" s="5" t="str">
        <f>IF(ISNA(INDEX(OfficialTeamList[Team Name],MATCH(RobotGameDelib[[#This Row],[Team Number]], OfficialTeamList[Team '#],0))),"",INDEX(OfficialTeamList[Team Name],MATCH(RobotGameDelib[[#This Row],[Team Number]], OfficialTeamList[Team '#],0)))</f>
        <v/>
      </c>
      <c r="I12" s="5" t="e">
        <f>IF(ISNA(INDEX(TournamentData[Champion''s Rank],MATCH(RobotGameDelib[[#This Row],[Team Number]],TournamentData[Team '#],0))),NumberOfTeams+1,INDEX(TournamentData[Champion''s Rank],MATCH(RobotGameDelib[[#This Row],[Team Number]],TournamentData[Team '#],0)))</f>
        <v>#NAME?</v>
      </c>
    </row>
    <row r="13" spans="2:10" ht="20.25" customHeight="1" x14ac:dyDescent="0.25">
      <c r="C13" s="5" t="str">
        <f>IF(ISNA(INDEX(OfficialTeamList[Team Name],MATCH(ChampionsDelib[[#This Row],[Team Number]], OfficialTeamList[Team '#],0))),"",INDEX(OfficialTeamList[Team Name],MATCH(ChampionsDelib[[#This Row],[Team Number]], OfficialTeamList[Team '#],0)))</f>
        <v/>
      </c>
      <c r="D13" s="5" t="e">
        <f>IF(ISNA(INDEX(TournamentData[Champion''s Rank],MATCH(ChampionsDelib[[#This Row],[Team Number]],TournamentData[Team '#],0))),NumberOfTeams+1,INDEX(TournamentData[Champion''s Rank],MATCH(ChampionsDelib[[#This Row],[Team Number]],TournamentData[Team '#],0)))</f>
        <v>#NAME?</v>
      </c>
      <c r="H13" s="5" t="str">
        <f>IF(ISNA(INDEX(OfficialTeamList[Team Name],MATCH(RobotGameDelib[[#This Row],[Team Number]], OfficialTeamList[Team '#],0))),"",INDEX(OfficialTeamList[Team Name],MATCH(RobotGameDelib[[#This Row],[Team Number]], OfficialTeamList[Team '#],0)))</f>
        <v/>
      </c>
      <c r="I13" s="5" t="e">
        <f>IF(ISNA(INDEX(TournamentData[Champion''s Rank],MATCH(RobotGameDelib[[#This Row],[Team Number]],TournamentData[Team '#],0))),NumberOfTeams+1,INDEX(TournamentData[Champion''s Rank],MATCH(RobotGameDelib[[#This Row],[Team Number]],TournamentData[Team '#],0)))</f>
        <v>#NAME?</v>
      </c>
    </row>
    <row r="14" spans="2:10" ht="20.25" customHeight="1" x14ac:dyDescent="0.25">
      <c r="C14" s="5" t="str">
        <f>IF(ISNA(INDEX(OfficialTeamList[Team Name],MATCH(ChampionsDelib[[#This Row],[Team Number]], OfficialTeamList[Team '#],0))),"",INDEX(OfficialTeamList[Team Name],MATCH(ChampionsDelib[[#This Row],[Team Number]], OfficialTeamList[Team '#],0)))</f>
        <v/>
      </c>
      <c r="D14" s="5" t="e">
        <f>IF(ISNA(INDEX(TournamentData[Champion''s Rank],MATCH(ChampionsDelib[[#This Row],[Team Number]],TournamentData[Team '#],0))),NumberOfTeams+1,INDEX(TournamentData[Champion''s Rank],MATCH(ChampionsDelib[[#This Row],[Team Number]],TournamentData[Team '#],0)))</f>
        <v>#NAME?</v>
      </c>
      <c r="H14" s="5" t="str">
        <f>IF(ISNA(INDEX(OfficialTeamList[Team Name],MATCH(RobotGameDelib[[#This Row],[Team Number]], OfficialTeamList[Team '#],0))),"",INDEX(OfficialTeamList[Team Name],MATCH(RobotGameDelib[[#This Row],[Team Number]], OfficialTeamList[Team '#],0)))</f>
        <v/>
      </c>
      <c r="I14" s="5" t="e">
        <f>IF(ISNA(INDEX(TournamentData[Champion''s Rank],MATCH(RobotGameDelib[[#This Row],[Team Number]],TournamentData[Team '#],0))),NumberOfTeams+1,INDEX(TournamentData[Champion''s Rank],MATCH(RobotGameDelib[[#This Row],[Team Number]],TournamentData[Team '#],0)))</f>
        <v>#NAME?</v>
      </c>
    </row>
    <row r="15" spans="2:10" ht="20.25" customHeight="1" x14ac:dyDescent="0.25">
      <c r="C15" s="5" t="str">
        <f>IF(ISNA(INDEX(OfficialTeamList[Team Name],MATCH(ChampionsDelib[[#This Row],[Team Number]], OfficialTeamList[Team '#],0))),"",INDEX(OfficialTeamList[Team Name],MATCH(ChampionsDelib[[#This Row],[Team Number]], OfficialTeamList[Team '#],0)))</f>
        <v/>
      </c>
      <c r="D15" s="5" t="e">
        <f>IF(ISNA(INDEX(TournamentData[Champion''s Rank],MATCH(ChampionsDelib[[#This Row],[Team Number]],TournamentData[Team '#],0))),NumberOfTeams+1,INDEX(TournamentData[Champion''s Rank],MATCH(ChampionsDelib[[#This Row],[Team Number]],TournamentData[Team '#],0)))</f>
        <v>#NAME?</v>
      </c>
      <c r="H15" s="5" t="str">
        <f>IF(ISNA(INDEX(OfficialTeamList[Team Name],MATCH(RobotGameDelib[[#This Row],[Team Number]], OfficialTeamList[Team '#],0))),"",INDEX(OfficialTeamList[Team Name],MATCH(RobotGameDelib[[#This Row],[Team Number]], OfficialTeamList[Team '#],0)))</f>
        <v/>
      </c>
      <c r="I15" s="5" t="e">
        <f>IF(ISNA(INDEX(TournamentData[Champion''s Rank],MATCH(RobotGameDelib[[#This Row],[Team Number]],TournamentData[Team '#],0))),NumberOfTeams+1,INDEX(TournamentData[Champion''s Rank],MATCH(RobotGameDelib[[#This Row],[Team Number]],TournamentData[Team '#],0)))</f>
        <v>#NAME?</v>
      </c>
    </row>
    <row r="16" spans="2:10" ht="20.25" customHeight="1" x14ac:dyDescent="0.25">
      <c r="C16" s="5" t="str">
        <f>IF(ISNA(INDEX(OfficialTeamList[Team Name],MATCH(ChampionsDelib[[#This Row],[Team Number]], OfficialTeamList[Team '#],0))),"",INDEX(OfficialTeamList[Team Name],MATCH(ChampionsDelib[[#This Row],[Team Number]], OfficialTeamList[Team '#],0)))</f>
        <v/>
      </c>
      <c r="D16" s="5" t="e">
        <f>IF(ISNA(INDEX(TournamentData[Champion''s Rank],MATCH(ChampionsDelib[[#This Row],[Team Number]],TournamentData[Team '#],0))),NumberOfTeams+1,INDEX(TournamentData[Champion''s Rank],MATCH(ChampionsDelib[[#This Row],[Team Number]],TournamentData[Team '#],0)))</f>
        <v>#NAME?</v>
      </c>
      <c r="H16" s="5" t="str">
        <f>IF(ISNA(INDEX(OfficialTeamList[Team Name],MATCH(RobotGameDelib[[#This Row],[Team Number]], OfficialTeamList[Team '#],0))),"",INDEX(OfficialTeamList[Team Name],MATCH(RobotGameDelib[[#This Row],[Team Number]], OfficialTeamList[Team '#],0)))</f>
        <v/>
      </c>
      <c r="I16" s="5" t="e">
        <f>IF(ISNA(INDEX(TournamentData[Champion''s Rank],MATCH(RobotGameDelib[[#This Row],[Team Number]],TournamentData[Team '#],0))),NumberOfTeams+1,INDEX(TournamentData[Champion''s Rank],MATCH(RobotGameDelib[[#This Row],[Team Number]],TournamentData[Team '#],0)))</f>
        <v>#NAME?</v>
      </c>
    </row>
    <row r="17" spans="2:15" ht="20.25" customHeight="1" x14ac:dyDescent="0.25">
      <c r="C17" s="5" t="str">
        <f>IF(ISNA(INDEX(OfficialTeamList[Team Name],MATCH(ChampionsDelib[[#This Row],[Team Number]], OfficialTeamList[Team '#],0))),"",INDEX(OfficialTeamList[Team Name],MATCH(ChampionsDelib[[#This Row],[Team Number]], OfficialTeamList[Team '#],0)))</f>
        <v/>
      </c>
      <c r="D17" s="5" t="e">
        <f>IF(ISNA(INDEX(TournamentData[Champion''s Rank],MATCH(ChampionsDelib[[#This Row],[Team Number]],TournamentData[Team '#],0))),NumberOfTeams+1,INDEX(TournamentData[Champion''s Rank],MATCH(ChampionsDelib[[#This Row],[Team Number]],TournamentData[Team '#],0)))</f>
        <v>#NAME?</v>
      </c>
      <c r="H17" s="5" t="str">
        <f>IF(ISNA(INDEX(OfficialTeamList[Team Name],MATCH(RobotGameDelib[[#This Row],[Team Number]], OfficialTeamList[Team '#],0))),"",INDEX(OfficialTeamList[Team Name],MATCH(RobotGameDelib[[#This Row],[Team Number]], OfficialTeamList[Team '#],0)))</f>
        <v/>
      </c>
      <c r="I17" s="5" t="e">
        <f>IF(ISNA(INDEX(TournamentData[Champion''s Rank],MATCH(RobotGameDelib[[#This Row],[Team Number]],TournamentData[Team '#],0))),NumberOfTeams+1,INDEX(TournamentData[Champion''s Rank],MATCH(RobotGameDelib[[#This Row],[Team Number]],TournamentData[Team '#],0)))</f>
        <v>#NAME?</v>
      </c>
    </row>
    <row r="18" spans="2:15" ht="20.25" customHeight="1" x14ac:dyDescent="0.25">
      <c r="C18" s="5" t="str">
        <f>IF(ISNA(INDEX(OfficialTeamList[Team Name],MATCH(ChampionsDelib[[#This Row],[Team Number]], OfficialTeamList[Team '#],0))),"",INDEX(OfficialTeamList[Team Name],MATCH(ChampionsDelib[[#This Row],[Team Number]], OfficialTeamList[Team '#],0)))</f>
        <v/>
      </c>
      <c r="D18" s="5" t="e">
        <f>IF(ISNA(INDEX(TournamentData[Champion''s Rank],MATCH(ChampionsDelib[[#This Row],[Team Number]],TournamentData[Team '#],0))),NumberOfTeams+1,INDEX(TournamentData[Champion''s Rank],MATCH(ChampionsDelib[[#This Row],[Team Number]],TournamentData[Team '#],0)))</f>
        <v>#NAME?</v>
      </c>
      <c r="H18" s="5" t="str">
        <f>IF(ISNA(INDEX(OfficialTeamList[Team Name],MATCH(RobotGameDelib[[#This Row],[Team Number]], OfficialTeamList[Team '#],0))),"",INDEX(OfficialTeamList[Team Name],MATCH(RobotGameDelib[[#This Row],[Team Number]], OfficialTeamList[Team '#],0)))</f>
        <v/>
      </c>
      <c r="I18" s="5" t="e">
        <f>IF(ISNA(INDEX(TournamentData[Champion''s Rank],MATCH(RobotGameDelib[[#This Row],[Team Number]],TournamentData[Team '#],0))),NumberOfTeams+1,INDEX(TournamentData[Champion''s Rank],MATCH(RobotGameDelib[[#This Row],[Team Number]],TournamentData[Team '#],0)))</f>
        <v>#NAME?</v>
      </c>
    </row>
    <row r="20" spans="2:15" ht="20.25" customHeight="1" x14ac:dyDescent="0.25">
      <c r="B20" s="5" t="s">
        <v>85</v>
      </c>
      <c r="G20" s="5" t="s">
        <v>86</v>
      </c>
      <c r="L20" s="5" t="s">
        <v>87</v>
      </c>
    </row>
    <row r="21" spans="2:15" ht="39.950000000000003" customHeight="1" x14ac:dyDescent="0.25">
      <c r="B21" s="14" t="s">
        <v>12</v>
      </c>
      <c r="C21" s="14" t="s">
        <v>13</v>
      </c>
      <c r="D21" s="15" t="s">
        <v>30</v>
      </c>
      <c r="E21" s="15" t="s">
        <v>84</v>
      </c>
      <c r="G21" s="18" t="s">
        <v>12</v>
      </c>
      <c r="H21" s="18" t="s">
        <v>13</v>
      </c>
      <c r="I21" s="19" t="s">
        <v>32</v>
      </c>
      <c r="J21" s="19" t="s">
        <v>84</v>
      </c>
      <c r="L21" s="16" t="s">
        <v>12</v>
      </c>
      <c r="M21" s="16" t="s">
        <v>13</v>
      </c>
      <c r="N21" s="17" t="s">
        <v>31</v>
      </c>
      <c r="O21" s="17" t="s">
        <v>84</v>
      </c>
    </row>
    <row r="22" spans="2:15" ht="20.25" customHeight="1" x14ac:dyDescent="0.25">
      <c r="C22" s="5" t="str">
        <f>IF(ISNA(INDEX(OfficialTeamList[Team Name],MATCH(CoreValuesDelib[[#This Row],[Team Number]], OfficialTeamList[Team '#],0))),"",INDEX(OfficialTeamList[Team Name],MATCH(CoreValuesDelib[[#This Row],[Team Number]], OfficialTeamList[Team '#],0)))</f>
        <v/>
      </c>
      <c r="D22" s="5" t="e">
        <f>IF(ISNA(INDEX(CoreValuesResults[Core Values Rank],MATCH(CoreValuesDelib[[#This Row],[Team Number]],CoreValuesResults[Team '#],0))),NumberOfTeams+1,INDEX(CoreValuesResults[Core Values Rank],MATCH(CoreValuesDelib[[#This Row],[Team Number]],CoreValuesResults[Team '#],0)))</f>
        <v>#NAME?</v>
      </c>
      <c r="H22" s="5" t="str">
        <f>IF(ISNA(INDEX(OfficialTeamList[Team Name],MATCH(RobotDesignDelib[[#This Row],[Team Number]], OfficialTeamList[Team '#],0))),"",INDEX(OfficialTeamList[Team Name],MATCH(RobotDesignDelib[[#This Row],[Team Number]], OfficialTeamList[Team '#],0)))</f>
        <v/>
      </c>
      <c r="I22" s="5" t="e">
        <f>IF(ISNA(INDEX(RobotDesignResults[Robot Design Rank],MATCH(RobotDesignDelib[[#This Row],[Team Number]],RobotDesignResults[Team '#],0))),NumberOfTeams+1,INDEX(RobotDesignResults[Robot Design Rank],MATCH(RobotDesignDelib[[#This Row],[Team Number]],RobotDesignResults[Team '#],0)))</f>
        <v>#NAME?</v>
      </c>
      <c r="M22" s="5" t="str">
        <f>IF(ISNA(INDEX(OfficialTeamList[Team Name],MATCH(InnovationProjectDelib[[#This Row],[Team Number]], OfficialTeamList[Team '#],0))),"",INDEX(OfficialTeamList[Team Name],MATCH(InnovationProjectDelib[[#This Row],[Team Number]], OfficialTeamList[Team '#],0)))</f>
        <v/>
      </c>
      <c r="N2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3" spans="2:15" ht="20.25" customHeight="1" x14ac:dyDescent="0.25">
      <c r="C23" s="5" t="str">
        <f>IF(ISNA(INDEX(OfficialTeamList[Team Name],MATCH(CoreValuesDelib[[#This Row],[Team Number]], OfficialTeamList[Team '#],0))),"",INDEX(OfficialTeamList[Team Name],MATCH(CoreValuesDelib[[#This Row],[Team Number]], OfficialTeamList[Team '#],0)))</f>
        <v/>
      </c>
      <c r="D23" s="5" t="e">
        <f>IF(ISNA(INDEX(CoreValuesResults[Core Values Rank],MATCH(CoreValuesDelib[[#This Row],[Team Number]],CoreValuesResults[Team '#],0))),NumberOfTeams+1,INDEX(CoreValuesResults[Core Values Rank],MATCH(CoreValuesDelib[[#This Row],[Team Number]],CoreValuesResults[Team '#],0)))</f>
        <v>#NAME?</v>
      </c>
      <c r="H23" s="5" t="str">
        <f>IF(ISNA(INDEX(OfficialTeamList[Team Name],MATCH(RobotDesignDelib[[#This Row],[Team Number]], OfficialTeamList[Team '#],0))),"",INDEX(OfficialTeamList[Team Name],MATCH(RobotDesignDelib[[#This Row],[Team Number]], OfficialTeamList[Team '#],0)))</f>
        <v/>
      </c>
      <c r="I23" s="5" t="e">
        <f>IF(ISNA(INDEX(RobotDesignResults[Robot Design Rank],MATCH(RobotDesignDelib[[#This Row],[Team Number]],RobotDesignResults[Team '#],0))),NumberOfTeams+1,INDEX(RobotDesignResults[Robot Design Rank],MATCH(RobotDesignDelib[[#This Row],[Team Number]],RobotDesignResults[Team '#],0)))</f>
        <v>#NAME?</v>
      </c>
      <c r="M23" s="5" t="str">
        <f>IF(ISNA(INDEX(OfficialTeamList[Team Name],MATCH(InnovationProjectDelib[[#This Row],[Team Number]], OfficialTeamList[Team '#],0))),"",INDEX(OfficialTeamList[Team Name],MATCH(InnovationProjectDelib[[#This Row],[Team Number]], OfficialTeamList[Team '#],0)))</f>
        <v/>
      </c>
      <c r="N2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4" spans="2:15" ht="20.25" customHeight="1" x14ac:dyDescent="0.25">
      <c r="C24" s="5" t="str">
        <f>IF(ISNA(INDEX(OfficialTeamList[Team Name],MATCH(CoreValuesDelib[[#This Row],[Team Number]], OfficialTeamList[Team '#],0))),"",INDEX(OfficialTeamList[Team Name],MATCH(CoreValuesDelib[[#This Row],[Team Number]], OfficialTeamList[Team '#],0)))</f>
        <v/>
      </c>
      <c r="D24" s="5" t="e">
        <f>IF(ISNA(INDEX(CoreValuesResults[Core Values Rank],MATCH(CoreValuesDelib[[#This Row],[Team Number]],CoreValuesResults[Team '#],0))),NumberOfTeams+1,INDEX(CoreValuesResults[Core Values Rank],MATCH(CoreValuesDelib[[#This Row],[Team Number]],CoreValuesResults[Team '#],0)))</f>
        <v>#NAME?</v>
      </c>
      <c r="H24" s="5" t="str">
        <f>IF(ISNA(INDEX(OfficialTeamList[Team Name],MATCH(RobotDesignDelib[[#This Row],[Team Number]], OfficialTeamList[Team '#],0))),"",INDEX(OfficialTeamList[Team Name],MATCH(RobotDesignDelib[[#This Row],[Team Number]], OfficialTeamList[Team '#],0)))</f>
        <v/>
      </c>
      <c r="I24" s="5" t="e">
        <f>IF(ISNA(INDEX(RobotDesignResults[Robot Design Rank],MATCH(RobotDesignDelib[[#This Row],[Team Number]],RobotDesignResults[Team '#],0))),NumberOfTeams+1,INDEX(RobotDesignResults[Robot Design Rank],MATCH(RobotDesignDelib[[#This Row],[Team Number]],RobotDesignResults[Team '#],0)))</f>
        <v>#NAME?</v>
      </c>
      <c r="M24" s="5" t="str">
        <f>IF(ISNA(INDEX(OfficialTeamList[Team Name],MATCH(InnovationProjectDelib[[#This Row],[Team Number]], OfficialTeamList[Team '#],0))),"",INDEX(OfficialTeamList[Team Name],MATCH(InnovationProjectDelib[[#This Row],[Team Number]], OfficialTeamList[Team '#],0)))</f>
        <v/>
      </c>
      <c r="N2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5" spans="2:15" ht="20.25" customHeight="1" x14ac:dyDescent="0.25">
      <c r="C25" s="5" t="str">
        <f>IF(ISNA(INDEX(OfficialTeamList[Team Name],MATCH(CoreValuesDelib[[#This Row],[Team Number]], OfficialTeamList[Team '#],0))),"",INDEX(OfficialTeamList[Team Name],MATCH(CoreValuesDelib[[#This Row],[Team Number]], OfficialTeamList[Team '#],0)))</f>
        <v/>
      </c>
      <c r="D25" s="5" t="e">
        <f>IF(ISNA(INDEX(CoreValuesResults[Core Values Rank],MATCH(CoreValuesDelib[[#This Row],[Team Number]],CoreValuesResults[Team '#],0))),NumberOfTeams+1,INDEX(CoreValuesResults[Core Values Rank],MATCH(CoreValuesDelib[[#This Row],[Team Number]],CoreValuesResults[Team '#],0)))</f>
        <v>#NAME?</v>
      </c>
      <c r="H25" s="5" t="str">
        <f>IF(ISNA(INDEX(OfficialTeamList[Team Name],MATCH(RobotDesignDelib[[#This Row],[Team Number]], OfficialTeamList[Team '#],0))),"",INDEX(OfficialTeamList[Team Name],MATCH(RobotDesignDelib[[#This Row],[Team Number]], OfficialTeamList[Team '#],0)))</f>
        <v/>
      </c>
      <c r="I25" s="5" t="e">
        <f>IF(ISNA(INDEX(RobotDesignResults[Robot Design Rank],MATCH(RobotDesignDelib[[#This Row],[Team Number]],RobotDesignResults[Team '#],0))),NumberOfTeams+1,INDEX(RobotDesignResults[Robot Design Rank],MATCH(RobotDesignDelib[[#This Row],[Team Number]],RobotDesignResults[Team '#],0)))</f>
        <v>#NAME?</v>
      </c>
      <c r="M25" s="5" t="str">
        <f>IF(ISNA(INDEX(OfficialTeamList[Team Name],MATCH(InnovationProjectDelib[[#This Row],[Team Number]], OfficialTeamList[Team '#],0))),"",INDEX(OfficialTeamList[Team Name],MATCH(InnovationProjectDelib[[#This Row],[Team Number]], OfficialTeamList[Team '#],0)))</f>
        <v/>
      </c>
      <c r="N2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6" spans="2:15" ht="20.25" customHeight="1" x14ac:dyDescent="0.25">
      <c r="C26" s="5" t="str">
        <f>IF(ISNA(INDEX(OfficialTeamList[Team Name],MATCH(CoreValuesDelib[[#This Row],[Team Number]], OfficialTeamList[Team '#],0))),"",INDEX(OfficialTeamList[Team Name],MATCH(CoreValuesDelib[[#This Row],[Team Number]], OfficialTeamList[Team '#],0)))</f>
        <v/>
      </c>
      <c r="D26" s="5" t="e">
        <f>IF(ISNA(INDEX(CoreValuesResults[Core Values Rank],MATCH(CoreValuesDelib[[#This Row],[Team Number]],CoreValuesResults[Team '#],0))),NumberOfTeams+1,INDEX(CoreValuesResults[Core Values Rank],MATCH(CoreValuesDelib[[#This Row],[Team Number]],CoreValuesResults[Team '#],0)))</f>
        <v>#NAME?</v>
      </c>
      <c r="H26" s="5" t="str">
        <f>IF(ISNA(INDEX(OfficialTeamList[Team Name],MATCH(RobotDesignDelib[[#This Row],[Team Number]], OfficialTeamList[Team '#],0))),"",INDEX(OfficialTeamList[Team Name],MATCH(RobotDesignDelib[[#This Row],[Team Number]], OfficialTeamList[Team '#],0)))</f>
        <v/>
      </c>
      <c r="I26" s="5" t="e">
        <f>IF(ISNA(INDEX(RobotDesignResults[Robot Design Rank],MATCH(RobotDesignDelib[[#This Row],[Team Number]],RobotDesignResults[Team '#],0))),NumberOfTeams+1,INDEX(RobotDesignResults[Robot Design Rank],MATCH(RobotDesignDelib[[#This Row],[Team Number]],RobotDesignResults[Team '#],0)))</f>
        <v>#NAME?</v>
      </c>
      <c r="M26" s="5" t="str">
        <f>IF(ISNA(INDEX(OfficialTeamList[Team Name],MATCH(InnovationProjectDelib[[#This Row],[Team Number]], OfficialTeamList[Team '#],0))),"",INDEX(OfficialTeamList[Team Name],MATCH(InnovationProjectDelib[[#This Row],[Team Number]], OfficialTeamList[Team '#],0)))</f>
        <v/>
      </c>
      <c r="N2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7" spans="2:15" ht="20.25" customHeight="1" x14ac:dyDescent="0.25">
      <c r="C27" s="5" t="str">
        <f>IF(ISNA(INDEX(OfficialTeamList[Team Name],MATCH(CoreValuesDelib[[#This Row],[Team Number]], OfficialTeamList[Team '#],0))),"",INDEX(OfficialTeamList[Team Name],MATCH(CoreValuesDelib[[#This Row],[Team Number]], OfficialTeamList[Team '#],0)))</f>
        <v/>
      </c>
      <c r="D27" s="5" t="e">
        <f>IF(ISNA(INDEX(CoreValuesResults[Core Values Rank],MATCH(CoreValuesDelib[[#This Row],[Team Number]],CoreValuesResults[Team '#],0))),NumberOfTeams+1,INDEX(CoreValuesResults[Core Values Rank],MATCH(CoreValuesDelib[[#This Row],[Team Number]],CoreValuesResults[Team '#],0)))</f>
        <v>#NAME?</v>
      </c>
      <c r="H27" s="5" t="str">
        <f>IF(ISNA(INDEX(OfficialTeamList[Team Name],MATCH(RobotDesignDelib[[#This Row],[Team Number]], OfficialTeamList[Team '#],0))),"",INDEX(OfficialTeamList[Team Name],MATCH(RobotDesignDelib[[#This Row],[Team Number]], OfficialTeamList[Team '#],0)))</f>
        <v/>
      </c>
      <c r="I27" s="5" t="e">
        <f>IF(ISNA(INDEX(RobotDesignResults[Robot Design Rank],MATCH(RobotDesignDelib[[#This Row],[Team Number]],RobotDesignResults[Team '#],0))),NumberOfTeams+1,INDEX(RobotDesignResults[Robot Design Rank],MATCH(RobotDesignDelib[[#This Row],[Team Number]],RobotDesignResults[Team '#],0)))</f>
        <v>#NAME?</v>
      </c>
      <c r="M27" s="5" t="str">
        <f>IF(ISNA(INDEX(OfficialTeamList[Team Name],MATCH(InnovationProjectDelib[[#This Row],[Team Number]], OfficialTeamList[Team '#],0))),"",INDEX(OfficialTeamList[Team Name],MATCH(InnovationProjectDelib[[#This Row],[Team Number]], OfficialTeamList[Team '#],0)))</f>
        <v/>
      </c>
      <c r="N27"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8" spans="2:15" ht="20.25" customHeight="1" x14ac:dyDescent="0.25">
      <c r="C28" s="5" t="str">
        <f>IF(ISNA(INDEX(OfficialTeamList[Team Name],MATCH(CoreValuesDelib[[#This Row],[Team Number]], OfficialTeamList[Team '#],0))),"",INDEX(OfficialTeamList[Team Name],MATCH(CoreValuesDelib[[#This Row],[Team Number]], OfficialTeamList[Team '#],0)))</f>
        <v/>
      </c>
      <c r="D28" s="5" t="e">
        <f>IF(ISNA(INDEX(CoreValuesResults[Core Values Rank],MATCH(CoreValuesDelib[[#This Row],[Team Number]],CoreValuesResults[Team '#],0))),NumberOfTeams+1,INDEX(CoreValuesResults[Core Values Rank],MATCH(CoreValuesDelib[[#This Row],[Team Number]],CoreValuesResults[Team '#],0)))</f>
        <v>#NAME?</v>
      </c>
      <c r="H28" s="5" t="str">
        <f>IF(ISNA(INDEX(OfficialTeamList[Team Name],MATCH(RobotDesignDelib[[#This Row],[Team Number]], OfficialTeamList[Team '#],0))),"",INDEX(OfficialTeamList[Team Name],MATCH(RobotDesignDelib[[#This Row],[Team Number]], OfficialTeamList[Team '#],0)))</f>
        <v/>
      </c>
      <c r="I28" s="5" t="e">
        <f>IF(ISNA(INDEX(RobotDesignResults[Robot Design Rank],MATCH(RobotDesignDelib[[#This Row],[Team Number]],RobotDesignResults[Team '#],0))),NumberOfTeams+1,INDEX(RobotDesignResults[Robot Design Rank],MATCH(RobotDesignDelib[[#This Row],[Team Number]],RobotDesignResults[Team '#],0)))</f>
        <v>#NAME?</v>
      </c>
      <c r="M28" s="5" t="str">
        <f>IF(ISNA(INDEX(OfficialTeamList[Team Name],MATCH(InnovationProjectDelib[[#This Row],[Team Number]], OfficialTeamList[Team '#],0))),"",INDEX(OfficialTeamList[Team Name],MATCH(InnovationProjectDelib[[#This Row],[Team Number]], OfficialTeamList[Team '#],0)))</f>
        <v/>
      </c>
      <c r="N28"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9" spans="2:15" ht="20.25" customHeight="1" x14ac:dyDescent="0.25">
      <c r="C29" s="5" t="str">
        <f>IF(ISNA(INDEX(OfficialTeamList[Team Name],MATCH(CoreValuesDelib[[#This Row],[Team Number]], OfficialTeamList[Team '#],0))),"",INDEX(OfficialTeamList[Team Name],MATCH(CoreValuesDelib[[#This Row],[Team Number]], OfficialTeamList[Team '#],0)))</f>
        <v/>
      </c>
      <c r="D29" s="5" t="e">
        <f>IF(ISNA(INDEX(CoreValuesResults[Core Values Rank],MATCH(CoreValuesDelib[[#This Row],[Team Number]],CoreValuesResults[Team '#],0))),NumberOfTeams+1,INDEX(CoreValuesResults[Core Values Rank],MATCH(CoreValuesDelib[[#This Row],[Team Number]],CoreValuesResults[Team '#],0)))</f>
        <v>#NAME?</v>
      </c>
      <c r="H29" s="5" t="str">
        <f>IF(ISNA(INDEX(OfficialTeamList[Team Name],MATCH(RobotDesignDelib[[#This Row],[Team Number]], OfficialTeamList[Team '#],0))),"",INDEX(OfficialTeamList[Team Name],MATCH(RobotDesignDelib[[#This Row],[Team Number]], OfficialTeamList[Team '#],0)))</f>
        <v/>
      </c>
      <c r="I29" s="5" t="e">
        <f>IF(ISNA(INDEX(RobotDesignResults[Robot Design Rank],MATCH(RobotDesignDelib[[#This Row],[Team Number]],RobotDesignResults[Team '#],0))),NumberOfTeams+1,INDEX(RobotDesignResults[Robot Design Rank],MATCH(RobotDesignDelib[[#This Row],[Team Number]],RobotDesignResults[Team '#],0)))</f>
        <v>#NAME?</v>
      </c>
      <c r="M29" s="5" t="str">
        <f>IF(ISNA(INDEX(OfficialTeamList[Team Name],MATCH(InnovationProjectDelib[[#This Row],[Team Number]], OfficialTeamList[Team '#],0))),"",INDEX(OfficialTeamList[Team Name],MATCH(InnovationProjectDelib[[#This Row],[Team Number]], OfficialTeamList[Team '#],0)))</f>
        <v/>
      </c>
      <c r="N29"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0" spans="2:15" ht="20.25" customHeight="1" x14ac:dyDescent="0.25">
      <c r="C30" s="5" t="str">
        <f>IF(ISNA(INDEX(OfficialTeamList[Team Name],MATCH(CoreValuesDelib[[#This Row],[Team Number]], OfficialTeamList[Team '#],0))),"",INDEX(OfficialTeamList[Team Name],MATCH(CoreValuesDelib[[#This Row],[Team Number]], OfficialTeamList[Team '#],0)))</f>
        <v/>
      </c>
      <c r="D30" s="5" t="e">
        <f>IF(ISNA(INDEX(CoreValuesResults[Core Values Rank],MATCH(CoreValuesDelib[[#This Row],[Team Number]],CoreValuesResults[Team '#],0))),NumberOfTeams+1,INDEX(CoreValuesResults[Core Values Rank],MATCH(CoreValuesDelib[[#This Row],[Team Number]],CoreValuesResults[Team '#],0)))</f>
        <v>#NAME?</v>
      </c>
      <c r="H30" s="5" t="str">
        <f>IF(ISNA(INDEX(OfficialTeamList[Team Name],MATCH(RobotDesignDelib[[#This Row],[Team Number]], OfficialTeamList[Team '#],0))),"",INDEX(OfficialTeamList[Team Name],MATCH(RobotDesignDelib[[#This Row],[Team Number]], OfficialTeamList[Team '#],0)))</f>
        <v/>
      </c>
      <c r="I30" s="5" t="e">
        <f>IF(ISNA(INDEX(RobotDesignResults[Robot Design Rank],MATCH(RobotDesignDelib[[#This Row],[Team Number]],RobotDesignResults[Team '#],0))),NumberOfTeams+1,INDEX(RobotDesignResults[Robot Design Rank],MATCH(RobotDesignDelib[[#This Row],[Team Number]],RobotDesignResults[Team '#],0)))</f>
        <v>#NAME?</v>
      </c>
      <c r="M30" s="5" t="str">
        <f>IF(ISNA(INDEX(OfficialTeamList[Team Name],MATCH(InnovationProjectDelib[[#This Row],[Team Number]], OfficialTeamList[Team '#],0))),"",INDEX(OfficialTeamList[Team Name],MATCH(InnovationProjectDelib[[#This Row],[Team Number]], OfficialTeamList[Team '#],0)))</f>
        <v/>
      </c>
      <c r="N30"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1" spans="2:15" ht="20.25" customHeight="1" x14ac:dyDescent="0.25">
      <c r="C31" s="5" t="str">
        <f>IF(ISNA(INDEX(OfficialTeamList[Team Name],MATCH(CoreValuesDelib[[#This Row],[Team Number]], OfficialTeamList[Team '#],0))),"",INDEX(OfficialTeamList[Team Name],MATCH(CoreValuesDelib[[#This Row],[Team Number]], OfficialTeamList[Team '#],0)))</f>
        <v/>
      </c>
      <c r="D31" s="5" t="e">
        <f>IF(ISNA(INDEX(CoreValuesResults[Core Values Rank],MATCH(CoreValuesDelib[[#This Row],[Team Number]],CoreValuesResults[Team '#],0))),NumberOfTeams+1,INDEX(CoreValuesResults[Core Values Rank],MATCH(CoreValuesDelib[[#This Row],[Team Number]],CoreValuesResults[Team '#],0)))</f>
        <v>#NAME?</v>
      </c>
      <c r="H31" s="5" t="str">
        <f>IF(ISNA(INDEX(OfficialTeamList[Team Name],MATCH(RobotDesignDelib[[#This Row],[Team Number]], OfficialTeamList[Team '#],0))),"",INDEX(OfficialTeamList[Team Name],MATCH(RobotDesignDelib[[#This Row],[Team Number]], OfficialTeamList[Team '#],0)))</f>
        <v/>
      </c>
      <c r="I31" s="5" t="e">
        <f>IF(ISNA(INDEX(RobotDesignResults[Robot Design Rank],MATCH(RobotDesignDelib[[#This Row],[Team Number]],RobotDesignResults[Team '#],0))),NumberOfTeams+1,INDEX(RobotDesignResults[Robot Design Rank],MATCH(RobotDesignDelib[[#This Row],[Team Number]],RobotDesignResults[Team '#],0)))</f>
        <v>#NAME?</v>
      </c>
      <c r="M31" s="5" t="str">
        <f>IF(ISNA(INDEX(OfficialTeamList[Team Name],MATCH(InnovationProjectDelib[[#This Row],[Team Number]], OfficialTeamList[Team '#],0))),"",INDEX(OfficialTeamList[Team Name],MATCH(InnovationProjectDelib[[#This Row],[Team Number]], OfficialTeamList[Team '#],0)))</f>
        <v/>
      </c>
      <c r="N31"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2" spans="2:15" ht="20.25" customHeight="1" x14ac:dyDescent="0.25">
      <c r="C32" s="5" t="str">
        <f>IF(ISNA(INDEX(OfficialTeamList[Team Name],MATCH(CoreValuesDelib[[#This Row],[Team Number]], OfficialTeamList[Team '#],0))),"",INDEX(OfficialTeamList[Team Name],MATCH(CoreValuesDelib[[#This Row],[Team Number]], OfficialTeamList[Team '#],0)))</f>
        <v/>
      </c>
      <c r="D32" s="5" t="e">
        <f>IF(ISNA(INDEX(CoreValuesResults[Core Values Rank],MATCH(CoreValuesDelib[[#This Row],[Team Number]],CoreValuesResults[Team '#],0))),NumberOfTeams+1,INDEX(CoreValuesResults[Core Values Rank],MATCH(CoreValuesDelib[[#This Row],[Team Number]],CoreValuesResults[Team '#],0)))</f>
        <v>#NAME?</v>
      </c>
      <c r="H32" s="5" t="str">
        <f>IF(ISNA(INDEX(OfficialTeamList[Team Name],MATCH(RobotDesignDelib[[#This Row],[Team Number]], OfficialTeamList[Team '#],0))),"",INDEX(OfficialTeamList[Team Name],MATCH(RobotDesignDelib[[#This Row],[Team Number]], OfficialTeamList[Team '#],0)))</f>
        <v/>
      </c>
      <c r="I32" s="5" t="e">
        <f>IF(ISNA(INDEX(RobotDesignResults[Robot Design Rank],MATCH(RobotDesignDelib[[#This Row],[Team Number]],RobotDesignResults[Team '#],0))),NumberOfTeams+1,INDEX(RobotDesignResults[Robot Design Rank],MATCH(RobotDesignDelib[[#This Row],[Team Number]],RobotDesignResults[Team '#],0)))</f>
        <v>#NAME?</v>
      </c>
      <c r="M32" s="5" t="str">
        <f>IF(ISNA(INDEX(OfficialTeamList[Team Name],MATCH(InnovationProjectDelib[[#This Row],[Team Number]], OfficialTeamList[Team '#],0))),"",INDEX(OfficialTeamList[Team Name],MATCH(InnovationProjectDelib[[#This Row],[Team Number]], OfficialTeamList[Team '#],0)))</f>
        <v/>
      </c>
      <c r="N3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3" spans="2:15" ht="20.25" customHeight="1" x14ac:dyDescent="0.25">
      <c r="C33" s="5" t="str">
        <f>IF(ISNA(INDEX(OfficialTeamList[Team Name],MATCH(CoreValuesDelib[[#This Row],[Team Number]], OfficialTeamList[Team '#],0))),"",INDEX(OfficialTeamList[Team Name],MATCH(CoreValuesDelib[[#This Row],[Team Number]], OfficialTeamList[Team '#],0)))</f>
        <v/>
      </c>
      <c r="D33" s="5" t="e">
        <f>IF(ISNA(INDEX(CoreValuesResults[Core Values Rank],MATCH(CoreValuesDelib[[#This Row],[Team Number]],CoreValuesResults[Team '#],0))),NumberOfTeams+1,INDEX(CoreValuesResults[Core Values Rank],MATCH(CoreValuesDelib[[#This Row],[Team Number]],CoreValuesResults[Team '#],0)))</f>
        <v>#NAME?</v>
      </c>
      <c r="H33" s="5" t="str">
        <f>IF(ISNA(INDEX(OfficialTeamList[Team Name],MATCH(RobotDesignDelib[[#This Row],[Team Number]], OfficialTeamList[Team '#],0))),"",INDEX(OfficialTeamList[Team Name],MATCH(RobotDesignDelib[[#This Row],[Team Number]], OfficialTeamList[Team '#],0)))</f>
        <v/>
      </c>
      <c r="I33" s="5" t="e">
        <f>IF(ISNA(INDEX(RobotDesignResults[Robot Design Rank],MATCH(RobotDesignDelib[[#This Row],[Team Number]],RobotDesignResults[Team '#],0))),NumberOfTeams+1,INDEX(RobotDesignResults[Robot Design Rank],MATCH(RobotDesignDelib[[#This Row],[Team Number]],RobotDesignResults[Team '#],0)))</f>
        <v>#NAME?</v>
      </c>
      <c r="M33" s="5" t="str">
        <f>IF(ISNA(INDEX(OfficialTeamList[Team Name],MATCH(InnovationProjectDelib[[#This Row],[Team Number]], OfficialTeamList[Team '#],0))),"",INDEX(OfficialTeamList[Team Name],MATCH(InnovationProjectDelib[[#This Row],[Team Number]], OfficialTeamList[Team '#],0)))</f>
        <v/>
      </c>
      <c r="N3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4" spans="2:15" ht="20.25" customHeight="1" x14ac:dyDescent="0.25">
      <c r="C34" s="5" t="str">
        <f>IF(ISNA(INDEX(OfficialTeamList[Team Name],MATCH(CoreValuesDelib[[#This Row],[Team Number]], OfficialTeamList[Team '#],0))),"",INDEX(OfficialTeamList[Team Name],MATCH(CoreValuesDelib[[#This Row],[Team Number]], OfficialTeamList[Team '#],0)))</f>
        <v/>
      </c>
      <c r="D34" s="5" t="e">
        <f>IF(ISNA(INDEX(CoreValuesResults[Core Values Rank],MATCH(CoreValuesDelib[[#This Row],[Team Number]],CoreValuesResults[Team '#],0))),NumberOfTeams+1,INDEX(CoreValuesResults[Core Values Rank],MATCH(CoreValuesDelib[[#This Row],[Team Number]],CoreValuesResults[Team '#],0)))</f>
        <v>#NAME?</v>
      </c>
      <c r="H34" s="5" t="str">
        <f>IF(ISNA(INDEX(OfficialTeamList[Team Name],MATCH(RobotDesignDelib[[#This Row],[Team Number]], OfficialTeamList[Team '#],0))),"",INDEX(OfficialTeamList[Team Name],MATCH(RobotDesignDelib[[#This Row],[Team Number]], OfficialTeamList[Team '#],0)))</f>
        <v/>
      </c>
      <c r="I34" s="5" t="e">
        <f>IF(ISNA(INDEX(RobotDesignResults[Robot Design Rank],MATCH(RobotDesignDelib[[#This Row],[Team Number]],RobotDesignResults[Team '#],0))),NumberOfTeams+1,INDEX(RobotDesignResults[Robot Design Rank],MATCH(RobotDesignDelib[[#This Row],[Team Number]],RobotDesignResults[Team '#],0)))</f>
        <v>#NAME?</v>
      </c>
      <c r="M34" s="5" t="str">
        <f>IF(ISNA(INDEX(OfficialTeamList[Team Name],MATCH(InnovationProjectDelib[[#This Row],[Team Number]], OfficialTeamList[Team '#],0))),"",INDEX(OfficialTeamList[Team Name],MATCH(InnovationProjectDelib[[#This Row],[Team Number]], OfficialTeamList[Team '#],0)))</f>
        <v/>
      </c>
      <c r="N3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5" spans="2:15" ht="20.25" customHeight="1" x14ac:dyDescent="0.25">
      <c r="C35" s="5" t="str">
        <f>IF(ISNA(INDEX(OfficialTeamList[Team Name],MATCH(CoreValuesDelib[[#This Row],[Team Number]], OfficialTeamList[Team '#],0))),"",INDEX(OfficialTeamList[Team Name],MATCH(CoreValuesDelib[[#This Row],[Team Number]], OfficialTeamList[Team '#],0)))</f>
        <v/>
      </c>
      <c r="D35" s="5" t="e">
        <f>IF(ISNA(INDEX(CoreValuesResults[Core Values Rank],MATCH(CoreValuesDelib[[#This Row],[Team Number]],CoreValuesResults[Team '#],0))),NumberOfTeams+1,INDEX(CoreValuesResults[Core Values Rank],MATCH(CoreValuesDelib[[#This Row],[Team Number]],CoreValuesResults[Team '#],0)))</f>
        <v>#NAME?</v>
      </c>
      <c r="H35" s="5" t="str">
        <f>IF(ISNA(INDEX(OfficialTeamList[Team Name],MATCH(RobotDesignDelib[[#This Row],[Team Number]], OfficialTeamList[Team '#],0))),"",INDEX(OfficialTeamList[Team Name],MATCH(RobotDesignDelib[[#This Row],[Team Number]], OfficialTeamList[Team '#],0)))</f>
        <v/>
      </c>
      <c r="I35" s="5" t="e">
        <f>IF(ISNA(INDEX(RobotDesignResults[Robot Design Rank],MATCH(RobotDesignDelib[[#This Row],[Team Number]],RobotDesignResults[Team '#],0))),NumberOfTeams+1,INDEX(RobotDesignResults[Robot Design Rank],MATCH(RobotDesignDelib[[#This Row],[Team Number]],RobotDesignResults[Team '#],0)))</f>
        <v>#NAME?</v>
      </c>
      <c r="M35" s="5" t="str">
        <f>IF(ISNA(INDEX(OfficialTeamList[Team Name],MATCH(InnovationProjectDelib[[#This Row],[Team Number]], OfficialTeamList[Team '#],0))),"",INDEX(OfficialTeamList[Team Name],MATCH(InnovationProjectDelib[[#This Row],[Team Number]], OfficialTeamList[Team '#],0)))</f>
        <v/>
      </c>
      <c r="N3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6" spans="2:15" ht="20.25" customHeight="1" x14ac:dyDescent="0.25">
      <c r="C36" s="5" t="str">
        <f>IF(ISNA(INDEX(OfficialTeamList[Team Name],MATCH(CoreValuesDelib[[#This Row],[Team Number]], OfficialTeamList[Team '#],0))),"",INDEX(OfficialTeamList[Team Name],MATCH(CoreValuesDelib[[#This Row],[Team Number]], OfficialTeamList[Team '#],0)))</f>
        <v/>
      </c>
      <c r="D36" s="5" t="e">
        <f>IF(ISNA(INDEX(CoreValuesResults[Core Values Rank],MATCH(CoreValuesDelib[[#This Row],[Team Number]],CoreValuesResults[Team '#],0))),NumberOfTeams+1,INDEX(CoreValuesResults[Core Values Rank],MATCH(CoreValuesDelib[[#This Row],[Team Number]],CoreValuesResults[Team '#],0)))</f>
        <v>#NAME?</v>
      </c>
      <c r="H36" s="5" t="str">
        <f>IF(ISNA(INDEX(OfficialTeamList[Team Name],MATCH(RobotDesignDelib[[#This Row],[Team Number]], OfficialTeamList[Team '#],0))),"",INDEX(OfficialTeamList[Team Name],MATCH(RobotDesignDelib[[#This Row],[Team Number]], OfficialTeamList[Team '#],0)))</f>
        <v/>
      </c>
      <c r="I36" s="5" t="e">
        <f>IF(ISNA(INDEX(RobotDesignResults[Robot Design Rank],MATCH(RobotDesignDelib[[#This Row],[Team Number]],RobotDesignResults[Team '#],0))),NumberOfTeams+1,INDEX(RobotDesignResults[Robot Design Rank],MATCH(RobotDesignDelib[[#This Row],[Team Number]],RobotDesignResults[Team '#],0)))</f>
        <v>#NAME?</v>
      </c>
      <c r="M36" s="5" t="str">
        <f>IF(ISNA(INDEX(OfficialTeamList[Team Name],MATCH(InnovationProjectDelib[[#This Row],[Team Number]], OfficialTeamList[Team '#],0))),"",INDEX(OfficialTeamList[Team Name],MATCH(InnovationProjectDelib[[#This Row],[Team Number]], OfficialTeamList[Team '#],0)))</f>
        <v/>
      </c>
      <c r="N3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8" spans="2:15" ht="20.25" customHeight="1" x14ac:dyDescent="0.25">
      <c r="B38" s="5" t="s">
        <v>88</v>
      </c>
      <c r="G38" s="5" t="s">
        <v>89</v>
      </c>
      <c r="L38" s="5" t="s">
        <v>90</v>
      </c>
    </row>
    <row r="39" spans="2:15" ht="39.950000000000003" customHeight="1" x14ac:dyDescent="0.25">
      <c r="B39" s="12" t="s">
        <v>12</v>
      </c>
      <c r="C39" s="12" t="s">
        <v>13</v>
      </c>
      <c r="D39" s="13" t="s">
        <v>34</v>
      </c>
      <c r="E39" s="13" t="s">
        <v>84</v>
      </c>
      <c r="G39" s="12" t="s">
        <v>12</v>
      </c>
      <c r="H39" s="12" t="s">
        <v>13</v>
      </c>
      <c r="I39" s="13" t="s">
        <v>34</v>
      </c>
      <c r="J39" s="13" t="s">
        <v>84</v>
      </c>
      <c r="L39" s="12" t="s">
        <v>12</v>
      </c>
      <c r="M39" s="12" t="s">
        <v>13</v>
      </c>
      <c r="N39" s="13" t="s">
        <v>34</v>
      </c>
      <c r="O39" s="13" t="s">
        <v>84</v>
      </c>
    </row>
    <row r="40" spans="2:15" ht="20.25" customHeight="1" x14ac:dyDescent="0.25">
      <c r="C40" s="5" t="str">
        <f>IF(ISNA(INDEX(OfficialTeamList[Team Name],MATCH(BreakthroughDelib[[#This Row],[Team Number]], OfficialTeamList[Team '#],0))),"",INDEX(OfficialTeamList[Team Name],MATCH(BreakthroughDelib[[#This Row],[Team Number]], OfficialTeamList[Team '#],0)))</f>
        <v/>
      </c>
      <c r="D40" s="5" t="e">
        <f>IF(ISNA(INDEX(TournamentData[Champion''s Rank],MATCH(BreakthroughDelib[[#This Row],[Team Number]],TournamentData[Team '#],0))),NumberOfTeams+1,INDEX(TournamentData[Champion''s Rank],MATCH(BreakthroughDelib[[#This Row],[Team Number]],TournamentData[Team '#],0)))</f>
        <v>#NAME?</v>
      </c>
      <c r="H40" s="5" t="str">
        <f>IF(ISNA(INDEX(OfficialTeamList[Team Name],MATCH(RookiAllStarDelib[[#This Row],[Team Number]], OfficialTeamList[Team '#],0))),"",INDEX(OfficialTeamList[Team Name],MATCH(RookiAllStarDelib[[#This Row],[Team Number]], OfficialTeamList[Team '#],0)))</f>
        <v/>
      </c>
      <c r="I40" s="5" t="e">
        <f>IF(ISNA(INDEX(TournamentData[Champion''s Rank],MATCH(RookiAllStarDelib[[#This Row],[Team Number]],TournamentData[Team '#],0))),NumberOfTeams+1,INDEX(TournamentData[Champion''s Rank],MATCH(RookiAllStarDelib[[#This Row],[Team Number]],TournamentData[Team '#],0)))</f>
        <v>#NAME?</v>
      </c>
      <c r="M40" s="5" t="str">
        <f>IF(ISNA(INDEX(OfficialTeamList[Team Name],MATCH(MotivateDelib[[#This Row],[Team Number]], OfficialTeamList[Team '#],0))),"",INDEX(OfficialTeamList[Team Name],MATCH(MotivateDelib[[#This Row],[Team Number]], OfficialTeamList[Team '#],0)))</f>
        <v/>
      </c>
      <c r="N40" s="5" t="e">
        <f>IF(ISNA(INDEX(TournamentData[Champion''s Rank],MATCH(MotivateDelib[[#This Row],[Team Number]],TournamentData[Team '#],0))),NumberOfTeams+1,INDEX(TournamentData[Champion''s Rank],MATCH(MotivateDelib[[#This Row],[Team Number]],TournamentData[Team '#],0)))</f>
        <v>#NAME?</v>
      </c>
    </row>
    <row r="41" spans="2:15" ht="20.25" customHeight="1" x14ac:dyDescent="0.25">
      <c r="C41" s="5" t="str">
        <f>IF(ISNA(INDEX(OfficialTeamList[Team Name],MATCH(BreakthroughDelib[[#This Row],[Team Number]], OfficialTeamList[Team '#],0))),"",INDEX(OfficialTeamList[Team Name],MATCH(BreakthroughDelib[[#This Row],[Team Number]], OfficialTeamList[Team '#],0)))</f>
        <v/>
      </c>
      <c r="D41" s="5" t="e">
        <f>IF(ISNA(INDEX(TournamentData[Champion''s Rank],MATCH(BreakthroughDelib[[#This Row],[Team Number]],TournamentData[Team '#],0))),NumberOfTeams+1,INDEX(TournamentData[Champion''s Rank],MATCH(BreakthroughDelib[[#This Row],[Team Number]],TournamentData[Team '#],0)))</f>
        <v>#NAME?</v>
      </c>
      <c r="H41" s="5" t="str">
        <f>IF(ISNA(INDEX(OfficialTeamList[Team Name],MATCH(RookiAllStarDelib[[#This Row],[Team Number]], OfficialTeamList[Team '#],0))),"",INDEX(OfficialTeamList[Team Name],MATCH(RookiAllStarDelib[[#This Row],[Team Number]], OfficialTeamList[Team '#],0)))</f>
        <v/>
      </c>
      <c r="I41" s="5" t="e">
        <f>IF(ISNA(INDEX(TournamentData[Champion''s Rank],MATCH(RookiAllStarDelib[[#This Row],[Team Number]],TournamentData[Team '#],0))),NumberOfTeams+1,INDEX(TournamentData[Champion''s Rank],MATCH(RookiAllStarDelib[[#This Row],[Team Number]],TournamentData[Team '#],0)))</f>
        <v>#NAME?</v>
      </c>
      <c r="M41" s="5" t="str">
        <f>IF(ISNA(INDEX(OfficialTeamList[Team Name],MATCH(MotivateDelib[[#This Row],[Team Number]], OfficialTeamList[Team '#],0))),"",INDEX(OfficialTeamList[Team Name],MATCH(MotivateDelib[[#This Row],[Team Number]], OfficialTeamList[Team '#],0)))</f>
        <v/>
      </c>
      <c r="N41" s="5" t="e">
        <f>IF(ISNA(INDEX(TournamentData[Champion''s Rank],MATCH(MotivateDelib[[#This Row],[Team Number]],TournamentData[Team '#],0))),NumberOfTeams+1,INDEX(TournamentData[Champion''s Rank],MATCH(MotivateDelib[[#This Row],[Team Number]],TournamentData[Team '#],0)))</f>
        <v>#NAME?</v>
      </c>
    </row>
    <row r="42" spans="2:15" ht="20.25" customHeight="1" x14ac:dyDescent="0.25">
      <c r="C42" s="5" t="str">
        <f>IF(ISNA(INDEX(OfficialTeamList[Team Name],MATCH(BreakthroughDelib[[#This Row],[Team Number]], OfficialTeamList[Team '#],0))),"",INDEX(OfficialTeamList[Team Name],MATCH(BreakthroughDelib[[#This Row],[Team Number]], OfficialTeamList[Team '#],0)))</f>
        <v/>
      </c>
      <c r="D42" s="5" t="e">
        <f>IF(ISNA(INDEX(TournamentData[Champion''s Rank],MATCH(BreakthroughDelib[[#This Row],[Team Number]],TournamentData[Team '#],0))),NumberOfTeams+1,INDEX(TournamentData[Champion''s Rank],MATCH(BreakthroughDelib[[#This Row],[Team Number]],TournamentData[Team '#],0)))</f>
        <v>#NAME?</v>
      </c>
      <c r="H42" s="5" t="str">
        <f>IF(ISNA(INDEX(OfficialTeamList[Team Name],MATCH(RookiAllStarDelib[[#This Row],[Team Number]], OfficialTeamList[Team '#],0))),"",INDEX(OfficialTeamList[Team Name],MATCH(RookiAllStarDelib[[#This Row],[Team Number]], OfficialTeamList[Team '#],0)))</f>
        <v/>
      </c>
      <c r="I42" s="5" t="e">
        <f>IF(ISNA(INDEX(TournamentData[Champion''s Rank],MATCH(RookiAllStarDelib[[#This Row],[Team Number]],TournamentData[Team '#],0))),NumberOfTeams+1,INDEX(TournamentData[Champion''s Rank],MATCH(RookiAllStarDelib[[#This Row],[Team Number]],TournamentData[Team '#],0)))</f>
        <v>#NAME?</v>
      </c>
      <c r="M42" s="5" t="str">
        <f>IF(ISNA(INDEX(OfficialTeamList[Team Name],MATCH(MotivateDelib[[#This Row],[Team Number]], OfficialTeamList[Team '#],0))),"",INDEX(OfficialTeamList[Team Name],MATCH(MotivateDelib[[#This Row],[Team Number]], OfficialTeamList[Team '#],0)))</f>
        <v/>
      </c>
      <c r="N42" s="5" t="e">
        <f>IF(ISNA(INDEX(TournamentData[Champion''s Rank],MATCH(MotivateDelib[[#This Row],[Team Number]],TournamentData[Team '#],0))),NumberOfTeams+1,INDEX(TournamentData[Champion''s Rank],MATCH(MotivateDelib[[#This Row],[Team Number]],TournamentData[Team '#],0)))</f>
        <v>#NAME?</v>
      </c>
    </row>
    <row r="43" spans="2:15" ht="20.25" customHeight="1" x14ac:dyDescent="0.25">
      <c r="C43" s="5" t="str">
        <f>IF(ISNA(INDEX(OfficialTeamList[Team Name],MATCH(BreakthroughDelib[[#This Row],[Team Number]], OfficialTeamList[Team '#],0))),"",INDEX(OfficialTeamList[Team Name],MATCH(BreakthroughDelib[[#This Row],[Team Number]], OfficialTeamList[Team '#],0)))</f>
        <v/>
      </c>
      <c r="D43" s="5" t="e">
        <f>IF(ISNA(INDEX(TournamentData[Champion''s Rank],MATCH(BreakthroughDelib[[#This Row],[Team Number]],TournamentData[Team '#],0))),NumberOfTeams+1,INDEX(TournamentData[Champion''s Rank],MATCH(BreakthroughDelib[[#This Row],[Team Number]],TournamentData[Team '#],0)))</f>
        <v>#NAME?</v>
      </c>
      <c r="H43" s="5" t="str">
        <f>IF(ISNA(INDEX(OfficialTeamList[Team Name],MATCH(RookiAllStarDelib[[#This Row],[Team Number]], OfficialTeamList[Team '#],0))),"",INDEX(OfficialTeamList[Team Name],MATCH(RookiAllStarDelib[[#This Row],[Team Number]], OfficialTeamList[Team '#],0)))</f>
        <v/>
      </c>
      <c r="I43" s="5" t="e">
        <f>IF(ISNA(INDEX(TournamentData[Champion''s Rank],MATCH(RookiAllStarDelib[[#This Row],[Team Number]],TournamentData[Team '#],0))),NumberOfTeams+1,INDEX(TournamentData[Champion''s Rank],MATCH(RookiAllStarDelib[[#This Row],[Team Number]],TournamentData[Team '#],0)))</f>
        <v>#NAME?</v>
      </c>
      <c r="M43" s="5" t="str">
        <f>IF(ISNA(INDEX(OfficialTeamList[Team Name],MATCH(MotivateDelib[[#This Row],[Team Number]], OfficialTeamList[Team '#],0))),"",INDEX(OfficialTeamList[Team Name],MATCH(MotivateDelib[[#This Row],[Team Number]], OfficialTeamList[Team '#],0)))</f>
        <v/>
      </c>
      <c r="N43" s="5" t="e">
        <f>IF(ISNA(INDEX(TournamentData[Champion''s Rank],MATCH(MotivateDelib[[#This Row],[Team Number]],TournamentData[Team '#],0))),NumberOfTeams+1,INDEX(TournamentData[Champion''s Rank],MATCH(MotivateDelib[[#This Row],[Team Number]],TournamentData[Team '#],0)))</f>
        <v>#NAME?</v>
      </c>
    </row>
    <row r="44" spans="2:15" ht="20.25" customHeight="1" x14ac:dyDescent="0.25">
      <c r="C44" s="5" t="str">
        <f>IF(ISNA(INDEX(OfficialTeamList[Team Name],MATCH(BreakthroughDelib[[#This Row],[Team Number]], OfficialTeamList[Team '#],0))),"",INDEX(OfficialTeamList[Team Name],MATCH(BreakthroughDelib[[#This Row],[Team Number]], OfficialTeamList[Team '#],0)))</f>
        <v/>
      </c>
      <c r="D44" s="5" t="e">
        <f>IF(ISNA(INDEX(TournamentData[Champion''s Rank],MATCH(BreakthroughDelib[[#This Row],[Team Number]],TournamentData[Team '#],0))),NumberOfTeams+1,INDEX(TournamentData[Champion''s Rank],MATCH(BreakthroughDelib[[#This Row],[Team Number]],TournamentData[Team '#],0)))</f>
        <v>#NAME?</v>
      </c>
      <c r="H44" s="5" t="str">
        <f>IF(ISNA(INDEX(OfficialTeamList[Team Name],MATCH(RookiAllStarDelib[[#This Row],[Team Number]], OfficialTeamList[Team '#],0))),"",INDEX(OfficialTeamList[Team Name],MATCH(RookiAllStarDelib[[#This Row],[Team Number]], OfficialTeamList[Team '#],0)))</f>
        <v/>
      </c>
      <c r="I44" s="5" t="e">
        <f>IF(ISNA(INDEX(TournamentData[Champion''s Rank],MATCH(RookiAllStarDelib[[#This Row],[Team Number]],TournamentData[Team '#],0))),NumberOfTeams+1,INDEX(TournamentData[Champion''s Rank],MATCH(RookiAllStarDelib[[#This Row],[Team Number]],TournamentData[Team '#],0)))</f>
        <v>#NAME?</v>
      </c>
      <c r="M44" s="5" t="str">
        <f>IF(ISNA(INDEX(OfficialTeamList[Team Name],MATCH(MotivateDelib[[#This Row],[Team Number]], OfficialTeamList[Team '#],0))),"",INDEX(OfficialTeamList[Team Name],MATCH(MotivateDelib[[#This Row],[Team Number]], OfficialTeamList[Team '#],0)))</f>
        <v/>
      </c>
      <c r="N44" s="5" t="e">
        <f>IF(ISNA(INDEX(TournamentData[Champion''s Rank],MATCH(MotivateDelib[[#This Row],[Team Number]],TournamentData[Team '#],0))),NumberOfTeams+1,INDEX(TournamentData[Champion''s Rank],MATCH(MotivateDelib[[#This Row],[Team Number]],TournamentData[Team '#],0)))</f>
        <v>#NAME?</v>
      </c>
    </row>
    <row r="45" spans="2:15" ht="20.25" customHeight="1" x14ac:dyDescent="0.25">
      <c r="C45" s="5" t="str">
        <f>IF(ISNA(INDEX(OfficialTeamList[Team Name],MATCH(BreakthroughDelib[[#This Row],[Team Number]], OfficialTeamList[Team '#],0))),"",INDEX(OfficialTeamList[Team Name],MATCH(BreakthroughDelib[[#This Row],[Team Number]], OfficialTeamList[Team '#],0)))</f>
        <v/>
      </c>
      <c r="D45" s="5" t="e">
        <f>IF(ISNA(INDEX(TournamentData[Champion''s Rank],MATCH(BreakthroughDelib[[#This Row],[Team Number]],TournamentData[Team '#],0))),NumberOfTeams+1,INDEX(TournamentData[Champion''s Rank],MATCH(BreakthroughDelib[[#This Row],[Team Number]],TournamentData[Team '#],0)))</f>
        <v>#NAME?</v>
      </c>
      <c r="H45" s="5" t="str">
        <f>IF(ISNA(INDEX(OfficialTeamList[Team Name],MATCH(RookiAllStarDelib[[#This Row],[Team Number]], OfficialTeamList[Team '#],0))),"",INDEX(OfficialTeamList[Team Name],MATCH(RookiAllStarDelib[[#This Row],[Team Number]], OfficialTeamList[Team '#],0)))</f>
        <v/>
      </c>
      <c r="I45" s="5" t="e">
        <f>IF(ISNA(INDEX(TournamentData[Champion''s Rank],MATCH(RookiAllStarDelib[[#This Row],[Team Number]],TournamentData[Team '#],0))),NumberOfTeams+1,INDEX(TournamentData[Champion''s Rank],MATCH(RookiAllStarDelib[[#This Row],[Team Number]],TournamentData[Team '#],0)))</f>
        <v>#NAME?</v>
      </c>
      <c r="M45" s="5" t="str">
        <f>IF(ISNA(INDEX(OfficialTeamList[Team Name],MATCH(MotivateDelib[[#This Row],[Team Number]], OfficialTeamList[Team '#],0))),"",INDEX(OfficialTeamList[Team Name],MATCH(MotivateDelib[[#This Row],[Team Number]], OfficialTeamList[Team '#],0)))</f>
        <v/>
      </c>
      <c r="N45" s="5" t="e">
        <f>IF(ISNA(INDEX(TournamentData[Champion''s Rank],MATCH(MotivateDelib[[#This Row],[Team Number]],TournamentData[Team '#],0))),NumberOfTeams+1,INDEX(TournamentData[Champion''s Rank],MATCH(MotivateDelib[[#This Row],[Team Number]],TournamentData[Team '#],0)))</f>
        <v>#NAME?</v>
      </c>
    </row>
    <row r="46" spans="2:15" ht="20.25" customHeight="1" x14ac:dyDescent="0.25">
      <c r="C46" s="5" t="str">
        <f>IF(ISNA(INDEX(OfficialTeamList[Team Name],MATCH(BreakthroughDelib[[#This Row],[Team Number]], OfficialTeamList[Team '#],0))),"",INDEX(OfficialTeamList[Team Name],MATCH(BreakthroughDelib[[#This Row],[Team Number]], OfficialTeamList[Team '#],0)))</f>
        <v/>
      </c>
      <c r="D46" s="5" t="e">
        <f>IF(ISNA(INDEX(TournamentData[Champion''s Rank],MATCH(BreakthroughDelib[[#This Row],[Team Number]],TournamentData[Team '#],0))),NumberOfTeams+1,INDEX(TournamentData[Champion''s Rank],MATCH(BreakthroughDelib[[#This Row],[Team Number]],TournamentData[Team '#],0)))</f>
        <v>#NAME?</v>
      </c>
      <c r="H46" s="5" t="str">
        <f>IF(ISNA(INDEX(OfficialTeamList[Team Name],MATCH(RookiAllStarDelib[[#This Row],[Team Number]], OfficialTeamList[Team '#],0))),"",INDEX(OfficialTeamList[Team Name],MATCH(RookiAllStarDelib[[#This Row],[Team Number]], OfficialTeamList[Team '#],0)))</f>
        <v/>
      </c>
      <c r="I46" s="5" t="e">
        <f>IF(ISNA(INDEX(TournamentData[Champion''s Rank],MATCH(RookiAllStarDelib[[#This Row],[Team Number]],TournamentData[Team '#],0))),NumberOfTeams+1,INDEX(TournamentData[Champion''s Rank],MATCH(RookiAllStarDelib[[#This Row],[Team Number]],TournamentData[Team '#],0)))</f>
        <v>#NAME?</v>
      </c>
      <c r="M46" s="5" t="str">
        <f>IF(ISNA(INDEX(OfficialTeamList[Team Name],MATCH(MotivateDelib[[#This Row],[Team Number]], OfficialTeamList[Team '#],0))),"",INDEX(OfficialTeamList[Team Name],MATCH(MotivateDelib[[#This Row],[Team Number]], OfficialTeamList[Team '#],0)))</f>
        <v/>
      </c>
      <c r="N46" s="5" t="e">
        <f>IF(ISNA(INDEX(TournamentData[Champion''s Rank],MATCH(MotivateDelib[[#This Row],[Team Number]],TournamentData[Team '#],0))),NumberOfTeams+1,INDEX(TournamentData[Champion''s Rank],MATCH(MotivateDelib[[#This Row],[Team Number]],TournamentData[Team '#],0)))</f>
        <v>#NAME?</v>
      </c>
    </row>
    <row r="47" spans="2:15" ht="20.25" customHeight="1" x14ac:dyDescent="0.25">
      <c r="C47" s="5" t="str">
        <f>IF(ISNA(INDEX(OfficialTeamList[Team Name],MATCH(BreakthroughDelib[[#This Row],[Team Number]], OfficialTeamList[Team '#],0))),"",INDEX(OfficialTeamList[Team Name],MATCH(BreakthroughDelib[[#This Row],[Team Number]], OfficialTeamList[Team '#],0)))</f>
        <v/>
      </c>
      <c r="D47" s="5" t="e">
        <f>IF(ISNA(INDEX(TournamentData[Champion''s Rank],MATCH(BreakthroughDelib[[#This Row],[Team Number]],TournamentData[Team '#],0))),NumberOfTeams+1,INDEX(TournamentData[Champion''s Rank],MATCH(BreakthroughDelib[[#This Row],[Team Number]],TournamentData[Team '#],0)))</f>
        <v>#NAME?</v>
      </c>
      <c r="H47" s="5" t="str">
        <f>IF(ISNA(INDEX(OfficialTeamList[Team Name],MATCH(RookiAllStarDelib[[#This Row],[Team Number]], OfficialTeamList[Team '#],0))),"",INDEX(OfficialTeamList[Team Name],MATCH(RookiAllStarDelib[[#This Row],[Team Number]], OfficialTeamList[Team '#],0)))</f>
        <v/>
      </c>
      <c r="I47" s="5" t="e">
        <f>IF(ISNA(INDEX(TournamentData[Champion''s Rank],MATCH(RookiAllStarDelib[[#This Row],[Team Number]],TournamentData[Team '#],0))),NumberOfTeams+1,INDEX(TournamentData[Champion''s Rank],MATCH(RookiAllStarDelib[[#This Row],[Team Number]],TournamentData[Team '#],0)))</f>
        <v>#NAME?</v>
      </c>
      <c r="M47" s="5" t="str">
        <f>IF(ISNA(INDEX(OfficialTeamList[Team Name],MATCH(MotivateDelib[[#This Row],[Team Number]], OfficialTeamList[Team '#],0))),"",INDEX(OfficialTeamList[Team Name],MATCH(MotivateDelib[[#This Row],[Team Number]], OfficialTeamList[Team '#],0)))</f>
        <v/>
      </c>
      <c r="N47" s="5" t="e">
        <f>IF(ISNA(INDEX(TournamentData[Champion''s Rank],MATCH(MotivateDelib[[#This Row],[Team Number]],TournamentData[Team '#],0))),NumberOfTeams+1,INDEX(TournamentData[Champion''s Rank],MATCH(MotivateDelib[[#This Row],[Team Number]],TournamentData[Team '#],0)))</f>
        <v>#NAME?</v>
      </c>
    </row>
    <row r="48" spans="2:15" ht="20.25" customHeight="1" x14ac:dyDescent="0.25">
      <c r="C48" s="5" t="str">
        <f>IF(ISNA(INDEX(OfficialTeamList[Team Name],MATCH(BreakthroughDelib[[#This Row],[Team Number]], OfficialTeamList[Team '#],0))),"",INDEX(OfficialTeamList[Team Name],MATCH(BreakthroughDelib[[#This Row],[Team Number]], OfficialTeamList[Team '#],0)))</f>
        <v/>
      </c>
      <c r="D48" s="5" t="e">
        <f>IF(ISNA(INDEX(TournamentData[Champion''s Rank],MATCH(BreakthroughDelib[[#This Row],[Team Number]],TournamentData[Team '#],0))),NumberOfTeams+1,INDEX(TournamentData[Champion''s Rank],MATCH(BreakthroughDelib[[#This Row],[Team Number]],TournamentData[Team '#],0)))</f>
        <v>#NAME?</v>
      </c>
      <c r="H48" s="5" t="str">
        <f>IF(ISNA(INDEX(OfficialTeamList[Team Name],MATCH(RookiAllStarDelib[[#This Row],[Team Number]], OfficialTeamList[Team '#],0))),"",INDEX(OfficialTeamList[Team Name],MATCH(RookiAllStarDelib[[#This Row],[Team Number]], OfficialTeamList[Team '#],0)))</f>
        <v/>
      </c>
      <c r="I48" s="5" t="e">
        <f>IF(ISNA(INDEX(TournamentData[Champion''s Rank],MATCH(RookiAllStarDelib[[#This Row],[Team Number]],TournamentData[Team '#],0))),NumberOfTeams+1,INDEX(TournamentData[Champion''s Rank],MATCH(RookiAllStarDelib[[#This Row],[Team Number]],TournamentData[Team '#],0)))</f>
        <v>#NAME?</v>
      </c>
      <c r="M48" s="5" t="str">
        <f>IF(ISNA(INDEX(OfficialTeamList[Team Name],MATCH(MotivateDelib[[#This Row],[Team Number]], OfficialTeamList[Team '#],0))),"",INDEX(OfficialTeamList[Team Name],MATCH(MotivateDelib[[#This Row],[Team Number]], OfficialTeamList[Team '#],0)))</f>
        <v/>
      </c>
      <c r="N48" s="5" t="e">
        <f>IF(ISNA(INDEX(TournamentData[Champion''s Rank],MATCH(MotivateDelib[[#This Row],[Team Number]],TournamentData[Team '#],0))),NumberOfTeams+1,INDEX(TournamentData[Champion''s Rank],MATCH(MotivateDelib[[#This Row],[Team Number]],TournamentData[Team '#],0)))</f>
        <v>#NAME?</v>
      </c>
    </row>
    <row r="49" spans="3:14" ht="20.25" customHeight="1" x14ac:dyDescent="0.25">
      <c r="C49" s="5" t="str">
        <f>IF(ISNA(INDEX(OfficialTeamList[Team Name],MATCH(BreakthroughDelib[[#This Row],[Team Number]], OfficialTeamList[Team '#],0))),"",INDEX(OfficialTeamList[Team Name],MATCH(BreakthroughDelib[[#This Row],[Team Number]], OfficialTeamList[Team '#],0)))</f>
        <v/>
      </c>
      <c r="D49" s="5" t="e">
        <f>IF(ISNA(INDEX(TournamentData[Champion''s Rank],MATCH(BreakthroughDelib[[#This Row],[Team Number]],TournamentData[Team '#],0))),NumberOfTeams+1,INDEX(TournamentData[Champion''s Rank],MATCH(BreakthroughDelib[[#This Row],[Team Number]],TournamentData[Team '#],0)))</f>
        <v>#NAME?</v>
      </c>
      <c r="H49" s="5" t="str">
        <f>IF(ISNA(INDEX(OfficialTeamList[Team Name],MATCH(RookiAllStarDelib[[#This Row],[Team Number]], OfficialTeamList[Team '#],0))),"",INDEX(OfficialTeamList[Team Name],MATCH(RookiAllStarDelib[[#This Row],[Team Number]], OfficialTeamList[Team '#],0)))</f>
        <v/>
      </c>
      <c r="I49" s="5" t="e">
        <f>IF(ISNA(INDEX(TournamentData[Champion''s Rank],MATCH(RookiAllStarDelib[[#This Row],[Team Number]],TournamentData[Team '#],0))),NumberOfTeams+1,INDEX(TournamentData[Champion''s Rank],MATCH(RookiAllStarDelib[[#This Row],[Team Number]],TournamentData[Team '#],0)))</f>
        <v>#NAME?</v>
      </c>
      <c r="M49" s="5" t="str">
        <f>IF(ISNA(INDEX(OfficialTeamList[Team Name],MATCH(MotivateDelib[[#This Row],[Team Number]], OfficialTeamList[Team '#],0))),"",INDEX(OfficialTeamList[Team Name],MATCH(MotivateDelib[[#This Row],[Team Number]], OfficialTeamList[Team '#],0)))</f>
        <v/>
      </c>
      <c r="N49" s="5" t="e">
        <f>IF(ISNA(INDEX(TournamentData[Champion''s Rank],MATCH(MotivateDelib[[#This Row],[Team Number]],TournamentData[Team '#],0))),NumberOfTeams+1,INDEX(TournamentData[Champion''s Rank],MATCH(MotivateDelib[[#This Row],[Team Number]],TournamentData[Team '#],0)))</f>
        <v>#NAME?</v>
      </c>
    </row>
    <row r="50" spans="3:14" ht="20.25" customHeight="1" x14ac:dyDescent="0.25">
      <c r="C50" s="5" t="str">
        <f>IF(ISNA(INDEX(OfficialTeamList[Team Name],MATCH(BreakthroughDelib[[#This Row],[Team Number]], OfficialTeamList[Team '#],0))),"",INDEX(OfficialTeamList[Team Name],MATCH(BreakthroughDelib[[#This Row],[Team Number]], OfficialTeamList[Team '#],0)))</f>
        <v/>
      </c>
      <c r="D50" s="5" t="e">
        <f>IF(ISNA(INDEX(TournamentData[Champion''s Rank],MATCH(BreakthroughDelib[[#This Row],[Team Number]],TournamentData[Team '#],0))),NumberOfTeams+1,INDEX(TournamentData[Champion''s Rank],MATCH(BreakthroughDelib[[#This Row],[Team Number]],TournamentData[Team '#],0)))</f>
        <v>#NAME?</v>
      </c>
      <c r="H50" s="5" t="str">
        <f>IF(ISNA(INDEX(OfficialTeamList[Team Name],MATCH(RookiAllStarDelib[[#This Row],[Team Number]], OfficialTeamList[Team '#],0))),"",INDEX(OfficialTeamList[Team Name],MATCH(RookiAllStarDelib[[#This Row],[Team Number]], OfficialTeamList[Team '#],0)))</f>
        <v/>
      </c>
      <c r="I50" s="5" t="e">
        <f>IF(ISNA(INDEX(TournamentData[Champion''s Rank],MATCH(RookiAllStarDelib[[#This Row],[Team Number]],TournamentData[Team '#],0))),NumberOfTeams+1,INDEX(TournamentData[Champion''s Rank],MATCH(RookiAllStarDelib[[#This Row],[Team Number]],TournamentData[Team '#],0)))</f>
        <v>#NAME?</v>
      </c>
      <c r="M50" s="5" t="str">
        <f>IF(ISNA(INDEX(OfficialTeamList[Team Name],MATCH(MotivateDelib[[#This Row],[Team Number]], OfficialTeamList[Team '#],0))),"",INDEX(OfficialTeamList[Team Name],MATCH(MotivateDelib[[#This Row],[Team Number]], OfficialTeamList[Team '#],0)))</f>
        <v/>
      </c>
      <c r="N50" s="5" t="e">
        <f>IF(ISNA(INDEX(TournamentData[Champion''s Rank],MATCH(MotivateDelib[[#This Row],[Team Number]],TournamentData[Team '#],0))),NumberOfTeams+1,INDEX(TournamentData[Champion''s Rank],MATCH(MotivateDelib[[#This Row],[Team Number]],TournamentData[Team '#],0)))</f>
        <v>#NAME?</v>
      </c>
    </row>
    <row r="51" spans="3:14" ht="20.25" customHeight="1" x14ac:dyDescent="0.25">
      <c r="C51" s="5" t="str">
        <f>IF(ISNA(INDEX(OfficialTeamList[Team Name],MATCH(BreakthroughDelib[[#This Row],[Team Number]], OfficialTeamList[Team '#],0))),"",INDEX(OfficialTeamList[Team Name],MATCH(BreakthroughDelib[[#This Row],[Team Number]], OfficialTeamList[Team '#],0)))</f>
        <v/>
      </c>
      <c r="D51" s="5" t="e">
        <f>IF(ISNA(INDEX(TournamentData[Champion''s Rank],MATCH(BreakthroughDelib[[#This Row],[Team Number]],TournamentData[Team '#],0))),NumberOfTeams+1,INDEX(TournamentData[Champion''s Rank],MATCH(BreakthroughDelib[[#This Row],[Team Number]],TournamentData[Team '#],0)))</f>
        <v>#NAME?</v>
      </c>
      <c r="H51" s="5" t="str">
        <f>IF(ISNA(INDEX(OfficialTeamList[Team Name],MATCH(RookiAllStarDelib[[#This Row],[Team Number]], OfficialTeamList[Team '#],0))),"",INDEX(OfficialTeamList[Team Name],MATCH(RookiAllStarDelib[[#This Row],[Team Number]], OfficialTeamList[Team '#],0)))</f>
        <v/>
      </c>
      <c r="I51" s="5" t="e">
        <f>IF(ISNA(INDEX(TournamentData[Champion''s Rank],MATCH(RookiAllStarDelib[[#This Row],[Team Number]],TournamentData[Team '#],0))),NumberOfTeams+1,INDEX(TournamentData[Champion''s Rank],MATCH(RookiAllStarDelib[[#This Row],[Team Number]],TournamentData[Team '#],0)))</f>
        <v>#NAME?</v>
      </c>
      <c r="M51" s="5" t="str">
        <f>IF(ISNA(INDEX(OfficialTeamList[Team Name],MATCH(MotivateDelib[[#This Row],[Team Number]], OfficialTeamList[Team '#],0))),"",INDEX(OfficialTeamList[Team Name],MATCH(MotivateDelib[[#This Row],[Team Number]], OfficialTeamList[Team '#],0)))</f>
        <v/>
      </c>
      <c r="N51" s="5" t="e">
        <f>IF(ISNA(INDEX(TournamentData[Champion''s Rank],MATCH(MotivateDelib[[#This Row],[Team Number]],TournamentData[Team '#],0))),NumberOfTeams+1,INDEX(TournamentData[Champion''s Rank],MATCH(MotivateDelib[[#This Row],[Team Number]],TournamentData[Team '#],0)))</f>
        <v>#NAME?</v>
      </c>
    </row>
    <row r="52" spans="3:14" ht="20.25" customHeight="1" x14ac:dyDescent="0.25">
      <c r="C52" s="5" t="str">
        <f>IF(ISNA(INDEX(OfficialTeamList[Team Name],MATCH(BreakthroughDelib[[#This Row],[Team Number]], OfficialTeamList[Team '#],0))),"",INDEX(OfficialTeamList[Team Name],MATCH(BreakthroughDelib[[#This Row],[Team Number]], OfficialTeamList[Team '#],0)))</f>
        <v/>
      </c>
      <c r="D52" s="5" t="e">
        <f>IF(ISNA(INDEX(TournamentData[Champion''s Rank],MATCH(BreakthroughDelib[[#This Row],[Team Number]],TournamentData[Team '#],0))),NumberOfTeams+1,INDEX(TournamentData[Champion''s Rank],MATCH(BreakthroughDelib[[#This Row],[Team Number]],TournamentData[Team '#],0)))</f>
        <v>#NAME?</v>
      </c>
      <c r="H52" s="5" t="str">
        <f>IF(ISNA(INDEX(OfficialTeamList[Team Name],MATCH(RookiAllStarDelib[[#This Row],[Team Number]], OfficialTeamList[Team '#],0))),"",INDEX(OfficialTeamList[Team Name],MATCH(RookiAllStarDelib[[#This Row],[Team Number]], OfficialTeamList[Team '#],0)))</f>
        <v/>
      </c>
      <c r="I52" s="5" t="e">
        <f>IF(ISNA(INDEX(TournamentData[Champion''s Rank],MATCH(RookiAllStarDelib[[#This Row],[Team Number]],TournamentData[Team '#],0))),NumberOfTeams+1,INDEX(TournamentData[Champion''s Rank],MATCH(RookiAllStarDelib[[#This Row],[Team Number]],TournamentData[Team '#],0)))</f>
        <v>#NAME?</v>
      </c>
      <c r="M52" s="5" t="str">
        <f>IF(ISNA(INDEX(OfficialTeamList[Team Name],MATCH(MotivateDelib[[#This Row],[Team Number]], OfficialTeamList[Team '#],0))),"",INDEX(OfficialTeamList[Team Name],MATCH(MotivateDelib[[#This Row],[Team Number]], OfficialTeamList[Team '#],0)))</f>
        <v/>
      </c>
      <c r="N52" s="5" t="e">
        <f>IF(ISNA(INDEX(TournamentData[Champion''s Rank],MATCH(MotivateDelib[[#This Row],[Team Number]],TournamentData[Team '#],0))),NumberOfTeams+1,INDEX(TournamentData[Champion''s Rank],MATCH(MotivateDelib[[#This Row],[Team Number]],TournamentData[Team '#],0)))</f>
        <v>#NAME?</v>
      </c>
    </row>
    <row r="53" spans="3:14" ht="20.25" customHeight="1" x14ac:dyDescent="0.25">
      <c r="C53" s="5" t="str">
        <f>IF(ISNA(INDEX(OfficialTeamList[Team Name],MATCH(BreakthroughDelib[[#This Row],[Team Number]], OfficialTeamList[Team '#],0))),"",INDEX(OfficialTeamList[Team Name],MATCH(BreakthroughDelib[[#This Row],[Team Number]], OfficialTeamList[Team '#],0)))</f>
        <v/>
      </c>
      <c r="D53" s="5" t="e">
        <f>IF(ISNA(INDEX(TournamentData[Champion''s Rank],MATCH(BreakthroughDelib[[#This Row],[Team Number]],TournamentData[Team '#],0))),NumberOfTeams+1,INDEX(TournamentData[Champion''s Rank],MATCH(BreakthroughDelib[[#This Row],[Team Number]],TournamentData[Team '#],0)))</f>
        <v>#NAME?</v>
      </c>
      <c r="H53" s="5" t="str">
        <f>IF(ISNA(INDEX(OfficialTeamList[Team Name],MATCH(RookiAllStarDelib[[#This Row],[Team Number]], OfficialTeamList[Team '#],0))),"",INDEX(OfficialTeamList[Team Name],MATCH(RookiAllStarDelib[[#This Row],[Team Number]], OfficialTeamList[Team '#],0)))</f>
        <v/>
      </c>
      <c r="I53" s="5" t="e">
        <f>IF(ISNA(INDEX(TournamentData[Champion''s Rank],MATCH(RookiAllStarDelib[[#This Row],[Team Number]],TournamentData[Team '#],0))),NumberOfTeams+1,INDEX(TournamentData[Champion''s Rank],MATCH(RookiAllStarDelib[[#This Row],[Team Number]],TournamentData[Team '#],0)))</f>
        <v>#NAME?</v>
      </c>
      <c r="M53" s="5" t="str">
        <f>IF(ISNA(INDEX(OfficialTeamList[Team Name],MATCH(MotivateDelib[[#This Row],[Team Number]], OfficialTeamList[Team '#],0))),"",INDEX(OfficialTeamList[Team Name],MATCH(MotivateDelib[[#This Row],[Team Number]], OfficialTeamList[Team '#],0)))</f>
        <v/>
      </c>
      <c r="N53" s="5" t="e">
        <f>IF(ISNA(INDEX(TournamentData[Champion''s Rank],MATCH(MotivateDelib[[#This Row],[Team Number]],TournamentData[Team '#],0))),NumberOfTeams+1,INDEX(TournamentData[Champion''s Rank],MATCH(MotivateDelib[[#This Row],[Team Number]],TournamentData[Team '#],0)))</f>
        <v>#NAME?</v>
      </c>
    </row>
    <row r="54" spans="3:14" ht="20.25" customHeight="1" x14ac:dyDescent="0.25">
      <c r="C54" s="5" t="str">
        <f>IF(ISNA(INDEX(OfficialTeamList[Team Name],MATCH(BreakthroughDelib[[#This Row],[Team Number]], OfficialTeamList[Team '#],0))),"",INDEX(OfficialTeamList[Team Name],MATCH(BreakthroughDelib[[#This Row],[Team Number]], OfficialTeamList[Team '#],0)))</f>
        <v/>
      </c>
      <c r="D54" s="5" t="e">
        <f>IF(ISNA(INDEX(TournamentData[Champion''s Rank],MATCH(BreakthroughDelib[[#This Row],[Team Number]],TournamentData[Team '#],0))),NumberOfTeams+1,INDEX(TournamentData[Champion''s Rank],MATCH(BreakthroughDelib[[#This Row],[Team Number]],TournamentData[Team '#],0)))</f>
        <v>#NAME?</v>
      </c>
      <c r="H54" s="5" t="str">
        <f>IF(ISNA(INDEX(OfficialTeamList[Team Name],MATCH(RookiAllStarDelib[[#This Row],[Team Number]], OfficialTeamList[Team '#],0))),"",INDEX(OfficialTeamList[Team Name],MATCH(RookiAllStarDelib[[#This Row],[Team Number]], OfficialTeamList[Team '#],0)))</f>
        <v/>
      </c>
      <c r="I54" s="5" t="e">
        <f>IF(ISNA(INDEX(TournamentData[Champion''s Rank],MATCH(RookiAllStarDelib[[#This Row],[Team Number]],TournamentData[Team '#],0))),NumberOfTeams+1,INDEX(TournamentData[Champion''s Rank],MATCH(RookiAllStarDelib[[#This Row],[Team Number]],TournamentData[Team '#],0)))</f>
        <v>#NAME?</v>
      </c>
      <c r="M54" s="5" t="str">
        <f>IF(ISNA(INDEX(OfficialTeamList[Team Name],MATCH(MotivateDelib[[#This Row],[Team Number]], OfficialTeamList[Team '#],0))),"",INDEX(OfficialTeamList[Team Name],MATCH(MotivateDelib[[#This Row],[Team Number]], OfficialTeamList[Team '#],0)))</f>
        <v/>
      </c>
      <c r="N54" s="5" t="e">
        <f>IF(ISNA(INDEX(TournamentData[Champion''s Rank],MATCH(MotivateDelib[[#This Row],[Team Number]],TournamentData[Team '#],0))),NumberOfTeams+1,INDEX(TournamentData[Champion''s Rank],MATCH(MotivateDelib[[#This Row],[Team Number]],TournamentData[Team '#],0)))</f>
        <v>#NAME?</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Instructions</vt:lpstr>
      <vt:lpstr>Team and Program Information</vt:lpstr>
      <vt:lpstr>Data Validation</vt:lpstr>
      <vt:lpstr>Meta</vt:lpstr>
      <vt:lpstr>AwardListDropdowns</vt:lpstr>
      <vt:lpstr>AwardDef</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2025-12-24T20:24:15Z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