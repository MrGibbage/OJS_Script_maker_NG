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3"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3"/>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20485</v>
      </c>
      <c r="B3" s="68" t="inlineStr">
        <is>
          <t>B10N1C Bengals</t>
        </is>
      </c>
      <c r="C3" s="68" t="inlineStr">
        <is>
          <t>Andrea Heithoff</t>
        </is>
      </c>
      <c r="D3" s="69" t="n">
        <v>0</v>
      </c>
      <c r="H3" s="3" t="n"/>
    </row>
    <row r="4">
      <c r="A4" t="n">
        <v>47296</v>
      </c>
      <c r="B4" t="inlineStr">
        <is>
          <t>Pattie Panthers 1</t>
        </is>
      </c>
      <c r="C4" t="inlineStr">
        <is>
          <t>Stacy Charland</t>
        </is>
      </c>
      <c r="D4" t="n">
        <v>0</v>
      </c>
    </row>
    <row r="5">
      <c r="A5" t="n">
        <v>65785</v>
      </c>
      <c r="B5" t="inlineStr">
        <is>
          <t>Bengalbots</t>
        </is>
      </c>
      <c r="C5" t="inlineStr">
        <is>
          <t>Andrea Heithoff</t>
        </is>
      </c>
      <c r="D5" t="n">
        <v>0</v>
      </c>
    </row>
    <row r="6">
      <c r="A6" t="n">
        <v>68622</v>
      </c>
      <c r="B6" t="inlineStr">
        <is>
          <t>iGen Ross - Dupont</t>
        </is>
      </c>
      <c r="C6" t="inlineStr">
        <is>
          <t>LaKeyia Gollman</t>
        </is>
      </c>
      <c r="D6" t="n">
        <v>0</v>
      </c>
    </row>
    <row r="7">
      <c r="A7" t="n">
        <v>69237</v>
      </c>
      <c r="B7" t="inlineStr">
        <is>
          <t>S.T.E.A.M.BLERS</t>
        </is>
      </c>
      <c r="C7" t="inlineStr">
        <is>
          <t>DMV NSBEJR</t>
        </is>
      </c>
      <c r="D7" t="n">
        <v>0</v>
      </c>
    </row>
    <row r="8">
      <c r="A8" t="n">
        <v>69569</v>
      </c>
      <c r="B8" t="inlineStr">
        <is>
          <t>iGen Spikers - Eastern Market</t>
        </is>
      </c>
      <c r="C8" t="inlineStr">
        <is>
          <t>LaKeyia Gollman</t>
        </is>
      </c>
      <c r="D8" t="n">
        <v>0</v>
      </c>
    </row>
    <row r="9">
      <c r="A9" t="n">
        <v>70467</v>
      </c>
      <c r="B9" t="inlineStr">
        <is>
          <t>Pattie Panthers 2</t>
        </is>
      </c>
      <c r="C9" t="inlineStr">
        <is>
          <t>Stacy Charland</t>
        </is>
      </c>
      <c r="D9" t="n">
        <v>0</v>
      </c>
    </row>
    <row r="10">
      <c r="A10" t="n">
        <v>71202</v>
      </c>
      <c r="B10" t="inlineStr">
        <is>
          <t>The Ancient Uncs</t>
        </is>
      </c>
      <c r="C10" t="inlineStr">
        <is>
          <t>SRINIVASALU SIMINI</t>
        </is>
      </c>
      <c r="D10" t="n">
        <v>0</v>
      </c>
    </row>
    <row r="11">
      <c r="A11" t="n">
        <v>71434</v>
      </c>
      <c r="B11" t="inlineStr">
        <is>
          <t>TBD</t>
        </is>
      </c>
      <c r="C11" t="inlineStr">
        <is>
          <t>Klayan Lanka</t>
        </is>
      </c>
      <c r="D11" t="n">
        <v>0</v>
      </c>
    </row>
    <row r="12">
      <c r="A12" t="n">
        <v>73912</v>
      </c>
      <c r="B12" t="inlineStr">
        <is>
          <t>Fearless Tamers</t>
        </is>
      </c>
      <c r="C12" t="inlineStr">
        <is>
          <t>Soujanya Basa</t>
        </is>
      </c>
      <c r="D12" t="n">
        <v>0</v>
      </c>
    </row>
    <row r="13">
      <c r="A13" t="n">
        <v>74458</v>
      </c>
      <c r="B13" t="inlineStr">
        <is>
          <t>Discovery Robotics</t>
        </is>
      </c>
      <c r="C13" t="inlineStr">
        <is>
          <t>Amber Sanders</t>
        </is>
      </c>
      <c r="D13"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DC-McKinley</t>
        </is>
      </c>
    </row>
    <row r="5">
      <c r="A5" t="inlineStr">
        <is>
          <t>Tournament Long Name</t>
        </is>
      </c>
      <c r="B5" t="inlineStr">
        <is>
          <t>DC-McKinley 2025 Unearthed Qualifier Tournament</t>
        </is>
      </c>
    </row>
    <row r="6">
      <c r="A6" t="inlineStr">
        <is>
          <t>Completed Script File</t>
        </is>
      </c>
      <c r="B6" t="inlineStr">
        <is>
          <t>c:\github-projects\OJS_Script_maker_NG\2025-all\tournaments\DC-McKinley\closing_ceremony.html</t>
        </is>
      </c>
    </row>
    <row r="7">
      <c r="A7" t="inlineStr">
        <is>
          <t>Using Divisions</t>
        </is>
      </c>
      <c r="B7" t="b">
        <v>1</v>
      </c>
    </row>
    <row r="8">
      <c r="A8" t="inlineStr">
        <is>
          <t>Division</t>
        </is>
      </c>
      <c r="B8" t="inlineStr">
        <is>
          <t>D1</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20485</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47296</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65785</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68622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69237</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69569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70467</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71202</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71434</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73912</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74458</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3">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3" showDropDown="0" showInputMessage="0" showErrorMessage="0" allowBlank="1" type="list">
      <formula1>Awards</formula1>
    </dataValidation>
    <dataValidation sqref="Q3:Q13"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20485</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47296</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65785</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68622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69237</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69569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70467</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71202</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71434</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73912</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74458</v>
      </c>
      <c r="B12" s="106">
        <f>INDEX(OfficialTeamList[Team Name],MATCH(RobotGameScores[[#This Row],[Team Number]], OfficialTeamList[Team '#],0))</f>
        <v/>
      </c>
      <c r="C12" s="107" t="n"/>
      <c r="D12" s="107" t="n"/>
      <c r="E12" s="107" t="n"/>
      <c r="F12"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20485</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47296</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65785</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68622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69237</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69569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70467</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71202</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71434</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73912</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74458</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20485</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47296</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65785</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68622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69237</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69569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70467</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71202</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71434</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73912</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74458</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20485</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47296</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65785</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68622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69237</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69569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70467</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71202</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71434</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73912</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74458</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2025-12-20T04:12:01Z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