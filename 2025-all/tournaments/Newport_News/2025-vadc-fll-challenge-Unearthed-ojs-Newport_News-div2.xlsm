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8"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8"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7"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7"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7"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7"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8"/>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6348</v>
      </c>
      <c r="B3" s="68" t="inlineStr">
        <is>
          <t>T A B B</t>
        </is>
      </c>
      <c r="C3" s="68" t="inlineStr">
        <is>
          <t>Theresa Goltermann</t>
        </is>
      </c>
      <c r="D3" s="69" t="n">
        <v>0</v>
      </c>
      <c r="H3" s="3" t="n"/>
    </row>
    <row r="4">
      <c r="A4" t="n">
        <v>35054</v>
      </c>
      <c r="B4" t="inlineStr">
        <is>
          <t>OLMC Yellow Team</t>
        </is>
      </c>
      <c r="C4" t="inlineStr">
        <is>
          <t>Patrick McFadden</t>
        </is>
      </c>
      <c r="D4" t="n">
        <v>0</v>
      </c>
    </row>
    <row r="5">
      <c r="A5" t="n">
        <v>38238</v>
      </c>
      <c r="B5" t="inlineStr">
        <is>
          <t>Robohawks</t>
        </is>
      </c>
      <c r="C5" t="inlineStr">
        <is>
          <t>Jessica Fields</t>
        </is>
      </c>
      <c r="D5" t="n">
        <v>0</v>
      </c>
    </row>
    <row r="6">
      <c r="A6" t="n">
        <v>46140</v>
      </c>
      <c r="B6" t="inlineStr">
        <is>
          <t>Brick Mine-Ores</t>
        </is>
      </c>
      <c r="C6" t="inlineStr">
        <is>
          <t>Juliet Bellinger</t>
        </is>
      </c>
      <c r="D6" t="n">
        <v>0</v>
      </c>
    </row>
    <row r="7">
      <c r="A7" t="n">
        <v>47030</v>
      </c>
      <c r="B7" t="inlineStr">
        <is>
          <t>C.O.D.E Coding Outstanding Dancing Engineers</t>
        </is>
      </c>
      <c r="C7" t="inlineStr">
        <is>
          <t>Laura Nelson-Rogers</t>
        </is>
      </c>
      <c r="D7" t="n">
        <v>0</v>
      </c>
    </row>
    <row r="8">
      <c r="A8" t="n">
        <v>52367</v>
      </c>
      <c r="B8" t="inlineStr">
        <is>
          <t>OLMC Blue Team</t>
        </is>
      </c>
      <c r="C8" t="inlineStr">
        <is>
          <t>Patrick McFadden</t>
        </is>
      </c>
      <c r="D8" t="n">
        <v>0</v>
      </c>
    </row>
    <row r="9">
      <c r="A9" t="n">
        <v>58638</v>
      </c>
      <c r="B9" t="inlineStr">
        <is>
          <t>Cassified Cyber Coding SoCiety</t>
        </is>
      </c>
      <c r="C9" t="inlineStr">
        <is>
          <t>Stephen Auth</t>
        </is>
      </c>
      <c r="D9" t="n">
        <v>0</v>
      </c>
    </row>
    <row r="10">
      <c r="A10" t="n">
        <v>60463</v>
      </c>
      <c r="B10" t="inlineStr">
        <is>
          <t>~ Wild Spirits ~</t>
        </is>
      </c>
      <c r="C10" t="inlineStr">
        <is>
          <t>Dustyn Crocco</t>
        </is>
      </c>
      <c r="D10" t="n">
        <v>0</v>
      </c>
    </row>
    <row r="11">
      <c r="A11" t="n">
        <v>60911</v>
      </c>
      <c r="B11" t="inlineStr">
        <is>
          <t>Circuit Squirrels</t>
        </is>
      </c>
      <c r="C11" t="inlineStr">
        <is>
          <t>Anton Riedl</t>
        </is>
      </c>
      <c r="D11" t="n">
        <v>0</v>
      </c>
    </row>
    <row r="12">
      <c r="A12" t="n">
        <v>61072</v>
      </c>
      <c r="B12" t="inlineStr">
        <is>
          <t>Light Knights</t>
        </is>
      </c>
      <c r="C12" t="inlineStr">
        <is>
          <t>brandy Bergenstock</t>
        </is>
      </c>
      <c r="D12" t="n">
        <v>0</v>
      </c>
    </row>
    <row r="13">
      <c r="A13" t="n">
        <v>66042</v>
      </c>
      <c r="B13" t="inlineStr">
        <is>
          <t>Spades and Sherds Artifact Diggers</t>
        </is>
      </c>
      <c r="C13" t="inlineStr">
        <is>
          <t>Brittany Hamlin</t>
        </is>
      </c>
      <c r="D13" t="n">
        <v>0</v>
      </c>
    </row>
    <row r="14">
      <c r="A14" t="n">
        <v>67160</v>
      </c>
      <c r="B14" t="inlineStr">
        <is>
          <t>The Fossilizers</t>
        </is>
      </c>
      <c r="C14" t="inlineStr">
        <is>
          <t>brandy Bergenstock</t>
        </is>
      </c>
      <c r="D14" t="n">
        <v>0</v>
      </c>
    </row>
    <row r="15">
      <c r="A15" t="n">
        <v>70384</v>
      </c>
      <c r="B15" t="inlineStr">
        <is>
          <t>The Lightning Lions</t>
        </is>
      </c>
      <c r="C15" t="inlineStr">
        <is>
          <t>Catianna Jackson</t>
        </is>
      </c>
      <c r="D15" t="n">
        <v>0</v>
      </c>
    </row>
    <row r="16">
      <c r="A16" t="n">
        <v>71084</v>
      </c>
      <c r="B16" t="inlineStr">
        <is>
          <t>Ella Fitzgerald Middle School 1</t>
        </is>
      </c>
      <c r="C16" t="inlineStr">
        <is>
          <t>Suzanne Sloan</t>
        </is>
      </c>
      <c r="D16" t="n">
        <v>0</v>
      </c>
    </row>
    <row r="17">
      <c r="A17" t="n">
        <v>71585</v>
      </c>
      <c r="B17" t="inlineStr">
        <is>
          <t>Discovery</t>
        </is>
      </c>
      <c r="C17" t="inlineStr">
        <is>
          <t>Brittany Hamlin</t>
        </is>
      </c>
      <c r="D17" t="n">
        <v>0</v>
      </c>
    </row>
    <row r="18">
      <c r="A18" t="n">
        <v>74378</v>
      </c>
      <c r="B18" t="inlineStr">
        <is>
          <t>Passage Middle School</t>
        </is>
      </c>
      <c r="C18" t="inlineStr">
        <is>
          <t>Kevin Green</t>
        </is>
      </c>
      <c r="D18"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Newport_News</t>
        </is>
      </c>
    </row>
    <row r="5">
      <c r="A5" t="inlineStr">
        <is>
          <t>Tournament Long Name</t>
        </is>
      </c>
      <c r="B5" t="inlineStr">
        <is>
          <t>Newport News 2025 Unearthed Qualifier Tournament</t>
        </is>
      </c>
    </row>
    <row r="6">
      <c r="A6" t="inlineStr">
        <is>
          <t>Completed Script File</t>
        </is>
      </c>
      <c r="B6" t="inlineStr">
        <is>
          <t>c:\github-projects\OJS_Script_maker_NG\2025-all\tournaments\Newport_News\closing_ceremony.html</t>
        </is>
      </c>
    </row>
    <row r="7">
      <c r="A7" t="inlineStr">
        <is>
          <t>Using Divisions</t>
        </is>
      </c>
      <c r="B7" t="b">
        <v>1</v>
      </c>
    </row>
    <row r="8">
      <c r="A8" t="inlineStr">
        <is>
          <t>Division</t>
        </is>
      </c>
      <c r="B8" t="inlineStr">
        <is>
          <t>D2</t>
        </is>
      </c>
    </row>
    <row r="9">
      <c r="A9" t="inlineStr">
        <is>
          <t>Advancing</t>
        </is>
      </c>
      <c r="B9" t="n">
        <v>4</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c r="C4" t="inlineStr">
        <is>
          <t>Robot Game 3rd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8"/>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6348</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35054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38238</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46140</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47030</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52367</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58638</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60463</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60911</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61072</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66042</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67160</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70384</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71084</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row r="17" ht="21" customHeight="1">
      <c r="A17" s="104" t="n">
        <v>71585</v>
      </c>
      <c r="B17" s="104">
        <f>INDEX(OfficialTeamList[Pod Number],MATCH(TournamentData[[#This Row],[Team Number]], OfficialTeamList[Team '#],0))</f>
        <v/>
      </c>
      <c r="C17" s="95">
        <f>INDEX(OfficialTeamList[Team Name],MATCH(TournamentData[[#This Row],[Team Number]], OfficialTeamList[Team '#],0))</f>
        <v/>
      </c>
      <c r="D17" s="73">
        <f>IF(TournamentData[[#This Row],[Team Number]]="","",IF(ISNA(INDEX('Robot Game Scores'!C:C,MATCH(TournamentData[[#This Row],[Team Number]], 'Robot Game Scores'!$A:$A,0))),0,INDEX('Robot Game Scores'!C:C,MATCH(TournamentData[[#This Row],[Team Number]], 'Robot Game Scores'!$A:$A,0))))</f>
        <v/>
      </c>
      <c r="E17" s="73">
        <f>IF(TournamentData[[#This Row],[Team Number]]="","",IF(ISNA(INDEX('Robot Game Scores'!D:D,MATCH(TournamentData[[#This Row],[Team Number]], 'Robot Game Scores'!$A:$A,0))),0,INDEX('Robot Game Scores'!D:D,MATCH(TournamentData[[#This Row],[Team Number]], 'Robot Game Scores'!$A:$A,0))))</f>
        <v/>
      </c>
      <c r="F17" s="73">
        <f>IF(TournamentData[[#This Row],[Team Number]]="","",IF(ISNA(INDEX('Robot Game Scores'!E:E,MATCH(TournamentData[[#This Row],[Team Number]], 'Robot Game Scores'!$A:$A,0))),0,INDEX('Robot Game Scores'!E:E,MATCH(TournamentData[[#This Row],[Team Number]], 'Robot Game Scores'!$A:$A,0))))</f>
        <v/>
      </c>
      <c r="G17" s="73">
        <f>IF(TournamentData[[#This Row],[Team Number]]="","",IF(ISNA(INDEX('Robot Game Scores'!#REF!,MATCH(TournamentData[[#This Row],[Team Number]], 'Robot Game Scores'!$A:$A,0))),0,INDEX('Robot Game Scores'!#REF!,MATCH(TournamentData[[#This Row],[Team Number]], 'Robot Game Scores'!$A:$A,0))))</f>
        <v/>
      </c>
      <c r="H17" s="73">
        <f>IF(TournamentData[[#This Row],[Team Number]]="","",IF(ISNA(INDEX('Robot Game Scores'!#REF!,MATCH(TournamentData[[#This Row],[Team Number]], 'Robot Game Scores'!$A:$A,0))),0,INDEX('Robot Game Scores'!#REF!,MATCH(TournamentData[[#This Row],[Team Number]], 'Robot Game Scores'!$A:$A,0))))</f>
        <v/>
      </c>
      <c r="I1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3">
        <f>_xlfn.RANK.EQ(TournamentData[[#This Row],[Max Robot Game Score]],TournamentData[Max Robot Game Score])</f>
        <v/>
      </c>
      <c r="K17" s="73">
        <f>INDEX(CoreValuesResults[Core Values Rank],MATCH(TournamentData[[#This Row],[Team Number]],CoreValuesResults[Team Number],0))</f>
        <v/>
      </c>
      <c r="L17" s="73">
        <f>INDEX(InnovationProjectResults[Innovation Project Rank],MATCH(TournamentData[[#This Row],[Team Number]],InnovationProjectResults[Team Number],0))</f>
        <v/>
      </c>
      <c r="M17" s="73">
        <f>INDEX(RobotDesignResults[Robot Design Rank],MATCH(TournamentData[[#This Row],[Team Number]],RobotDesignResults[Team Number],0))</f>
        <v/>
      </c>
      <c r="N17" s="73">
        <f>SUM(TournamentData[[#This Row],[Robot Game Rank]:[Robot Design Rank]])</f>
        <v/>
      </c>
      <c r="O17" s="105">
        <f>RANK(TournamentData[[#This Row],[Champion''s Score]],TournamentData[Champion''s Score],1)</f>
        <v/>
      </c>
      <c r="P17" s="74" t="n"/>
      <c r="Q17" s="78" t="n"/>
      <c r="R17" s="75">
        <f>IF(ISNA(INDEX(CoreValuesResults[Core Values Score],MATCH(TournamentData[[#This Row],[Team Number]],CoreValuesResults[Team Number],0))),0,INDEX(CoreValuesResults[Core Values Score],MATCH(TournamentData[[#This Row],[Team Number]],CoreValuesResults[Team Number],0)))</f>
        <v/>
      </c>
      <c r="S17" s="75">
        <f>IF(ISNA(INDEX(InnovationProjectResults[Innovation Project Score],MATCH(TournamentData[[#This Row],[Team Number]],InnovationProjectResults[Team Number],0))),0,INDEX(InnovationProjectResults[Innovation Project Score],MATCH(TournamentData[[#This Row],[Team Number]],InnovationProjectResults[Team Number],0)))</f>
        <v/>
      </c>
      <c r="T17" s="75">
        <f>IF(ISNA(INDEX(RobotDesignResults[Robot Design Score],MATCH(TournamentData[[#This Row],[Team Number]],RobotDesignResults[Team Number],0))),0,INDEX(RobotDesignResults[Robot Design Score],MATCH(TournamentData[[#This Row],[Team Number]],RobotDesignResults[Team Number],0)))</f>
        <v/>
      </c>
      <c r="U1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74">
        <f>IF(U3,_xlfn.RANK.EQ(U3,U$3:U$3,0),NumberOfTeams)</f>
        <v/>
      </c>
      <c r="W17" s="74" t="n"/>
    </row>
    <row r="18" ht="21" customHeight="1">
      <c r="A18" s="104" t="n">
        <v>74378</v>
      </c>
      <c r="B18" s="104">
        <f>INDEX(OfficialTeamList[Pod Number],MATCH(TournamentData[[#This Row],[Team Number]], OfficialTeamList[Team '#],0))</f>
        <v/>
      </c>
      <c r="C18" s="95">
        <f>INDEX(OfficialTeamList[Team Name],MATCH(TournamentData[[#This Row],[Team Number]], OfficialTeamList[Team '#],0))</f>
        <v/>
      </c>
      <c r="D18" s="73">
        <f>IF(TournamentData[[#This Row],[Team Number]]="","",IF(ISNA(INDEX('Robot Game Scores'!C:C,MATCH(TournamentData[[#This Row],[Team Number]], 'Robot Game Scores'!$A:$A,0))),0,INDEX('Robot Game Scores'!C:C,MATCH(TournamentData[[#This Row],[Team Number]], 'Robot Game Scores'!$A:$A,0))))</f>
        <v/>
      </c>
      <c r="E18" s="73">
        <f>IF(TournamentData[[#This Row],[Team Number]]="","",IF(ISNA(INDEX('Robot Game Scores'!D:D,MATCH(TournamentData[[#This Row],[Team Number]], 'Robot Game Scores'!$A:$A,0))),0,INDEX('Robot Game Scores'!D:D,MATCH(TournamentData[[#This Row],[Team Number]], 'Robot Game Scores'!$A:$A,0))))</f>
        <v/>
      </c>
      <c r="F18" s="73">
        <f>IF(TournamentData[[#This Row],[Team Number]]="","",IF(ISNA(INDEX('Robot Game Scores'!E:E,MATCH(TournamentData[[#This Row],[Team Number]], 'Robot Game Scores'!$A:$A,0))),0,INDEX('Robot Game Scores'!E:E,MATCH(TournamentData[[#This Row],[Team Number]], 'Robot Game Scores'!$A:$A,0))))</f>
        <v/>
      </c>
      <c r="G18" s="73">
        <f>IF(TournamentData[[#This Row],[Team Number]]="","",IF(ISNA(INDEX('Robot Game Scores'!#REF!,MATCH(TournamentData[[#This Row],[Team Number]], 'Robot Game Scores'!$A:$A,0))),0,INDEX('Robot Game Scores'!#REF!,MATCH(TournamentData[[#This Row],[Team Number]], 'Robot Game Scores'!$A:$A,0))))</f>
        <v/>
      </c>
      <c r="H18" s="73">
        <f>IF(TournamentData[[#This Row],[Team Number]]="","",IF(ISNA(INDEX('Robot Game Scores'!#REF!,MATCH(TournamentData[[#This Row],[Team Number]], 'Robot Game Scores'!$A:$A,0))),0,INDEX('Robot Game Scores'!#REF!,MATCH(TournamentData[[#This Row],[Team Number]], 'Robot Game Scores'!$A:$A,0))))</f>
        <v/>
      </c>
      <c r="I1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8" s="73">
        <f>_xlfn.RANK.EQ(TournamentData[[#This Row],[Max Robot Game Score]],TournamentData[Max Robot Game Score])</f>
        <v/>
      </c>
      <c r="K18" s="73">
        <f>INDEX(CoreValuesResults[Core Values Rank],MATCH(TournamentData[[#This Row],[Team Number]],CoreValuesResults[Team Number],0))</f>
        <v/>
      </c>
      <c r="L18" s="73">
        <f>INDEX(InnovationProjectResults[Innovation Project Rank],MATCH(TournamentData[[#This Row],[Team Number]],InnovationProjectResults[Team Number],0))</f>
        <v/>
      </c>
      <c r="M18" s="73">
        <f>INDEX(RobotDesignResults[Robot Design Rank],MATCH(TournamentData[[#This Row],[Team Number]],RobotDesignResults[Team Number],0))</f>
        <v/>
      </c>
      <c r="N18" s="73">
        <f>SUM(TournamentData[[#This Row],[Robot Game Rank]:[Robot Design Rank]])</f>
        <v/>
      </c>
      <c r="O18" s="105">
        <f>RANK(TournamentData[[#This Row],[Champion''s Score]],TournamentData[Champion''s Score],1)</f>
        <v/>
      </c>
      <c r="P18" s="74" t="n"/>
      <c r="Q18" s="78" t="n"/>
      <c r="R18" s="75">
        <f>IF(ISNA(INDEX(CoreValuesResults[Core Values Score],MATCH(TournamentData[[#This Row],[Team Number]],CoreValuesResults[Team Number],0))),0,INDEX(CoreValuesResults[Core Values Score],MATCH(TournamentData[[#This Row],[Team Number]],CoreValuesResults[Team Number],0)))</f>
        <v/>
      </c>
      <c r="S18" s="75">
        <f>IF(ISNA(INDEX(InnovationProjectResults[Innovation Project Score],MATCH(TournamentData[[#This Row],[Team Number]],InnovationProjectResults[Team Number],0))),0,INDEX(InnovationProjectResults[Innovation Project Score],MATCH(TournamentData[[#This Row],[Team Number]],InnovationProjectResults[Team Number],0)))</f>
        <v/>
      </c>
      <c r="T18" s="75">
        <f>IF(ISNA(INDEX(RobotDesignResults[Robot Design Score],MATCH(TournamentData[[#This Row],[Team Number]],RobotDesignResults[Team Number],0))),0,INDEX(RobotDesignResults[Robot Design Score],MATCH(TournamentData[[#This Row],[Team Number]],RobotDesignResults[Team Number],0)))</f>
        <v/>
      </c>
      <c r="U1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8" s="74">
        <f>IF(U3,_xlfn.RANK.EQ(U3,U$3:U$3,0),NumberOfTeams)</f>
        <v/>
      </c>
      <c r="W18"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8">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8" showDropDown="0" showInputMessage="0" showErrorMessage="0" allowBlank="1" type="list">
      <formula1>Awards</formula1>
    </dataValidation>
    <dataValidation sqref="Q3:Q18"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7"/>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6348</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35054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38238</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46140</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47030</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52367</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58638</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60463</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60911</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61072</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66042</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67160</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70384</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71084</v>
      </c>
      <c r="B15" s="106">
        <f>INDEX(OfficialTeamList[Team Name],MATCH(RobotGameScores[[#This Row],[Team Number]], OfficialTeamList[Team '#],0))</f>
        <v/>
      </c>
      <c r="C15" s="107" t="n"/>
      <c r="D15" s="107" t="n"/>
      <c r="E15" s="107" t="n"/>
      <c r="F15" s="77">
        <f>MAX(RobotGameScores[[#This Row],[Robot Game 1 Score]:[Robot Game 3 Score]])</f>
        <v/>
      </c>
    </row>
    <row r="16" ht="21" customHeight="1">
      <c r="A16" s="104" t="n">
        <v>71585</v>
      </c>
      <c r="B16" s="106">
        <f>INDEX(OfficialTeamList[Team Name],MATCH(RobotGameScores[[#This Row],[Team Number]], OfficialTeamList[Team '#],0))</f>
        <v/>
      </c>
      <c r="C16" s="107" t="n"/>
      <c r="D16" s="107" t="n"/>
      <c r="E16" s="107" t="n"/>
      <c r="F16" s="77">
        <f>MAX(RobotGameScores[[#This Row],[Robot Game 1 Score]:[Robot Game 3 Score]])</f>
        <v/>
      </c>
    </row>
    <row r="17" ht="21" customHeight="1">
      <c r="A17" s="104" t="n">
        <v>74378</v>
      </c>
      <c r="B17" s="106">
        <f>INDEX(OfficialTeamList[Team Name],MATCH(RobotGameScores[[#This Row],[Team Number]], OfficialTeamList[Team '#],0))</f>
        <v/>
      </c>
      <c r="C17" s="107" t="n"/>
      <c r="D17" s="107" t="n"/>
      <c r="E17" s="107" t="n"/>
      <c r="F17"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7"/>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6348</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35054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38238</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46140</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47030</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52367</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58638</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60463</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60911</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61072</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66042</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67160</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70384</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71084</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row r="16" ht="21" customHeight="1">
      <c r="A16" s="104" t="n">
        <v>71585</v>
      </c>
      <c r="B16" s="104">
        <f>INDEX(OfficialTeamList[Pod Number],MATCH(InnovationProjectResults[[#This Row],[Team Number]], OfficialTeamList[Team '#],0))</f>
        <v/>
      </c>
      <c r="C16" s="106">
        <f>INDEX(OfficialTeamList[Team Name],MATCH(InnovationProjectResults[[#This Row],[Team Number]], OfficialTeamList[Team '#],0))</f>
        <v/>
      </c>
      <c r="D16" s="107" t="n"/>
      <c r="E16" s="107" t="n"/>
      <c r="F16" s="107" t="n"/>
      <c r="G16" s="107" t="n"/>
      <c r="H16" s="107" t="n"/>
      <c r="I16" s="107" t="n"/>
      <c r="J16" s="107" t="n"/>
      <c r="K16" s="107" t="n"/>
      <c r="L16" s="107" t="n"/>
      <c r="M16" s="107" t="n"/>
      <c r="N16" s="77">
        <f>SUM(InnovationProjectResults[[#This Row],[Identify - Define]:[Communicate - Fun (CV)]])</f>
        <v/>
      </c>
      <c r="O16" s="70">
        <f>_xlfn.RANK.EQ(InnovationProjectResults[[#This Row],[Innovation Project Score]],InnovationProjectResults[Innovation Project Score],0)</f>
        <v/>
      </c>
    </row>
    <row r="17" ht="21" customHeight="1">
      <c r="A17" s="104" t="n">
        <v>74378</v>
      </c>
      <c r="B17" s="104">
        <f>INDEX(OfficialTeamList[Pod Number],MATCH(InnovationProjectResults[[#This Row],[Team Number]], OfficialTeamList[Team '#],0))</f>
        <v/>
      </c>
      <c r="C17" s="106">
        <f>INDEX(OfficialTeamList[Team Name],MATCH(InnovationProjectResults[[#This Row],[Team Number]], OfficialTeamList[Team '#],0))</f>
        <v/>
      </c>
      <c r="D17" s="107" t="n"/>
      <c r="E17" s="107" t="n"/>
      <c r="F17" s="107" t="n"/>
      <c r="G17" s="107" t="n"/>
      <c r="H17" s="107" t="n"/>
      <c r="I17" s="107" t="n"/>
      <c r="J17" s="107" t="n"/>
      <c r="K17" s="107" t="n"/>
      <c r="L17" s="107" t="n"/>
      <c r="M17" s="107" t="n"/>
      <c r="N17" s="77">
        <f>SUM(InnovationProjectResults[[#This Row],[Identify - Define]:[Communicate - Fun (CV)]])</f>
        <v/>
      </c>
      <c r="O17"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7"/>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6348</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35054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38238</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46140</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47030</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52367</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58638</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60463</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60911</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61072</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66042</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67160</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70384</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71084</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row r="16" ht="21" customHeight="1">
      <c r="A16" s="104" t="n">
        <v>71585</v>
      </c>
      <c r="B16" s="104">
        <f>INDEX(OfficialTeamList[Pod Number],MATCH(RobotDesignResults[[#This Row],[Team Number]], OfficialTeamList[Team '#],0))</f>
        <v/>
      </c>
      <c r="C16" s="106">
        <f>INDEX(OfficialTeamList[Team Name],MATCH(RobotDesignResults[[#This Row],[Team Number]], OfficialTeamList[Team '#],0))</f>
        <v/>
      </c>
      <c r="D16" s="107" t="n"/>
      <c r="E16" s="107" t="n"/>
      <c r="F16" s="107" t="n"/>
      <c r="G16" s="107" t="n"/>
      <c r="H16" s="107" t="n"/>
      <c r="I16" s="107" t="n"/>
      <c r="J16" s="107" t="n"/>
      <c r="K16" s="107" t="n"/>
      <c r="L16" s="107" t="n"/>
      <c r="M16" s="107" t="n"/>
      <c r="N16" s="77">
        <f>SUM(RobotDesignResults[[#This Row],[Identify - Strategy]:[Communicate - Fun (CV)]])</f>
        <v/>
      </c>
      <c r="O16" s="70">
        <f>_xlfn.RANK.EQ(RobotDesignResults[[#This Row],[Robot Design Score]],RobotDesignResults[Robot Design Score],0)</f>
        <v/>
      </c>
    </row>
    <row r="17" ht="21" customHeight="1">
      <c r="A17" s="104" t="n">
        <v>74378</v>
      </c>
      <c r="B17" s="104">
        <f>INDEX(OfficialTeamList[Pod Number],MATCH(RobotDesignResults[[#This Row],[Team Number]], OfficialTeamList[Team '#],0))</f>
        <v/>
      </c>
      <c r="C17" s="106">
        <f>INDEX(OfficialTeamList[Team Name],MATCH(RobotDesignResults[[#This Row],[Team Number]], OfficialTeamList[Team '#],0))</f>
        <v/>
      </c>
      <c r="D17" s="107" t="n"/>
      <c r="E17" s="107" t="n"/>
      <c r="F17" s="107" t="n"/>
      <c r="G17" s="107" t="n"/>
      <c r="H17" s="107" t="n"/>
      <c r="I17" s="107" t="n"/>
      <c r="J17" s="107" t="n"/>
      <c r="K17" s="107" t="n"/>
      <c r="L17" s="107" t="n"/>
      <c r="M17" s="107" t="n"/>
      <c r="N17" s="77">
        <f>SUM(RobotDesignResults[[#This Row],[Identify - Strategy]:[Communicate - Fun (CV)]])</f>
        <v/>
      </c>
      <c r="O17"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7"/>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6348</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35054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38238</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46140</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47030</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52367</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58638</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60463</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60911</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61072</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66042</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67160</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70384</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71084</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row r="16" ht="21" customHeight="1">
      <c r="A16" s="104" t="n">
        <v>71585</v>
      </c>
      <c r="B16" s="104">
        <f>INDEX(OfficialTeamList[Pod Number],MATCH(CoreValuesResults[[#This Row],[Team Number]], OfficialTeamList[Team '#],0))</f>
        <v/>
      </c>
      <c r="C16" s="106">
        <f>INDEX(OfficialTeamList[Team Name],MATCH(CoreValuesResults[[#This Row],[Team Number]], OfficialTeamList[Team '#],0))</f>
        <v/>
      </c>
      <c r="D16" s="71">
        <f>INDEX(InnovationProjectResults[Identify - Research (CV)],MATCH(CoreValuesResults[[#This Row],[Team Number]],InnovationProjectResults[Team Number],0))</f>
        <v/>
      </c>
      <c r="E16" s="71">
        <f>INDEX(InnovationProjectResults[Design - Teamwork (CV)],MATCH(CoreValuesResults[[#This Row],[Team Number]],InnovationProjectResults[Team Number],0))</f>
        <v/>
      </c>
      <c r="F16" s="71">
        <f>INDEX(InnovationProjectResults[Create - Innovation (CV)],MATCH(CoreValuesResults[[#This Row],[Team Number]],InnovationProjectResults[Team Number],0))</f>
        <v/>
      </c>
      <c r="G16" s="71">
        <f>INDEX(InnovationProjectResults[Communicate - Impact (CV)],MATCH(CoreValuesResults[[#This Row],[Team Number]],InnovationProjectResults[Team Number],0))</f>
        <v/>
      </c>
      <c r="H16" s="71">
        <f>INDEX(InnovationProjectResults[Communicate - Fun (CV)],MATCH(CoreValuesResults[[#This Row],[Team Number]],InnovationProjectResults[Team Number],0))</f>
        <v/>
      </c>
      <c r="I16" s="71">
        <f>INDEX(RobotDesignResults[Identify - Research (CV)],MATCH(CoreValuesResults[[#This Row],[Team Number]],RobotDesignResults[Team Number],0))</f>
        <v/>
      </c>
      <c r="J16" s="71">
        <f>INDEX(RobotDesignResults[Design - Ideas (CV)],MATCH(CoreValuesResults[[#This Row],[Team Number]],RobotDesignResults[Team Number],0))</f>
        <v/>
      </c>
      <c r="K16" s="71">
        <f>INDEX(RobotDesignResults[Iterate - Improvements (CV)],MATCH(CoreValuesResults[[#This Row],[Team Number]],RobotDesignResults[Team Number],0))</f>
        <v/>
      </c>
      <c r="L16" s="71">
        <f>INDEX(RobotDesignResults[Communicate - Impact (CV)],MATCH(CoreValuesResults[[#This Row],[Team Number]],RobotDesignResults[Team Number],0))</f>
        <v/>
      </c>
      <c r="M16" s="71">
        <f>INDEX(RobotDesignResults[Communicate - Fun (CV)],MATCH(CoreValuesResults[[#This Row],[Team Number]],RobotDesignResults[Team Number],0))</f>
        <v/>
      </c>
      <c r="N16" s="78" t="n"/>
      <c r="O16" s="78" t="n"/>
      <c r="P16" s="78" t="n"/>
      <c r="Q16" s="104">
        <f>SUM(CoreValuesResults[[#This Row],[Gracious Professionalism 1]:[Gracious Professionalism 3]])</f>
        <v/>
      </c>
      <c r="R16" s="104">
        <f>SUM(N2:Q2)</f>
        <v/>
      </c>
      <c r="S16" s="77">
        <f>SUM(CoreValuesResults[[#This Row],[Identify - Research (CV-IP)]:[Communicate - Fun (CV-RD)]],CoreValuesResults[[#This Row],[Gracious Professionalism Score]])</f>
        <v/>
      </c>
      <c r="T16" s="70">
        <f>_xlfn.RANK.EQ(CoreValuesResults[[#This Row],[Core Values Score]],CoreValuesResults[Core Values Score],0)</f>
        <v/>
      </c>
    </row>
    <row r="17" ht="21" customHeight="1">
      <c r="A17" s="104" t="n">
        <v>74378</v>
      </c>
      <c r="B17" s="104">
        <f>INDEX(OfficialTeamList[Pod Number],MATCH(CoreValuesResults[[#This Row],[Team Number]], OfficialTeamList[Team '#],0))</f>
        <v/>
      </c>
      <c r="C17" s="106">
        <f>INDEX(OfficialTeamList[Team Name],MATCH(CoreValuesResults[[#This Row],[Team Number]], OfficialTeamList[Team '#],0))</f>
        <v/>
      </c>
      <c r="D17" s="71">
        <f>INDEX(InnovationProjectResults[Identify - Research (CV)],MATCH(CoreValuesResults[[#This Row],[Team Number]],InnovationProjectResults[Team Number],0))</f>
        <v/>
      </c>
      <c r="E17" s="71">
        <f>INDEX(InnovationProjectResults[Design - Teamwork (CV)],MATCH(CoreValuesResults[[#This Row],[Team Number]],InnovationProjectResults[Team Number],0))</f>
        <v/>
      </c>
      <c r="F17" s="71">
        <f>INDEX(InnovationProjectResults[Create - Innovation (CV)],MATCH(CoreValuesResults[[#This Row],[Team Number]],InnovationProjectResults[Team Number],0))</f>
        <v/>
      </c>
      <c r="G17" s="71">
        <f>INDEX(InnovationProjectResults[Communicate - Impact (CV)],MATCH(CoreValuesResults[[#This Row],[Team Number]],InnovationProjectResults[Team Number],0))</f>
        <v/>
      </c>
      <c r="H17" s="71">
        <f>INDEX(InnovationProjectResults[Communicate - Fun (CV)],MATCH(CoreValuesResults[[#This Row],[Team Number]],InnovationProjectResults[Team Number],0))</f>
        <v/>
      </c>
      <c r="I17" s="71">
        <f>INDEX(RobotDesignResults[Identify - Research (CV)],MATCH(CoreValuesResults[[#This Row],[Team Number]],RobotDesignResults[Team Number],0))</f>
        <v/>
      </c>
      <c r="J17" s="71">
        <f>INDEX(RobotDesignResults[Design - Ideas (CV)],MATCH(CoreValuesResults[[#This Row],[Team Number]],RobotDesignResults[Team Number],0))</f>
        <v/>
      </c>
      <c r="K17" s="71">
        <f>INDEX(RobotDesignResults[Iterate - Improvements (CV)],MATCH(CoreValuesResults[[#This Row],[Team Number]],RobotDesignResults[Team Number],0))</f>
        <v/>
      </c>
      <c r="L17" s="71">
        <f>INDEX(RobotDesignResults[Communicate - Impact (CV)],MATCH(CoreValuesResults[[#This Row],[Team Number]],RobotDesignResults[Team Number],0))</f>
        <v/>
      </c>
      <c r="M17" s="71">
        <f>INDEX(RobotDesignResults[Communicate - Fun (CV)],MATCH(CoreValuesResults[[#This Row],[Team Number]],RobotDesignResults[Team Number],0))</f>
        <v/>
      </c>
      <c r="N17" s="78" t="n"/>
      <c r="O17" s="78" t="n"/>
      <c r="P17" s="78" t="n"/>
      <c r="Q17" s="104">
        <f>SUM(CoreValuesResults[[#This Row],[Gracious Professionalism 1]:[Gracious Professionalism 3]])</f>
        <v/>
      </c>
      <c r="R17" s="104">
        <f>SUM(N2:Q2)</f>
        <v/>
      </c>
      <c r="S17" s="77">
        <f>SUM(CoreValuesResults[[#This Row],[Identify - Research (CV-IP)]:[Communicate - Fun (CV-RD)]],CoreValuesResults[[#This Row],[Gracious Professionalism Score]])</f>
        <v/>
      </c>
      <c r="T17"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2025-12-20T04:12:05Z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