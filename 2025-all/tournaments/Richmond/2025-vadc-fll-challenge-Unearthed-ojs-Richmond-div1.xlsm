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1"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1"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0"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0"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0"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0"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1"/>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52542</v>
      </c>
      <c r="B3" s="68" t="inlineStr">
        <is>
          <t>Mary Munford Tigers</t>
        </is>
      </c>
      <c r="C3" s="68" t="inlineStr">
        <is>
          <t>Hillary Goldsmith</t>
        </is>
      </c>
      <c r="D3" s="69" t="n">
        <v>0</v>
      </c>
      <c r="H3" s="3" t="n"/>
    </row>
    <row r="4">
      <c r="A4" t="n">
        <v>52543</v>
      </c>
      <c r="B4" t="inlineStr">
        <is>
          <t>Mary Munford Vikings</t>
        </is>
      </c>
      <c r="C4" t="inlineStr">
        <is>
          <t>Hillary Goldsmith</t>
        </is>
      </c>
      <c r="D4" t="n">
        <v>0</v>
      </c>
    </row>
    <row r="5">
      <c r="A5" t="n">
        <v>52544</v>
      </c>
      <c r="B5" t="inlineStr">
        <is>
          <t>Mary Munford Animal Excavators</t>
        </is>
      </c>
      <c r="C5" t="inlineStr">
        <is>
          <t>Hillary Goldsmith</t>
        </is>
      </c>
      <c r="D5" t="n">
        <v>0</v>
      </c>
    </row>
    <row r="6">
      <c r="A6" t="n">
        <v>55752</v>
      </c>
      <c r="B6" t="inlineStr">
        <is>
          <t>Daisy Discoveries</t>
        </is>
      </c>
      <c r="C6" t="inlineStr">
        <is>
          <t>Jennifer Vermillion</t>
        </is>
      </c>
      <c r="D6" t="n">
        <v>0</v>
      </c>
    </row>
    <row r="7">
      <c r="A7" t="n">
        <v>67194</v>
      </c>
      <c r="B7" t="inlineStr">
        <is>
          <t>Cub Nation</t>
        </is>
      </c>
      <c r="C7" t="inlineStr">
        <is>
          <t>Kevin Schatz</t>
        </is>
      </c>
      <c r="D7" t="n">
        <v>0</v>
      </c>
    </row>
    <row r="8">
      <c r="A8" t="n">
        <v>68048</v>
      </c>
      <c r="B8" t="inlineStr">
        <is>
          <t>Minor Minions</t>
        </is>
      </c>
      <c r="C8" t="inlineStr">
        <is>
          <t>Megan Grant</t>
        </is>
      </c>
      <c r="D8" t="n">
        <v>0</v>
      </c>
    </row>
    <row r="9">
      <c r="A9" t="n">
        <v>69304</v>
      </c>
      <c r="B9" t="inlineStr">
        <is>
          <t>Mary Munford Robo-Penguins</t>
        </is>
      </c>
      <c r="C9" t="inlineStr">
        <is>
          <t>Hillary Goldsmith</t>
        </is>
      </c>
      <c r="D9" t="n">
        <v>0</v>
      </c>
    </row>
    <row r="10">
      <c r="A10" t="n">
        <v>71506</v>
      </c>
      <c r="B10" t="inlineStr">
        <is>
          <t>Synergy</t>
        </is>
      </c>
      <c r="C10" t="inlineStr">
        <is>
          <t>Paul Rodi</t>
        </is>
      </c>
      <c r="D10" t="n">
        <v>0</v>
      </c>
    </row>
    <row r="11">
      <c r="A11" t="n">
        <v>74379</v>
      </c>
      <c r="B11" t="inlineStr">
        <is>
          <t>Mary Munford Sand Snakes</t>
        </is>
      </c>
      <c r="C11" t="inlineStr">
        <is>
          <t>Hillary Goldsmith</t>
        </is>
      </c>
      <c r="D11"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Richmond</t>
        </is>
      </c>
    </row>
    <row r="5">
      <c r="A5" t="inlineStr">
        <is>
          <t>Tournament Long Name</t>
        </is>
      </c>
      <c r="B5" t="inlineStr">
        <is>
          <t>Richmond 2025 Unearthed Qualifier Tournament</t>
        </is>
      </c>
    </row>
    <row r="6">
      <c r="A6" t="inlineStr">
        <is>
          <t>Completed Script File</t>
        </is>
      </c>
      <c r="B6" t="inlineStr">
        <is>
          <t>c:\github-projects\OJS_Script_maker_NG\2025-all\tournaments\Richmond\closing_ceremony.html</t>
        </is>
      </c>
    </row>
    <row r="7">
      <c r="A7" t="inlineStr">
        <is>
          <t>Using Divisions</t>
        </is>
      </c>
      <c r="B7" t="b">
        <v>1</v>
      </c>
    </row>
    <row r="8">
      <c r="A8" t="inlineStr">
        <is>
          <t>Division</t>
        </is>
      </c>
      <c r="B8" t="inlineStr">
        <is>
          <t>D1</t>
        </is>
      </c>
    </row>
    <row r="9">
      <c r="A9" t="inlineStr">
        <is>
          <t>Advancing</t>
        </is>
      </c>
      <c r="B9"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1"/>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52542</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52543</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52544</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55752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67194</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68048</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69304</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71506</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74379</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1">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1" showDropDown="0" showInputMessage="0" showErrorMessage="0" allowBlank="1" type="list">
      <formula1>Awards</formula1>
    </dataValidation>
    <dataValidation sqref="Q3:Q11"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0"/>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52542</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52543</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52544</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55752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67194</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68048</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69304</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71506</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74379</v>
      </c>
      <c r="B10" s="106">
        <f>INDEX(OfficialTeamList[Team Name],MATCH(RobotGameScores[[#This Row],[Team Number]], OfficialTeamList[Team '#],0))</f>
        <v/>
      </c>
      <c r="C10" s="107" t="n"/>
      <c r="D10" s="107" t="n"/>
      <c r="E10" s="107" t="n"/>
      <c r="F10"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0"/>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52542</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52543</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52544</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55752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67194</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68048</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69304</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71506</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74379</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0"/>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52542</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52543</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52544</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55752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67194</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68048</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69304</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71506</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74379</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0"/>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52542</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52543</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52544</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55752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67194</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68048</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69304</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71506</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74379</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2025-12-20T04:12:00Z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