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3"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1"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3"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2"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2"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2"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2"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3"/>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22360</v>
      </c>
      <c r="B3" s="68" t="inlineStr">
        <is>
          <t>Tomb Raiders</t>
        </is>
      </c>
      <c r="C3" s="68" t="inlineStr">
        <is>
          <t>Kayla Cantrell</t>
        </is>
      </c>
      <c r="D3" s="69" t="n">
        <v>0</v>
      </c>
      <c r="H3" s="3" t="n"/>
    </row>
    <row r="4">
      <c r="A4" t="n">
        <v>31516</v>
      </c>
      <c r="B4" t="inlineStr">
        <is>
          <t>The Fragile Castdown</t>
        </is>
      </c>
      <c r="C4" t="inlineStr">
        <is>
          <t>Mark Nottingham</t>
        </is>
      </c>
      <c r="D4" t="n">
        <v>0</v>
      </c>
    </row>
    <row r="5">
      <c r="A5" t="n">
        <v>31517</v>
      </c>
      <c r="B5" t="inlineStr">
        <is>
          <t>Notorious D.I.G. (Digging,  Identifying,  and Grouping</t>
        </is>
      </c>
      <c r="C5" t="inlineStr">
        <is>
          <t>Jennifer Leonard</t>
        </is>
      </c>
      <c r="D5" t="n">
        <v>0</v>
      </c>
    </row>
    <row r="6">
      <c r="A6" t="n">
        <v>33551</v>
      </c>
      <c r="B6" t="inlineStr">
        <is>
          <t>Panther Paleontologist's</t>
        </is>
      </c>
      <c r="C6" t="inlineStr">
        <is>
          <t>Kayla Cantrell</t>
        </is>
      </c>
      <c r="D6" t="n">
        <v>0</v>
      </c>
    </row>
    <row r="7">
      <c r="A7" t="n">
        <v>33645</v>
      </c>
      <c r="B7" t="inlineStr">
        <is>
          <t>Relic Rebels</t>
        </is>
      </c>
      <c r="C7" t="inlineStr">
        <is>
          <t>Kayla Cantrell</t>
        </is>
      </c>
      <c r="D7" t="n">
        <v>0</v>
      </c>
    </row>
    <row r="8">
      <c r="A8" t="n">
        <v>34493</v>
      </c>
      <c r="B8" t="inlineStr">
        <is>
          <t>The Ancient Cobras</t>
        </is>
      </c>
      <c r="C8" t="inlineStr">
        <is>
          <t>Kayla Cantrell</t>
        </is>
      </c>
      <c r="D8" t="n">
        <v>0</v>
      </c>
    </row>
    <row r="9">
      <c r="A9" t="n">
        <v>45642</v>
      </c>
      <c r="B9" t="inlineStr">
        <is>
          <t>Bobcats on Site</t>
        </is>
      </c>
      <c r="C9" t="inlineStr">
        <is>
          <t>Kelly Odom</t>
        </is>
      </c>
      <c r="D9" t="n">
        <v>0</v>
      </c>
    </row>
    <row r="10">
      <c r="A10" t="n">
        <v>50371</v>
      </c>
      <c r="B10" t="inlineStr">
        <is>
          <t>Fries Techno Cats</t>
        </is>
      </c>
      <c r="C10" t="inlineStr">
        <is>
          <t>Jennifer Campbell</t>
        </is>
      </c>
      <c r="D10" t="n">
        <v>0</v>
      </c>
    </row>
    <row r="11">
      <c r="A11" t="n">
        <v>50372</v>
      </c>
      <c r="B11" t="inlineStr">
        <is>
          <t>Gold Diggers</t>
        </is>
      </c>
      <c r="C11" t="inlineStr">
        <is>
          <t>Jennifer Campbell</t>
        </is>
      </c>
      <c r="D11" t="n">
        <v>0</v>
      </c>
    </row>
    <row r="12">
      <c r="A12" t="n">
        <v>61268</v>
      </c>
      <c r="B12" t="inlineStr">
        <is>
          <t>Mini Caimans</t>
        </is>
      </c>
      <c r="C12" t="inlineStr">
        <is>
          <t>Brandon Honaker</t>
        </is>
      </c>
      <c r="D12" t="n">
        <v>0</v>
      </c>
    </row>
    <row r="13">
      <c r="A13" t="n">
        <v>67223</v>
      </c>
      <c r="B13" t="inlineStr">
        <is>
          <t>Bobcat Grave Diggers</t>
        </is>
      </c>
      <c r="C13" t="inlineStr">
        <is>
          <t>Emily Eagle</t>
        </is>
      </c>
      <c r="D13"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Abingdon</t>
        </is>
      </c>
    </row>
    <row r="5">
      <c r="A5" t="inlineStr">
        <is>
          <t>Tournament Long Name</t>
        </is>
      </c>
      <c r="B5" t="inlineStr">
        <is>
          <t>Abingdon 2025 Unearthed Qualifier Tournament</t>
        </is>
      </c>
    </row>
    <row r="6">
      <c r="A6" t="inlineStr">
        <is>
          <t>Completed Script File</t>
        </is>
      </c>
      <c r="B6" t="inlineStr">
        <is>
          <t>c:\github-projects\OJS_Script_maker_NG\2025-all\tournaments\Abingdon\closing_ceremony.html</t>
        </is>
      </c>
    </row>
    <row r="7">
      <c r="A7" t="inlineStr">
        <is>
          <t>Using Divisions</t>
        </is>
      </c>
      <c r="B7" t="b">
        <v>1</v>
      </c>
    </row>
    <row r="8">
      <c r="A8" t="inlineStr">
        <is>
          <t>Division</t>
        </is>
      </c>
      <c r="B8" t="inlineStr">
        <is>
          <t>D2</t>
        </is>
      </c>
    </row>
    <row r="9">
      <c r="A9" t="inlineStr">
        <is>
          <t>Advancing</t>
        </is>
      </c>
      <c r="B9" t="n">
        <v>3</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Robot Design 1st Place</t>
        </is>
      </c>
    </row>
    <row r="5">
      <c r="A5" t="inlineStr">
        <is>
          <t>Innovation Project 1st Place</t>
        </is>
      </c>
    </row>
    <row r="6">
      <c r="A6" t="inlineStr">
        <is>
          <t>Core Values 1st Place</t>
        </is>
      </c>
    </row>
    <row r="7">
      <c r="A7" t="inlineStr">
        <is>
          <t>Judges 1</t>
        </is>
      </c>
    </row>
    <row r="8">
      <c r="A8" t="inlineStr">
        <is>
          <t>Judges 2</t>
        </is>
      </c>
    </row>
    <row r="9">
      <c r="A9" t="inlineStr">
        <is>
          <t>Judges 3</t>
        </is>
      </c>
    </row>
    <row r="10">
      <c r="A10" t="inlineStr">
        <is>
          <t>Judges 4</t>
        </is>
      </c>
    </row>
    <row r="11">
      <c r="A11" t="inlineStr">
        <is>
          <t>Judges 5</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3"/>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22360</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31516</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31517</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33551</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33645</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34493</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45642</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50371</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50372</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61268</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row r="13" ht="21" customHeight="1">
      <c r="A13" s="104" t="n">
        <v>67223</v>
      </c>
      <c r="B13" s="104">
        <f>INDEX(OfficialTeamList[Pod Number],MATCH(TournamentData[[#This Row],[Team Number]], OfficialTeamList[Team '#],0))</f>
        <v/>
      </c>
      <c r="C13" s="95">
        <f>INDEX(OfficialTeamList[Team Name],MATCH(TournamentData[[#This Row],[Team Number]], OfficialTeamList[Team '#],0))</f>
        <v/>
      </c>
      <c r="D13" s="73">
        <f>IF(TournamentData[[#This Row],[Team Number]]="","",IF(ISNA(INDEX('Robot Game Scores'!C:C,MATCH(TournamentData[[#This Row],[Team Number]], 'Robot Game Scores'!$A:$A,0))),0,INDEX('Robot Game Scores'!C:C,MATCH(TournamentData[[#This Row],[Team Number]], 'Robot Game Scores'!$A:$A,0))))</f>
        <v/>
      </c>
      <c r="E13" s="73">
        <f>IF(TournamentData[[#This Row],[Team Number]]="","",IF(ISNA(INDEX('Robot Game Scores'!D:D,MATCH(TournamentData[[#This Row],[Team Number]], 'Robot Game Scores'!$A:$A,0))),0,INDEX('Robot Game Scores'!D:D,MATCH(TournamentData[[#This Row],[Team Number]], 'Robot Game Scores'!$A:$A,0))))</f>
        <v/>
      </c>
      <c r="F13" s="73">
        <f>IF(TournamentData[[#This Row],[Team Number]]="","",IF(ISNA(INDEX('Robot Game Scores'!E:E,MATCH(TournamentData[[#This Row],[Team Number]], 'Robot Game Scores'!$A:$A,0))),0,INDEX('Robot Game Scores'!E:E,MATCH(TournamentData[[#This Row],[Team Number]], 'Robot Game Scores'!$A:$A,0))))</f>
        <v/>
      </c>
      <c r="G13" s="73">
        <f>IF(TournamentData[[#This Row],[Team Number]]="","",IF(ISNA(INDEX('Robot Game Scores'!#REF!,MATCH(TournamentData[[#This Row],[Team Number]], 'Robot Game Scores'!$A:$A,0))),0,INDEX('Robot Game Scores'!#REF!,MATCH(TournamentData[[#This Row],[Team Number]], 'Robot Game Scores'!$A:$A,0))))</f>
        <v/>
      </c>
      <c r="H13" s="73">
        <f>IF(TournamentData[[#This Row],[Team Number]]="","",IF(ISNA(INDEX('Robot Game Scores'!#REF!,MATCH(TournamentData[[#This Row],[Team Number]], 'Robot Game Scores'!$A:$A,0))),0,INDEX('Robot Game Scores'!#REF!,MATCH(TournamentData[[#This Row],[Team Number]], 'Robot Game Scores'!$A:$A,0))))</f>
        <v/>
      </c>
      <c r="I1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3">
        <f>_xlfn.RANK.EQ(TournamentData[[#This Row],[Max Robot Game Score]],TournamentData[Max Robot Game Score])</f>
        <v/>
      </c>
      <c r="K13" s="73">
        <f>INDEX(CoreValuesResults[Core Values Rank],MATCH(TournamentData[[#This Row],[Team Number]],CoreValuesResults[Team Number],0))</f>
        <v/>
      </c>
      <c r="L13" s="73">
        <f>INDEX(InnovationProjectResults[Innovation Project Rank],MATCH(TournamentData[[#This Row],[Team Number]],InnovationProjectResults[Team Number],0))</f>
        <v/>
      </c>
      <c r="M13" s="73">
        <f>INDEX(RobotDesignResults[Robot Design Rank],MATCH(TournamentData[[#This Row],[Team Number]],RobotDesignResults[Team Number],0))</f>
        <v/>
      </c>
      <c r="N13" s="73">
        <f>SUM(TournamentData[[#This Row],[Robot Game Rank]:[Robot Design Rank]])</f>
        <v/>
      </c>
      <c r="O13" s="105">
        <f>RANK(TournamentData[[#This Row],[Champion''s Score]],TournamentData[Champion''s Score],1)</f>
        <v/>
      </c>
      <c r="P13" s="74" t="n"/>
      <c r="Q13" s="78" t="n"/>
      <c r="R13" s="75">
        <f>IF(ISNA(INDEX(CoreValuesResults[Core Values Score],MATCH(TournamentData[[#This Row],[Team Number]],CoreValuesResults[Team Number],0))),0,INDEX(CoreValuesResults[Core Values Score],MATCH(TournamentData[[#This Row],[Team Number]],CoreValuesResults[Team Number],0)))</f>
        <v/>
      </c>
      <c r="S13" s="75">
        <f>IF(ISNA(INDEX(InnovationProjectResults[Innovation Project Score],MATCH(TournamentData[[#This Row],[Team Number]],InnovationProjectResults[Team Number],0))),0,INDEX(InnovationProjectResults[Innovation Project Score],MATCH(TournamentData[[#This Row],[Team Number]],InnovationProjectResults[Team Number],0)))</f>
        <v/>
      </c>
      <c r="T13" s="75">
        <f>IF(ISNA(INDEX(RobotDesignResults[Robot Design Score],MATCH(TournamentData[[#This Row],[Team Number]],RobotDesignResults[Team Number],0))),0,INDEX(RobotDesignResults[Robot Design Score],MATCH(TournamentData[[#This Row],[Team Number]],RobotDesignResults[Team Number],0)))</f>
        <v/>
      </c>
      <c r="U1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74">
        <f>IF(U3,_xlfn.RANK.EQ(U3,U$3:U$3,0),NumberOfTeams)</f>
        <v/>
      </c>
      <c r="W13"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3">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3" showDropDown="0" showInputMessage="0" showErrorMessage="0" allowBlank="1" type="list">
      <formula1>Awards</formula1>
    </dataValidation>
    <dataValidation sqref="Q3:Q13"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2"/>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22360</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31516</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31517</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33551</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33645</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34493</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45642</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50371</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50372</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61268</v>
      </c>
      <c r="B11" s="106">
        <f>INDEX(OfficialTeamList[Team Name],MATCH(RobotGameScores[[#This Row],[Team Number]], OfficialTeamList[Team '#],0))</f>
        <v/>
      </c>
      <c r="C11" s="107" t="n"/>
      <c r="D11" s="107" t="n"/>
      <c r="E11" s="107" t="n"/>
      <c r="F11" s="77">
        <f>MAX(RobotGameScores[[#This Row],[Robot Game 1 Score]:[Robot Game 3 Score]])</f>
        <v/>
      </c>
    </row>
    <row r="12" ht="21" customHeight="1">
      <c r="A12" s="104" t="n">
        <v>67223</v>
      </c>
      <c r="B12" s="106">
        <f>INDEX(OfficialTeamList[Team Name],MATCH(RobotGameScores[[#This Row],[Team Number]], OfficialTeamList[Team '#],0))</f>
        <v/>
      </c>
      <c r="C12" s="107" t="n"/>
      <c r="D12" s="107" t="n"/>
      <c r="E12" s="107" t="n"/>
      <c r="F12"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2"/>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22360</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31516</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31517</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33551</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33645</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34493</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45642</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50371</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50372</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61268</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row r="12" ht="21" customHeight="1">
      <c r="A12" s="104" t="n">
        <v>67223</v>
      </c>
      <c r="B12" s="104">
        <f>INDEX(OfficialTeamList[Pod Number],MATCH(InnovationProjectResults[[#This Row],[Team Number]], OfficialTeamList[Team '#],0))</f>
        <v/>
      </c>
      <c r="C12" s="106">
        <f>INDEX(OfficialTeamList[Team Name],MATCH(InnovationProjectResults[[#This Row],[Team Number]], OfficialTeamList[Team '#],0))</f>
        <v/>
      </c>
      <c r="D12" s="107" t="n"/>
      <c r="E12" s="107" t="n"/>
      <c r="F12" s="107" t="n"/>
      <c r="G12" s="107" t="n"/>
      <c r="H12" s="107" t="n"/>
      <c r="I12" s="107" t="n"/>
      <c r="J12" s="107" t="n"/>
      <c r="K12" s="107" t="n"/>
      <c r="L12" s="107" t="n"/>
      <c r="M12" s="107" t="n"/>
      <c r="N12" s="77">
        <f>SUM(InnovationProjectResults[[#This Row],[Identify - Define]:[Communicate - Fun (CV)]])</f>
        <v/>
      </c>
      <c r="O12"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2"/>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22360</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31516</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31517</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33551</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33645</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34493</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45642</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50371</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50372</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61268</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row r="12" ht="21" customHeight="1">
      <c r="A12" s="104" t="n">
        <v>67223</v>
      </c>
      <c r="B12" s="104">
        <f>INDEX(OfficialTeamList[Pod Number],MATCH(RobotDesignResults[[#This Row],[Team Number]], OfficialTeamList[Team '#],0))</f>
        <v/>
      </c>
      <c r="C12" s="106">
        <f>INDEX(OfficialTeamList[Team Name],MATCH(RobotDesignResults[[#This Row],[Team Number]], OfficialTeamList[Team '#],0))</f>
        <v/>
      </c>
      <c r="D12" s="107" t="n"/>
      <c r="E12" s="107" t="n"/>
      <c r="F12" s="107" t="n"/>
      <c r="G12" s="107" t="n"/>
      <c r="H12" s="107" t="n"/>
      <c r="I12" s="107" t="n"/>
      <c r="J12" s="107" t="n"/>
      <c r="K12" s="107" t="n"/>
      <c r="L12" s="107" t="n"/>
      <c r="M12" s="107" t="n"/>
      <c r="N12" s="77">
        <f>SUM(RobotDesignResults[[#This Row],[Identify - Strategy]:[Communicate - Fun (CV)]])</f>
        <v/>
      </c>
      <c r="O12"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2"/>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22360</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31516</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31517</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33551</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33645</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34493</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45642</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50371</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50372</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61268</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row r="12" ht="21" customHeight="1">
      <c r="A12" s="104" t="n">
        <v>67223</v>
      </c>
      <c r="B12" s="104">
        <f>INDEX(OfficialTeamList[Pod Number],MATCH(CoreValuesResults[[#This Row],[Team Number]], OfficialTeamList[Team '#],0))</f>
        <v/>
      </c>
      <c r="C12" s="106">
        <f>INDEX(OfficialTeamList[Team Name],MATCH(CoreValuesResults[[#This Row],[Team Number]], OfficialTeamList[Team '#],0))</f>
        <v/>
      </c>
      <c r="D12" s="71">
        <f>INDEX(InnovationProjectResults[Identify - Research (CV)],MATCH(CoreValuesResults[[#This Row],[Team Number]],InnovationProjectResults[Team Number],0))</f>
        <v/>
      </c>
      <c r="E12" s="71">
        <f>INDEX(InnovationProjectResults[Design - Teamwork (CV)],MATCH(CoreValuesResults[[#This Row],[Team Number]],InnovationProjectResults[Team Number],0))</f>
        <v/>
      </c>
      <c r="F12" s="71">
        <f>INDEX(InnovationProjectResults[Create - Innovation (CV)],MATCH(CoreValuesResults[[#This Row],[Team Number]],InnovationProjectResults[Team Number],0))</f>
        <v/>
      </c>
      <c r="G12" s="71">
        <f>INDEX(InnovationProjectResults[Communicate - Impact (CV)],MATCH(CoreValuesResults[[#This Row],[Team Number]],InnovationProjectResults[Team Number],0))</f>
        <v/>
      </c>
      <c r="H12" s="71">
        <f>INDEX(InnovationProjectResults[Communicate - Fun (CV)],MATCH(CoreValuesResults[[#This Row],[Team Number]],InnovationProjectResults[Team Number],0))</f>
        <v/>
      </c>
      <c r="I12" s="71">
        <f>INDEX(RobotDesignResults[Identify - Research (CV)],MATCH(CoreValuesResults[[#This Row],[Team Number]],RobotDesignResults[Team Number],0))</f>
        <v/>
      </c>
      <c r="J12" s="71">
        <f>INDEX(RobotDesignResults[Design - Ideas (CV)],MATCH(CoreValuesResults[[#This Row],[Team Number]],RobotDesignResults[Team Number],0))</f>
        <v/>
      </c>
      <c r="K12" s="71">
        <f>INDEX(RobotDesignResults[Iterate - Improvements (CV)],MATCH(CoreValuesResults[[#This Row],[Team Number]],RobotDesignResults[Team Number],0))</f>
        <v/>
      </c>
      <c r="L12" s="71">
        <f>INDEX(RobotDesignResults[Communicate - Impact (CV)],MATCH(CoreValuesResults[[#This Row],[Team Number]],RobotDesignResults[Team Number],0))</f>
        <v/>
      </c>
      <c r="M12" s="71">
        <f>INDEX(RobotDesignResults[Communicate - Fun (CV)],MATCH(CoreValuesResults[[#This Row],[Team Number]],RobotDesignResults[Team Number],0))</f>
        <v/>
      </c>
      <c r="N12" s="78" t="n"/>
      <c r="O12" s="78" t="n"/>
      <c r="P12" s="78" t="n"/>
      <c r="Q12" s="104">
        <f>SUM(CoreValuesResults[[#This Row],[Gracious Professionalism 1]:[Gracious Professionalism 3]])</f>
        <v/>
      </c>
      <c r="R12" s="104">
        <f>SUM(N2:Q2)</f>
        <v/>
      </c>
      <c r="S12" s="77">
        <f>SUM(CoreValuesResults[[#This Row],[Identify - Research (CV-IP)]:[Communicate - Fun (CV-RD)]],CoreValuesResults[[#This Row],[Gracious Professionalism Score]])</f>
        <v/>
      </c>
      <c r="T12"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2025-12-20T04:12:09Z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