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7"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9"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2"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7"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6"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6"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6"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6"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7"/>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4639</v>
      </c>
      <c r="B3" s="68" t="inlineStr">
        <is>
          <t>Chickologists</t>
        </is>
      </c>
      <c r="C3" s="68" t="inlineStr">
        <is>
          <t>Sean DeArras</t>
        </is>
      </c>
      <c r="D3" s="69" t="n">
        <v>0</v>
      </c>
      <c r="H3" s="3" t="n"/>
    </row>
    <row r="4">
      <c r="A4" t="n">
        <v>60720</v>
      </c>
      <c r="B4" t="inlineStr">
        <is>
          <t>Eagle Excavators</t>
        </is>
      </c>
      <c r="C4" t="inlineStr">
        <is>
          <t>Katrina Glenn</t>
        </is>
      </c>
      <c r="D4" t="n">
        <v>0</v>
      </c>
    </row>
    <row r="5">
      <c r="A5" t="n">
        <v>66534</v>
      </c>
      <c r="B5" t="inlineStr">
        <is>
          <t>NGES Lego Dragoneers</t>
        </is>
      </c>
      <c r="C5" t="inlineStr">
        <is>
          <t>Erin Cummings</t>
        </is>
      </c>
      <c r="D5" t="n">
        <v>0</v>
      </c>
    </row>
    <row r="6">
      <c r="A6" t="n">
        <v>72719</v>
      </c>
      <c r="B6" t="inlineStr">
        <is>
          <t>Groundbreakers</t>
        </is>
      </c>
      <c r="C6" t="inlineStr">
        <is>
          <t>Casandra Wendell</t>
        </is>
      </c>
      <c r="D6" t="n">
        <v>0</v>
      </c>
    </row>
    <row r="7">
      <c r="A7" t="n">
        <v>74444</v>
      </c>
      <c r="B7" t="inlineStr">
        <is>
          <t>Churchill Challengers</t>
        </is>
      </c>
      <c r="C7" t="inlineStr">
        <is>
          <t>Chaya Baliga</t>
        </is>
      </c>
      <c r="D7"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Charlottesville</t>
        </is>
      </c>
    </row>
    <row r="5">
      <c r="A5" t="inlineStr">
        <is>
          <t>Tournament Long Name</t>
        </is>
      </c>
      <c r="B5" t="inlineStr">
        <is>
          <t>Charlottesville 2025 Unearthed Qualifier Tournament</t>
        </is>
      </c>
    </row>
    <row r="6">
      <c r="A6" t="inlineStr">
        <is>
          <t>Completed Script File</t>
        </is>
      </c>
      <c r="B6" t="inlineStr">
        <is>
          <t>c:\github-projects\OJS_Script_maker_NG\2025-all\tournaments\Charlottesville\closing_ceremony.html</t>
        </is>
      </c>
    </row>
    <row r="7">
      <c r="A7" t="inlineStr">
        <is>
          <t>Using Divisions</t>
        </is>
      </c>
      <c r="B7" t="b">
        <v>1</v>
      </c>
    </row>
    <row r="8">
      <c r="A8" t="inlineStr">
        <is>
          <t>Division</t>
        </is>
      </c>
      <c r="B8" t="inlineStr">
        <is>
          <t>D1</t>
        </is>
      </c>
    </row>
    <row r="9">
      <c r="A9" t="inlineStr">
        <is>
          <t>Advancing</t>
        </is>
      </c>
      <c r="B9" t="n">
        <v>1</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9"/>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Robot Design 1st Place</t>
        </is>
      </c>
    </row>
    <row r="4">
      <c r="A4" t="inlineStr">
        <is>
          <t>Innovation Project 1st Place</t>
        </is>
      </c>
    </row>
    <row r="5">
      <c r="A5" t="inlineStr">
        <is>
          <t>Core Values 1st Place</t>
        </is>
      </c>
    </row>
    <row r="6">
      <c r="A6" t="inlineStr">
        <is>
          <t>Judges 1</t>
        </is>
      </c>
    </row>
    <row r="7">
      <c r="A7" t="inlineStr">
        <is>
          <t>Judges 2</t>
        </is>
      </c>
    </row>
    <row r="8">
      <c r="A8" t="inlineStr">
        <is>
          <t>Judges 3</t>
        </is>
      </c>
    </row>
    <row r="9">
      <c r="A9" t="inlineStr">
        <is>
          <t>Judges 4</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7"/>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4639</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60720</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66534</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72719</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74444</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7">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7" showDropDown="0" showInputMessage="0" showErrorMessage="0" allowBlank="1" type="list">
      <formula1>Awards</formula1>
    </dataValidation>
    <dataValidation sqref="Q3:Q7"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6"/>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4639</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60720</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66534</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72719</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74444</v>
      </c>
      <c r="B6" s="106">
        <f>INDEX(OfficialTeamList[Team Name],MATCH(RobotGameScores[[#This Row],[Team Number]], OfficialTeamList[Team '#],0))</f>
        <v/>
      </c>
      <c r="C6" s="107" t="n"/>
      <c r="D6" s="107" t="n"/>
      <c r="E6" s="107" t="n"/>
      <c r="F6"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6"/>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4639</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60720</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66534</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72719</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74444</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6"/>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4639</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60720</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66534</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72719</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74444</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6"/>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4639</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60720</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66534</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72719</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74444</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2025-12-20T04:11:57Z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