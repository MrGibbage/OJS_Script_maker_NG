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3" autoFilterDateGrouping="1"/>
  </bookViews>
  <sheets>
    <sheet name="Instructions" sheetId="1" state="visible" r:id="rId1"/>
    <sheet name="Team and Program Information" sheetId="2" state="visible" r:id="rId2"/>
    <sheet name="Data Validation" sheetId="3" state="visible" r:id="rId3"/>
    <sheet name="Meta" sheetId="4" state="visible" r:id="rId4"/>
    <sheet name="AwardListDropdowns" sheetId="5" state="visible" r:id="rId5"/>
    <sheet name="AwardDef" sheetId="6" state="visible"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4">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cellXfs>
  <cellStyles count="1">
    <cellStyle name="Normal" xfId="0" builtinId="0"/>
  </cellStyles>
  <dxfs count="160">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3"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2"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2"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2"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2"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3"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2"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2"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2"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2"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3"/>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c r="B3" s="68" t="n"/>
      <c r="C3" s="68" t="n"/>
      <c r="D3" s="69" t="n"/>
      <c r="H3" s="3" t="n"/>
    </row>
  </sheetData>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1"/>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sheetData>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sheetData>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3"/>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68" t="n">
        <v>1</v>
      </c>
      <c r="B3" s="68">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72">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sheetData>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dataValidations count="2">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2"/>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68" t="n"/>
      <c r="B2" s="96">
        <f>INDEX(OfficialTeamList[Team Name],MATCH(RobotGameScores[[#This Row],[Team Number]], OfficialTeamList[Team '#],0))</f>
        <v/>
      </c>
      <c r="C2" s="69" t="n"/>
      <c r="D2" s="69" t="n"/>
      <c r="E2" s="69" t="n"/>
      <c r="F2" s="77">
        <f>MAX(RobotGameScores[[#This Row],[Robot Game 1 Score]:[Robot Game 3 Score]])</f>
        <v/>
      </c>
    </row>
  </sheetData>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2"/>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68" t="n"/>
      <c r="B2" s="68">
        <f>INDEX(OfficialTeamList[Pod Number],MATCH(InnovationProjectResults[[#This Row],[Team Number]], OfficialTeamList[Team '#],0))</f>
        <v/>
      </c>
      <c r="C2" s="96">
        <f>INDEX(OfficialTeamList[Team Name],MATCH(InnovationProjectResults[[#This Row],[Team Number]], OfficialTeamList[Team '#],0))</f>
        <v/>
      </c>
      <c r="D2" s="69" t="n"/>
      <c r="E2" s="69" t="n"/>
      <c r="F2" s="69" t="n"/>
      <c r="G2" s="69" t="n"/>
      <c r="H2" s="69" t="n"/>
      <c r="I2" s="69" t="n"/>
      <c r="J2" s="69" t="n"/>
      <c r="K2" s="69" t="n"/>
      <c r="L2" s="69" t="n"/>
      <c r="M2" s="69" t="n"/>
      <c r="N2" s="77">
        <f>SUM(InnovationProjectResults[[#This Row],[Identify - Define]:[Communicate - Fun (CV)]])</f>
        <v/>
      </c>
      <c r="O2" s="70">
        <f>_xlfn.RANK.EQ(InnovationProjectResults[[#This Row],[Innovation Project Score]],InnovationProjectResults[Innovation Project Score],0)</f>
        <v/>
      </c>
    </row>
  </sheetData>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2"/>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68" t="n"/>
      <c r="B2" s="68">
        <f>INDEX(OfficialTeamList[Pod Number],MATCH(RobotDesignResults[[#This Row],[Team Number]], OfficialTeamList[Team '#],0))</f>
        <v/>
      </c>
      <c r="C2" s="96">
        <f>INDEX(OfficialTeamList[Team Name],MATCH(RobotDesignResults[[#This Row],[Team Number]], OfficialTeamList[Team '#],0))</f>
        <v/>
      </c>
      <c r="D2" s="69" t="n"/>
      <c r="E2" s="69" t="n"/>
      <c r="F2" s="69" t="n"/>
      <c r="G2" s="69" t="n"/>
      <c r="H2" s="69" t="n"/>
      <c r="I2" s="69" t="n"/>
      <c r="J2" s="69" t="n"/>
      <c r="K2" s="69" t="n"/>
      <c r="L2" s="69" t="n"/>
      <c r="M2" s="69" t="n"/>
      <c r="N2" s="77">
        <f>SUM(RobotDesignResults[[#This Row],[Identify - Strategy]:[Communicate - Fun (CV)]])</f>
        <v/>
      </c>
      <c r="O2" s="70">
        <f>_xlfn.RANK.EQ(RobotDesignResults[[#This Row],[Robot Design Score]],RobotDesignResults[Robot Design Score],0)</f>
        <v/>
      </c>
    </row>
  </sheetData>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2"/>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68" t="n"/>
      <c r="B2" s="68">
        <f>INDEX(OfficialTeamList[Pod Number],MATCH(CoreValuesResults[[#This Row],[Team Number]], OfficialTeamList[Team '#],0))</f>
        <v/>
      </c>
      <c r="C2" s="9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68">
        <f>SUM(CoreValuesResults[[#This Row],[Gracious Professionalism 1]:[Gracious Professionalism 3]])</f>
        <v/>
      </c>
      <c r="R2" s="68">
        <f>SUM(N2:Q2)</f>
        <v/>
      </c>
      <c r="S2" s="77">
        <f>SUM(CoreValuesResults[[#This Row],[Identify - Research (CV-IP)]:[Communicate - Fun (CV-RD)]],CoreValuesResults[[#This Row],[Gracious Professionalism Score]])</f>
        <v/>
      </c>
      <c r="T2" s="70">
        <f>_xlfn.RANK.EQ(CoreValuesResults[[#This Row],[Core Values Score]],CoreValuesResults[Core Values Score],0)</f>
        <v/>
      </c>
    </row>
  </sheetData>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2025-12-20T04:13:55Z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