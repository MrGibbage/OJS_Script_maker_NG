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2"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2"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1"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1"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1"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1"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2"/>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103</v>
      </c>
      <c r="B3" s="68" t="inlineStr">
        <is>
          <t>Techno Rex</t>
        </is>
      </c>
      <c r="C3" s="68" t="inlineStr">
        <is>
          <t>Nova Labs Robotics</t>
        </is>
      </c>
      <c r="D3" s="69" t="n">
        <v>0</v>
      </c>
      <c r="H3" s="3" t="n"/>
    </row>
    <row r="4">
      <c r="A4" t="n">
        <v>53240</v>
      </c>
      <c r="B4" t="inlineStr">
        <is>
          <t>Beam Bots</t>
        </is>
      </c>
      <c r="C4" t="inlineStr">
        <is>
          <t>Palani A</t>
        </is>
      </c>
      <c r="D4" t="n">
        <v>0</v>
      </c>
    </row>
    <row r="5">
      <c r="A5" t="n">
        <v>54927</v>
      </c>
      <c r="B5" t="inlineStr">
        <is>
          <t>Jenkins Buzzin Bots</t>
        </is>
      </c>
      <c r="C5" t="inlineStr">
        <is>
          <t>Kristina Thompson</t>
        </is>
      </c>
      <c r="D5" t="n">
        <v>0</v>
      </c>
    </row>
    <row r="6">
      <c r="A6" t="n">
        <v>60293</v>
      </c>
      <c r="B6" t="inlineStr">
        <is>
          <t>Saints Robotics</t>
        </is>
      </c>
      <c r="C6" t="inlineStr">
        <is>
          <t>Kay Ossio</t>
        </is>
      </c>
      <c r="D6" t="n">
        <v>0</v>
      </c>
    </row>
    <row r="7">
      <c r="A7" t="n">
        <v>61774</v>
      </c>
      <c r="B7" t="inlineStr">
        <is>
          <t>Mango Minions</t>
        </is>
      </c>
      <c r="C7" t="inlineStr">
        <is>
          <t>Madhu Seethepalli</t>
        </is>
      </c>
      <c r="D7" t="n">
        <v>0</v>
      </c>
    </row>
    <row r="8">
      <c r="A8" t="n">
        <v>62318</v>
      </c>
      <c r="B8" t="inlineStr">
        <is>
          <t>KLB's</t>
        </is>
      </c>
      <c r="C8" t="inlineStr">
        <is>
          <t>Pete Haberkost</t>
        </is>
      </c>
      <c r="D8" t="n">
        <v>0</v>
      </c>
    </row>
    <row r="9">
      <c r="A9" t="n">
        <v>67975</v>
      </c>
      <c r="B9" t="inlineStr">
        <is>
          <t>Robot Rebels - Reys</t>
        </is>
      </c>
      <c r="C9" t="inlineStr">
        <is>
          <t>Heather Oden</t>
        </is>
      </c>
      <c r="D9" t="n">
        <v>0</v>
      </c>
    </row>
    <row r="10">
      <c r="A10" t="n">
        <v>71976</v>
      </c>
      <c r="B10" t="inlineStr">
        <is>
          <t>Robo Dragons</t>
        </is>
      </c>
      <c r="C10" t="inlineStr">
        <is>
          <t>Varun Aggarwal</t>
        </is>
      </c>
      <c r="D10" t="n">
        <v>0</v>
      </c>
    </row>
    <row r="11">
      <c r="A11" t="n">
        <v>72493</v>
      </c>
      <c r="B11" t="inlineStr">
        <is>
          <t>Phyllobates Terribilis</t>
        </is>
      </c>
      <c r="C11" t="inlineStr">
        <is>
          <t>Matthew Minatelli</t>
        </is>
      </c>
      <c r="D11" t="n">
        <v>0</v>
      </c>
    </row>
    <row r="12">
      <c r="A12" t="n">
        <v>73442</v>
      </c>
      <c r="B12" t="inlineStr">
        <is>
          <t>First gen diggers</t>
        </is>
      </c>
      <c r="C12" t="inlineStr">
        <is>
          <t>Jahnavi Gummadi</t>
        </is>
      </c>
      <c r="D12"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Hayfield_1</t>
        </is>
      </c>
    </row>
    <row r="5">
      <c r="A5" t="inlineStr">
        <is>
          <t>Tournament Long Name</t>
        </is>
      </c>
      <c r="B5" t="inlineStr">
        <is>
          <t>Hayfield 1 2025 Unearthed Qualifier Tournament</t>
        </is>
      </c>
    </row>
    <row r="6">
      <c r="A6" t="inlineStr">
        <is>
          <t>Completed Script File</t>
        </is>
      </c>
      <c r="B6" t="inlineStr">
        <is>
          <t>c:\github-projects\OJS_Script_maker_NG\2025-all\tournaments\Hayfield_1\closing_ceremony.html</t>
        </is>
      </c>
    </row>
    <row r="7">
      <c r="A7" t="inlineStr">
        <is>
          <t>Using Divisions</t>
        </is>
      </c>
      <c r="B7" t="b">
        <v>1</v>
      </c>
    </row>
    <row r="8">
      <c r="A8" t="inlineStr">
        <is>
          <t>Division</t>
        </is>
      </c>
      <c r="B8" t="inlineStr">
        <is>
          <t>D1</t>
        </is>
      </c>
    </row>
    <row r="9">
      <c r="A9" t="inlineStr">
        <is>
          <t>Advancing</t>
        </is>
      </c>
      <c r="B9" t="n">
        <v>3</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2"/>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103</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53240</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54927</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60293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61774</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62318</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67975</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71976</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72493</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73442</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2">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2" showDropDown="0" showInputMessage="0" showErrorMessage="0" allowBlank="1" type="list">
      <formula1>Awards</formula1>
    </dataValidation>
    <dataValidation sqref="Q3:Q12"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1"/>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103</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53240</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54927</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60293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61774</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62318</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67975</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71976</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72493</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73442</v>
      </c>
      <c r="B11" s="106">
        <f>INDEX(OfficialTeamList[Team Name],MATCH(RobotGameScores[[#This Row],[Team Number]], OfficialTeamList[Team '#],0))</f>
        <v/>
      </c>
      <c r="C11" s="107" t="n"/>
      <c r="D11" s="107" t="n"/>
      <c r="E11" s="107" t="n"/>
      <c r="F11"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1"/>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103</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53240</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54927</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60293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61774</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62318</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67975</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71976</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72493</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73442</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1"/>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103</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53240</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54927</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60293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61774</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62318</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67975</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71976</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72493</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73442</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1"/>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103</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53240</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54927</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60293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61774</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62318</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67975</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71976</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72493</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73442</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2025-12-20T04:12:04Z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