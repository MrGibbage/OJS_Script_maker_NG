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1"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9"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1"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0"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0"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0"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0"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1"/>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1840</v>
      </c>
      <c r="B3" s="68" t="inlineStr">
        <is>
          <t>The Digging Daisies</t>
        </is>
      </c>
      <c r="C3" s="68" t="inlineStr">
        <is>
          <t>Jennifer Vermillion</t>
        </is>
      </c>
      <c r="D3" s="69" t="n">
        <v>0</v>
      </c>
      <c r="H3" s="3" t="n"/>
    </row>
    <row r="4">
      <c r="A4" t="n">
        <v>46953</v>
      </c>
      <c r="B4" t="inlineStr">
        <is>
          <t>Byrd Eagles</t>
        </is>
      </c>
      <c r="C4" t="inlineStr">
        <is>
          <t>Zoe Parrish</t>
        </is>
      </c>
      <c r="D4" t="n">
        <v>0</v>
      </c>
    </row>
    <row r="5">
      <c r="A5" t="n">
        <v>55753</v>
      </c>
      <c r="B5" t="inlineStr">
        <is>
          <t>Mighty Minions</t>
        </is>
      </c>
      <c r="C5" t="inlineStr">
        <is>
          <t>Jennifer Vermillion</t>
        </is>
      </c>
      <c r="D5" t="n">
        <v>0</v>
      </c>
    </row>
    <row r="6">
      <c r="A6" t="n">
        <v>61183</v>
      </c>
      <c r="B6" t="inlineStr">
        <is>
          <t>Goochland ArchaeOTTics</t>
        </is>
      </c>
      <c r="C6" t="inlineStr">
        <is>
          <t>Amie Potter</t>
        </is>
      </c>
      <c r="D6" t="n">
        <v>0</v>
      </c>
    </row>
    <row r="7">
      <c r="A7" t="n">
        <v>70607</v>
      </c>
      <c r="B7" t="inlineStr">
        <is>
          <t>Kaechele Coyotes</t>
        </is>
      </c>
      <c r="C7" t="inlineStr">
        <is>
          <t>Christina Stewart</t>
        </is>
      </c>
      <c r="D7" t="n">
        <v>0</v>
      </c>
    </row>
    <row r="8">
      <c r="A8" t="n">
        <v>70609</v>
      </c>
      <c r="B8" t="inlineStr">
        <is>
          <t>7Pines Penguins</t>
        </is>
      </c>
      <c r="C8" t="inlineStr">
        <is>
          <t>Katie Malzahn</t>
        </is>
      </c>
      <c r="D8" t="n">
        <v>0</v>
      </c>
    </row>
    <row r="9">
      <c r="A9" t="n">
        <v>71991</v>
      </c>
      <c r="B9" t="inlineStr">
        <is>
          <t>Team ABC</t>
        </is>
      </c>
      <c r="C9" t="inlineStr">
        <is>
          <t>Lauren Patterson</t>
        </is>
      </c>
      <c r="D9" t="n">
        <v>0</v>
      </c>
    </row>
    <row r="10">
      <c r="A10" t="n">
        <v>72504</v>
      </c>
      <c r="B10" t="inlineStr">
        <is>
          <t>Byrd Bots</t>
        </is>
      </c>
      <c r="C10" t="inlineStr">
        <is>
          <t>Zoe Parrish</t>
        </is>
      </c>
      <c r="D10" t="n">
        <v>0</v>
      </c>
    </row>
    <row r="11">
      <c r="A11" t="n">
        <v>72528</v>
      </c>
      <c r="B11" t="inlineStr">
        <is>
          <t>LS Saints 25</t>
        </is>
      </c>
      <c r="C11" t="inlineStr">
        <is>
          <t>Padgett Shoemake</t>
        </is>
      </c>
      <c r="D11"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Glen_Allen</t>
        </is>
      </c>
    </row>
    <row r="5">
      <c r="A5" t="inlineStr">
        <is>
          <t>Tournament Long Name</t>
        </is>
      </c>
      <c r="B5" t="inlineStr">
        <is>
          <t>Glen Allen 2025 Unearthed Qualifier Tournament</t>
        </is>
      </c>
    </row>
    <row r="6">
      <c r="A6" t="inlineStr">
        <is>
          <t>Completed Script File</t>
        </is>
      </c>
      <c r="B6" t="inlineStr">
        <is>
          <t>c:\github-projects\OJS_Script_maker_NG\2025-all\tournaments\Glen_Allen\closing_ceremony.html</t>
        </is>
      </c>
    </row>
    <row r="7">
      <c r="A7" t="inlineStr">
        <is>
          <t>Using Divisions</t>
        </is>
      </c>
      <c r="B7" t="b">
        <v>1</v>
      </c>
    </row>
    <row r="8">
      <c r="A8" t="inlineStr">
        <is>
          <t>Division</t>
        </is>
      </c>
      <c r="B8" t="inlineStr">
        <is>
          <t>D1</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9"/>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Robot Design 1st Place</t>
        </is>
      </c>
      <c r="C3" t="inlineStr">
        <is>
          <t>Robot Game 2nd Place</t>
        </is>
      </c>
    </row>
    <row r="4">
      <c r="A4" t="inlineStr">
        <is>
          <t>Innovation Project 1st Place</t>
        </is>
      </c>
    </row>
    <row r="5">
      <c r="A5" t="inlineStr">
        <is>
          <t>Core Values 1st Place</t>
        </is>
      </c>
    </row>
    <row r="6">
      <c r="A6" t="inlineStr">
        <is>
          <t>Judges 1</t>
        </is>
      </c>
    </row>
    <row r="7">
      <c r="A7" t="inlineStr">
        <is>
          <t>Judges 2</t>
        </is>
      </c>
    </row>
    <row r="8">
      <c r="A8" t="inlineStr">
        <is>
          <t>Judges 3</t>
        </is>
      </c>
    </row>
    <row r="9">
      <c r="A9" t="inlineStr">
        <is>
          <t>Judges 4</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1"/>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1840</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46953</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55753</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61183</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70607</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70609</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71991</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72504</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72528</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1">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1" showDropDown="0" showInputMessage="0" showErrorMessage="0" allowBlank="1" type="list">
      <formula1>Awards</formula1>
    </dataValidation>
    <dataValidation sqref="Q3:Q11"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0"/>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1840</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46953</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55753</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61183</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70607</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70609</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71991</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72504</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72528</v>
      </c>
      <c r="B10" s="106">
        <f>INDEX(OfficialTeamList[Team Name],MATCH(RobotGameScores[[#This Row],[Team Number]], OfficialTeamList[Team '#],0))</f>
        <v/>
      </c>
      <c r="C10" s="107" t="n"/>
      <c r="D10" s="107" t="n"/>
      <c r="E10" s="107" t="n"/>
      <c r="F10"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0"/>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1840</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46953</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55753</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61183</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70607</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70609</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71991</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72504</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72528</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0"/>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1840</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46953</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55753</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61183</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70607</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70609</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71991</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72504</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72528</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0"/>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1840</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46953</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55753</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61183</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70607</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70609</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71991</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72504</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72528</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2025-12-20T04:11:54Z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