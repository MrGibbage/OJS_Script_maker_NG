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25784</v>
      </c>
      <c r="B3" s="68" t="inlineStr">
        <is>
          <t>Gray Saints</t>
        </is>
      </c>
      <c r="C3" s="68" t="inlineStr">
        <is>
          <t>David Shin</t>
        </is>
      </c>
      <c r="D3" s="69" t="n">
        <v>0</v>
      </c>
      <c r="H3" s="3" t="n"/>
    </row>
    <row r="4">
      <c r="A4" t="n">
        <v>31135</v>
      </c>
      <c r="B4" t="inlineStr">
        <is>
          <t>Lourdes of Legos</t>
        </is>
      </c>
      <c r="C4" t="inlineStr">
        <is>
          <t>Victoria Parks</t>
        </is>
      </c>
      <c r="D4" t="n">
        <v>0</v>
      </c>
    </row>
    <row r="5">
      <c r="A5" t="n">
        <v>31587</v>
      </c>
      <c r="B5" t="inlineStr">
        <is>
          <t>Gremlin Gladiators</t>
        </is>
      </c>
      <c r="C5" t="inlineStr">
        <is>
          <t>Emmalee Edwards</t>
        </is>
      </c>
      <c r="D5" t="n">
        <v>0</v>
      </c>
    </row>
    <row r="6">
      <c r="A6" t="n">
        <v>40305</v>
      </c>
      <c r="B6" t="inlineStr">
        <is>
          <t>The Mountain Miners</t>
        </is>
      </c>
      <c r="C6" t="inlineStr">
        <is>
          <t>Rob Walters</t>
        </is>
      </c>
      <c r="D6" t="n">
        <v>0</v>
      </c>
    </row>
    <row r="7">
      <c r="A7" t="n">
        <v>53732</v>
      </c>
      <c r="B7" t="inlineStr">
        <is>
          <t>The Lego My Eggo Cows</t>
        </is>
      </c>
      <c r="C7" t="inlineStr">
        <is>
          <t>Kevin OLeary</t>
        </is>
      </c>
      <c r="D7" t="n">
        <v>0</v>
      </c>
    </row>
    <row r="8">
      <c r="A8" t="n">
        <v>58085</v>
      </c>
      <c r="B8" t="inlineStr">
        <is>
          <t>Digital Diggers</t>
        </is>
      </c>
      <c r="C8" t="inlineStr">
        <is>
          <t>Jennifer Vermillion</t>
        </is>
      </c>
      <c r="D8" t="n">
        <v>0</v>
      </c>
    </row>
    <row r="9">
      <c r="A9" t="n">
        <v>60386</v>
      </c>
      <c r="B9" t="inlineStr">
        <is>
          <t>Trailblazing Titans</t>
        </is>
      </c>
      <c r="C9" t="inlineStr">
        <is>
          <t>Amitesh Chandra</t>
        </is>
      </c>
      <c r="D9" t="n">
        <v>0</v>
      </c>
    </row>
    <row r="10">
      <c r="A10" t="n">
        <v>63325</v>
      </c>
      <c r="B10" t="inlineStr">
        <is>
          <t>Torch Techs</t>
        </is>
      </c>
      <c r="C10" t="inlineStr">
        <is>
          <t>Rachael Rachau</t>
        </is>
      </c>
      <c r="D10" t="n">
        <v>0</v>
      </c>
    </row>
    <row r="11">
      <c r="A11" t="n">
        <v>63327</v>
      </c>
      <c r="B11" t="inlineStr">
        <is>
          <t>Blaze Bots</t>
        </is>
      </c>
      <c r="C11" t="inlineStr">
        <is>
          <t>Rachael Rachau</t>
        </is>
      </c>
      <c r="D11" t="n">
        <v>0</v>
      </c>
    </row>
    <row r="12">
      <c r="A12" t="n">
        <v>64912</v>
      </c>
      <c r="B12" t="inlineStr">
        <is>
          <t>Circuit Sisters</t>
        </is>
      </c>
      <c r="C12" t="inlineStr">
        <is>
          <t>Jennifer Vermillion</t>
        </is>
      </c>
      <c r="D12" t="n">
        <v>0</v>
      </c>
    </row>
    <row r="13">
      <c r="A13" t="n">
        <v>66016</v>
      </c>
      <c r="B13" t="inlineStr">
        <is>
          <t>BuildBots</t>
        </is>
      </c>
      <c r="C13" t="inlineStr">
        <is>
          <t>Bruce Davies</t>
        </is>
      </c>
      <c r="D13" t="n">
        <v>0</v>
      </c>
    </row>
    <row r="14">
      <c r="A14" t="n">
        <v>66242</v>
      </c>
      <c r="B14" t="inlineStr">
        <is>
          <t>Bionic Blobfish</t>
        </is>
      </c>
      <c r="C14" t="inlineStr">
        <is>
          <t>Jennifer Soult</t>
        </is>
      </c>
      <c r="D14" t="n">
        <v>0</v>
      </c>
    </row>
    <row r="15">
      <c r="A15" t="n">
        <v>67169</v>
      </c>
      <c r="B15" t="inlineStr">
        <is>
          <t>Quioccasin Lego Llamas</t>
        </is>
      </c>
      <c r="C15" t="inlineStr">
        <is>
          <t>Michael Capozzoli</t>
        </is>
      </c>
      <c r="D15" t="n">
        <v>0</v>
      </c>
    </row>
    <row r="16">
      <c r="A16" t="n">
        <v>71532</v>
      </c>
      <c r="B16" t="inlineStr">
        <is>
          <t>Rockingham County 4-H</t>
        </is>
      </c>
      <c r="C16" t="inlineStr">
        <is>
          <t>Ashley  Craun</t>
        </is>
      </c>
      <c r="D16" t="n">
        <v>0</v>
      </c>
    </row>
    <row r="17">
      <c r="A17" t="n">
        <v>72306</v>
      </c>
      <c r="B17" t="inlineStr">
        <is>
          <t>Quioccasin Lego Alpacas</t>
        </is>
      </c>
      <c r="C17" t="inlineStr">
        <is>
          <t>Michael Capozzoli</t>
        </is>
      </c>
      <c r="D1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Glen_Allen</t>
        </is>
      </c>
    </row>
    <row r="5">
      <c r="A5" t="inlineStr">
        <is>
          <t>Tournament Long Name</t>
        </is>
      </c>
      <c r="B5" t="inlineStr">
        <is>
          <t>Glen Allen 2025 Unearthed Qualifier Tournament</t>
        </is>
      </c>
    </row>
    <row r="6">
      <c r="A6" t="inlineStr">
        <is>
          <t>Completed Script File</t>
        </is>
      </c>
      <c r="B6" t="inlineStr">
        <is>
          <t>c:\github-projects\OJS_Script_maker_NG\2025-all\tournaments\Glen_Allen\closing_ceremony.html</t>
        </is>
      </c>
    </row>
    <row r="7">
      <c r="A7" t="inlineStr">
        <is>
          <t>Using Divisions</t>
        </is>
      </c>
      <c r="B7" t="b">
        <v>1</v>
      </c>
    </row>
    <row r="8">
      <c r="A8" t="inlineStr">
        <is>
          <t>Division</t>
        </is>
      </c>
      <c r="B8" t="inlineStr">
        <is>
          <t>D2</t>
        </is>
      </c>
    </row>
    <row r="9">
      <c r="A9" t="inlineStr">
        <is>
          <t>Advancing</t>
        </is>
      </c>
      <c r="B9" t="n">
        <v>4</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25784</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31135</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31587</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40305</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53732</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58085</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60386</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63325</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63327</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64912</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66016</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66242</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67169</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71532</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72306</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7" showDropDown="0" showInputMessage="0" showErrorMessage="0" allowBlank="1" type="list">
      <formula1>Awards</formula1>
    </dataValidation>
    <dataValidation sqref="Q3:Q1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25784</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31135</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31587</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40305</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53732</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58085</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60386</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63325</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63327</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64912</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66016</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66242</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67169</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71532</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72306</v>
      </c>
      <c r="B16" s="106">
        <f>INDEX(OfficialTeamList[Team Name],MATCH(RobotGameScores[[#This Row],[Team Number]], OfficialTeamList[Team '#],0))</f>
        <v/>
      </c>
      <c r="C16" s="107" t="n"/>
      <c r="D16" s="107" t="n"/>
      <c r="E16" s="107" t="n"/>
      <c r="F1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25784</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31135</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31587</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40305</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53732</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58085</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60386</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63325</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63327</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64912</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66016</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66242</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67169</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71532</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72306</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25784</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31135</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31587</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40305</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53732</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58085</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60386</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63325</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63327</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64912</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66016</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66242</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67169</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71532</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72306</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25784</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31135</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31587</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40305</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53732</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58085</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60386</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63325</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63327</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64912</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66016</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66242</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67169</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71532</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72306</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2025-12-20T04:12:07Z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