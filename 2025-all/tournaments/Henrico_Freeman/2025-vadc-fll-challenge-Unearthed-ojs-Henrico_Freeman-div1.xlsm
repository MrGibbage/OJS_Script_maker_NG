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0"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9"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0"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9"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9"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9"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9"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0"/>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55754</v>
      </c>
      <c r="B3" s="68" t="inlineStr">
        <is>
          <t>Fire Breathing Gummy Bears</t>
        </is>
      </c>
      <c r="C3" s="68" t="inlineStr">
        <is>
          <t>Jennifer Vermillion</t>
        </is>
      </c>
      <c r="D3" s="69" t="n">
        <v>0</v>
      </c>
      <c r="H3" s="3" t="n"/>
    </row>
    <row r="4">
      <c r="A4" t="n">
        <v>63329</v>
      </c>
      <c r="B4" t="inlineStr">
        <is>
          <t>Torch Blazers</t>
        </is>
      </c>
      <c r="C4" t="inlineStr">
        <is>
          <t>Rachael Rachau</t>
        </is>
      </c>
      <c r="D4" t="n">
        <v>0</v>
      </c>
    </row>
    <row r="5">
      <c r="A5" t="n">
        <v>65210</v>
      </c>
      <c r="B5" t="inlineStr">
        <is>
          <t>Skipwith Cardinal Lego League</t>
        </is>
      </c>
      <c r="C5" t="inlineStr">
        <is>
          <t>Lindsey  Beckham</t>
        </is>
      </c>
      <c r="D5" t="n">
        <v>0</v>
      </c>
    </row>
    <row r="6">
      <c r="A6" t="n">
        <v>65224</v>
      </c>
      <c r="B6" t="inlineStr">
        <is>
          <t>Baker Tigers</t>
        </is>
      </c>
      <c r="C6" t="inlineStr">
        <is>
          <t>Megan Blunt</t>
        </is>
      </c>
      <c r="D6" t="n">
        <v>0</v>
      </c>
    </row>
    <row r="7">
      <c r="A7" t="n">
        <v>70756</v>
      </c>
      <c r="B7" t="inlineStr">
        <is>
          <t>Chicken Jockey</t>
        </is>
      </c>
      <c r="C7" t="inlineStr">
        <is>
          <t>Ranganathan Sreeramulu</t>
        </is>
      </c>
      <c r="D7" t="n">
        <v>0</v>
      </c>
    </row>
    <row r="8">
      <c r="A8" t="n">
        <v>72282</v>
      </c>
      <c r="B8" t="inlineStr">
        <is>
          <t>Maybeury Mallards Challenge</t>
        </is>
      </c>
      <c r="C8" t="inlineStr">
        <is>
          <t>Christina Robertson</t>
        </is>
      </c>
      <c r="D8" t="n">
        <v>0</v>
      </c>
    </row>
    <row r="9">
      <c r="A9" t="n">
        <v>73808</v>
      </c>
      <c r="B9" t="inlineStr">
        <is>
          <t>Robo Blazers</t>
        </is>
      </c>
      <c r="C9" t="inlineStr">
        <is>
          <t>Lingeshwar Nemani</t>
        </is>
      </c>
      <c r="D9" t="n">
        <v>0</v>
      </c>
    </row>
    <row r="10">
      <c r="A10" t="n">
        <v>73833</v>
      </c>
      <c r="B10" t="inlineStr">
        <is>
          <t>Maybeury Diggers</t>
        </is>
      </c>
      <c r="C10" t="inlineStr">
        <is>
          <t>Christina Robertson</t>
        </is>
      </c>
      <c r="D10"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Henrico_Freeman</t>
        </is>
      </c>
    </row>
    <row r="5">
      <c r="A5" t="inlineStr">
        <is>
          <t>Tournament Long Name</t>
        </is>
      </c>
      <c r="B5" t="inlineStr">
        <is>
          <t>Henrico Freeman 2025 Unearthed Qualifier Tournament</t>
        </is>
      </c>
    </row>
    <row r="6">
      <c r="A6" t="inlineStr">
        <is>
          <t>Completed Script File</t>
        </is>
      </c>
      <c r="B6" t="inlineStr">
        <is>
          <t>c:\github-projects\OJS_Script_maker_NG\2025-all\tournaments\Henrico_Freeman\closing_ceremony.html</t>
        </is>
      </c>
    </row>
    <row r="7">
      <c r="A7" t="inlineStr">
        <is>
          <t>Using Divisions</t>
        </is>
      </c>
      <c r="B7" t="b">
        <v>1</v>
      </c>
    </row>
    <row r="8">
      <c r="A8" t="inlineStr">
        <is>
          <t>Division</t>
        </is>
      </c>
      <c r="B8" t="inlineStr">
        <is>
          <t>D1</t>
        </is>
      </c>
    </row>
    <row r="9">
      <c r="A9" t="inlineStr">
        <is>
          <t>Advancing</t>
        </is>
      </c>
      <c r="B9"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9"/>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Robot Design 1st Place</t>
        </is>
      </c>
      <c r="C3" t="inlineStr">
        <is>
          <t>Robot Game 2nd Place</t>
        </is>
      </c>
    </row>
    <row r="4">
      <c r="A4" t="inlineStr">
        <is>
          <t>Innovation Project 1st Place</t>
        </is>
      </c>
    </row>
    <row r="5">
      <c r="A5" t="inlineStr">
        <is>
          <t>Core Values 1st Place</t>
        </is>
      </c>
    </row>
    <row r="6">
      <c r="A6" t="inlineStr">
        <is>
          <t>Judges 1</t>
        </is>
      </c>
    </row>
    <row r="7">
      <c r="A7" t="inlineStr">
        <is>
          <t>Judges 2</t>
        </is>
      </c>
    </row>
    <row r="8">
      <c r="A8" t="inlineStr">
        <is>
          <t>Judges 3</t>
        </is>
      </c>
    </row>
    <row r="9">
      <c r="A9" t="inlineStr">
        <is>
          <t>Judges 4</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0"/>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55754</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63329</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65210</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65224</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70756</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72282</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73808</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73833</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0">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0" showDropDown="0" showInputMessage="0" showErrorMessage="0" allowBlank="1" type="list">
      <formula1>Awards</formula1>
    </dataValidation>
    <dataValidation sqref="Q3:Q10"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9"/>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55754</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63329</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65210</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65224</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70756</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72282</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73808</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73833</v>
      </c>
      <c r="B9" s="106">
        <f>INDEX(OfficialTeamList[Team Name],MATCH(RobotGameScores[[#This Row],[Team Number]], OfficialTeamList[Team '#],0))</f>
        <v/>
      </c>
      <c r="C9" s="107" t="n"/>
      <c r="D9" s="107" t="n"/>
      <c r="E9" s="107" t="n"/>
      <c r="F9"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9"/>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55754</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63329</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65210</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65224</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70756</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72282</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73808</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73833</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9"/>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55754</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63329</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65210</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65224</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70756</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72282</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73808</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73833</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9"/>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55754</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63329</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65210</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65224</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70756</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72282</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73808</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73833</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2025-12-20T04:12:03Z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