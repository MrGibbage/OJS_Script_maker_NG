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9"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15"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4"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9"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8"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8"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8"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8"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9"/>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24277</v>
      </c>
      <c r="B3" s="68" t="inlineStr">
        <is>
          <t>Norfolk Collegiate O.A.K.S.</t>
        </is>
      </c>
      <c r="C3" s="68" t="inlineStr">
        <is>
          <t>Skip Morrow</t>
        </is>
      </c>
      <c r="D3" s="69" t="n">
        <v>0</v>
      </c>
      <c r="H3" s="3" t="n"/>
    </row>
    <row r="4">
      <c r="A4" t="n">
        <v>26034</v>
      </c>
      <c r="B4" t="inlineStr">
        <is>
          <t>OLMC White Team</t>
        </is>
      </c>
      <c r="C4" t="inlineStr">
        <is>
          <t>Patrick McFadden</t>
        </is>
      </c>
      <c r="D4" t="n">
        <v>0</v>
      </c>
    </row>
    <row r="5">
      <c r="A5" t="n">
        <v>60801</v>
      </c>
      <c r="B5" t="inlineStr">
        <is>
          <t>ESPs</t>
        </is>
      </c>
      <c r="C5" t="inlineStr">
        <is>
          <t>Heather Perry</t>
        </is>
      </c>
      <c r="D5" t="n">
        <v>0</v>
      </c>
    </row>
    <row r="6">
      <c r="A6" t="n">
        <v>67083</v>
      </c>
      <c r="B6" t="inlineStr">
        <is>
          <t>Wired Dolphins</t>
        </is>
      </c>
      <c r="C6" t="inlineStr">
        <is>
          <t>Jonathan Torch</t>
        </is>
      </c>
      <c r="D6" t="n">
        <v>0</v>
      </c>
    </row>
    <row r="7">
      <c r="A7" t="n">
        <v>67801</v>
      </c>
      <c r="B7" t="inlineStr">
        <is>
          <t>Scorpion Tech Force</t>
        </is>
      </c>
      <c r="C7" t="inlineStr">
        <is>
          <t>Jhalak Pattnaik</t>
        </is>
      </c>
      <c r="D7" t="n">
        <v>0</v>
      </c>
    </row>
    <row r="8">
      <c r="A8" t="n">
        <v>68850</v>
      </c>
      <c r="B8" t="inlineStr">
        <is>
          <t>MCH Marvels</t>
        </is>
      </c>
      <c r="C8" t="inlineStr">
        <is>
          <t>Kathy Hendrickson</t>
        </is>
      </c>
      <c r="D8" t="n">
        <v>0</v>
      </c>
    </row>
    <row r="9">
      <c r="A9" t="n">
        <v>71673</v>
      </c>
      <c r="B9" t="inlineStr">
        <is>
          <t>SMS Eaglebots 1</t>
        </is>
      </c>
      <c r="C9" t="inlineStr">
        <is>
          <t>Lisa Bromley</t>
        </is>
      </c>
      <c r="D9"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Norfolk</t>
        </is>
      </c>
    </row>
    <row r="5">
      <c r="A5" t="inlineStr">
        <is>
          <t>Tournament Long Name</t>
        </is>
      </c>
      <c r="B5" t="inlineStr">
        <is>
          <t>Norfolk 2025 Unearthed Qualifier Tournament</t>
        </is>
      </c>
    </row>
    <row r="6">
      <c r="A6" t="inlineStr">
        <is>
          <t>Completed Script File</t>
        </is>
      </c>
      <c r="B6" t="inlineStr">
        <is>
          <t>c:\github-projects\OJS_Script_maker_NG\2025-all\tournaments\Norfolk\closing_ceremony.html</t>
        </is>
      </c>
    </row>
    <row r="7">
      <c r="A7" t="inlineStr">
        <is>
          <t>Using Divisions</t>
        </is>
      </c>
      <c r="B7" t="b">
        <v>1</v>
      </c>
    </row>
    <row r="8">
      <c r="A8" t="inlineStr">
        <is>
          <t>Division</t>
        </is>
      </c>
      <c r="B8" t="inlineStr">
        <is>
          <t>D2</t>
        </is>
      </c>
    </row>
    <row r="9">
      <c r="A9" t="inlineStr">
        <is>
          <t>Advancing</t>
        </is>
      </c>
      <c r="B9" t="n">
        <v>2</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15"/>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Champions 2nd Place</t>
        </is>
      </c>
      <c r="C3" t="inlineStr">
        <is>
          <t>Robot Game 2nd Place</t>
        </is>
      </c>
    </row>
    <row r="4">
      <c r="A4" t="inlineStr">
        <is>
          <t>Champions 3rd Place</t>
        </is>
      </c>
      <c r="C4" t="inlineStr">
        <is>
          <t>Robot Game 3rd Place</t>
        </is>
      </c>
    </row>
    <row r="5">
      <c r="A5" t="inlineStr">
        <is>
          <t>Robot Design 1st Place</t>
        </is>
      </c>
    </row>
    <row r="6">
      <c r="A6" t="inlineStr">
        <is>
          <t>Robot Design 2nd Place</t>
        </is>
      </c>
    </row>
    <row r="7">
      <c r="A7" t="inlineStr">
        <is>
          <t>Robot Design 3rd Place</t>
        </is>
      </c>
    </row>
    <row r="8">
      <c r="A8" t="inlineStr">
        <is>
          <t>Innovation Project 1st Place</t>
        </is>
      </c>
    </row>
    <row r="9">
      <c r="A9" t="inlineStr">
        <is>
          <t>Innovation Project 2nd Place</t>
        </is>
      </c>
    </row>
    <row r="10">
      <c r="A10" t="inlineStr">
        <is>
          <t>Innovation Project 3rd Place</t>
        </is>
      </c>
    </row>
    <row r="11">
      <c r="A11" t="inlineStr">
        <is>
          <t>Core Values 1st Place</t>
        </is>
      </c>
    </row>
    <row r="12">
      <c r="A12" t="inlineStr">
        <is>
          <t>Core Values 2nd Place</t>
        </is>
      </c>
    </row>
    <row r="13">
      <c r="A13" t="inlineStr">
        <is>
          <t>Core Values 3rd Place</t>
        </is>
      </c>
    </row>
    <row r="14">
      <c r="A14" t="inlineStr">
        <is>
          <t>Judges 1</t>
        </is>
      </c>
    </row>
    <row r="15">
      <c r="A15" t="inlineStr">
        <is>
          <t>Judges 2</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9"/>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24277</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26034</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60801</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67083</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67801</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68850</v>
      </c>
      <c r="B8" s="104">
        <f>INDEX(OfficialTeamList[Pod Number],MATCH(TournamentData[[#This Row],[Team Number]], OfficialTeamList[Team '#],0))</f>
        <v/>
      </c>
      <c r="C8" s="95">
        <f>INDEX(OfficialTeamList[Team Name],MATCH(TournamentData[[#This Row],[Team Number]], OfficialTeamList[Team '#],0))</f>
        <v/>
      </c>
      <c r="D8" s="73">
        <f>IF(TournamentData[[#This Row],[Team Number]]="","",IF(ISNA(INDEX('Robot Game Scores'!C:C,MATCH(TournamentData[[#This Row],[Team Number]], 'Robot Game Scores'!$A:$A,0))),0,INDEX('Robot Game Scores'!C:C,MATCH(TournamentData[[#This Row],[Team Number]], 'Robot Game Scores'!$A:$A,0))))</f>
        <v/>
      </c>
      <c r="E8" s="73">
        <f>IF(TournamentData[[#This Row],[Team Number]]="","",IF(ISNA(INDEX('Robot Game Scores'!D:D,MATCH(TournamentData[[#This Row],[Team Number]], 'Robot Game Scores'!$A:$A,0))),0,INDEX('Robot Game Scores'!D:D,MATCH(TournamentData[[#This Row],[Team Number]], 'Robot Game Scores'!$A:$A,0))))</f>
        <v/>
      </c>
      <c r="F8" s="73">
        <f>IF(TournamentData[[#This Row],[Team Number]]="","",IF(ISNA(INDEX('Robot Game Scores'!E:E,MATCH(TournamentData[[#This Row],[Team Number]], 'Robot Game Scores'!$A:$A,0))),0,INDEX('Robot Game Scores'!E:E,MATCH(TournamentData[[#This Row],[Team Number]], 'Robot Game Scores'!$A:$A,0))))</f>
        <v/>
      </c>
      <c r="G8" s="73">
        <f>IF(TournamentData[[#This Row],[Team Number]]="","",IF(ISNA(INDEX('Robot Game Scores'!#REF!,MATCH(TournamentData[[#This Row],[Team Number]], 'Robot Game Scores'!$A:$A,0))),0,INDEX('Robot Game Scores'!#REF!,MATCH(TournamentData[[#This Row],[Team Number]], 'Robot Game Scores'!$A:$A,0))))</f>
        <v/>
      </c>
      <c r="H8" s="73">
        <f>IF(TournamentData[[#This Row],[Team Number]]="","",IF(ISNA(INDEX('Robot Game Scores'!#REF!,MATCH(TournamentData[[#This Row],[Team Number]], 'Robot Game Scores'!$A:$A,0))),0,INDEX('Robot Game Scores'!#REF!,MATCH(TournamentData[[#This Row],[Team Number]],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Number]],CoreValuesResults[Team Number],0))</f>
        <v/>
      </c>
      <c r="L8" s="73">
        <f>INDEX(InnovationProjectResults[Innovation Project Rank],MATCH(TournamentData[[#This Row],[Team Number]],InnovationProjectResults[Team Number],0))</f>
        <v/>
      </c>
      <c r="M8" s="73">
        <f>INDEX(RobotDesignResults[Robot Design Rank],MATCH(TournamentData[[#This Row],[Team Number]],RobotDesignResults[Team Number],0))</f>
        <v/>
      </c>
      <c r="N8" s="73">
        <f>SUM(TournamentData[[#This Row],[Robot Game Rank]:[Robot Design Rank]])</f>
        <v/>
      </c>
      <c r="O8" s="105">
        <f>RANK(TournamentData[[#This Row],[Champion''s Score]],TournamentData[Champion''s Score],1)</f>
        <v/>
      </c>
      <c r="P8" s="74" t="n"/>
      <c r="Q8" s="78" t="n"/>
      <c r="R8" s="75">
        <f>IF(ISNA(INDEX(CoreValuesResults[Core Values Score],MATCH(TournamentData[[#This Row],[Team Number]],CoreValuesResults[Team Number],0))),0,INDEX(CoreValuesResults[Core Values Score],MATCH(TournamentData[[#This Row],[Team Number]],CoreValuesResults[Team Number],0)))</f>
        <v/>
      </c>
      <c r="S8" s="75">
        <f>IF(ISNA(INDEX(InnovationProjectResults[Innovation Project Score],MATCH(TournamentData[[#This Row],[Team Number]],InnovationProjectResults[Team Number],0))),0,INDEX(InnovationProjectResults[Innovation Project Score],MATCH(TournamentData[[#This Row],[Team Number]],InnovationProjectResults[Team Number],0)))</f>
        <v/>
      </c>
      <c r="T8" s="75">
        <f>IF(ISNA(INDEX(RobotDesignResults[Robot Design Score],MATCH(TournamentData[[#This Row],[Team Number]],RobotDesignResults[Team Number],0))),0,INDEX(RobotDesignResults[Robot Design Score],MATCH(TournamentData[[#This Row],[Team Number]],RobotDesignResults[Team Number],0)))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row r="9" ht="21" customHeight="1">
      <c r="A9" s="104" t="n">
        <v>71673</v>
      </c>
      <c r="B9" s="104">
        <f>INDEX(OfficialTeamList[Pod Number],MATCH(TournamentData[[#This Row],[Team Number]], OfficialTeamList[Team '#],0))</f>
        <v/>
      </c>
      <c r="C9" s="95">
        <f>INDEX(OfficialTeamList[Team Name],MATCH(TournamentData[[#This Row],[Team Number]], OfficialTeamList[Team '#],0))</f>
        <v/>
      </c>
      <c r="D9" s="73">
        <f>IF(TournamentData[[#This Row],[Team Number]]="","",IF(ISNA(INDEX('Robot Game Scores'!C:C,MATCH(TournamentData[[#This Row],[Team Number]], 'Robot Game Scores'!$A:$A,0))),0,INDEX('Robot Game Scores'!C:C,MATCH(TournamentData[[#This Row],[Team Number]], 'Robot Game Scores'!$A:$A,0))))</f>
        <v/>
      </c>
      <c r="E9" s="73">
        <f>IF(TournamentData[[#This Row],[Team Number]]="","",IF(ISNA(INDEX('Robot Game Scores'!D:D,MATCH(TournamentData[[#This Row],[Team Number]], 'Robot Game Scores'!$A:$A,0))),0,INDEX('Robot Game Scores'!D:D,MATCH(TournamentData[[#This Row],[Team Number]], 'Robot Game Scores'!$A:$A,0))))</f>
        <v/>
      </c>
      <c r="F9" s="73">
        <f>IF(TournamentData[[#This Row],[Team Number]]="","",IF(ISNA(INDEX('Robot Game Scores'!E:E,MATCH(TournamentData[[#This Row],[Team Number]], 'Robot Game Scores'!$A:$A,0))),0,INDEX('Robot Game Scores'!E:E,MATCH(TournamentData[[#This Row],[Team Number]], 'Robot Game Scores'!$A:$A,0))))</f>
        <v/>
      </c>
      <c r="G9" s="73">
        <f>IF(TournamentData[[#This Row],[Team Number]]="","",IF(ISNA(INDEX('Robot Game Scores'!#REF!,MATCH(TournamentData[[#This Row],[Team Number]], 'Robot Game Scores'!$A:$A,0))),0,INDEX('Robot Game Scores'!#REF!,MATCH(TournamentData[[#This Row],[Team Number]], 'Robot Game Scores'!$A:$A,0))))</f>
        <v/>
      </c>
      <c r="H9" s="73">
        <f>IF(TournamentData[[#This Row],[Team Number]]="","",IF(ISNA(INDEX('Robot Game Scores'!#REF!,MATCH(TournamentData[[#This Row],[Team Number]], 'Robot Game Scores'!$A:$A,0))),0,INDEX('Robot Game Scores'!#REF!,MATCH(TournamentData[[#This Row],[Team Number]], 'Robot Game Scores'!$A:$A,0))))</f>
        <v/>
      </c>
      <c r="I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3">
        <f>_xlfn.RANK.EQ(TournamentData[[#This Row],[Max Robot Game Score]],TournamentData[Max Robot Game Score])</f>
        <v/>
      </c>
      <c r="K9" s="73">
        <f>INDEX(CoreValuesResults[Core Values Rank],MATCH(TournamentData[[#This Row],[Team Number]],CoreValuesResults[Team Number],0))</f>
        <v/>
      </c>
      <c r="L9" s="73">
        <f>INDEX(InnovationProjectResults[Innovation Project Rank],MATCH(TournamentData[[#This Row],[Team Number]],InnovationProjectResults[Team Number],0))</f>
        <v/>
      </c>
      <c r="M9" s="73">
        <f>INDEX(RobotDesignResults[Robot Design Rank],MATCH(TournamentData[[#This Row],[Team Number]],RobotDesignResults[Team Number],0))</f>
        <v/>
      </c>
      <c r="N9" s="73">
        <f>SUM(TournamentData[[#This Row],[Robot Game Rank]:[Robot Design Rank]])</f>
        <v/>
      </c>
      <c r="O9" s="105">
        <f>RANK(TournamentData[[#This Row],[Champion''s Score]],TournamentData[Champion''s Score],1)</f>
        <v/>
      </c>
      <c r="P9" s="74" t="n"/>
      <c r="Q9" s="78" t="n"/>
      <c r="R9" s="75">
        <f>IF(ISNA(INDEX(CoreValuesResults[Core Values Score],MATCH(TournamentData[[#This Row],[Team Number]],CoreValuesResults[Team Number],0))),0,INDEX(CoreValuesResults[Core Values Score],MATCH(TournamentData[[#This Row],[Team Number]],CoreValuesResults[Team Number],0)))</f>
        <v/>
      </c>
      <c r="S9" s="75">
        <f>IF(ISNA(INDEX(InnovationProjectResults[Innovation Project Score],MATCH(TournamentData[[#This Row],[Team Number]],InnovationProjectResults[Team Number],0))),0,INDEX(InnovationProjectResults[Innovation Project Score],MATCH(TournamentData[[#This Row],[Team Number]],InnovationProjectResults[Team Number],0)))</f>
        <v/>
      </c>
      <c r="T9" s="75">
        <f>IF(ISNA(INDEX(RobotDesignResults[Robot Design Score],MATCH(TournamentData[[#This Row],[Team Number]],RobotDesignResults[Team Number],0))),0,INDEX(RobotDesignResults[Robot Design Score],MATCH(TournamentData[[#This Row],[Team Number]],RobotDesignResults[Team Number],0)))</f>
        <v/>
      </c>
      <c r="U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74">
        <f>IF(U3,_xlfn.RANK.EQ(U3,U$3:U$3,0),NumberOfTeams)</f>
        <v/>
      </c>
      <c r="W9"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9">
    <cfRule type="expression" priority="17" dxfId="10">
      <formula>ROW()-NumberOfTeams=2</formula>
    </cfRule>
    <cfRule type="expression" priority="21" dxfId="8">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9" showDropDown="0" showInputMessage="0" showErrorMessage="0" allowBlank="1" type="list">
      <formula1>Awards</formula1>
    </dataValidation>
    <dataValidation sqref="Q3:Q9"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8"/>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24277</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26034</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60801</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67083</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67801</v>
      </c>
      <c r="B6" s="106">
        <f>INDEX(OfficialTeamList[Team Name],MATCH(RobotGameScores[[#This Row],[Team Number]], OfficialTeamList[Team '#],0))</f>
        <v/>
      </c>
      <c r="C6" s="107" t="n"/>
      <c r="D6" s="107" t="n"/>
      <c r="E6" s="107" t="n"/>
      <c r="F6" s="77">
        <f>MAX(RobotGameScores[[#This Row],[Robot Game 1 Score]:[Robot Game 3 Score]])</f>
        <v/>
      </c>
    </row>
    <row r="7" ht="21" customHeight="1">
      <c r="A7" s="104" t="n">
        <v>68850</v>
      </c>
      <c r="B7" s="106">
        <f>INDEX(OfficialTeamList[Team Name],MATCH(RobotGameScores[[#This Row],[Team Number]], OfficialTeamList[Team '#],0))</f>
        <v/>
      </c>
      <c r="C7" s="107" t="n"/>
      <c r="D7" s="107" t="n"/>
      <c r="E7" s="107" t="n"/>
      <c r="F7" s="77">
        <f>MAX(RobotGameScores[[#This Row],[Robot Game 1 Score]:[Robot Game 3 Score]])</f>
        <v/>
      </c>
    </row>
    <row r="8" ht="21" customHeight="1">
      <c r="A8" s="104" t="n">
        <v>71673</v>
      </c>
      <c r="B8" s="106">
        <f>INDEX(OfficialTeamList[Team Name],MATCH(RobotGameScores[[#This Row],[Team Number]], OfficialTeamList[Team '#],0))</f>
        <v/>
      </c>
      <c r="C8" s="107" t="n"/>
      <c r="D8" s="107" t="n"/>
      <c r="E8" s="107" t="n"/>
      <c r="F8"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8"/>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24277</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26034</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60801</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67083</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67801</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row r="7" ht="21" customHeight="1">
      <c r="A7" s="104" t="n">
        <v>68850</v>
      </c>
      <c r="B7" s="104">
        <f>INDEX(OfficialTeamList[Pod Number],MATCH(InnovationProjectResults[[#This Row],[Team Number]], OfficialTeamList[Team '#],0))</f>
        <v/>
      </c>
      <c r="C7" s="106">
        <f>INDEX(OfficialTeamList[Team Name],MATCH(InnovationProjectResults[[#This Row],[Team Number]], OfficialTeamList[Team '#],0))</f>
        <v/>
      </c>
      <c r="D7" s="107" t="n"/>
      <c r="E7" s="107" t="n"/>
      <c r="F7" s="107" t="n"/>
      <c r="G7" s="107" t="n"/>
      <c r="H7" s="107" t="n"/>
      <c r="I7" s="107" t="n"/>
      <c r="J7" s="107" t="n"/>
      <c r="K7" s="107" t="n"/>
      <c r="L7" s="107" t="n"/>
      <c r="M7" s="107" t="n"/>
      <c r="N7" s="77">
        <f>SUM(InnovationProjectResults[[#This Row],[Identify - Define]:[Communicate - Fun (CV)]])</f>
        <v/>
      </c>
      <c r="O7" s="70">
        <f>_xlfn.RANK.EQ(InnovationProjectResults[[#This Row],[Innovation Project Score]],InnovationProjectResults[Innovation Project Score],0)</f>
        <v/>
      </c>
    </row>
    <row r="8" ht="21" customHeight="1">
      <c r="A8" s="104" t="n">
        <v>71673</v>
      </c>
      <c r="B8" s="104">
        <f>INDEX(OfficialTeamList[Pod Number],MATCH(InnovationProjectResults[[#This Row],[Team Number]], OfficialTeamList[Team '#],0))</f>
        <v/>
      </c>
      <c r="C8" s="106">
        <f>INDEX(OfficialTeamList[Team Name],MATCH(InnovationProjectResults[[#This Row],[Team Number]], OfficialTeamList[Team '#],0))</f>
        <v/>
      </c>
      <c r="D8" s="107" t="n"/>
      <c r="E8" s="107" t="n"/>
      <c r="F8" s="107" t="n"/>
      <c r="G8" s="107" t="n"/>
      <c r="H8" s="107" t="n"/>
      <c r="I8" s="107" t="n"/>
      <c r="J8" s="107" t="n"/>
      <c r="K8" s="107" t="n"/>
      <c r="L8" s="107" t="n"/>
      <c r="M8" s="107" t="n"/>
      <c r="N8" s="77">
        <f>SUM(InnovationProjectResults[[#This Row],[Identify - Define]:[Communicate - Fun (CV)]])</f>
        <v/>
      </c>
      <c r="O8"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8"/>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24277</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26034</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60801</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67083</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67801</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row r="7" ht="21" customHeight="1">
      <c r="A7" s="104" t="n">
        <v>68850</v>
      </c>
      <c r="B7" s="104">
        <f>INDEX(OfficialTeamList[Pod Number],MATCH(RobotDesignResults[[#This Row],[Team Number]], OfficialTeamList[Team '#],0))</f>
        <v/>
      </c>
      <c r="C7" s="106">
        <f>INDEX(OfficialTeamList[Team Name],MATCH(RobotDesignResults[[#This Row],[Team Number]], OfficialTeamList[Team '#],0))</f>
        <v/>
      </c>
      <c r="D7" s="107" t="n"/>
      <c r="E7" s="107" t="n"/>
      <c r="F7" s="107" t="n"/>
      <c r="G7" s="107" t="n"/>
      <c r="H7" s="107" t="n"/>
      <c r="I7" s="107" t="n"/>
      <c r="J7" s="107" t="n"/>
      <c r="K7" s="107" t="n"/>
      <c r="L7" s="107" t="n"/>
      <c r="M7" s="107" t="n"/>
      <c r="N7" s="77">
        <f>SUM(RobotDesignResults[[#This Row],[Identify - Strategy]:[Communicate - Fun (CV)]])</f>
        <v/>
      </c>
      <c r="O7" s="70">
        <f>_xlfn.RANK.EQ(RobotDesignResults[[#This Row],[Robot Design Score]],RobotDesignResults[Robot Design Score],0)</f>
        <v/>
      </c>
    </row>
    <row r="8" ht="21" customHeight="1">
      <c r="A8" s="104" t="n">
        <v>71673</v>
      </c>
      <c r="B8" s="104">
        <f>INDEX(OfficialTeamList[Pod Number],MATCH(RobotDesignResults[[#This Row],[Team Number]], OfficialTeamList[Team '#],0))</f>
        <v/>
      </c>
      <c r="C8" s="106">
        <f>INDEX(OfficialTeamList[Team Name],MATCH(RobotDesignResults[[#This Row],[Team Number]], OfficialTeamList[Team '#],0))</f>
        <v/>
      </c>
      <c r="D8" s="107" t="n"/>
      <c r="E8" s="107" t="n"/>
      <c r="F8" s="107" t="n"/>
      <c r="G8" s="107" t="n"/>
      <c r="H8" s="107" t="n"/>
      <c r="I8" s="107" t="n"/>
      <c r="J8" s="107" t="n"/>
      <c r="K8" s="107" t="n"/>
      <c r="L8" s="107" t="n"/>
      <c r="M8" s="107" t="n"/>
      <c r="N8" s="77">
        <f>SUM(RobotDesignResults[[#This Row],[Identify - Strategy]:[Communicate - Fun (CV)]])</f>
        <v/>
      </c>
      <c r="O8"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8"/>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24277</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26034</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60801</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67083</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67801</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68850</v>
      </c>
      <c r="B7" s="104">
        <f>INDEX(OfficialTeamList[Pod Number],MATCH(CoreValuesResults[[#This Row],[Team Number]], OfficialTeamList[Team '#],0))</f>
        <v/>
      </c>
      <c r="C7" s="106">
        <f>INDEX(OfficialTeamList[Team Name],MATCH(CoreValuesResults[[#This Row],[Team Number]], OfficialTeamList[Team '#],0))</f>
        <v/>
      </c>
      <c r="D7" s="71">
        <f>INDEX(InnovationProjectResults[Identify - Research (CV)],MATCH(CoreValuesResults[[#This Row],[Team Number]],InnovationProjectResults[Team Number],0))</f>
        <v/>
      </c>
      <c r="E7" s="71">
        <f>INDEX(InnovationProjectResults[Design - Teamwork (CV)],MATCH(CoreValuesResults[[#This Row],[Team Number]],InnovationProjectResults[Team Number],0))</f>
        <v/>
      </c>
      <c r="F7" s="71">
        <f>INDEX(InnovationProjectResults[Create - Innovation (CV)],MATCH(CoreValuesResults[[#This Row],[Team Number]],InnovationProjectResults[Team Number],0))</f>
        <v/>
      </c>
      <c r="G7" s="71">
        <f>INDEX(InnovationProjectResults[Communicate - Impact (CV)],MATCH(CoreValuesResults[[#This Row],[Team Number]],InnovationProjectResults[Team Number],0))</f>
        <v/>
      </c>
      <c r="H7" s="71">
        <f>INDEX(InnovationProjectResults[Communicate - Fun (CV)],MATCH(CoreValuesResults[[#This Row],[Team Number]],InnovationProjectResults[Team Number],0))</f>
        <v/>
      </c>
      <c r="I7" s="71">
        <f>INDEX(RobotDesignResults[Identify - Research (CV)],MATCH(CoreValuesResults[[#This Row],[Team Number]],RobotDesignResults[Team Number],0))</f>
        <v/>
      </c>
      <c r="J7" s="71">
        <f>INDEX(RobotDesignResults[Design - Ideas (CV)],MATCH(CoreValuesResults[[#This Row],[Team Number]],RobotDesignResults[Team Number],0))</f>
        <v/>
      </c>
      <c r="K7" s="71">
        <f>INDEX(RobotDesignResults[Iterate - Improvements (CV)],MATCH(CoreValuesResults[[#This Row],[Team Number]],RobotDesignResults[Team Number],0))</f>
        <v/>
      </c>
      <c r="L7" s="71">
        <f>INDEX(RobotDesignResults[Communicate - Impact (CV)],MATCH(CoreValuesResults[[#This Row],[Team Number]],RobotDesignResults[Team Number],0))</f>
        <v/>
      </c>
      <c r="M7" s="71">
        <f>INDEX(RobotDesignResults[Communicate - Fun (CV)],MATCH(CoreValuesResults[[#This Row],[Team Number]],RobotDesignResults[Team Number],0))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row r="8" ht="21" customHeight="1">
      <c r="A8" s="104" t="n">
        <v>71673</v>
      </c>
      <c r="B8" s="104">
        <f>INDEX(OfficialTeamList[Pod Number],MATCH(CoreValuesResults[[#This Row],[Team Number]], OfficialTeamList[Team '#],0))</f>
        <v/>
      </c>
      <c r="C8" s="106">
        <f>INDEX(OfficialTeamList[Team Name],MATCH(CoreValuesResults[[#This Row],[Team Number]], OfficialTeamList[Team '#],0))</f>
        <v/>
      </c>
      <c r="D8" s="71">
        <f>INDEX(InnovationProjectResults[Identify - Research (CV)],MATCH(CoreValuesResults[[#This Row],[Team Number]],InnovationProjectResults[Team Number],0))</f>
        <v/>
      </c>
      <c r="E8" s="71">
        <f>INDEX(InnovationProjectResults[Design - Teamwork (CV)],MATCH(CoreValuesResults[[#This Row],[Team Number]],InnovationProjectResults[Team Number],0))</f>
        <v/>
      </c>
      <c r="F8" s="71">
        <f>INDEX(InnovationProjectResults[Create - Innovation (CV)],MATCH(CoreValuesResults[[#This Row],[Team Number]],InnovationProjectResults[Team Number],0))</f>
        <v/>
      </c>
      <c r="G8" s="71">
        <f>INDEX(InnovationProjectResults[Communicate - Impact (CV)],MATCH(CoreValuesResults[[#This Row],[Team Number]],InnovationProjectResults[Team Number],0))</f>
        <v/>
      </c>
      <c r="H8" s="71">
        <f>INDEX(InnovationProjectResults[Communicate - Fun (CV)],MATCH(CoreValuesResults[[#This Row],[Team Number]],InnovationProjectResults[Team Number],0))</f>
        <v/>
      </c>
      <c r="I8" s="71">
        <f>INDEX(RobotDesignResults[Identify - Research (CV)],MATCH(CoreValuesResults[[#This Row],[Team Number]],RobotDesignResults[Team Number],0))</f>
        <v/>
      </c>
      <c r="J8" s="71">
        <f>INDEX(RobotDesignResults[Design - Ideas (CV)],MATCH(CoreValuesResults[[#This Row],[Team Number]],RobotDesignResults[Team Number],0))</f>
        <v/>
      </c>
      <c r="K8" s="71">
        <f>INDEX(RobotDesignResults[Iterate - Improvements (CV)],MATCH(CoreValuesResults[[#This Row],[Team Number]],RobotDesignResults[Team Number],0))</f>
        <v/>
      </c>
      <c r="L8" s="71">
        <f>INDEX(RobotDesignResults[Communicate - Impact (CV)],MATCH(CoreValuesResults[[#This Row],[Team Number]],RobotDesignResults[Team Number],0))</f>
        <v/>
      </c>
      <c r="M8" s="71">
        <f>INDEX(RobotDesignResults[Communicate - Fun (CV)],MATCH(CoreValuesResults[[#This Row],[Team Number]],RobotDesignResults[Team Number],0))</f>
        <v/>
      </c>
      <c r="N8" s="78" t="n"/>
      <c r="O8" s="78" t="n"/>
      <c r="P8" s="78" t="n"/>
      <c r="Q8" s="104">
        <f>SUM(CoreValuesResults[[#This Row],[Gracious Professionalism 1]:[Gracious Professionalism 3]])</f>
        <v/>
      </c>
      <c r="R8" s="104">
        <f>SUM(N2:Q2)</f>
        <v/>
      </c>
      <c r="S8" s="77">
        <f>SUM(CoreValuesResults[[#This Row],[Identify - Research (CV-IP)]:[Communicate - Fun (CV-RD)]],CoreValuesResults[[#This Row],[Gracious Professionalism Score]])</f>
        <v/>
      </c>
      <c r="T8"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2025-12-19T17:43:33Z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