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965" yWindow="2430" windowWidth="28800" windowHeight="15345" tabRatio="879" firstSheet="0"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3">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color theme="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
      <name val="Calibri"/>
      <family val="2"/>
      <color theme="1"/>
      <sz val="11"/>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32" fillId="0" borderId="0"/>
    <xf numFmtId="43" fontId="32" fillId="0" borderId="0"/>
    <xf numFmtId="44" fontId="32" fillId="0" borderId="0"/>
  </cellStyleXfs>
  <cellXfs count="116">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14" fillId="0" borderId="0" pivotButton="0" quotePrefix="0" xfId="0"/>
    <xf numFmtId="0" fontId="0" fillId="3" borderId="0" applyAlignment="1" pivotButton="0" quotePrefix="0" xfId="0">
      <alignment horizontal="center" vertical="center"/>
    </xf>
    <xf numFmtId="0" fontId="16" fillId="3" borderId="0" applyAlignment="1" pivotButton="0" quotePrefix="0" xfId="0">
      <alignment horizontal="left" vertical="center"/>
    </xf>
    <xf numFmtId="0" fontId="17" fillId="3" borderId="0" applyAlignment="1" pivotButton="0" quotePrefix="0" xfId="0">
      <alignment horizontal="left" vertical="center"/>
    </xf>
    <xf numFmtId="0" fontId="16" fillId="3" borderId="0" applyAlignment="1" pivotButton="0" quotePrefix="0" xfId="0">
      <alignment vertical="top" wrapText="1"/>
    </xf>
    <xf numFmtId="49" fontId="16" fillId="3" borderId="0" applyAlignment="1" pivotButton="0" quotePrefix="0" xfId="0">
      <alignment horizontal="left" vertical="center"/>
    </xf>
    <xf numFmtId="0" fontId="15" fillId="0" borderId="0" applyAlignment="1" pivotButton="0" quotePrefix="0" xfId="0">
      <alignment horizontal="center" vertical="center"/>
    </xf>
    <xf numFmtId="0" fontId="0" fillId="0" borderId="4" pivotButton="0" quotePrefix="0" xfId="0"/>
    <xf numFmtId="0" fontId="18" fillId="0" borderId="0" applyAlignment="1" pivotButton="0" quotePrefix="0" xfId="0">
      <alignment horizontal="center" vertical="center" textRotation="90"/>
    </xf>
    <xf numFmtId="0" fontId="21" fillId="0" borderId="0" pivotButton="0" quotePrefix="0" xfId="0"/>
    <xf numFmtId="165" fontId="15" fillId="0" borderId="0" applyAlignment="1" pivotButton="0" quotePrefix="0" xfId="0">
      <alignment horizontal="center" vertical="center"/>
    </xf>
    <xf numFmtId="0" fontId="23" fillId="0" borderId="0" applyAlignment="1" pivotButton="0" quotePrefix="0" xfId="0">
      <alignment horizontal="left" vertical="center"/>
    </xf>
    <xf numFmtId="0" fontId="8" fillId="0" borderId="0" applyAlignment="1" pivotButton="0" quotePrefix="0" xfId="0">
      <alignment horizontal="center" vertical="center" wrapText="1"/>
    </xf>
    <xf numFmtId="0" fontId="24" fillId="0" borderId="0" applyAlignment="1" pivotButton="0" quotePrefix="0" xfId="0">
      <alignment horizontal="left" vertical="center" wrapText="1"/>
    </xf>
    <xf numFmtId="0" fontId="25"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7" fillId="19" borderId="0" applyAlignment="1" pivotButton="0" quotePrefix="0" xfId="0">
      <alignment horizontal="center" vertical="center" textRotation="90" wrapText="1"/>
    </xf>
    <xf numFmtId="0" fontId="27" fillId="19" borderId="0" applyAlignment="1" pivotButton="0" quotePrefix="0" xfId="0">
      <alignment horizontal="center" vertical="center" textRotation="90" wrapText="1"/>
    </xf>
    <xf numFmtId="0" fontId="28" fillId="18" borderId="0" applyAlignment="1" pivotButton="0" quotePrefix="0" xfId="0">
      <alignment horizontal="center" vertical="center" textRotation="90" wrapText="1"/>
    </xf>
    <xf numFmtId="0" fontId="28" fillId="10" borderId="0" applyAlignment="1" pivotButton="0" quotePrefix="0" xfId="0">
      <alignment horizontal="center" vertical="center" textRotation="90" wrapText="1"/>
    </xf>
    <xf numFmtId="0" fontId="28" fillId="18" borderId="3" applyAlignment="1" pivotButton="0" quotePrefix="0" xfId="0">
      <alignment horizontal="center" vertical="center" textRotation="90" wrapText="1"/>
    </xf>
    <xf numFmtId="0" fontId="26" fillId="16" borderId="0" applyAlignment="1" pivotButton="0" quotePrefix="0" xfId="0">
      <alignment horizontal="center" vertical="center" textRotation="90" wrapText="1"/>
    </xf>
    <xf numFmtId="0" fontId="28"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2" fillId="0" borderId="0" applyProtection="1" pivotButton="0" quotePrefix="0" xfId="0">
      <protection locked="0" hidden="0"/>
    </xf>
    <xf numFmtId="0" fontId="2" fillId="0" borderId="0" pivotButton="0" quotePrefix="0" xfId="0"/>
    <xf numFmtId="0" fontId="6" fillId="0" borderId="0" pivotButton="0" quotePrefix="0" xfId="0"/>
    <xf numFmtId="165" fontId="6" fillId="0" borderId="0" pivotButton="0" quotePrefix="0" xfId="0"/>
    <xf numFmtId="0" fontId="15" fillId="0" borderId="0" pivotButton="0" quotePrefix="0" xfId="0"/>
    <xf numFmtId="165" fontId="15" fillId="0" borderId="0" pivotButton="0" quotePrefix="0" xfId="0"/>
    <xf numFmtId="0" fontId="20"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165" fontId="1" fillId="0" borderId="0" pivotButton="0" quotePrefix="0" xfId="0"/>
    <xf numFmtId="165" fontId="0" fillId="0" borderId="0" pivotButton="0" quotePrefix="0" xfId="0"/>
    <xf numFmtId="0" fontId="0" fillId="0" borderId="0" applyProtection="1" pivotButton="0" quotePrefix="0" xfId="0">
      <protection locked="0" hidden="0"/>
    </xf>
    <xf numFmtId="1" fontId="0" fillId="0" borderId="0" applyProtection="1" pivotButton="0" quotePrefix="0" xfId="0">
      <protection locked="0" hidden="0"/>
    </xf>
    <xf numFmtId="2"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29" fillId="0" borderId="0" applyAlignment="1" pivotButton="0" quotePrefix="0" xfId="0">
      <alignment vertical="center"/>
    </xf>
    <xf numFmtId="0" fontId="22" fillId="3" borderId="0" applyAlignment="1" pivotButton="0" quotePrefix="0" xfId="0">
      <alignment horizontal="center" vertical="center" wrapText="1"/>
    </xf>
    <xf numFmtId="0" fontId="31" fillId="3" borderId="0" applyAlignment="1" pivotButton="0" quotePrefix="0" xfId="0">
      <alignment horizontal="center" vertical="center"/>
    </xf>
    <xf numFmtId="0" fontId="30" fillId="3" borderId="0" applyAlignment="1" pivotButton="0" quotePrefix="0" xfId="0">
      <alignment horizontal="left" vertical="top" wrapText="1"/>
    </xf>
    <xf numFmtId="0" fontId="29" fillId="3" borderId="0" applyAlignment="1" pivotButton="0" quotePrefix="0" xfId="0">
      <alignment horizontal="left" vertical="top" wrapText="1"/>
    </xf>
    <xf numFmtId="0" fontId="19" fillId="20" borderId="5" applyAlignment="1" pivotButton="0" quotePrefix="0" xfId="0">
      <alignment horizontal="left" vertical="top" wrapText="1"/>
    </xf>
    <xf numFmtId="0" fontId="19" fillId="20" borderId="6" applyAlignment="1" pivotButton="0" quotePrefix="0" xfId="0">
      <alignment horizontal="left" vertical="top" wrapText="1"/>
    </xf>
    <xf numFmtId="0" fontId="19" fillId="20" borderId="7" applyAlignment="1" pivotButton="0" quotePrefix="0" xfId="0">
      <alignment horizontal="left" vertical="top" wrapText="1"/>
    </xf>
    <xf numFmtId="0" fontId="30" fillId="3" borderId="0" applyAlignment="1" pivotButton="0" quotePrefix="0" xfId="0">
      <alignment vertical="top" wrapText="1"/>
    </xf>
    <xf numFmtId="49" fontId="30" fillId="3" borderId="0" applyAlignment="1" pivotButton="0" quotePrefix="0" xfId="0">
      <alignment horizontal="left" vertical="top"/>
    </xf>
    <xf numFmtId="0" fontId="30" fillId="3" borderId="0" applyAlignment="1" pivotButton="0" quotePrefix="0" xfId="0">
      <alignment horizontal="left" vertical="center"/>
    </xf>
    <xf numFmtId="0" fontId="29" fillId="3" borderId="0" applyAlignment="1" pivotButton="0" quotePrefix="0" xfId="0">
      <alignment horizontal="left" vertical="top"/>
    </xf>
    <xf numFmtId="1" fontId="15" fillId="5" borderId="0" applyAlignment="1" pivotButton="0" quotePrefix="0" xfId="0">
      <alignment horizontal="center" vertical="center" textRotation="90"/>
    </xf>
    <xf numFmtId="0" fontId="15"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3" fillId="0" borderId="0" applyAlignment="1" pivotButton="0" quotePrefix="0" xfId="0">
      <alignment horizontal="center" vertical="center"/>
    </xf>
    <xf numFmtId="1" fontId="0" fillId="0" borderId="0" pivotButton="0" quotePrefix="0" xfId="2"/>
    <xf numFmtId="0" fontId="0" fillId="0" borderId="0" pivotButton="0" quotePrefix="0" xfId="1"/>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3" fillId="0" borderId="0" applyAlignment="1" pivotButton="0" quotePrefix="0" xfId="0">
      <alignment horizontal="left" vertical="center"/>
    </xf>
  </cellXfs>
  <cellStyles count="3">
    <cellStyle name="Normal" xfId="0" builtinId="0"/>
    <cellStyle name="Comma" xfId="1" builtinId="3"/>
    <cellStyle name="Currency" xfId="2" builtinId="4"/>
  </cellStyles>
  <dxfs count="165">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theme="9" tint="-0.499984740745262"/>
      </font>
      <fill>
        <patternFill>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65" formatCode="0;\-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totalsRowShown="0" headerRowDxfId="159" dataDxfId="158">
  <autoFilter ref="A2:D150"/>
  <sortState ref="A3:D3">
    <sortCondition ref="A3"/>
  </sortState>
  <tableColumns count="4">
    <tableColumn id="1" name="Team Number" dataDxfId="157"/>
    <tableColumn id="2" name="Team Name" dataDxfId="156"/>
    <tableColumn id="3" name="Coach"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1" headerRowCount="1" totalsRowShown="0" headerRowDxfId="153" dataDxfId="152">
  <autoFilter ref="A1:B6"/>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3"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J11" headerRowCount="1" insertRow="1" totalsRowShown="0">
  <autoFilter ref="A1:J2"/>
  <tableColumns count="10">
    <tableColumn id="1" name="ColumnName"/>
    <tableColumn id="2" name="Name"/>
    <tableColumn id="3" name="DivAward"/>
    <tableColumn id="4" name="TournCount"/>
    <tableColumn id="5" name="D1Count"/>
    <tableColumn id="6" name="D2Count"/>
    <tableColumn id="7" name="Label1"/>
    <tableColumn id="8" name="Label2"/>
    <tableColumn id="9" name="Label3"/>
    <tableColumn id="10"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150"/>
  <sortState ref="A3:W3">
    <sortCondition ref="A3"/>
  </sortState>
  <tableColumns count="23">
    <tableColumn id="1" name="Team Number" dataDxfId="146"/>
    <tableColumn id="13" name="POD" dataDxfId="145">
      <calculatedColumnFormula>INDEX(OfficialTeamList[Pod Number],MATCH(TournamentData[[#This Row],[Team Number]], OfficialTeamList[Team Number],0))</calculatedColumnFormula>
    </tableColumn>
    <tableColumn id="2" name="Team Name" dataDxfId="144">
      <calculatedColumnFormula>INDEX(OfficialTeamList[Team Name],MATCH(TournamentData[[#This Row],[Team Number]], OfficialTeamList[Team Number],0))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IF(U3,_xlfn.RANK.EQ(U3,U$3:U$17,0),NumberOfTeams)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150"/>
  <sortState ref="A2:F2">
    <sortCondition ref="A2"/>
  </sortState>
  <tableColumns count="6">
    <tableColumn id="2" name="Team Number" dataDxfId="120"/>
    <tableColumn id="9" name="Team Name" dataDxfId="119">
      <calculatedColumnFormula>INDEX(OfficialTeamList[Team Name],MATCH(RobotGameScores[[#This Row],[Team Number]], OfficialTeamList[Team Number],0))</calculatedColumnFormula>
    </tableColumn>
    <tableColumn id="3" name="Robot Game 1 Score" dataDxfId="118"/>
    <tableColumn id="4" name="Robot Game 2 Score" dataDxfId="117"/>
    <tableColumn id="5" name="Robot Game 3 Score" dataDxfId="116"/>
    <tableColumn id="8" name="Highest Robot Game Score" dataDxfId="115">
      <calculatedColumnFormula>MAX(C2:E150)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150"/>
  <sortState ref="A2:O2">
    <sortCondition ref="A2"/>
  </sortState>
  <tableColumns count="15">
    <tableColumn id="1" name="Team Number" dataDxfId="112"/>
    <tableColumn id="6" name="POD" dataDxfId="111">
      <calculatedColumnFormula>INDEX(OfficialTeamList[Pod Number],MATCH(InnovationProjectResults[[#This Row],[Team Number]], OfficialTeamList[Team Number],0))</calculatedColumnFormula>
    </tableColumn>
    <tableColumn id="2" name="Team Name" dataDxfId="110">
      <calculatedColumnFormula>INDEX(OfficialTeamList[Team Name],MATCH(InnovationProjectResults[[#This Row],[Team Number]], OfficialTeamList[Team Number],0))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150"/>
  <sortState ref="A2:O2">
    <sortCondition ref="A2"/>
  </sortState>
  <tableColumns count="15">
    <tableColumn id="1" name="Team Number" dataDxfId="95"/>
    <tableColumn id="10" name="POD" dataDxfId="94">
      <calculatedColumnFormula>INDEX(OfficialTeamList[Pod Number],MATCH(RobotDesignResults[[#This Row],[Team Number]], OfficialTeamList[Team Number],0))</calculatedColumnFormula>
    </tableColumn>
    <tableColumn id="2" name="Team Name" dataDxfId="93">
      <calculatedColumnFormula>INDEX(OfficialTeamList[Team Name],MATCH(RobotDesignResults[[#This Row],[Team Number]], OfficialTeamList[Team Number],0))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150"/>
  <sortState ref="A2:T2">
    <sortCondition ref="A2"/>
  </sortState>
  <tableColumns count="20">
    <tableColumn id="1" name="Team Number" dataDxfId="78"/>
    <tableColumn id="9" name="POD" dataDxfId="77">
      <calculatedColumnFormula>INDEX(OfficialTeamList[Pod Number],MATCH(CoreValuesResults[[#This Row],[Team Number]], OfficialTeamList[Team Number],0))</calculatedColumnFormula>
    </tableColumn>
    <tableColumn id="2" name="Team Name" dataDxfId="76">
      <calculatedColumnFormula>INDEX(OfficialTeamList[Team Name],MATCH(CoreValuesResults[[#This Row],[Team Number]], OfficialTeamList[Team Number],0))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Number],0))),"",INDEX(OfficialTeamList[Team Name],MATCH(ChampionsDelib[[#This Row],[Team Number]], OfficialTeamList[Team Number],0)))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Number],0))),"",INDEX(OfficialTeamList[Team Name],MATCH(RobotGameDelib[[#This Row],[Team Number]], OfficialTeamList[Team Number],0)))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Number],0))),"",INDEX(OfficialTeamList[Team Name],MATCH(CoreValuesDelib[[#This Row],[Team Number]], OfficialTeamList[Team Number],0)))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Number],0))),"",INDEX(OfficialTeamList[Team Name],MATCH(MotivateDelib[[#This Row],[Team Number]], OfficialTeamList[Team Number],0)))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4" min="1" max="2"/>
    <col width="210.28515625" customWidth="1" style="34" min="3" max="3"/>
    <col width="9.140625" customWidth="1" style="34" min="4" max="16384"/>
  </cols>
  <sheetData>
    <row r="1" ht="115.5" customHeight="1">
      <c r="C1" s="93" t="inlineStr">
        <is>
          <t>Judge Advisor Instructions</t>
        </is>
      </c>
    </row>
    <row r="2" ht="102.75" customHeight="1">
      <c r="C2" s="92" t="inlineStr">
        <is>
          <t>DESIGNED FOR USE IN MICROSOFT EXCEL (DESKTOP APP).
SOME FUNCTIONALITY WILL BE LOST IN WEB OR OTHER APPLICATIONS.</t>
        </is>
      </c>
    </row>
    <row r="3" ht="39.75" customHeight="1">
      <c r="C3" s="102" t="inlineStr">
        <is>
          <t>See the instructions.pdf file for instructions with screenshots</t>
        </is>
      </c>
    </row>
    <row r="4" ht="110.25" customHeight="1">
      <c r="B4" s="100" t="inlineStr">
        <is>
          <t>1.</t>
        </is>
      </c>
      <c r="C4" s="9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99" t="n"/>
      <c r="C5" s="37" t="n"/>
    </row>
    <row r="6" ht="121.5" customHeight="1">
      <c r="B6" s="100" t="inlineStr">
        <is>
          <t>2.</t>
        </is>
      </c>
      <c r="C6" s="94" t="inlineStr">
        <is>
          <t>If you have enabled macros, there are two actions in the FLL OJS menu button that you can use. Note that some of the actions are password protected, but those actions would rarely, if ever, be needed by a judge advisor</t>
        </is>
      </c>
    </row>
    <row r="7" ht="31.5" customHeight="1">
      <c r="B7" s="101" t="n"/>
    </row>
    <row r="8" ht="138" customHeight="1">
      <c r="B8" s="101" t="n"/>
      <c r="C8" s="9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100" t="inlineStr">
        <is>
          <t>3.</t>
        </is>
      </c>
      <c r="C9" s="9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101" t="n"/>
      <c r="C10" s="9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101" t="n"/>
    </row>
    <row r="12" ht="20.45" customHeight="1">
      <c r="B12" s="101" t="n"/>
    </row>
    <row r="13" ht="73.5" customHeight="1">
      <c r="B13" s="100" t="inlineStr">
        <is>
          <t>4.</t>
        </is>
      </c>
      <c r="C13" s="94" t="inlineStr">
        <is>
          <t>When all the data has been entered, go the 'Results and Rankings' page to view all of the information in one place.</t>
        </is>
      </c>
    </row>
    <row r="14" ht="95.25" customHeight="1">
      <c r="B14" s="100" t="inlineStr">
        <is>
          <t>5.</t>
        </is>
      </c>
      <c r="C14" s="99" t="inlineStr">
        <is>
          <t>You are now ready to allocate your awards based on your rankings using the 'Awards and Allocations' document in the judging toolkit.</t>
        </is>
      </c>
    </row>
    <row r="15" ht="105" customHeight="1">
      <c r="B15" s="100" t="inlineStr">
        <is>
          <t>6.</t>
        </is>
      </c>
      <c r="C15" s="9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8" t="n"/>
      <c r="C16" s="35" t="n"/>
    </row>
    <row r="17" ht="39.95" customHeight="1" thickBot="1">
      <c r="C17" s="36" t="inlineStr">
        <is>
          <t>Useful Tips:</t>
        </is>
      </c>
    </row>
    <row r="18" ht="63.75" customHeight="1" thickBot="1">
      <c r="B18" s="35" t="n"/>
      <c r="C18" s="96" t="inlineStr">
        <is>
          <t>If you are copying data into the Input pages please remember to use the 'Paste Values' or 'Use Destination Formatting' option (This stops the formatting and formulae being overwritten)</t>
        </is>
      </c>
    </row>
    <row r="19" ht="39.95" customHeight="1" thickBot="1">
      <c r="C19" s="98" t="inlineStr">
        <is>
          <t>As you work with the OJS you should save your spreadsheet regularly in case of IT issues.</t>
        </is>
      </c>
    </row>
    <row r="20" ht="63" customHeight="1" thickBot="1">
      <c r="C20" s="98" t="inlineStr">
        <is>
          <t>If your event uses more than 3 official robot game matches, you can unhide columns F-G in 'Robot Game Scores' and columns P-Q in 'Core Values Input' for Gracious Professionalism scores.</t>
        </is>
      </c>
    </row>
    <row r="21" ht="60" customHeight="1" thickBot="1">
      <c r="C21" s="97" t="inlineStr">
        <is>
          <t>If referees hand in printed scoresheets, robot game scores will need to be calclulated using the 'Official Scoring Calculator' tool (online).</t>
        </is>
      </c>
    </row>
    <row r="22" ht="39.95" customHeight="1" thickBot="1">
      <c r="C22" s="97" t="inlineStr">
        <is>
          <t>You may use the excel filter option to adjust the rows that are seen, but the sort function is disabled.</t>
        </is>
      </c>
    </row>
    <row r="23" ht="39.95" customHeight="1" thickBot="1">
      <c r="C23" s="9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50"/>
  <sheetViews>
    <sheetView zoomScaleNormal="100" workbookViewId="0">
      <selection activeCell="E1" sqref="E1"/>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1"/>
    <col width="13.7109375" customWidth="1" style="5" min="12" max="12"/>
    <col width="9.140625" customWidth="1" style="5" min="13" max="16384"/>
  </cols>
  <sheetData>
    <row r="1" ht="61.5" customFormat="1" customHeight="1" s="1" thickBot="1">
      <c r="A1" s="113" t="inlineStr">
        <is>
          <t>FIRST® LEGO® League Challenge Official Judging Spreadsheet</t>
        </is>
      </c>
      <c r="E1" s="7" t="inlineStr">
        <is>
          <t>Teams</t>
        </is>
      </c>
      <c r="F1" s="90">
        <f>COUNT(OfficialTeamList[Team Number])</f>
        <v/>
      </c>
      <c r="G1" s="90" t="inlineStr">
        <is>
          <t>Pods</t>
        </is>
      </c>
      <c r="H1" s="91">
        <f>MAX(OfficialTeamList[Pod Number])</f>
        <v/>
      </c>
      <c r="I1" s="89" t="n"/>
    </row>
    <row r="2" ht="21" customFormat="1" customHeight="1" s="2" thickBot="1">
      <c r="A2" s="7" t="inlineStr">
        <is>
          <t>Team Number</t>
        </is>
      </c>
      <c r="B2" s="7" t="inlineStr">
        <is>
          <t>Team Name</t>
        </is>
      </c>
      <c r="C2" s="6" t="inlineStr">
        <is>
          <t>Coach</t>
        </is>
      </c>
      <c r="D2" s="6" t="inlineStr">
        <is>
          <t>Pod Number</t>
        </is>
      </c>
      <c r="E2" s="111" t="inlineStr">
        <is>
          <t>Two emcees:</t>
        </is>
      </c>
      <c r="F2" s="112" t="b">
        <v>0</v>
      </c>
      <c r="G2" s="3" t="inlineStr">
        <is>
          <t>Setting this to TRUE will alternate shading in the closing ceremony script to make it easier to read</t>
        </is>
      </c>
    </row>
    <row r="3" ht="21" customFormat="1" customHeight="1" s="2">
      <c r="A3" s="69" t="n">
        <v>24277</v>
      </c>
      <c r="B3" s="69" t="inlineStr">
        <is>
          <t>Norfolk Collegiate O.A.K.S.</t>
        </is>
      </c>
      <c r="C3" s="69" t="inlineStr">
        <is>
          <t>Skip Morrow</t>
        </is>
      </c>
      <c r="D3" s="70" t="n">
        <v>1</v>
      </c>
      <c r="H3" s="3" t="n"/>
    </row>
    <row r="4" ht="21" customHeight="1">
      <c r="A4" s="69" t="n">
        <v>26034</v>
      </c>
      <c r="B4" s="69" t="inlineStr">
        <is>
          <t>OLMC White Team</t>
        </is>
      </c>
      <c r="C4" s="69" t="inlineStr">
        <is>
          <t>Patrick McFadden</t>
        </is>
      </c>
      <c r="D4" s="70" t="n"/>
    </row>
    <row r="5" ht="21" customHeight="1">
      <c r="A5" s="69" t="n">
        <v>60801</v>
      </c>
      <c r="B5" s="69" t="inlineStr">
        <is>
          <t>ESPs</t>
        </is>
      </c>
      <c r="C5" s="69" t="inlineStr">
        <is>
          <t>Heather Perry</t>
        </is>
      </c>
      <c r="D5" s="70" t="n"/>
    </row>
    <row r="6" ht="21" customHeight="1">
      <c r="A6" s="69" t="n">
        <v>67083</v>
      </c>
      <c r="B6" s="69" t="inlineStr">
        <is>
          <t>Wired Dolphins</t>
        </is>
      </c>
      <c r="C6" s="69" t="inlineStr">
        <is>
          <t>Jonathan Torch</t>
        </is>
      </c>
      <c r="D6" s="70" t="n"/>
    </row>
    <row r="7" ht="21" customHeight="1">
      <c r="A7" s="69" t="n">
        <v>67801</v>
      </c>
      <c r="B7" s="69" t="inlineStr">
        <is>
          <t>Scorpion Tech Force</t>
        </is>
      </c>
      <c r="C7" s="69" t="inlineStr">
        <is>
          <t>Jhalak Pattnaik</t>
        </is>
      </c>
      <c r="D7" s="70" t="n"/>
    </row>
    <row r="8" ht="21" customHeight="1">
      <c r="A8" s="69" t="n">
        <v>68850</v>
      </c>
      <c r="B8" s="69" t="inlineStr">
        <is>
          <t>MCH Marvels</t>
        </is>
      </c>
      <c r="C8" s="69" t="inlineStr">
        <is>
          <t>Kathy Hendrickson</t>
        </is>
      </c>
      <c r="D8" s="70" t="n"/>
    </row>
    <row r="9" ht="21" customHeight="1">
      <c r="A9" s="69" t="n">
        <v>71673</v>
      </c>
      <c r="B9" s="69" t="inlineStr">
        <is>
          <t>SMS Eaglebots 1</t>
        </is>
      </c>
      <c r="C9" s="69" t="inlineStr">
        <is>
          <t>Lisa Bromley</t>
        </is>
      </c>
      <c r="D9" s="70" t="n"/>
    </row>
    <row r="10" ht="21" customHeight="1">
      <c r="A10" s="69" t="n"/>
      <c r="B10" s="69" t="n"/>
      <c r="C10" s="69" t="n"/>
      <c r="D10" s="70" t="n"/>
    </row>
    <row r="11" ht="21" customHeight="1">
      <c r="A11" s="69" t="n"/>
      <c r="B11" s="69" t="n"/>
      <c r="C11" s="69" t="n"/>
      <c r="D11" s="70" t="n"/>
    </row>
    <row r="12" ht="21" customHeight="1">
      <c r="A12" s="69" t="n"/>
      <c r="B12" s="69" t="n"/>
      <c r="C12" s="69" t="n"/>
      <c r="D12" s="70" t="n"/>
    </row>
    <row r="13" ht="21" customHeight="1">
      <c r="A13" s="69" t="n"/>
      <c r="B13" s="69" t="n"/>
      <c r="C13" s="69" t="n"/>
      <c r="D13" s="70" t="n"/>
    </row>
    <row r="14" ht="21" customHeight="1">
      <c r="A14" s="69" t="n"/>
      <c r="B14" s="69" t="n"/>
      <c r="C14" s="69" t="n"/>
      <c r="D14" s="70" t="n"/>
    </row>
    <row r="15" ht="21" customHeight="1">
      <c r="A15" s="69" t="n"/>
      <c r="B15" s="69" t="n"/>
      <c r="C15" s="69" t="n"/>
      <c r="D15" s="70" t="n"/>
    </row>
    <row r="16" ht="21" customHeight="1">
      <c r="A16" s="69" t="n"/>
      <c r="B16" s="69" t="n"/>
      <c r="C16" s="69" t="n"/>
      <c r="D16" s="70" t="n"/>
    </row>
    <row r="17" ht="21" customHeight="1">
      <c r="A17" s="69" t="n"/>
      <c r="B17" s="69" t="n"/>
      <c r="C17" s="69" t="n"/>
      <c r="D17" s="70" t="n"/>
    </row>
    <row r="18" ht="21" customHeight="1">
      <c r="A18" s="69" t="n"/>
      <c r="B18" s="69" t="n"/>
      <c r="C18" s="69" t="n"/>
      <c r="D18" s="70" t="n"/>
    </row>
    <row r="19" ht="21" customHeight="1">
      <c r="A19" s="69" t="n"/>
      <c r="B19" s="69" t="n"/>
      <c r="C19" s="69" t="n"/>
      <c r="D19" s="70" t="n"/>
    </row>
    <row r="20" ht="21" customHeight="1">
      <c r="A20" s="69" t="n"/>
      <c r="B20" s="69" t="n"/>
      <c r="C20" s="69" t="n"/>
      <c r="D20" s="70" t="n"/>
    </row>
    <row r="21" ht="21" customHeight="1">
      <c r="A21" s="69" t="n"/>
      <c r="B21" s="69" t="n"/>
      <c r="C21" s="69" t="n"/>
      <c r="D21" s="70" t="n"/>
    </row>
    <row r="22" ht="21" customHeight="1">
      <c r="A22" s="69" t="n"/>
      <c r="B22" s="69" t="n"/>
      <c r="C22" s="69" t="n"/>
      <c r="D22" s="70" t="n"/>
    </row>
    <row r="23" ht="21" customHeight="1">
      <c r="A23" s="69" t="n"/>
      <c r="B23" s="69" t="n"/>
      <c r="C23" s="69" t="n"/>
      <c r="D23" s="70" t="n"/>
    </row>
    <row r="24" ht="21" customHeight="1">
      <c r="A24" s="69" t="n"/>
      <c r="B24" s="69" t="n"/>
      <c r="C24" s="69" t="n"/>
      <c r="D24" s="70" t="n"/>
    </row>
    <row r="25" ht="21" customHeight="1">
      <c r="A25" s="69" t="n"/>
      <c r="B25" s="69" t="n"/>
      <c r="C25" s="69" t="n"/>
      <c r="D25" s="70" t="n"/>
    </row>
    <row r="26" ht="21" customHeight="1">
      <c r="A26" s="69" t="n"/>
      <c r="B26" s="69" t="n"/>
      <c r="C26" s="69" t="n"/>
      <c r="D26" s="70" t="n"/>
    </row>
    <row r="27" ht="21" customHeight="1">
      <c r="A27" s="69" t="n"/>
      <c r="B27" s="69" t="n"/>
      <c r="C27" s="69" t="n"/>
      <c r="D27" s="70" t="n"/>
    </row>
    <row r="28" ht="21" customHeight="1">
      <c r="A28" s="69" t="n"/>
      <c r="B28" s="69" t="n"/>
      <c r="C28" s="69" t="n"/>
      <c r="D28" s="70" t="n"/>
    </row>
    <row r="29" ht="21" customHeight="1">
      <c r="A29" s="69" t="n"/>
      <c r="B29" s="69" t="n"/>
      <c r="C29" s="69" t="n"/>
      <c r="D29" s="70" t="n"/>
    </row>
    <row r="30" ht="21" customHeight="1">
      <c r="A30" s="69" t="n"/>
      <c r="B30" s="69" t="n"/>
      <c r="C30" s="69" t="n"/>
      <c r="D30" s="70" t="n"/>
    </row>
    <row r="31" ht="21" customHeight="1">
      <c r="A31" s="69" t="n"/>
      <c r="B31" s="69" t="n"/>
      <c r="C31" s="69" t="n"/>
      <c r="D31" s="70" t="n"/>
    </row>
    <row r="32" ht="21" customHeight="1">
      <c r="A32" s="69" t="n"/>
      <c r="B32" s="69" t="n"/>
      <c r="C32" s="69" t="n"/>
      <c r="D32" s="70" t="n"/>
    </row>
    <row r="33" ht="21" customHeight="1">
      <c r="A33" s="69" t="n"/>
      <c r="B33" s="69" t="n"/>
      <c r="C33" s="69" t="n"/>
      <c r="D33" s="70" t="n"/>
    </row>
    <row r="34" ht="21" customHeight="1">
      <c r="A34" s="69" t="n"/>
      <c r="B34" s="69" t="n"/>
      <c r="C34" s="69" t="n"/>
      <c r="D34" s="70" t="n"/>
    </row>
    <row r="35" ht="21" customHeight="1">
      <c r="A35" s="69" t="n"/>
      <c r="B35" s="69" t="n"/>
      <c r="C35" s="69" t="n"/>
      <c r="D35" s="70" t="n"/>
    </row>
    <row r="36" ht="21" customHeight="1">
      <c r="A36" s="69" t="n"/>
      <c r="B36" s="69" t="n"/>
      <c r="C36" s="69" t="n"/>
      <c r="D36" s="70" t="n"/>
    </row>
    <row r="37" ht="21" customHeight="1">
      <c r="A37" s="69" t="n"/>
      <c r="B37" s="69" t="n"/>
      <c r="C37" s="69" t="n"/>
      <c r="D37" s="70" t="n"/>
    </row>
    <row r="38" ht="21" customHeight="1">
      <c r="A38" s="69" t="n"/>
      <c r="B38" s="69" t="n"/>
      <c r="C38" s="69" t="n"/>
      <c r="D38" s="70" t="n"/>
    </row>
    <row r="39" ht="21" customHeight="1">
      <c r="A39" s="69" t="n"/>
      <c r="B39" s="69" t="n"/>
      <c r="C39" s="69" t="n"/>
      <c r="D39" s="70" t="n"/>
    </row>
    <row r="40" ht="21" customHeight="1">
      <c r="A40" s="69" t="n"/>
      <c r="B40" s="69" t="n"/>
      <c r="C40" s="69" t="n"/>
      <c r="D40" s="70" t="n"/>
    </row>
    <row r="41" ht="21" customHeight="1">
      <c r="A41" s="69" t="n"/>
      <c r="B41" s="69" t="n"/>
      <c r="C41" s="69" t="n"/>
      <c r="D41" s="70" t="n"/>
    </row>
    <row r="42" ht="21" customHeight="1">
      <c r="A42" s="69" t="n"/>
      <c r="B42" s="69" t="n"/>
      <c r="C42" s="69" t="n"/>
      <c r="D42" s="70" t="n"/>
    </row>
    <row r="43" ht="21" customHeight="1">
      <c r="A43" s="69" t="n"/>
      <c r="B43" s="69" t="n"/>
      <c r="C43" s="69" t="n"/>
      <c r="D43" s="70" t="n"/>
    </row>
    <row r="44" ht="21" customHeight="1">
      <c r="A44" s="69" t="n"/>
      <c r="B44" s="69" t="n"/>
      <c r="C44" s="69" t="n"/>
      <c r="D44" s="70" t="n"/>
    </row>
    <row r="45" ht="21" customHeight="1">
      <c r="A45" s="69" t="n"/>
      <c r="B45" s="69" t="n"/>
      <c r="C45" s="69" t="n"/>
      <c r="D45" s="70" t="n"/>
    </row>
    <row r="46" ht="21" customHeight="1">
      <c r="A46" s="69" t="n"/>
      <c r="B46" s="69" t="n"/>
      <c r="C46" s="69" t="n"/>
      <c r="D46" s="70" t="n"/>
    </row>
    <row r="47" ht="21" customHeight="1">
      <c r="A47" s="69" t="n"/>
      <c r="B47" s="69" t="n"/>
      <c r="C47" s="69" t="n"/>
      <c r="D47" s="70" t="n"/>
    </row>
    <row r="48" ht="21" customHeight="1">
      <c r="A48" s="69" t="n"/>
      <c r="B48" s="69" t="n"/>
      <c r="C48" s="69" t="n"/>
      <c r="D48" s="70" t="n"/>
    </row>
    <row r="49" ht="21" customHeight="1">
      <c r="A49" s="69" t="n"/>
      <c r="B49" s="69" t="n"/>
      <c r="C49" s="69" t="n"/>
      <c r="D49" s="70" t="n"/>
    </row>
    <row r="50" ht="21" customHeight="1">
      <c r="A50" s="69" t="n"/>
      <c r="B50" s="69" t="n"/>
      <c r="C50" s="69" t="n"/>
      <c r="D50" s="70" t="n"/>
    </row>
    <row r="51" ht="21" customHeight="1">
      <c r="A51" s="69" t="n"/>
      <c r="B51" s="69" t="n"/>
      <c r="C51" s="69" t="n"/>
      <c r="D51" s="70" t="n"/>
    </row>
    <row r="52" ht="21" customHeight="1">
      <c r="A52" s="69" t="n"/>
      <c r="B52" s="69" t="n"/>
      <c r="C52" s="69" t="n"/>
      <c r="D52" s="70" t="n"/>
    </row>
    <row r="53" ht="21" customHeight="1">
      <c r="A53" s="69" t="n"/>
      <c r="B53" s="69" t="n"/>
      <c r="C53" s="69" t="n"/>
      <c r="D53" s="70" t="n"/>
    </row>
    <row r="54" ht="21" customHeight="1">
      <c r="A54" s="69" t="n"/>
      <c r="B54" s="69" t="n"/>
      <c r="C54" s="69" t="n"/>
      <c r="D54" s="70" t="n"/>
    </row>
    <row r="55" ht="21" customHeight="1">
      <c r="A55" s="69" t="n"/>
      <c r="B55" s="69" t="n"/>
      <c r="C55" s="69" t="n"/>
      <c r="D55" s="70" t="n"/>
    </row>
    <row r="56" ht="21" customHeight="1">
      <c r="A56" s="69" t="n"/>
      <c r="B56" s="69" t="n"/>
      <c r="C56" s="69" t="n"/>
      <c r="D56" s="70" t="n"/>
    </row>
    <row r="57" ht="21" customHeight="1">
      <c r="A57" s="69" t="n"/>
      <c r="B57" s="69" t="n"/>
      <c r="C57" s="69" t="n"/>
      <c r="D57" s="70" t="n"/>
    </row>
    <row r="58" ht="21" customHeight="1">
      <c r="A58" s="69" t="n"/>
      <c r="B58" s="69" t="n"/>
      <c r="C58" s="69" t="n"/>
      <c r="D58" s="70" t="n"/>
    </row>
    <row r="59" ht="21" customHeight="1">
      <c r="A59" s="69" t="n"/>
      <c r="B59" s="69" t="n"/>
      <c r="C59" s="69" t="n"/>
      <c r="D59" s="70" t="n"/>
    </row>
    <row r="60" ht="21" customHeight="1">
      <c r="A60" s="69" t="n"/>
      <c r="B60" s="69" t="n"/>
      <c r="C60" s="69" t="n"/>
      <c r="D60" s="70" t="n"/>
    </row>
    <row r="61" ht="21" customHeight="1">
      <c r="A61" s="69" t="n"/>
      <c r="B61" s="69" t="n"/>
      <c r="C61" s="69" t="n"/>
      <c r="D61" s="70" t="n"/>
    </row>
    <row r="62" ht="21" customHeight="1">
      <c r="A62" s="69" t="n"/>
      <c r="B62" s="69" t="n"/>
      <c r="C62" s="69" t="n"/>
      <c r="D62" s="70" t="n"/>
    </row>
    <row r="63" ht="21" customHeight="1">
      <c r="A63" s="69" t="n"/>
      <c r="B63" s="69" t="n"/>
      <c r="C63" s="69" t="n"/>
      <c r="D63" s="70" t="n"/>
    </row>
    <row r="64" ht="21" customHeight="1">
      <c r="A64" s="69" t="n"/>
      <c r="B64" s="69" t="n"/>
      <c r="C64" s="69" t="n"/>
      <c r="D64" s="70" t="n"/>
    </row>
    <row r="65" ht="21" customHeight="1">
      <c r="A65" s="69" t="n"/>
      <c r="B65" s="69" t="n"/>
      <c r="C65" s="69" t="n"/>
      <c r="D65" s="70" t="n"/>
    </row>
    <row r="66" ht="21" customHeight="1">
      <c r="A66" s="69" t="n"/>
      <c r="B66" s="69" t="n"/>
      <c r="C66" s="69" t="n"/>
      <c r="D66" s="70" t="n"/>
    </row>
    <row r="67" ht="21" customHeight="1">
      <c r="A67" s="69" t="n"/>
      <c r="B67" s="69" t="n"/>
      <c r="C67" s="69" t="n"/>
      <c r="D67" s="70" t="n"/>
    </row>
    <row r="68" ht="21" customHeight="1">
      <c r="A68" s="69" t="n"/>
      <c r="B68" s="69" t="n"/>
      <c r="C68" s="69" t="n"/>
      <c r="D68" s="70" t="n"/>
    </row>
    <row r="69" ht="21" customHeight="1">
      <c r="A69" s="69" t="n"/>
      <c r="B69" s="69" t="n"/>
      <c r="C69" s="69" t="n"/>
      <c r="D69" s="70" t="n"/>
    </row>
    <row r="70" ht="21" customHeight="1">
      <c r="A70" s="69" t="n"/>
      <c r="B70" s="69" t="n"/>
      <c r="C70" s="69" t="n"/>
      <c r="D70" s="70" t="n"/>
    </row>
    <row r="71" ht="21" customHeight="1">
      <c r="A71" s="69" t="n"/>
      <c r="B71" s="69" t="n"/>
      <c r="C71" s="69" t="n"/>
      <c r="D71" s="70" t="n"/>
    </row>
    <row r="72" ht="21" customHeight="1">
      <c r="A72" s="69" t="n"/>
      <c r="B72" s="69" t="n"/>
      <c r="C72" s="69" t="n"/>
      <c r="D72" s="70" t="n"/>
    </row>
    <row r="73" ht="21" customHeight="1">
      <c r="A73" s="69" t="n"/>
      <c r="B73" s="69" t="n"/>
      <c r="C73" s="69" t="n"/>
      <c r="D73" s="70" t="n"/>
    </row>
    <row r="74" ht="21" customHeight="1">
      <c r="A74" s="69" t="n"/>
      <c r="B74" s="69" t="n"/>
      <c r="C74" s="69" t="n"/>
      <c r="D74" s="70" t="n"/>
    </row>
    <row r="75" ht="21" customHeight="1">
      <c r="A75" s="69" t="n"/>
      <c r="B75" s="69" t="n"/>
      <c r="C75" s="69" t="n"/>
      <c r="D75" s="70" t="n"/>
    </row>
    <row r="76" ht="21" customHeight="1">
      <c r="A76" s="69" t="n"/>
      <c r="B76" s="69" t="n"/>
      <c r="C76" s="69" t="n"/>
      <c r="D76" s="70" t="n"/>
    </row>
    <row r="77" ht="21" customHeight="1">
      <c r="A77" s="69" t="n"/>
      <c r="B77" s="69" t="n"/>
      <c r="C77" s="69" t="n"/>
      <c r="D77" s="70" t="n"/>
    </row>
    <row r="78" ht="21" customHeight="1">
      <c r="A78" s="69" t="n"/>
      <c r="B78" s="69" t="n"/>
      <c r="C78" s="69" t="n"/>
      <c r="D78" s="70" t="n"/>
    </row>
    <row r="79" ht="21" customHeight="1">
      <c r="A79" s="69" t="n"/>
      <c r="B79" s="69" t="n"/>
      <c r="C79" s="69" t="n"/>
      <c r="D79" s="70" t="n"/>
    </row>
    <row r="80" ht="21" customHeight="1">
      <c r="A80" s="69" t="n"/>
      <c r="B80" s="69" t="n"/>
      <c r="C80" s="69" t="n"/>
      <c r="D80" s="70" t="n"/>
    </row>
    <row r="81" ht="21" customHeight="1">
      <c r="A81" s="69" t="n"/>
      <c r="B81" s="69" t="n"/>
      <c r="C81" s="69" t="n"/>
      <c r="D81" s="70" t="n"/>
    </row>
    <row r="82" ht="21" customHeight="1">
      <c r="A82" s="69" t="n"/>
      <c r="B82" s="69" t="n"/>
      <c r="C82" s="69" t="n"/>
      <c r="D82" s="70" t="n"/>
    </row>
    <row r="83" ht="21" customHeight="1">
      <c r="A83" s="69" t="n"/>
      <c r="B83" s="69" t="n"/>
      <c r="C83" s="69" t="n"/>
      <c r="D83" s="70" t="n"/>
    </row>
    <row r="84" ht="21" customHeight="1">
      <c r="A84" s="69" t="n"/>
      <c r="B84" s="69" t="n"/>
      <c r="C84" s="69" t="n"/>
      <c r="D84" s="70" t="n"/>
    </row>
    <row r="85" ht="21" customHeight="1">
      <c r="A85" s="69" t="n"/>
      <c r="B85" s="69" t="n"/>
      <c r="C85" s="69" t="n"/>
      <c r="D85" s="70" t="n"/>
    </row>
    <row r="86" ht="21" customHeight="1">
      <c r="A86" s="69" t="n"/>
      <c r="B86" s="69" t="n"/>
      <c r="C86" s="69" t="n"/>
      <c r="D86" s="70" t="n"/>
    </row>
    <row r="87" ht="21" customHeight="1">
      <c r="A87" s="69" t="n"/>
      <c r="B87" s="69" t="n"/>
      <c r="C87" s="69" t="n"/>
      <c r="D87" s="70" t="n"/>
    </row>
    <row r="88" ht="21" customHeight="1">
      <c r="A88" s="69" t="n"/>
      <c r="B88" s="69" t="n"/>
      <c r="C88" s="69" t="n"/>
      <c r="D88" s="70" t="n"/>
    </row>
    <row r="89" ht="21" customHeight="1">
      <c r="A89" s="69" t="n"/>
      <c r="B89" s="69" t="n"/>
      <c r="C89" s="69" t="n"/>
      <c r="D89" s="70" t="n"/>
    </row>
    <row r="90" ht="21" customHeight="1">
      <c r="A90" s="69" t="n"/>
      <c r="B90" s="69" t="n"/>
      <c r="C90" s="69" t="n"/>
      <c r="D90" s="70" t="n"/>
    </row>
    <row r="91" ht="21" customHeight="1">
      <c r="A91" s="69" t="n"/>
      <c r="B91" s="69" t="n"/>
      <c r="C91" s="69" t="n"/>
      <c r="D91" s="70" t="n"/>
    </row>
    <row r="92" ht="21" customHeight="1">
      <c r="A92" s="69" t="n"/>
      <c r="B92" s="69" t="n"/>
      <c r="C92" s="69" t="n"/>
      <c r="D92" s="70" t="n"/>
    </row>
    <row r="93" ht="21" customHeight="1">
      <c r="A93" s="69" t="n"/>
      <c r="B93" s="69" t="n"/>
      <c r="C93" s="69" t="n"/>
      <c r="D93" s="70" t="n"/>
    </row>
    <row r="94" ht="21" customHeight="1">
      <c r="A94" s="69" t="n"/>
      <c r="B94" s="69" t="n"/>
      <c r="C94" s="69" t="n"/>
      <c r="D94" s="70" t="n"/>
    </row>
    <row r="95" ht="21" customHeight="1">
      <c r="A95" s="69" t="n"/>
      <c r="B95" s="69" t="n"/>
      <c r="C95" s="69" t="n"/>
      <c r="D95" s="70" t="n"/>
    </row>
    <row r="96" ht="21" customHeight="1">
      <c r="A96" s="69" t="n"/>
      <c r="B96" s="69" t="n"/>
      <c r="C96" s="69" t="n"/>
      <c r="D96" s="70" t="n"/>
    </row>
    <row r="97" ht="21" customHeight="1">
      <c r="A97" s="69" t="n"/>
      <c r="B97" s="69" t="n"/>
      <c r="C97" s="69" t="n"/>
      <c r="D97" s="70" t="n"/>
    </row>
    <row r="98" ht="21" customHeight="1">
      <c r="A98" s="69" t="n"/>
      <c r="B98" s="69" t="n"/>
      <c r="C98" s="69" t="n"/>
      <c r="D98" s="70" t="n"/>
    </row>
    <row r="99" ht="21" customHeight="1">
      <c r="A99" s="69" t="n"/>
      <c r="B99" s="69" t="n"/>
      <c r="C99" s="69" t="n"/>
      <c r="D99" s="70" t="n"/>
    </row>
    <row r="100" ht="21" customHeight="1">
      <c r="A100" s="69" t="n"/>
      <c r="B100" s="69" t="n"/>
      <c r="C100" s="69" t="n"/>
      <c r="D100" s="70" t="n"/>
    </row>
    <row r="101" ht="21" customHeight="1">
      <c r="A101" s="69" t="n"/>
      <c r="B101" s="69" t="n"/>
      <c r="C101" s="69" t="n"/>
      <c r="D101" s="70" t="n"/>
    </row>
    <row r="102" ht="21" customHeight="1">
      <c r="A102" s="69" t="n"/>
      <c r="B102" s="69" t="n"/>
      <c r="C102" s="69" t="n"/>
      <c r="D102" s="70" t="n"/>
    </row>
    <row r="103" ht="21" customHeight="1">
      <c r="A103" s="69" t="n"/>
      <c r="B103" s="69" t="n"/>
      <c r="C103" s="69" t="n"/>
      <c r="D103" s="70" t="n"/>
    </row>
    <row r="104" ht="21" customHeight="1">
      <c r="A104" s="69" t="n"/>
      <c r="B104" s="69" t="n"/>
      <c r="C104" s="69" t="n"/>
      <c r="D104" s="70" t="n"/>
    </row>
    <row r="105" ht="21" customHeight="1">
      <c r="A105" s="69" t="n"/>
      <c r="B105" s="69" t="n"/>
      <c r="C105" s="69" t="n"/>
      <c r="D105" s="70" t="n"/>
    </row>
    <row r="106" ht="21" customHeight="1">
      <c r="A106" s="69" t="n"/>
      <c r="B106" s="69" t="n"/>
      <c r="C106" s="69" t="n"/>
      <c r="D106" s="70" t="n"/>
    </row>
    <row r="107" ht="21" customHeight="1">
      <c r="A107" s="69" t="n"/>
      <c r="B107" s="69" t="n"/>
      <c r="C107" s="69" t="n"/>
      <c r="D107" s="70" t="n"/>
    </row>
    <row r="108" ht="21" customHeight="1">
      <c r="A108" s="69" t="n"/>
      <c r="B108" s="69" t="n"/>
      <c r="C108" s="69" t="n"/>
      <c r="D108" s="70" t="n"/>
    </row>
    <row r="109" ht="21" customHeight="1">
      <c r="A109" s="69" t="n"/>
      <c r="B109" s="69" t="n"/>
      <c r="C109" s="69" t="n"/>
      <c r="D109" s="70" t="n"/>
    </row>
    <row r="110" ht="21" customHeight="1">
      <c r="A110" s="69" t="n"/>
      <c r="B110" s="69" t="n"/>
      <c r="C110" s="69" t="n"/>
      <c r="D110" s="70" t="n"/>
    </row>
    <row r="111" ht="21" customHeight="1">
      <c r="A111" s="69" t="n"/>
      <c r="B111" s="69" t="n"/>
      <c r="C111" s="69" t="n"/>
      <c r="D111" s="70" t="n"/>
    </row>
    <row r="112" ht="21" customHeight="1">
      <c r="A112" s="69" t="n"/>
      <c r="B112" s="69" t="n"/>
      <c r="C112" s="69" t="n"/>
      <c r="D112" s="70" t="n"/>
    </row>
    <row r="113" ht="21" customHeight="1">
      <c r="A113" s="69" t="n"/>
      <c r="B113" s="69" t="n"/>
      <c r="C113" s="69" t="n"/>
      <c r="D113" s="70" t="n"/>
    </row>
    <row r="114" ht="21" customHeight="1">
      <c r="A114" s="69" t="n"/>
      <c r="B114" s="69" t="n"/>
      <c r="C114" s="69" t="n"/>
      <c r="D114" s="70" t="n"/>
    </row>
    <row r="115" ht="21" customHeight="1">
      <c r="A115" s="69" t="n"/>
      <c r="B115" s="69" t="n"/>
      <c r="C115" s="69" t="n"/>
      <c r="D115" s="70" t="n"/>
    </row>
    <row r="116" ht="21" customHeight="1">
      <c r="A116" s="69" t="n"/>
      <c r="B116" s="69" t="n"/>
      <c r="C116" s="69" t="n"/>
      <c r="D116" s="70" t="n"/>
    </row>
    <row r="117" ht="21" customHeight="1">
      <c r="A117" s="69" t="n"/>
      <c r="B117" s="69" t="n"/>
      <c r="C117" s="69" t="n"/>
      <c r="D117" s="70" t="n"/>
    </row>
    <row r="118" ht="21" customHeight="1">
      <c r="A118" s="69" t="n"/>
      <c r="B118" s="69" t="n"/>
      <c r="C118" s="69" t="n"/>
      <c r="D118" s="70" t="n"/>
    </row>
    <row r="119" ht="21" customHeight="1">
      <c r="A119" s="69" t="n"/>
      <c r="B119" s="69" t="n"/>
      <c r="C119" s="69" t="n"/>
      <c r="D119" s="70" t="n"/>
    </row>
    <row r="120" ht="21" customHeight="1">
      <c r="A120" s="69" t="n"/>
      <c r="B120" s="69" t="n"/>
      <c r="C120" s="69" t="n"/>
      <c r="D120" s="70" t="n"/>
    </row>
    <row r="121" ht="21" customHeight="1">
      <c r="A121" s="69" t="n"/>
      <c r="B121" s="69" t="n"/>
      <c r="C121" s="69" t="n"/>
      <c r="D121" s="70" t="n"/>
    </row>
    <row r="122" ht="21" customHeight="1">
      <c r="A122" s="69" t="n"/>
      <c r="B122" s="69" t="n"/>
      <c r="C122" s="69" t="n"/>
      <c r="D122" s="70" t="n"/>
    </row>
    <row r="123" ht="21" customHeight="1">
      <c r="A123" s="69" t="n"/>
      <c r="B123" s="69" t="n"/>
      <c r="C123" s="69" t="n"/>
      <c r="D123" s="70" t="n"/>
    </row>
    <row r="124" ht="21" customHeight="1">
      <c r="A124" s="69" t="n"/>
      <c r="B124" s="69" t="n"/>
      <c r="C124" s="69" t="n"/>
      <c r="D124" s="70" t="n"/>
    </row>
    <row r="125" ht="21" customHeight="1">
      <c r="A125" s="69" t="n"/>
      <c r="B125" s="69" t="n"/>
      <c r="C125" s="69" t="n"/>
      <c r="D125" s="70" t="n"/>
    </row>
    <row r="126" ht="21" customHeight="1">
      <c r="A126" s="69" t="n"/>
      <c r="B126" s="69" t="n"/>
      <c r="C126" s="69" t="n"/>
      <c r="D126" s="70" t="n"/>
    </row>
    <row r="127" ht="21" customHeight="1">
      <c r="A127" s="69" t="n"/>
      <c r="B127" s="69" t="n"/>
      <c r="C127" s="69" t="n"/>
      <c r="D127" s="70" t="n"/>
    </row>
    <row r="128" ht="21" customHeight="1">
      <c r="A128" s="69" t="n"/>
      <c r="B128" s="69" t="n"/>
      <c r="C128" s="69" t="n"/>
      <c r="D128" s="70" t="n"/>
    </row>
    <row r="129" ht="21" customHeight="1">
      <c r="A129" s="69" t="n"/>
      <c r="B129" s="69" t="n"/>
      <c r="C129" s="69" t="n"/>
      <c r="D129" s="70" t="n"/>
    </row>
    <row r="130" ht="21" customHeight="1">
      <c r="A130" s="69" t="n"/>
      <c r="B130" s="69" t="n"/>
      <c r="C130" s="69" t="n"/>
      <c r="D130" s="70" t="n"/>
    </row>
    <row r="131" ht="21" customHeight="1">
      <c r="A131" s="69" t="n"/>
      <c r="B131" s="69" t="n"/>
      <c r="C131" s="69" t="n"/>
      <c r="D131" s="70" t="n"/>
    </row>
    <row r="132" ht="21" customHeight="1">
      <c r="A132" s="69" t="n"/>
      <c r="B132" s="69" t="n"/>
      <c r="C132" s="69" t="n"/>
      <c r="D132" s="70" t="n"/>
    </row>
    <row r="133" ht="21" customHeight="1">
      <c r="A133" s="69" t="n"/>
      <c r="B133" s="69" t="n"/>
      <c r="C133" s="69" t="n"/>
      <c r="D133" s="70" t="n"/>
    </row>
    <row r="134" ht="21" customHeight="1">
      <c r="A134" s="69" t="n"/>
      <c r="B134" s="69" t="n"/>
      <c r="C134" s="69" t="n"/>
      <c r="D134" s="70" t="n"/>
    </row>
    <row r="135" ht="21" customHeight="1">
      <c r="A135" s="69" t="n"/>
      <c r="B135" s="69" t="n"/>
      <c r="C135" s="69" t="n"/>
      <c r="D135" s="70" t="n"/>
    </row>
    <row r="136" ht="21" customHeight="1">
      <c r="A136" s="69" t="n"/>
      <c r="B136" s="69" t="n"/>
      <c r="C136" s="69" t="n"/>
      <c r="D136" s="70" t="n"/>
    </row>
    <row r="137" ht="21" customHeight="1">
      <c r="A137" s="69" t="n"/>
      <c r="B137" s="69" t="n"/>
      <c r="C137" s="69" t="n"/>
      <c r="D137" s="70" t="n"/>
    </row>
    <row r="138" ht="21" customHeight="1">
      <c r="A138" s="69" t="n"/>
      <c r="B138" s="69" t="n"/>
      <c r="C138" s="69" t="n"/>
      <c r="D138" s="70" t="n"/>
    </row>
    <row r="139" ht="21" customHeight="1">
      <c r="A139" s="69" t="n"/>
      <c r="B139" s="69" t="n"/>
      <c r="C139" s="69" t="n"/>
      <c r="D139" s="70" t="n"/>
    </row>
    <row r="140" ht="21" customHeight="1">
      <c r="A140" s="69" t="n"/>
      <c r="B140" s="69" t="n"/>
      <c r="C140" s="69" t="n"/>
      <c r="D140" s="70" t="n"/>
    </row>
    <row r="141" ht="21" customHeight="1">
      <c r="A141" s="69" t="n"/>
      <c r="B141" s="69" t="n"/>
      <c r="C141" s="69" t="n"/>
      <c r="D141" s="70" t="n"/>
    </row>
    <row r="142" ht="21" customHeight="1">
      <c r="A142" s="69" t="n"/>
      <c r="B142" s="69" t="n"/>
      <c r="C142" s="69" t="n"/>
      <c r="D142" s="70" t="n"/>
    </row>
    <row r="143" ht="21" customHeight="1">
      <c r="A143" s="69" t="n"/>
      <c r="B143" s="69" t="n"/>
      <c r="C143" s="69" t="n"/>
      <c r="D143" s="70" t="n"/>
    </row>
    <row r="144" ht="21" customHeight="1">
      <c r="A144" s="69" t="n"/>
      <c r="B144" s="69" t="n"/>
      <c r="C144" s="69" t="n"/>
      <c r="D144" s="70" t="n"/>
    </row>
    <row r="145" ht="21" customHeight="1">
      <c r="A145" s="69" t="n"/>
      <c r="B145" s="69" t="n"/>
      <c r="C145" s="69" t="n"/>
      <c r="D145" s="70" t="n"/>
    </row>
    <row r="146" ht="21" customHeight="1">
      <c r="A146" s="69" t="n"/>
      <c r="B146" s="69" t="n"/>
      <c r="C146" s="69" t="n"/>
      <c r="D146" s="70" t="n"/>
    </row>
    <row r="147" ht="21" customHeight="1">
      <c r="A147" s="69" t="n"/>
      <c r="B147" s="69" t="n"/>
      <c r="C147" s="69" t="n"/>
      <c r="D147" s="70" t="n"/>
    </row>
    <row r="148" ht="21" customHeight="1">
      <c r="A148" s="69" t="n"/>
      <c r="B148" s="69" t="n"/>
      <c r="C148" s="69" t="n"/>
      <c r="D148" s="70" t="n"/>
    </row>
    <row r="149" ht="21" customHeight="1">
      <c r="A149" s="69" t="n"/>
      <c r="B149" s="69" t="n"/>
      <c r="C149" s="69" t="n"/>
      <c r="D149" s="70" t="n"/>
    </row>
    <row r="150" ht="21" customHeight="1">
      <c r="A150" s="69" t="n"/>
      <c r="B150" s="69" t="n"/>
      <c r="C150" s="69" t="n"/>
      <c r="D150" s="70" t="n"/>
    </row>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row r="601" ht="21" customHeight="1"/>
    <row r="602" ht="21" customHeight="1"/>
    <row r="603" ht="21" customHeight="1"/>
    <row r="604" ht="21" customHeight="1"/>
    <row r="605" ht="21" customHeight="1"/>
    <row r="606" ht="21" customHeight="1"/>
    <row r="607" ht="21" customHeight="1"/>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1"/>
  <sheetViews>
    <sheetView workbookViewId="0">
      <selection activeCell="D3" sqref="D3"/>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Tournament Year</t>
        </is>
      </c>
      <c r="B7" t="inlineStr">
        <is>
          <t>2025</t>
        </is>
      </c>
    </row>
    <row r="8">
      <c r="A8" t="inlineStr">
        <is>
          <t>FLL Season Title</t>
        </is>
      </c>
      <c r="B8" t="inlineStr">
        <is>
          <t>Unearthed</t>
        </is>
      </c>
    </row>
    <row r="9">
      <c r="A9" t="inlineStr">
        <is>
          <t>Tournament Short Name</t>
        </is>
      </c>
      <c r="B9" t="inlineStr">
        <is>
          <t>Norfolk</t>
        </is>
      </c>
    </row>
    <row r="10">
      <c r="A10" t="inlineStr">
        <is>
          <t>Tournament Long Name</t>
        </is>
      </c>
      <c r="B10" t="inlineStr">
        <is>
          <t>Norfolk 2025 Unearthed Qualifier Tournament</t>
        </is>
      </c>
    </row>
    <row r="11">
      <c r="A11" t="inlineStr">
        <is>
          <t>Completed Script File</t>
        </is>
      </c>
      <c r="B11" t="inlineStr">
        <is>
          <t>c:\github-projects\OJS_Script_maker_NG\2025-all\tournaments\Norfolk\closing_ceremony.html</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J11"/>
  <sheetViews>
    <sheetView workbookViewId="0">
      <selection activeCell="A1" sqref="A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1</v>
      </c>
    </row>
    <row r="6">
      <c r="A6" t="inlineStr">
        <is>
          <t>J_AWD_Judges</t>
        </is>
      </c>
      <c r="B6" t="inlineStr">
        <is>
          <t>Judges</t>
        </is>
      </c>
      <c r="C6" t="n">
        <v>0</v>
      </c>
      <c r="D6" t="n">
        <v>0</v>
      </c>
      <c r="E6" t="n">
        <v>0</v>
      </c>
      <c r="F6" t="n">
        <v>0</v>
      </c>
      <c r="G6" t="inlineStr">
        <is>
          <t>Judges 1</t>
        </is>
      </c>
      <c r="H6" t="inlineStr">
        <is>
          <t>Judges 2</t>
        </is>
      </c>
      <c r="I6" t="inlineStr">
        <is>
          <t>Judges 3</t>
        </is>
      </c>
      <c r="J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60"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283"/>
  <sheetViews>
    <sheetView tabSelected="1" zoomScaleNormal="100" workbookViewId="0">
      <pane xSplit="3" ySplit="2" topLeftCell="D3" activePane="bottomRight" state="frozen"/>
      <selection pane="topRight" activeCell="C1" sqref="C1"/>
      <selection pane="bottomLeft" activeCell="A3" sqref="A3"/>
      <selection pane="bottomRight" activeCell="P3" sqref="P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7" min="26" max="26"/>
    <col width="9.140625" customWidth="1" style="25" min="27" max="29"/>
    <col width="9.140625" customWidth="1" style="24" min="30" max="33"/>
    <col width="9.140625" customWidth="1" style="24" min="34" max="16384"/>
  </cols>
  <sheetData>
    <row r="1" ht="54.75" customFormat="1" customHeight="1" s="115">
      <c r="A1" s="114" t="inlineStr">
        <is>
          <t>Team Information</t>
        </is>
      </c>
      <c r="D1" s="114" t="inlineStr">
        <is>
          <t>Robot Game</t>
        </is>
      </c>
      <c r="K1" s="114" t="inlineStr">
        <is>
          <t>Judging</t>
        </is>
      </c>
      <c r="N1" s="114" t="inlineStr">
        <is>
          <t>Overall</t>
        </is>
      </c>
      <c r="P1" s="114" t="inlineStr">
        <is>
          <t>Awards</t>
        </is>
      </c>
      <c r="Q1" s="107">
        <f>Meta!#REF!</f>
        <v/>
      </c>
      <c r="R1" s="114" t="inlineStr">
        <is>
          <t>Testing Items (Info Only)</t>
        </is>
      </c>
      <c r="W1" s="110">
        <f>"You have selected " &amp; COUNTIF(TournamentData[Advance?],"Yes") &amp; " of " &amp; Q1 &amp; " permitted advancing teams" &amp; CHAR(10) &amp; IF(COUNTIF(TournamentData[Advance?],"Alt")&gt;0,"You have selected an alternative advancing team", "You have NOT selected an alternative advancing team")</f>
        <v/>
      </c>
      <c r="X1" s="114" t="n"/>
      <c r="Z1" s="46" t="n"/>
    </row>
    <row r="2" ht="118.5" customFormat="1" customHeight="1" s="9">
      <c r="A2" s="48" t="inlineStr">
        <is>
          <t>Team Number</t>
        </is>
      </c>
      <c r="B2" s="48" t="inlineStr">
        <is>
          <t>POD</t>
        </is>
      </c>
      <c r="C2" s="48" t="inlineStr">
        <is>
          <t>Team Name</t>
        </is>
      </c>
      <c r="D2" s="49" t="inlineStr">
        <is>
          <t>Robot Game Score 1</t>
        </is>
      </c>
      <c r="E2" s="49" t="inlineStr">
        <is>
          <t>Robot Game Score 2</t>
        </is>
      </c>
      <c r="F2" s="49" t="inlineStr">
        <is>
          <t>Robot Game Score 3</t>
        </is>
      </c>
      <c r="G2" s="49" t="inlineStr">
        <is>
          <t>Robot Game Score 4</t>
        </is>
      </c>
      <c r="H2" s="49" t="inlineStr">
        <is>
          <t>Robot Game Score 5</t>
        </is>
      </c>
      <c r="I2" s="49" t="inlineStr">
        <is>
          <t>Max Robot Game Score</t>
        </is>
      </c>
      <c r="J2" s="50" t="inlineStr">
        <is>
          <t>Robot Game Rank</t>
        </is>
      </c>
      <c r="K2" s="51" t="inlineStr">
        <is>
          <t>Core Values Rank</t>
        </is>
      </c>
      <c r="L2" s="52" t="inlineStr">
        <is>
          <t>Innovation Project Rank</t>
        </is>
      </c>
      <c r="M2" s="53" t="inlineStr">
        <is>
          <t>Robot Design Rank</t>
        </is>
      </c>
      <c r="N2" s="54" t="inlineStr">
        <is>
          <t>Champion's Score</t>
        </is>
      </c>
      <c r="O2" s="55" t="inlineStr">
        <is>
          <t>Champion's Rank</t>
        </is>
      </c>
      <c r="P2" s="48" t="inlineStr">
        <is>
          <t>Award</t>
        </is>
      </c>
      <c r="Q2" s="48"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5" t="n"/>
    </row>
    <row r="3" ht="21" customHeight="1">
      <c r="A3" s="69" t="n">
        <v>24277</v>
      </c>
      <c r="B3" s="69">
        <f>INDEX(OfficialTeamList[Pod Number],MATCH(TournamentData[[#This Row],[Team Number]], OfficialTeamList[Team Number],0))</f>
        <v/>
      </c>
      <c r="C3" s="105">
        <f>INDEX(OfficialTeamList[Team Name],MATCH(TournamentData[[#This Row],[Team Number]], OfficialTeamList[Team Number],0))</f>
        <v/>
      </c>
      <c r="D3" s="79">
        <f>IF(TournamentData[[#This Row],[Team Number]]="","",IF(ISNA(INDEX('Robot Game Scores'!C:C,MATCH(TournamentData[[#This Row],[Team Number]], 'Robot Game Scores'!$A:$A,0))),0,INDEX('Robot Game Scores'!C:C,MATCH(TournamentData[[#This Row],[Team Number]], 'Robot Game Scores'!$A:$A,0))))</f>
        <v/>
      </c>
      <c r="E3" s="79">
        <f>IF(TournamentData[[#This Row],[Team Number]]="","",IF(ISNA(INDEX('Robot Game Scores'!D:D,MATCH(TournamentData[[#This Row],[Team Number]], 'Robot Game Scores'!$A:$A,0))),0,INDEX('Robot Game Scores'!D:D,MATCH(TournamentData[[#This Row],[Team Number]], 'Robot Game Scores'!$A:$A,0))))</f>
        <v/>
      </c>
      <c r="F3" s="79">
        <f>IF(TournamentData[[#This Row],[Team Number]]="","",IF(ISNA(INDEX('Robot Game Scores'!E:E,MATCH(TournamentData[[#This Row],[Team Number]], 'Robot Game Scores'!$A:$A,0))),0,INDEX('Robot Game Scores'!E:E,MATCH(TournamentData[[#This Row],[Team Number]], 'Robot Game Scores'!$A:$A,0))))</f>
        <v/>
      </c>
      <c r="G3" s="79">
        <f>IF(TournamentData[[#This Row],[Team Number]]="","",IF(ISNA(INDEX('Robot Game Scores'!#REF!,MATCH(TournamentData[[#This Row],[Team Number]], 'Robot Game Scores'!$A:$A,0))),0,INDEX('Robot Game Scores'!#REF!,MATCH(TournamentData[[#This Row],[Team Number]], 'Robot Game Scores'!$A:$A,0))))</f>
        <v/>
      </c>
      <c r="H3" s="79">
        <f>IF(TournamentData[[#This Row],[Team Number]]="","",IF(ISNA(INDEX('Robot Game Scores'!#REF!,MATCH(TournamentData[[#This Row],[Team Number]], 'Robot Game Scores'!$A:$A,0))),0,INDEX('Robot Game Scores'!#REF!,MATCH(TournamentData[[#This Row],[Team Number]], 'Robot Game Scores'!$A:$A,0))))</f>
        <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9">
        <f>_xlfn.RANK.EQ(TournamentData[[#This Row],[Max Robot Game Score]],TournamentData[Max Robot Game Score])</f>
        <v/>
      </c>
      <c r="K3" s="79">
        <f>INDEX(CoreValuesResults[Core Values Rank],MATCH(TournamentData[[#This Row],[Team Number]],CoreValuesResults[Team Number],0))</f>
        <v/>
      </c>
      <c r="L3" s="79">
        <f>INDEX(InnovationProjectResults[Innovation Project Rank],MATCH(TournamentData[[#This Row],[Team Number]],InnovationProjectResults[Team Number],0))</f>
        <v/>
      </c>
      <c r="M3" s="79">
        <f>INDEX(RobotDesignResults[Robot Design Rank],MATCH(TournamentData[[#This Row],[Team Number]],RobotDesignResults[Team Number],0))</f>
        <v/>
      </c>
      <c r="N3" s="79">
        <f>SUM(TournamentData[[#This Row],[Robot Game Rank]:[Robot Design Rank]])</f>
        <v/>
      </c>
      <c r="O3" s="78">
        <f>RANK(TournamentData[[#This Row],[Champion''s Score]],TournamentData[Champion''s Score],1)</f>
        <v/>
      </c>
      <c r="P3" s="80" t="n"/>
      <c r="Q3" s="86" t="inlineStr">
        <is>
          <t>No</t>
        </is>
      </c>
      <c r="R3" s="81">
        <f>IF(ISNA(INDEX(CoreValuesResults[Core Values Score],MATCH(TournamentData[[#This Row],[Team Number]],CoreValuesResults[Team Number],0))),0,INDEX(CoreValuesResults[Core Values Score],MATCH(TournamentData[[#This Row],[Team Number]],CoreValuesResults[Team Number],0)))</f>
        <v/>
      </c>
      <c r="S3" s="81">
        <f>IF(ISNA(INDEX(InnovationProjectResults[Innovation Project Score],MATCH(TournamentData[[#This Row],[Team Number]],InnovationProjectResults[Team Number],0))),0,INDEX(InnovationProjectResults[Innovation Project Score],MATCH(TournamentData[[#This Row],[Team Number]],InnovationProjectResults[Team Number],0)))</f>
        <v/>
      </c>
      <c r="T3" s="81">
        <f>IF(ISNA(INDEX(RobotDesignResults[Robot Design Score],MATCH(TournamentData[[#This Row],[Team Number]],RobotDesignResults[Team Number],0))),0,INDEX(RobotDesignResults[Robot Design Score],MATCH(TournamentData[[#This Row],[Team Number]],RobotDesignResults[Team Number],0)))</f>
        <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80">
        <f>IF(U3,_xlfn.RANK.EQ(U3,U$3:U$5,0),NumberOfTeams)</f>
        <v/>
      </c>
      <c r="W3" s="80" t="n"/>
    </row>
    <row r="4" ht="20.25" customHeight="1">
      <c r="A4" s="79" t="n">
        <v>26034</v>
      </c>
      <c r="B4" s="79">
        <f>INDEX(OfficialTeamList[Pod Number],MATCH(TournamentData[[#This Row],[Team Number]], OfficialTeamList[Team Number],0))</f>
        <v/>
      </c>
      <c r="C4" s="105">
        <f>INDEX(OfficialTeamList[Team Name],MATCH(TournamentData[[#This Row],[Team Number]], OfficialTeamList[Team Number],0))</f>
        <v/>
      </c>
      <c r="D4" s="79">
        <f>IF(TournamentData[[#This Row],[Team Number]]="","",IF(ISNA(INDEX('Robot Game Scores'!C:C,MATCH(TournamentData[[#This Row],[Team Number]], 'Robot Game Scores'!$A:$A,0))),0,INDEX('Robot Game Scores'!C:C,MATCH(TournamentData[[#This Row],[Team Number]], 'Robot Game Scores'!$A:$A,0))))</f>
        <v/>
      </c>
      <c r="E4" s="79">
        <f>IF(TournamentData[[#This Row],[Team Number]]="","",IF(ISNA(INDEX('Robot Game Scores'!D:D,MATCH(TournamentData[[#This Row],[Team Number]], 'Robot Game Scores'!$A:$A,0))),0,INDEX('Robot Game Scores'!D:D,MATCH(TournamentData[[#This Row],[Team Number]], 'Robot Game Scores'!$A:$A,0))))</f>
        <v/>
      </c>
      <c r="F4" s="79">
        <f>IF(TournamentData[[#This Row],[Team Number]]="","",IF(ISNA(INDEX('Robot Game Scores'!E:E,MATCH(TournamentData[[#This Row],[Team Number]], 'Robot Game Scores'!$A:$A,0))),0,INDEX('Robot Game Scores'!E:E,MATCH(TournamentData[[#This Row],[Team Number]], 'Robot Game Scores'!$A:$A,0))))</f>
        <v/>
      </c>
      <c r="G4" s="79">
        <f>IF(TournamentData[[#This Row],[Team Number]]="","",IF(ISNA(INDEX('Robot Game Scores'!#REF!,MATCH(TournamentData[[#This Row],[Team Number]], 'Robot Game Scores'!$A:$A,0))),0,INDEX('Robot Game Scores'!#REF!,MATCH(TournamentData[[#This Row],[Team Number]], 'Robot Game Scores'!$A:$A,0))))</f>
        <v/>
      </c>
      <c r="H4" s="79">
        <f>IF(TournamentData[[#This Row],[Team Number]]="","",IF(ISNA(INDEX('Robot Game Scores'!#REF!,MATCH(TournamentData[[#This Row],[Team Number]], 'Robot Game Scores'!$A:$A,0))),0,INDEX('Robot Game Scores'!#REF!,MATCH(TournamentData[[#This Row],[Team Number]], 'Robot Game Scores'!$A:$A,0))))</f>
        <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9">
        <f>_xlfn.RANK.EQ(TournamentData[[#This Row],[Max Robot Game Score]],TournamentData[Max Robot Game Score])</f>
        <v/>
      </c>
      <c r="K4" s="79">
        <f>INDEX(CoreValuesResults[Core Values Rank],MATCH(TournamentData[[#This Row],[Team Number]],CoreValuesResults[Team Number],0))</f>
        <v/>
      </c>
      <c r="L4" s="79">
        <f>INDEX(InnovationProjectResults[Innovation Project Rank],MATCH(TournamentData[[#This Row],[Team Number]],InnovationProjectResults[Team Number],0))</f>
        <v/>
      </c>
      <c r="M4" s="79">
        <f>INDEX(RobotDesignResults[Robot Design Rank],MATCH(TournamentData[[#This Row],[Team Number]],RobotDesignResults[Team Number],0))</f>
        <v/>
      </c>
      <c r="N4" s="79">
        <f>SUM(TournamentData[[#This Row],[Robot Game Rank]:[Robot Design Rank]])</f>
        <v/>
      </c>
      <c r="O4" s="79">
        <f>RANK(TournamentData[[#This Row],[Champion''s Score]],TournamentData[Champion''s Score],1)</f>
        <v/>
      </c>
      <c r="P4" s="80" t="n"/>
      <c r="Q4" s="86" t="inlineStr">
        <is>
          <t>No</t>
        </is>
      </c>
      <c r="R4" s="81">
        <f>IF(ISNA(INDEX(CoreValuesResults[Core Values Score],MATCH(TournamentData[[#This Row],[Team Number]],CoreValuesResults[Team Number],0))),0,INDEX(CoreValuesResults[Core Values Score],MATCH(TournamentData[[#This Row],[Team Number]],CoreValuesResults[Team Number],0)))</f>
        <v/>
      </c>
      <c r="S4" s="81">
        <f>IF(ISNA(INDEX(InnovationProjectResults[Innovation Project Score],MATCH(TournamentData[[#This Row],[Team Number]],InnovationProjectResults[Team Number],0))),0,INDEX(InnovationProjectResults[Innovation Project Score],MATCH(TournamentData[[#This Row],[Team Number]],InnovationProjectResults[Team Number],0)))</f>
        <v/>
      </c>
      <c r="T4" s="81">
        <f>IF(ISNA(INDEX(RobotDesignResults[Robot Design Score],MATCH(TournamentData[[#This Row],[Team Number]],RobotDesignResults[Team Number],0))),0,INDEX(RobotDesignResults[Robot Design Score],MATCH(TournamentData[[#This Row],[Team Number]],RobotDesignResults[Team Number],0)))</f>
        <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80">
        <f>IF(U4,_xlfn.RANK.EQ(U4,U$3:U$17,0),NumberOfTeams)</f>
        <v/>
      </c>
      <c r="W4" s="80" t="n"/>
    </row>
    <row r="5" ht="20.25" customHeight="1">
      <c r="A5" s="79" t="n">
        <v>60801</v>
      </c>
      <c r="B5" s="79">
        <f>INDEX(OfficialTeamList[Pod Number],MATCH(TournamentData[[#This Row],[Team Number]], OfficialTeamList[Team Number],0))</f>
        <v/>
      </c>
      <c r="C5" s="105">
        <f>INDEX(OfficialTeamList[Team Name],MATCH(TournamentData[[#This Row],[Team Number]], OfficialTeamList[Team Number],0))</f>
        <v/>
      </c>
      <c r="D5" s="79">
        <f>IF(TournamentData[[#This Row],[Team Number]]="","",IF(ISNA(INDEX('Robot Game Scores'!C:C,MATCH(TournamentData[[#This Row],[Team Number]], 'Robot Game Scores'!$A:$A,0))),0,INDEX('Robot Game Scores'!C:C,MATCH(TournamentData[[#This Row],[Team Number]], 'Robot Game Scores'!$A:$A,0))))</f>
        <v/>
      </c>
      <c r="E5" s="79">
        <f>IF(TournamentData[[#This Row],[Team Number]]="","",IF(ISNA(INDEX('Robot Game Scores'!D:D,MATCH(TournamentData[[#This Row],[Team Number]], 'Robot Game Scores'!$A:$A,0))),0,INDEX('Robot Game Scores'!D:D,MATCH(TournamentData[[#This Row],[Team Number]], 'Robot Game Scores'!$A:$A,0))))</f>
        <v/>
      </c>
      <c r="F5" s="79">
        <f>IF(TournamentData[[#This Row],[Team Number]]="","",IF(ISNA(INDEX('Robot Game Scores'!E:E,MATCH(TournamentData[[#This Row],[Team Number]], 'Robot Game Scores'!$A:$A,0))),0,INDEX('Robot Game Scores'!E:E,MATCH(TournamentData[[#This Row],[Team Number]], 'Robot Game Scores'!$A:$A,0))))</f>
        <v/>
      </c>
      <c r="G5" s="79">
        <f>IF(TournamentData[[#This Row],[Team Number]]="","",IF(ISNA(INDEX('Robot Game Scores'!#REF!,MATCH(TournamentData[[#This Row],[Team Number]], 'Robot Game Scores'!$A:$A,0))),0,INDEX('Robot Game Scores'!#REF!,MATCH(TournamentData[[#This Row],[Team Number]], 'Robot Game Scores'!$A:$A,0))))</f>
        <v/>
      </c>
      <c r="H5" s="79">
        <f>IF(TournamentData[[#This Row],[Team Number]]="","",IF(ISNA(INDEX('Robot Game Scores'!#REF!,MATCH(TournamentData[[#This Row],[Team Number]], 'Robot Game Scores'!$A:$A,0))),0,INDEX('Robot Game Scores'!#REF!,MATCH(TournamentData[[#This Row],[Team Number]], 'Robot Game Scores'!$A:$A,0))))</f>
        <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9">
        <f>_xlfn.RANK.EQ(TournamentData[[#This Row],[Max Robot Game Score]],TournamentData[Max Robot Game Score])</f>
        <v/>
      </c>
      <c r="K5" s="79">
        <f>INDEX(CoreValuesResults[Core Values Rank],MATCH(TournamentData[[#This Row],[Team Number]],CoreValuesResults[Team Number],0))</f>
        <v/>
      </c>
      <c r="L5" s="79">
        <f>INDEX(InnovationProjectResults[Innovation Project Rank],MATCH(TournamentData[[#This Row],[Team Number]],InnovationProjectResults[Team Number],0))</f>
        <v/>
      </c>
      <c r="M5" s="79">
        <f>INDEX(RobotDesignResults[Robot Design Rank],MATCH(TournamentData[[#This Row],[Team Number]],RobotDesignResults[Team Number],0))</f>
        <v/>
      </c>
      <c r="N5" s="79">
        <f>SUM(TournamentData[[#This Row],[Robot Game Rank]:[Robot Design Rank]])</f>
        <v/>
      </c>
      <c r="O5" s="79">
        <f>RANK(TournamentData[[#This Row],[Champion''s Score]],TournamentData[Champion''s Score],1)</f>
        <v/>
      </c>
      <c r="P5" s="80" t="n"/>
      <c r="Q5" s="86" t="inlineStr">
        <is>
          <t>No</t>
        </is>
      </c>
      <c r="R5" s="81">
        <f>IF(ISNA(INDEX(CoreValuesResults[Core Values Score],MATCH(TournamentData[[#This Row],[Team Number]],CoreValuesResults[Team Number],0))),0,INDEX(CoreValuesResults[Core Values Score],MATCH(TournamentData[[#This Row],[Team Number]],CoreValuesResults[Team Number],0)))</f>
        <v/>
      </c>
      <c r="S5" s="81">
        <f>IF(ISNA(INDEX(InnovationProjectResults[Innovation Project Score],MATCH(TournamentData[[#This Row],[Team Number]],InnovationProjectResults[Team Number],0))),0,INDEX(InnovationProjectResults[Innovation Project Score],MATCH(TournamentData[[#This Row],[Team Number]],InnovationProjectResults[Team Number],0)))</f>
        <v/>
      </c>
      <c r="T5" s="81">
        <f>IF(ISNA(INDEX(RobotDesignResults[Robot Design Score],MATCH(TournamentData[[#This Row],[Team Number]],RobotDesignResults[Team Number],0))),0,INDEX(RobotDesignResults[Robot Design Score],MATCH(TournamentData[[#This Row],[Team Number]],RobotDesignResults[Team Number],0)))</f>
        <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80">
        <f>IF(U5,_xlfn.RANK.EQ(U5,U$3:U$17,0),NumberOfTeams)</f>
        <v/>
      </c>
      <c r="W5" s="80" t="n"/>
    </row>
    <row r="6" ht="20.25" customHeight="1">
      <c r="A6" s="79" t="n">
        <v>67083</v>
      </c>
      <c r="B6" s="79">
        <f>INDEX(OfficialTeamList[Pod Number],MATCH(TournamentData[[#This Row],[Team Number]], OfficialTeamList[Team Number],0))</f>
        <v/>
      </c>
      <c r="C6" s="105">
        <f>INDEX(OfficialTeamList[Team Name],MATCH(TournamentData[[#This Row],[Team Number]], OfficialTeamList[Team Number],0))</f>
        <v/>
      </c>
      <c r="D6" s="79">
        <f>IF(TournamentData[[#This Row],[Team Number]]="","",IF(ISNA(INDEX('Robot Game Scores'!C:C,MATCH(TournamentData[[#This Row],[Team Number]], 'Robot Game Scores'!$A:$A,0))),0,INDEX('Robot Game Scores'!C:C,MATCH(TournamentData[[#This Row],[Team Number]], 'Robot Game Scores'!$A:$A,0))))</f>
        <v/>
      </c>
      <c r="E6" s="79">
        <f>IF(TournamentData[[#This Row],[Team Number]]="","",IF(ISNA(INDEX('Robot Game Scores'!D:D,MATCH(TournamentData[[#This Row],[Team Number]], 'Robot Game Scores'!$A:$A,0))),0,INDEX('Robot Game Scores'!D:D,MATCH(TournamentData[[#This Row],[Team Number]], 'Robot Game Scores'!$A:$A,0))))</f>
        <v/>
      </c>
      <c r="F6" s="79">
        <f>IF(TournamentData[[#This Row],[Team Number]]="","",IF(ISNA(INDEX('Robot Game Scores'!E:E,MATCH(TournamentData[[#This Row],[Team Number]], 'Robot Game Scores'!$A:$A,0))),0,INDEX('Robot Game Scores'!E:E,MATCH(TournamentData[[#This Row],[Team Number]], 'Robot Game Scores'!$A:$A,0))))</f>
        <v/>
      </c>
      <c r="G6" s="79">
        <f>IF(TournamentData[[#This Row],[Team Number]]="","",IF(ISNA(INDEX('Robot Game Scores'!#REF!,MATCH(TournamentData[[#This Row],[Team Number]], 'Robot Game Scores'!$A:$A,0))),0,INDEX('Robot Game Scores'!#REF!,MATCH(TournamentData[[#This Row],[Team Number]], 'Robot Game Scores'!$A:$A,0))))</f>
        <v/>
      </c>
      <c r="H6" s="79">
        <f>IF(TournamentData[[#This Row],[Team Number]]="","",IF(ISNA(INDEX('Robot Game Scores'!#REF!,MATCH(TournamentData[[#This Row],[Team Number]], 'Robot Game Scores'!$A:$A,0))),0,INDEX('Robot Game Scores'!#REF!,MATCH(TournamentData[[#This Row],[Team Number]], 'Robot Game Scores'!$A:$A,0))))</f>
        <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9">
        <f>_xlfn.RANK.EQ(TournamentData[[#This Row],[Max Robot Game Score]],TournamentData[Max Robot Game Score])</f>
        <v/>
      </c>
      <c r="K6" s="79">
        <f>INDEX(CoreValuesResults[Core Values Rank],MATCH(TournamentData[[#This Row],[Team Number]],CoreValuesResults[Team Number],0))</f>
        <v/>
      </c>
      <c r="L6" s="79">
        <f>INDEX(InnovationProjectResults[Innovation Project Rank],MATCH(TournamentData[[#This Row],[Team Number]],InnovationProjectResults[Team Number],0))</f>
        <v/>
      </c>
      <c r="M6" s="79">
        <f>INDEX(RobotDesignResults[Robot Design Rank],MATCH(TournamentData[[#This Row],[Team Number]],RobotDesignResults[Team Number],0))</f>
        <v/>
      </c>
      <c r="N6" s="79">
        <f>SUM(TournamentData[[#This Row],[Robot Game Rank]:[Robot Design Rank]])</f>
        <v/>
      </c>
      <c r="O6" s="79">
        <f>RANK(TournamentData[[#This Row],[Champion''s Score]],TournamentData[Champion''s Score],1)</f>
        <v/>
      </c>
      <c r="P6" s="80" t="n"/>
      <c r="Q6" s="86" t="inlineStr">
        <is>
          <t>No</t>
        </is>
      </c>
      <c r="R6" s="81">
        <f>IF(ISNA(INDEX(CoreValuesResults[Core Values Score],MATCH(TournamentData[[#This Row],[Team Number]],CoreValuesResults[Team Number],0))),0,INDEX(CoreValuesResults[Core Values Score],MATCH(TournamentData[[#This Row],[Team Number]],CoreValuesResults[Team Number],0)))</f>
        <v/>
      </c>
      <c r="S6" s="81">
        <f>IF(ISNA(INDEX(InnovationProjectResults[Innovation Project Score],MATCH(TournamentData[[#This Row],[Team Number]],InnovationProjectResults[Team Number],0))),0,INDEX(InnovationProjectResults[Innovation Project Score],MATCH(TournamentData[[#This Row],[Team Number]],InnovationProjectResults[Team Number],0)))</f>
        <v/>
      </c>
      <c r="T6" s="81">
        <f>IF(ISNA(INDEX(RobotDesignResults[Robot Design Score],MATCH(TournamentData[[#This Row],[Team Number]],RobotDesignResults[Team Number],0))),0,INDEX(RobotDesignResults[Robot Design Score],MATCH(TournamentData[[#This Row],[Team Number]],RobotDesignResults[Team Number],0)))</f>
        <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80">
        <f>IF(U6,_xlfn.RANK.EQ(U6,U$3:U$17,0),NumberOfTeams)</f>
        <v/>
      </c>
      <c r="W6" s="80" t="n"/>
    </row>
    <row r="7" ht="20.25" customHeight="1">
      <c r="A7" s="79" t="n">
        <v>67801</v>
      </c>
      <c r="B7" s="79">
        <f>INDEX(OfficialTeamList[Pod Number],MATCH(TournamentData[[#This Row],[Team Number]], OfficialTeamList[Team Number],0))</f>
        <v/>
      </c>
      <c r="C7" s="105">
        <f>INDEX(OfficialTeamList[Team Name],MATCH(TournamentData[[#This Row],[Team Number]], OfficialTeamList[Team Number],0))</f>
        <v/>
      </c>
      <c r="D7" s="79">
        <f>IF(TournamentData[[#This Row],[Team Number]]="","",IF(ISNA(INDEX('Robot Game Scores'!C:C,MATCH(TournamentData[[#This Row],[Team Number]], 'Robot Game Scores'!$A:$A,0))),0,INDEX('Robot Game Scores'!C:C,MATCH(TournamentData[[#This Row],[Team Number]], 'Robot Game Scores'!$A:$A,0))))</f>
        <v/>
      </c>
      <c r="E7" s="79">
        <f>IF(TournamentData[[#This Row],[Team Number]]="","",IF(ISNA(INDEX('Robot Game Scores'!D:D,MATCH(TournamentData[[#This Row],[Team Number]], 'Robot Game Scores'!$A:$A,0))),0,INDEX('Robot Game Scores'!D:D,MATCH(TournamentData[[#This Row],[Team Number]], 'Robot Game Scores'!$A:$A,0))))</f>
        <v/>
      </c>
      <c r="F7" s="79">
        <f>IF(TournamentData[[#This Row],[Team Number]]="","",IF(ISNA(INDEX('Robot Game Scores'!E:E,MATCH(TournamentData[[#This Row],[Team Number]], 'Robot Game Scores'!$A:$A,0))),0,INDEX('Robot Game Scores'!E:E,MATCH(TournamentData[[#This Row],[Team Number]], 'Robot Game Scores'!$A:$A,0))))</f>
        <v/>
      </c>
      <c r="G7" s="79">
        <f>IF(TournamentData[[#This Row],[Team Number]]="","",IF(ISNA(INDEX('Robot Game Scores'!#REF!,MATCH(TournamentData[[#This Row],[Team Number]], 'Robot Game Scores'!$A:$A,0))),0,INDEX('Robot Game Scores'!#REF!,MATCH(TournamentData[[#This Row],[Team Number]], 'Robot Game Scores'!$A:$A,0))))</f>
        <v/>
      </c>
      <c r="H7" s="79">
        <f>IF(TournamentData[[#This Row],[Team Number]]="","",IF(ISNA(INDEX('Robot Game Scores'!#REF!,MATCH(TournamentData[[#This Row],[Team Number]], 'Robot Game Scores'!$A:$A,0))),0,INDEX('Robot Game Scores'!#REF!,MATCH(TournamentData[[#This Row],[Team Number]], 'Robot Game Scores'!$A:$A,0))))</f>
        <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9">
        <f>_xlfn.RANK.EQ(TournamentData[[#This Row],[Max Robot Game Score]],TournamentData[Max Robot Game Score])</f>
        <v/>
      </c>
      <c r="K7" s="79">
        <f>INDEX(CoreValuesResults[Core Values Rank],MATCH(TournamentData[[#This Row],[Team Number]],CoreValuesResults[Team Number],0))</f>
        <v/>
      </c>
      <c r="L7" s="79">
        <f>INDEX(InnovationProjectResults[Innovation Project Rank],MATCH(TournamentData[[#This Row],[Team Number]],InnovationProjectResults[Team Number],0))</f>
        <v/>
      </c>
      <c r="M7" s="79">
        <f>INDEX(RobotDesignResults[Robot Design Rank],MATCH(TournamentData[[#This Row],[Team Number]],RobotDesignResults[Team Number],0))</f>
        <v/>
      </c>
      <c r="N7" s="79">
        <f>SUM(TournamentData[[#This Row],[Robot Game Rank]:[Robot Design Rank]])</f>
        <v/>
      </c>
      <c r="O7" s="79">
        <f>RANK(TournamentData[[#This Row],[Champion''s Score]],TournamentData[Champion''s Score],1)</f>
        <v/>
      </c>
      <c r="P7" s="80" t="n"/>
      <c r="Q7" s="86" t="inlineStr">
        <is>
          <t>No</t>
        </is>
      </c>
      <c r="R7" s="81">
        <f>IF(ISNA(INDEX(CoreValuesResults[Core Values Score],MATCH(TournamentData[[#This Row],[Team Number]],CoreValuesResults[Team Number],0))),0,INDEX(CoreValuesResults[Core Values Score],MATCH(TournamentData[[#This Row],[Team Number]],CoreValuesResults[Team Number],0)))</f>
        <v/>
      </c>
      <c r="S7" s="81">
        <f>IF(ISNA(INDEX(InnovationProjectResults[Innovation Project Score],MATCH(TournamentData[[#This Row],[Team Number]],InnovationProjectResults[Team Number],0))),0,INDEX(InnovationProjectResults[Innovation Project Score],MATCH(TournamentData[[#This Row],[Team Number]],InnovationProjectResults[Team Number],0)))</f>
        <v/>
      </c>
      <c r="T7" s="81">
        <f>IF(ISNA(INDEX(RobotDesignResults[Robot Design Score],MATCH(TournamentData[[#This Row],[Team Number]],RobotDesignResults[Team Number],0))),0,INDEX(RobotDesignResults[Robot Design Score],MATCH(TournamentData[[#This Row],[Team Number]],RobotDesignResults[Team Number],0)))</f>
        <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80">
        <f>IF(U7,_xlfn.RANK.EQ(U7,U$3:U$17,0),NumberOfTeams)</f>
        <v/>
      </c>
      <c r="W7" s="80" t="n"/>
    </row>
    <row r="8" ht="20.25" customHeight="1">
      <c r="A8" s="79" t="n">
        <v>68850</v>
      </c>
      <c r="B8" s="79">
        <f>INDEX(OfficialTeamList[Pod Number],MATCH(TournamentData[[#This Row],[Team Number]], OfficialTeamList[Team Number],0))</f>
        <v/>
      </c>
      <c r="C8" s="105">
        <f>INDEX(OfficialTeamList[Team Name],MATCH(TournamentData[[#This Row],[Team Number]], OfficialTeamList[Team Number],0))</f>
        <v/>
      </c>
      <c r="D8" s="79">
        <f>IF(TournamentData[[#This Row],[Team Number]]="","",IF(ISNA(INDEX('Robot Game Scores'!C:C,MATCH(TournamentData[[#This Row],[Team Number]], 'Robot Game Scores'!$A:$A,0))),0,INDEX('Robot Game Scores'!C:C,MATCH(TournamentData[[#This Row],[Team Number]], 'Robot Game Scores'!$A:$A,0))))</f>
        <v/>
      </c>
      <c r="E8" s="79">
        <f>IF(TournamentData[[#This Row],[Team Number]]="","",IF(ISNA(INDEX('Robot Game Scores'!D:D,MATCH(TournamentData[[#This Row],[Team Number]], 'Robot Game Scores'!$A:$A,0))),0,INDEX('Robot Game Scores'!D:D,MATCH(TournamentData[[#This Row],[Team Number]], 'Robot Game Scores'!$A:$A,0))))</f>
        <v/>
      </c>
      <c r="F8" s="79">
        <f>IF(TournamentData[[#This Row],[Team Number]]="","",IF(ISNA(INDEX('Robot Game Scores'!E:E,MATCH(TournamentData[[#This Row],[Team Number]], 'Robot Game Scores'!$A:$A,0))),0,INDEX('Robot Game Scores'!E:E,MATCH(TournamentData[[#This Row],[Team Number]], 'Robot Game Scores'!$A:$A,0))))</f>
        <v/>
      </c>
      <c r="G8" s="79">
        <f>IF(TournamentData[[#This Row],[Team Number]]="","",IF(ISNA(INDEX('Robot Game Scores'!#REF!,MATCH(TournamentData[[#This Row],[Team Number]], 'Robot Game Scores'!$A:$A,0))),0,INDEX('Robot Game Scores'!#REF!,MATCH(TournamentData[[#This Row],[Team Number]], 'Robot Game Scores'!$A:$A,0))))</f>
        <v/>
      </c>
      <c r="H8" s="79">
        <f>IF(TournamentData[[#This Row],[Team Number]]="","",IF(ISNA(INDEX('Robot Game Scores'!#REF!,MATCH(TournamentData[[#This Row],[Team Number]], 'Robot Game Scores'!$A:$A,0))),0,INDEX('Robot Game Scores'!#REF!,MATCH(TournamentData[[#This Row],[Team Number]], 'Robot Game Scores'!$A:$A,0))))</f>
        <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9">
        <f>_xlfn.RANK.EQ(TournamentData[[#This Row],[Max Robot Game Score]],TournamentData[Max Robot Game Score])</f>
        <v/>
      </c>
      <c r="K8" s="79">
        <f>INDEX(CoreValuesResults[Core Values Rank],MATCH(TournamentData[[#This Row],[Team Number]],CoreValuesResults[Team Number],0))</f>
        <v/>
      </c>
      <c r="L8" s="79">
        <f>INDEX(InnovationProjectResults[Innovation Project Rank],MATCH(TournamentData[[#This Row],[Team Number]],InnovationProjectResults[Team Number],0))</f>
        <v/>
      </c>
      <c r="M8" s="79">
        <f>INDEX(RobotDesignResults[Robot Design Rank],MATCH(TournamentData[[#This Row],[Team Number]],RobotDesignResults[Team Number],0))</f>
        <v/>
      </c>
      <c r="N8" s="79">
        <f>SUM(TournamentData[[#This Row],[Robot Game Rank]:[Robot Design Rank]])</f>
        <v/>
      </c>
      <c r="O8" s="79">
        <f>RANK(TournamentData[[#This Row],[Champion''s Score]],TournamentData[Champion''s Score],1)</f>
        <v/>
      </c>
      <c r="P8" s="80" t="n"/>
      <c r="Q8" s="86" t="inlineStr">
        <is>
          <t>No</t>
        </is>
      </c>
      <c r="R8" s="81">
        <f>IF(ISNA(INDEX(CoreValuesResults[Core Values Score],MATCH(TournamentData[[#This Row],[Team Number]],CoreValuesResults[Team Number],0))),0,INDEX(CoreValuesResults[Core Values Score],MATCH(TournamentData[[#This Row],[Team Number]],CoreValuesResults[Team Number],0)))</f>
        <v/>
      </c>
      <c r="S8" s="81">
        <f>IF(ISNA(INDEX(InnovationProjectResults[Innovation Project Score],MATCH(TournamentData[[#This Row],[Team Number]],InnovationProjectResults[Team Number],0))),0,INDEX(InnovationProjectResults[Innovation Project Score],MATCH(TournamentData[[#This Row],[Team Number]],InnovationProjectResults[Team Number],0)))</f>
        <v/>
      </c>
      <c r="T8" s="81">
        <f>IF(ISNA(INDEX(RobotDesignResults[Robot Design Score],MATCH(TournamentData[[#This Row],[Team Number]],RobotDesignResults[Team Number],0))),0,INDEX(RobotDesignResults[Robot Design Score],MATCH(TournamentData[[#This Row],[Team Number]],RobotDesignResults[Team Number],0)))</f>
        <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80">
        <f>IF(U8,_xlfn.RANK.EQ(U8,U$3:U$17,0),NumberOfTeams)</f>
        <v/>
      </c>
      <c r="W8" s="80" t="n"/>
    </row>
    <row r="9" ht="20.25" customHeight="1">
      <c r="A9" s="79" t="n">
        <v>71673</v>
      </c>
      <c r="B9" s="79">
        <f>INDEX(OfficialTeamList[Pod Number],MATCH(TournamentData[[#This Row],[Team Number]], OfficialTeamList[Team Number],0))</f>
        <v/>
      </c>
      <c r="C9" s="105">
        <f>INDEX(OfficialTeamList[Team Name],MATCH(TournamentData[[#This Row],[Team Number]], OfficialTeamList[Team Number],0))</f>
        <v/>
      </c>
      <c r="D9" s="79">
        <f>IF(TournamentData[[#This Row],[Team Number]]="","",IF(ISNA(INDEX('Robot Game Scores'!C:C,MATCH(TournamentData[[#This Row],[Team Number]], 'Robot Game Scores'!$A:$A,0))),0,INDEX('Robot Game Scores'!C:C,MATCH(TournamentData[[#This Row],[Team Number]], 'Robot Game Scores'!$A:$A,0))))</f>
        <v/>
      </c>
      <c r="E9" s="79">
        <f>IF(TournamentData[[#This Row],[Team Number]]="","",IF(ISNA(INDEX('Robot Game Scores'!D:D,MATCH(TournamentData[[#This Row],[Team Number]], 'Robot Game Scores'!$A:$A,0))),0,INDEX('Robot Game Scores'!D:D,MATCH(TournamentData[[#This Row],[Team Number]], 'Robot Game Scores'!$A:$A,0))))</f>
        <v/>
      </c>
      <c r="F9" s="79">
        <f>IF(TournamentData[[#This Row],[Team Number]]="","",IF(ISNA(INDEX('Robot Game Scores'!E:E,MATCH(TournamentData[[#This Row],[Team Number]], 'Robot Game Scores'!$A:$A,0))),0,INDEX('Robot Game Scores'!E:E,MATCH(TournamentData[[#This Row],[Team Number]], 'Robot Game Scores'!$A:$A,0))))</f>
        <v/>
      </c>
      <c r="G9" s="79">
        <f>IF(TournamentData[[#This Row],[Team Number]]="","",IF(ISNA(INDEX('Robot Game Scores'!#REF!,MATCH(TournamentData[[#This Row],[Team Number]], 'Robot Game Scores'!$A:$A,0))),0,INDEX('Robot Game Scores'!#REF!,MATCH(TournamentData[[#This Row],[Team Number]], 'Robot Game Scores'!$A:$A,0))))</f>
        <v/>
      </c>
      <c r="H9" s="79">
        <f>IF(TournamentData[[#This Row],[Team Number]]="","",IF(ISNA(INDEX('Robot Game Scores'!#REF!,MATCH(TournamentData[[#This Row],[Team Number]], 'Robot Game Scores'!$A:$A,0))),0,INDEX('Robot Game Scores'!#REF!,MATCH(TournamentData[[#This Row],[Team Number]], 'Robot Game Scores'!$A:$A,0))))</f>
        <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9">
        <f>_xlfn.RANK.EQ(TournamentData[[#This Row],[Max Robot Game Score]],TournamentData[Max Robot Game Score])</f>
        <v/>
      </c>
      <c r="K9" s="79">
        <f>INDEX(CoreValuesResults[Core Values Rank],MATCH(TournamentData[[#This Row],[Team Number]],CoreValuesResults[Team Number],0))</f>
        <v/>
      </c>
      <c r="L9" s="79">
        <f>INDEX(InnovationProjectResults[Innovation Project Rank],MATCH(TournamentData[[#This Row],[Team Number]],InnovationProjectResults[Team Number],0))</f>
        <v/>
      </c>
      <c r="M9" s="79">
        <f>INDEX(RobotDesignResults[Robot Design Rank],MATCH(TournamentData[[#This Row],[Team Number]],RobotDesignResults[Team Number],0))</f>
        <v/>
      </c>
      <c r="N9" s="79">
        <f>SUM(TournamentData[[#This Row],[Robot Game Rank]:[Robot Design Rank]])</f>
        <v/>
      </c>
      <c r="O9" s="79">
        <f>RANK(TournamentData[[#This Row],[Champion''s Score]],TournamentData[Champion''s Score],1)</f>
        <v/>
      </c>
      <c r="P9" s="80" t="n"/>
      <c r="Q9" s="86" t="inlineStr">
        <is>
          <t>No</t>
        </is>
      </c>
      <c r="R9" s="81">
        <f>IF(ISNA(INDEX(CoreValuesResults[Core Values Score],MATCH(TournamentData[[#This Row],[Team Number]],CoreValuesResults[Team Number],0))),0,INDEX(CoreValuesResults[Core Values Score],MATCH(TournamentData[[#This Row],[Team Number]],CoreValuesResults[Team Number],0)))</f>
        <v/>
      </c>
      <c r="S9" s="81">
        <f>IF(ISNA(INDEX(InnovationProjectResults[Innovation Project Score],MATCH(TournamentData[[#This Row],[Team Number]],InnovationProjectResults[Team Number],0))),0,INDEX(InnovationProjectResults[Innovation Project Score],MATCH(TournamentData[[#This Row],[Team Number]],InnovationProjectResults[Team Number],0)))</f>
        <v/>
      </c>
      <c r="T9" s="81">
        <f>IF(ISNA(INDEX(RobotDesignResults[Robot Design Score],MATCH(TournamentData[[#This Row],[Team Number]],RobotDesignResults[Team Number],0))),0,INDEX(RobotDesignResults[Robot Design Score],MATCH(TournamentData[[#This Row],[Team Number]],RobotDesignResults[Team Number],0)))</f>
        <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80">
        <f>IF(U9,_xlfn.RANK.EQ(U9,U$3:U$17,0),NumberOfTeams)</f>
        <v/>
      </c>
      <c r="W9" s="80" t="n"/>
    </row>
    <row r="10" ht="20.25" customHeight="1">
      <c r="A10" s="71" t="n"/>
      <c r="B10" s="71" t="n"/>
      <c r="C10" s="72" t="n"/>
      <c r="G10" s="72" t="n"/>
      <c r="H10" s="72" t="n"/>
      <c r="I10" s="72" t="n"/>
      <c r="J10" s="72" t="n"/>
      <c r="K10" s="72" t="n"/>
      <c r="L10" s="72" t="n"/>
      <c r="M10" s="72" t="n"/>
      <c r="N10" s="72" t="n"/>
      <c r="O10" s="72" t="n"/>
      <c r="P10" s="72" t="n"/>
      <c r="W10" s="71" t="n"/>
    </row>
    <row r="11" ht="20.25" customHeight="1">
      <c r="A11" s="71" t="n"/>
      <c r="B11" s="71" t="n"/>
      <c r="C11" s="72" t="n"/>
      <c r="G11" s="72" t="n"/>
      <c r="H11" s="72" t="n"/>
      <c r="I11" s="72" t="n"/>
      <c r="J11" s="72" t="n"/>
      <c r="K11" s="72" t="n"/>
      <c r="L11" s="72" t="n"/>
      <c r="M11" s="72" t="n"/>
      <c r="N11" s="72" t="n"/>
      <c r="O11" s="72" t="n"/>
      <c r="P11" s="72" t="n"/>
      <c r="W11" s="71" t="n"/>
    </row>
    <row r="12" ht="20.25" customHeight="1">
      <c r="A12" s="71" t="n"/>
      <c r="B12" s="71" t="n"/>
      <c r="C12" s="72" t="n"/>
      <c r="G12" s="72" t="n"/>
      <c r="H12" s="72" t="n"/>
      <c r="I12" s="72" t="n"/>
      <c r="J12" s="72" t="n"/>
      <c r="K12" s="72" t="n"/>
      <c r="L12" s="72" t="n"/>
      <c r="M12" s="72" t="n"/>
      <c r="N12" s="72" t="n"/>
      <c r="O12" s="72" t="n"/>
      <c r="P12" s="72" t="n"/>
      <c r="W12" s="71" t="n"/>
    </row>
    <row r="13" ht="20.25" customHeight="1">
      <c r="A13" s="71" t="n"/>
      <c r="B13" s="71" t="n"/>
      <c r="C13" s="72" t="n"/>
      <c r="G13" s="72" t="n"/>
      <c r="H13" s="72" t="n"/>
      <c r="I13" s="72" t="n"/>
      <c r="J13" s="72" t="n"/>
      <c r="K13" s="72" t="n"/>
      <c r="L13" s="72" t="n"/>
      <c r="M13" s="72" t="n"/>
      <c r="N13" s="72" t="n"/>
      <c r="O13" s="72" t="n"/>
      <c r="P13" s="72" t="n"/>
      <c r="W13" s="71" t="n"/>
    </row>
    <row r="14" ht="20.25" customHeight="1">
      <c r="A14" s="71" t="n"/>
      <c r="B14" s="71" t="n"/>
      <c r="C14" s="72" t="n"/>
      <c r="G14" s="72" t="n"/>
      <c r="H14" s="72" t="n"/>
      <c r="I14" s="72" t="n"/>
      <c r="J14" s="72" t="n"/>
      <c r="K14" s="72" t="n"/>
      <c r="L14" s="72" t="n"/>
      <c r="M14" s="72" t="n"/>
      <c r="N14" s="72" t="n"/>
      <c r="O14" s="72" t="n"/>
      <c r="P14" s="72" t="n"/>
      <c r="W14" s="71" t="n"/>
    </row>
    <row r="15" ht="20.25" customHeight="1">
      <c r="A15" s="71" t="n"/>
      <c r="B15" s="71" t="n"/>
      <c r="C15" s="72" t="n"/>
      <c r="G15" s="72" t="n"/>
      <c r="H15" s="72" t="n"/>
      <c r="I15" s="72" t="n"/>
      <c r="J15" s="72" t="n"/>
      <c r="K15" s="72" t="n"/>
      <c r="L15" s="72" t="n"/>
      <c r="M15" s="72" t="n"/>
      <c r="N15" s="72" t="n"/>
      <c r="O15" s="72" t="n"/>
      <c r="P15" s="72" t="n"/>
      <c r="W15" s="71" t="n"/>
    </row>
    <row r="16" ht="20.25" customHeight="1">
      <c r="A16" s="71" t="n"/>
      <c r="B16" s="71" t="n"/>
      <c r="C16" s="72" t="n"/>
      <c r="G16" s="72" t="n"/>
      <c r="H16" s="72" t="n"/>
      <c r="I16" s="72" t="n"/>
      <c r="J16" s="72" t="n"/>
      <c r="K16" s="72" t="n"/>
      <c r="L16" s="72" t="n"/>
      <c r="M16" s="72" t="n"/>
      <c r="N16" s="72" t="n"/>
      <c r="O16" s="72" t="n"/>
      <c r="P16" s="72" t="n"/>
      <c r="W16" s="71" t="n"/>
    </row>
    <row r="17" ht="20.25" customHeight="1">
      <c r="A17" s="71" t="n"/>
      <c r="B17" s="71" t="n"/>
      <c r="C17" s="72" t="n"/>
      <c r="G17" s="72" t="n"/>
      <c r="H17" s="72" t="n"/>
      <c r="I17" s="72" t="n"/>
      <c r="J17" s="72" t="n"/>
      <c r="K17" s="72" t="n"/>
      <c r="L17" s="72" t="n"/>
      <c r="M17" s="72" t="n"/>
      <c r="N17" s="72" t="n"/>
      <c r="O17" s="72" t="n"/>
      <c r="P17" s="72" t="n"/>
      <c r="W17" s="71" t="n"/>
    </row>
    <row r="18" ht="20.25" customHeight="1">
      <c r="A18" s="71" t="n"/>
      <c r="B18" s="71" t="n"/>
      <c r="C18" s="72" t="n"/>
      <c r="G18" s="72" t="n"/>
      <c r="H18" s="72" t="n"/>
      <c r="I18" s="72" t="n"/>
      <c r="J18" s="72" t="n"/>
      <c r="K18" s="72" t="n"/>
      <c r="L18" s="72" t="n"/>
      <c r="M18" s="72" t="n"/>
      <c r="N18" s="72" t="n"/>
      <c r="O18" s="72" t="n"/>
      <c r="P18" s="72" t="n"/>
      <c r="W18" s="71" t="n"/>
    </row>
    <row r="19" ht="20.25" customHeight="1">
      <c r="A19" s="71" t="n"/>
      <c r="B19" s="71" t="n"/>
      <c r="C19" s="72" t="n"/>
      <c r="G19" s="72" t="n"/>
      <c r="H19" s="72" t="n"/>
      <c r="I19" s="72" t="n"/>
      <c r="J19" s="72" t="n"/>
      <c r="K19" s="72" t="n"/>
      <c r="L19" s="72" t="n"/>
      <c r="M19" s="72" t="n"/>
      <c r="N19" s="72" t="n"/>
      <c r="O19" s="72" t="n"/>
      <c r="P19" s="72" t="n"/>
      <c r="W19" s="71" t="n"/>
    </row>
    <row r="20" ht="20.25" customHeight="1">
      <c r="A20" s="71" t="n"/>
      <c r="B20" s="71" t="n"/>
      <c r="C20" s="72" t="n"/>
      <c r="G20" s="72" t="n"/>
      <c r="H20" s="72" t="n"/>
      <c r="I20" s="72" t="n"/>
      <c r="J20" s="72" t="n"/>
      <c r="K20" s="72" t="n"/>
      <c r="L20" s="72" t="n"/>
      <c r="M20" s="72" t="n"/>
      <c r="N20" s="72" t="n"/>
      <c r="O20" s="72" t="n"/>
      <c r="P20" s="72" t="n"/>
      <c r="W20" s="71" t="n"/>
    </row>
    <row r="21" ht="20.25" customHeight="1">
      <c r="A21" s="71" t="n"/>
      <c r="B21" s="71" t="n"/>
      <c r="C21" s="72" t="n"/>
      <c r="G21" s="72" t="n"/>
      <c r="H21" s="72" t="n"/>
      <c r="I21" s="72" t="n"/>
      <c r="J21" s="72" t="n"/>
      <c r="K21" s="72" t="n"/>
      <c r="L21" s="72" t="n"/>
      <c r="M21" s="72" t="n"/>
      <c r="N21" s="72" t="n"/>
      <c r="O21" s="72" t="n"/>
      <c r="P21" s="72" t="n"/>
      <c r="W21" s="71" t="n"/>
    </row>
    <row r="22" ht="20.25" customHeight="1">
      <c r="A22" s="71" t="n"/>
      <c r="B22" s="71" t="n"/>
      <c r="C22" s="72" t="n"/>
      <c r="G22" s="72" t="n"/>
      <c r="H22" s="72" t="n"/>
      <c r="I22" s="72" t="n"/>
      <c r="J22" s="72" t="n"/>
      <c r="K22" s="72" t="n"/>
      <c r="L22" s="72" t="n"/>
      <c r="M22" s="72" t="n"/>
      <c r="N22" s="72" t="n"/>
      <c r="O22" s="72" t="n"/>
      <c r="P22" s="72" t="n"/>
      <c r="W22" s="71" t="n"/>
    </row>
    <row r="23" ht="20.25" customHeight="1">
      <c r="A23" s="71" t="n"/>
      <c r="B23" s="71" t="n"/>
      <c r="C23" s="72" t="n"/>
      <c r="G23" s="72" t="n"/>
      <c r="H23" s="72" t="n"/>
      <c r="I23" s="72" t="n"/>
      <c r="J23" s="72" t="n"/>
      <c r="K23" s="72" t="n"/>
      <c r="L23" s="72" t="n"/>
      <c r="M23" s="72" t="n"/>
      <c r="N23" s="72" t="n"/>
      <c r="O23" s="72" t="n"/>
      <c r="P23" s="72" t="n"/>
      <c r="W23" s="71" t="n"/>
    </row>
    <row r="24" ht="20.25" customHeight="1">
      <c r="A24" s="71" t="n"/>
      <c r="B24" s="71" t="n"/>
      <c r="C24" s="72" t="n"/>
      <c r="G24" s="72" t="n"/>
      <c r="H24" s="72" t="n"/>
      <c r="I24" s="72" t="n"/>
      <c r="J24" s="72" t="n"/>
      <c r="K24" s="72" t="n"/>
      <c r="L24" s="72" t="n"/>
      <c r="M24" s="72" t="n"/>
      <c r="N24" s="72" t="n"/>
      <c r="O24" s="72" t="n"/>
      <c r="P24" s="72" t="n"/>
      <c r="W24" s="71" t="n"/>
    </row>
    <row r="25" ht="20.25" customHeight="1">
      <c r="A25" s="71" t="n"/>
      <c r="B25" s="71" t="n"/>
      <c r="C25" s="72" t="n"/>
      <c r="G25" s="72" t="n"/>
      <c r="H25" s="72" t="n"/>
      <c r="I25" s="72" t="n"/>
      <c r="J25" s="72" t="n"/>
      <c r="K25" s="72" t="n"/>
      <c r="L25" s="72" t="n"/>
      <c r="M25" s="72" t="n"/>
      <c r="N25" s="72" t="n"/>
      <c r="O25" s="72" t="n"/>
      <c r="P25" s="72" t="n"/>
      <c r="W25" s="71" t="n"/>
    </row>
    <row r="26" ht="20.25" customHeight="1">
      <c r="A26" s="71" t="n"/>
      <c r="B26" s="71" t="n"/>
      <c r="C26" s="72" t="n"/>
      <c r="G26" s="72" t="n"/>
      <c r="H26" s="72" t="n"/>
      <c r="I26" s="72" t="n"/>
      <c r="J26" s="72" t="n"/>
      <c r="K26" s="72" t="n"/>
      <c r="L26" s="72" t="n"/>
      <c r="M26" s="72" t="n"/>
      <c r="N26" s="72" t="n"/>
      <c r="O26" s="72" t="n"/>
      <c r="P26" s="72" t="n"/>
      <c r="W26" s="71" t="n"/>
    </row>
    <row r="27" ht="20.25" customHeight="1">
      <c r="A27" s="71" t="n"/>
      <c r="B27" s="71" t="n"/>
      <c r="C27" s="72" t="n"/>
      <c r="G27" s="72" t="n"/>
      <c r="H27" s="72" t="n"/>
      <c r="I27" s="72" t="n"/>
      <c r="J27" s="72" t="n"/>
      <c r="K27" s="72" t="n"/>
      <c r="L27" s="72" t="n"/>
      <c r="M27" s="72" t="n"/>
      <c r="N27" s="72" t="n"/>
      <c r="O27" s="72" t="n"/>
      <c r="P27" s="72" t="n"/>
      <c r="W27" s="71" t="n"/>
    </row>
    <row r="28" ht="20.25" customHeight="1">
      <c r="A28" s="71" t="n"/>
      <c r="B28" s="71" t="n"/>
      <c r="C28" s="72" t="n"/>
      <c r="G28" s="72" t="n"/>
      <c r="H28" s="72" t="n"/>
      <c r="I28" s="72" t="n"/>
      <c r="J28" s="72" t="n"/>
      <c r="K28" s="72" t="n"/>
      <c r="L28" s="72" t="n"/>
      <c r="M28" s="72" t="n"/>
      <c r="N28" s="72" t="n"/>
      <c r="O28" s="72" t="n"/>
      <c r="P28" s="72" t="n"/>
      <c r="W28" s="71" t="n"/>
    </row>
    <row r="29" ht="20.25" customHeight="1">
      <c r="A29" s="71" t="n"/>
      <c r="B29" s="71" t="n"/>
      <c r="C29" s="72" t="n"/>
      <c r="G29" s="72" t="n"/>
      <c r="H29" s="72" t="n"/>
      <c r="I29" s="72" t="n"/>
      <c r="J29" s="72" t="n"/>
      <c r="K29" s="72" t="n"/>
      <c r="L29" s="72" t="n"/>
      <c r="M29" s="72" t="n"/>
      <c r="N29" s="72" t="n"/>
      <c r="O29" s="72" t="n"/>
      <c r="P29" s="72" t="n"/>
      <c r="W29" s="71" t="n"/>
    </row>
    <row r="30" ht="20.25" customHeight="1">
      <c r="A30" s="71" t="n"/>
      <c r="B30" s="71" t="n"/>
      <c r="C30" s="72" t="n"/>
      <c r="G30" s="72" t="n"/>
      <c r="H30" s="72" t="n"/>
      <c r="I30" s="72" t="n"/>
      <c r="J30" s="72" t="n"/>
      <c r="K30" s="72" t="n"/>
      <c r="L30" s="72" t="n"/>
      <c r="M30" s="72" t="n"/>
      <c r="N30" s="72" t="n"/>
      <c r="O30" s="72" t="n"/>
      <c r="P30" s="72" t="n"/>
      <c r="W30" s="71" t="n"/>
    </row>
    <row r="31" ht="20.25" customHeight="1">
      <c r="A31" s="71" t="n"/>
      <c r="B31" s="71" t="n"/>
      <c r="C31" s="72" t="n"/>
      <c r="G31" s="72" t="n"/>
      <c r="H31" s="72" t="n"/>
      <c r="I31" s="72" t="n"/>
      <c r="J31" s="72" t="n"/>
      <c r="K31" s="72" t="n"/>
      <c r="L31" s="72" t="n"/>
      <c r="M31" s="72" t="n"/>
      <c r="N31" s="72" t="n"/>
      <c r="O31" s="72" t="n"/>
      <c r="P31" s="72" t="n"/>
      <c r="W31" s="71" t="n"/>
    </row>
    <row r="32" ht="20.25" customHeight="1">
      <c r="A32" s="71" t="n"/>
      <c r="B32" s="71" t="n"/>
      <c r="C32" s="72" t="n"/>
      <c r="G32" s="72" t="n"/>
      <c r="H32" s="72" t="n"/>
      <c r="I32" s="72" t="n"/>
      <c r="J32" s="72" t="n"/>
      <c r="K32" s="72" t="n"/>
      <c r="L32" s="72" t="n"/>
      <c r="M32" s="72" t="n"/>
      <c r="N32" s="72" t="n"/>
      <c r="O32" s="72" t="n"/>
      <c r="P32" s="72" t="n"/>
      <c r="W32" s="71" t="n"/>
    </row>
    <row r="33" ht="20.25" customHeight="1">
      <c r="A33" s="71" t="n"/>
      <c r="B33" s="71" t="n"/>
      <c r="C33" s="72" t="n"/>
      <c r="G33" s="72" t="n"/>
      <c r="H33" s="72" t="n"/>
      <c r="I33" s="72" t="n"/>
      <c r="J33" s="72" t="n"/>
      <c r="K33" s="72" t="n"/>
      <c r="L33" s="72" t="n"/>
      <c r="M33" s="72" t="n"/>
      <c r="N33" s="72" t="n"/>
      <c r="O33" s="72" t="n"/>
      <c r="P33" s="72" t="n"/>
      <c r="W33" s="71" t="n"/>
    </row>
    <row r="34" ht="20.25" customHeight="1">
      <c r="A34" s="71" t="n"/>
      <c r="B34" s="71" t="n"/>
      <c r="C34" s="72" t="n"/>
      <c r="G34" s="72" t="n"/>
      <c r="H34" s="72" t="n"/>
      <c r="I34" s="72" t="n"/>
      <c r="J34" s="72" t="n"/>
      <c r="K34" s="72" t="n"/>
      <c r="L34" s="72" t="n"/>
      <c r="M34" s="72" t="n"/>
      <c r="N34" s="72" t="n"/>
      <c r="O34" s="72" t="n"/>
      <c r="P34" s="72" t="n"/>
      <c r="W34" s="71" t="n"/>
    </row>
    <row r="35" ht="20.25" customHeight="1">
      <c r="A35" s="71" t="n"/>
      <c r="B35" s="71" t="n"/>
      <c r="C35" s="72" t="n"/>
      <c r="G35" s="72" t="n"/>
      <c r="H35" s="72" t="n"/>
      <c r="I35" s="72" t="n"/>
      <c r="J35" s="72" t="n"/>
      <c r="K35" s="72" t="n"/>
      <c r="L35" s="72" t="n"/>
      <c r="M35" s="72" t="n"/>
      <c r="N35" s="72" t="n"/>
      <c r="O35" s="72" t="n"/>
      <c r="P35" s="72" t="n"/>
      <c r="W35" s="71" t="n"/>
    </row>
    <row r="36" ht="20.25" customHeight="1">
      <c r="A36" s="71" t="n"/>
      <c r="B36" s="71" t="n"/>
      <c r="C36" s="72" t="n"/>
      <c r="G36" s="72" t="n"/>
      <c r="H36" s="72" t="n"/>
      <c r="I36" s="72" t="n"/>
      <c r="J36" s="72" t="n"/>
      <c r="K36" s="72" t="n"/>
      <c r="L36" s="72" t="n"/>
      <c r="M36" s="72" t="n"/>
      <c r="N36" s="72" t="n"/>
      <c r="O36" s="72" t="n"/>
      <c r="P36" s="72" t="n"/>
      <c r="W36" s="71" t="n"/>
    </row>
    <row r="37" ht="20.25" customHeight="1">
      <c r="A37" s="71" t="n"/>
      <c r="B37" s="71" t="n"/>
      <c r="C37" s="72" t="n"/>
      <c r="G37" s="72" t="n"/>
      <c r="H37" s="72" t="n"/>
      <c r="I37" s="72" t="n"/>
      <c r="J37" s="72" t="n"/>
      <c r="K37" s="72" t="n"/>
      <c r="L37" s="72" t="n"/>
      <c r="M37" s="72" t="n"/>
      <c r="N37" s="72" t="n"/>
      <c r="O37" s="72" t="n"/>
      <c r="P37" s="72" t="n"/>
      <c r="W37" s="71" t="n"/>
    </row>
    <row r="38" ht="20.25" customHeight="1">
      <c r="A38" s="71" t="n"/>
      <c r="B38" s="71" t="n"/>
      <c r="C38" s="72" t="n"/>
      <c r="G38" s="72" t="n"/>
      <c r="H38" s="72" t="n"/>
      <c r="I38" s="72" t="n"/>
      <c r="J38" s="72" t="n"/>
      <c r="K38" s="72" t="n"/>
      <c r="L38" s="72" t="n"/>
      <c r="M38" s="72" t="n"/>
      <c r="N38" s="72" t="n"/>
      <c r="O38" s="72" t="n"/>
      <c r="P38" s="72" t="n"/>
      <c r="W38" s="71" t="n"/>
    </row>
    <row r="39" ht="20.25" customHeight="1">
      <c r="A39" s="71" t="n"/>
      <c r="B39" s="71" t="n"/>
      <c r="C39" s="72" t="n"/>
      <c r="G39" s="72" t="n"/>
      <c r="H39" s="72" t="n"/>
      <c r="I39" s="72" t="n"/>
      <c r="J39" s="72" t="n"/>
      <c r="K39" s="72" t="n"/>
      <c r="L39" s="72" t="n"/>
      <c r="M39" s="72" t="n"/>
      <c r="N39" s="72" t="n"/>
      <c r="O39" s="72" t="n"/>
      <c r="P39" s="72" t="n"/>
      <c r="W39" s="71" t="n"/>
    </row>
    <row r="40" ht="20.25" customHeight="1">
      <c r="A40" s="71" t="n"/>
      <c r="B40" s="71" t="n"/>
      <c r="C40" s="72" t="n"/>
      <c r="G40" s="72" t="n"/>
      <c r="H40" s="72" t="n"/>
      <c r="I40" s="72" t="n"/>
      <c r="J40" s="72" t="n"/>
      <c r="K40" s="72" t="n"/>
      <c r="L40" s="72" t="n"/>
      <c r="M40" s="72" t="n"/>
      <c r="N40" s="72" t="n"/>
      <c r="O40" s="72" t="n"/>
      <c r="P40" s="72" t="n"/>
      <c r="W40" s="71" t="n"/>
    </row>
    <row r="41" ht="20.25" customHeight="1">
      <c r="A41" s="71" t="n"/>
      <c r="B41" s="71" t="n"/>
      <c r="C41" s="72" t="n"/>
      <c r="G41" s="72" t="n"/>
      <c r="H41" s="72" t="n"/>
      <c r="I41" s="72" t="n"/>
      <c r="J41" s="72" t="n"/>
      <c r="K41" s="72" t="n"/>
      <c r="L41" s="72" t="n"/>
      <c r="M41" s="72" t="n"/>
      <c r="N41" s="72" t="n"/>
      <c r="O41" s="72" t="n"/>
      <c r="P41" s="72" t="n"/>
      <c r="W41" s="71" t="n"/>
    </row>
    <row r="42" ht="20.25" customHeight="1">
      <c r="A42" s="71" t="n"/>
      <c r="B42" s="71" t="n"/>
      <c r="C42" s="72" t="n"/>
      <c r="G42" s="72" t="n"/>
      <c r="H42" s="72" t="n"/>
      <c r="I42" s="72" t="n"/>
      <c r="J42" s="72" t="n"/>
      <c r="K42" s="72" t="n"/>
      <c r="L42" s="72" t="n"/>
      <c r="M42" s="72" t="n"/>
      <c r="N42" s="72" t="n"/>
      <c r="O42" s="72" t="n"/>
      <c r="P42" s="72" t="n"/>
      <c r="W42" s="71" t="n"/>
    </row>
    <row r="43" ht="20.25" customHeight="1">
      <c r="A43" s="71" t="n"/>
      <c r="B43" s="71" t="n"/>
      <c r="C43" s="72" t="n"/>
      <c r="G43" s="72" t="n"/>
      <c r="H43" s="72" t="n"/>
      <c r="I43" s="72" t="n"/>
      <c r="J43" s="72" t="n"/>
      <c r="K43" s="72" t="n"/>
      <c r="L43" s="72" t="n"/>
      <c r="M43" s="72" t="n"/>
      <c r="N43" s="72" t="n"/>
      <c r="O43" s="72" t="n"/>
      <c r="P43" s="72" t="n"/>
      <c r="W43" s="71" t="n"/>
    </row>
    <row r="44" ht="20.25" customHeight="1">
      <c r="A44" s="71" t="n"/>
      <c r="B44" s="71" t="n"/>
      <c r="C44" s="72" t="n"/>
      <c r="G44" s="72" t="n"/>
      <c r="H44" s="72" t="n"/>
      <c r="I44" s="72" t="n"/>
      <c r="J44" s="72" t="n"/>
      <c r="K44" s="72" t="n"/>
      <c r="L44" s="72" t="n"/>
      <c r="M44" s="72" t="n"/>
      <c r="N44" s="72" t="n"/>
      <c r="O44" s="72" t="n"/>
      <c r="P44" s="72" t="n"/>
      <c r="W44" s="71" t="n"/>
    </row>
    <row r="45" ht="20.25" customHeight="1">
      <c r="A45" s="71" t="n"/>
      <c r="B45" s="71" t="n"/>
      <c r="C45" s="72" t="n"/>
      <c r="G45" s="72" t="n"/>
      <c r="H45" s="72" t="n"/>
      <c r="I45" s="72" t="n"/>
      <c r="J45" s="72" t="n"/>
      <c r="K45" s="72" t="n"/>
      <c r="L45" s="72" t="n"/>
      <c r="M45" s="72" t="n"/>
      <c r="N45" s="72" t="n"/>
      <c r="O45" s="72" t="n"/>
      <c r="P45" s="72" t="n"/>
      <c r="W45" s="71" t="n"/>
    </row>
    <row r="46" ht="20.25" customHeight="1">
      <c r="A46" s="71" t="n"/>
      <c r="B46" s="71" t="n"/>
      <c r="C46" s="72" t="n"/>
      <c r="G46" s="72" t="n"/>
      <c r="H46" s="72" t="n"/>
      <c r="I46" s="72" t="n"/>
      <c r="J46" s="72" t="n"/>
      <c r="K46" s="72" t="n"/>
      <c r="L46" s="72" t="n"/>
      <c r="M46" s="72" t="n"/>
      <c r="N46" s="72" t="n"/>
      <c r="O46" s="72" t="n"/>
      <c r="P46" s="72" t="n"/>
      <c r="W46" s="71" t="n"/>
    </row>
    <row r="47" ht="20.25" customHeight="1">
      <c r="A47" s="71" t="n"/>
      <c r="B47" s="71" t="n"/>
      <c r="C47" s="72" t="n"/>
      <c r="G47" s="72" t="n"/>
      <c r="H47" s="72" t="n"/>
      <c r="I47" s="72" t="n"/>
      <c r="J47" s="72" t="n"/>
      <c r="K47" s="72" t="n"/>
      <c r="L47" s="72" t="n"/>
      <c r="M47" s="72" t="n"/>
      <c r="N47" s="72" t="n"/>
      <c r="O47" s="72" t="n"/>
      <c r="P47" s="72" t="n"/>
      <c r="W47" s="71" t="n"/>
    </row>
    <row r="48" ht="20.25" customHeight="1">
      <c r="A48" s="71" t="n"/>
      <c r="B48" s="71" t="n"/>
      <c r="C48" s="72" t="n"/>
      <c r="G48" s="72" t="n"/>
      <c r="H48" s="72" t="n"/>
      <c r="I48" s="72" t="n"/>
      <c r="J48" s="72" t="n"/>
      <c r="K48" s="72" t="n"/>
      <c r="L48" s="72" t="n"/>
      <c r="M48" s="72" t="n"/>
      <c r="N48" s="72" t="n"/>
      <c r="O48" s="72" t="n"/>
      <c r="P48" s="72" t="n"/>
      <c r="W48" s="71" t="n"/>
    </row>
    <row r="49" ht="20.25" customHeight="1">
      <c r="A49" s="71" t="n"/>
      <c r="B49" s="71" t="n"/>
      <c r="C49" s="72" t="n"/>
      <c r="G49" s="72" t="n"/>
      <c r="H49" s="72" t="n"/>
      <c r="I49" s="72" t="n"/>
      <c r="J49" s="72" t="n"/>
      <c r="K49" s="72" t="n"/>
      <c r="L49" s="72" t="n"/>
      <c r="M49" s="72" t="n"/>
      <c r="N49" s="72" t="n"/>
      <c r="O49" s="72" t="n"/>
      <c r="P49" s="72" t="n"/>
      <c r="W49" s="71" t="n"/>
    </row>
    <row r="50" ht="20.25" customHeight="1">
      <c r="A50" s="71" t="n"/>
      <c r="B50" s="71" t="n"/>
      <c r="C50" s="72" t="n"/>
      <c r="G50" s="72" t="n"/>
      <c r="H50" s="72" t="n"/>
      <c r="I50" s="72" t="n"/>
      <c r="J50" s="72" t="n"/>
      <c r="K50" s="72" t="n"/>
      <c r="L50" s="72" t="n"/>
      <c r="M50" s="72" t="n"/>
      <c r="N50" s="72" t="n"/>
      <c r="O50" s="72" t="n"/>
      <c r="P50" s="72" t="n"/>
      <c r="W50" s="71" t="n"/>
    </row>
    <row r="51" ht="20.25" customHeight="1">
      <c r="A51" s="71" t="n"/>
      <c r="B51" s="71" t="n"/>
      <c r="C51" s="72" t="n"/>
      <c r="G51" s="72" t="n"/>
      <c r="H51" s="72" t="n"/>
      <c r="I51" s="72" t="n"/>
      <c r="J51" s="72" t="n"/>
      <c r="K51" s="72" t="n"/>
      <c r="L51" s="72" t="n"/>
      <c r="M51" s="72" t="n"/>
      <c r="N51" s="72" t="n"/>
      <c r="O51" s="72" t="n"/>
      <c r="P51" s="72" t="n"/>
      <c r="W51" s="71" t="n"/>
    </row>
    <row r="52" ht="20.25" customHeight="1">
      <c r="A52" s="71" t="n"/>
      <c r="B52" s="71" t="n"/>
      <c r="C52" s="72" t="n"/>
      <c r="G52" s="72" t="n"/>
      <c r="H52" s="72" t="n"/>
      <c r="I52" s="72" t="n"/>
      <c r="J52" s="72" t="n"/>
      <c r="K52" s="72" t="n"/>
      <c r="L52" s="72" t="n"/>
      <c r="M52" s="72" t="n"/>
      <c r="N52" s="72" t="n"/>
      <c r="O52" s="72" t="n"/>
      <c r="P52" s="72" t="n"/>
      <c r="W52" s="71" t="n"/>
    </row>
    <row r="53" ht="20.25" customHeight="1">
      <c r="A53" s="71" t="n"/>
      <c r="B53" s="71" t="n"/>
      <c r="C53" s="72" t="n"/>
      <c r="G53" s="72" t="n"/>
      <c r="H53" s="72" t="n"/>
      <c r="I53" s="72" t="n"/>
      <c r="J53" s="72" t="n"/>
      <c r="K53" s="72" t="n"/>
      <c r="L53" s="72" t="n"/>
      <c r="M53" s="72" t="n"/>
      <c r="N53" s="72" t="n"/>
      <c r="O53" s="72" t="n"/>
      <c r="P53" s="72" t="n"/>
      <c r="W53" s="71" t="n"/>
    </row>
    <row r="54" ht="20.25" customHeight="1">
      <c r="A54" s="71" t="n"/>
      <c r="B54" s="71" t="n"/>
      <c r="C54" s="72" t="n"/>
      <c r="G54" s="72" t="n"/>
      <c r="H54" s="72" t="n"/>
      <c r="I54" s="72" t="n"/>
      <c r="J54" s="72" t="n"/>
      <c r="K54" s="72" t="n"/>
      <c r="L54" s="72" t="n"/>
      <c r="M54" s="72" t="n"/>
      <c r="N54" s="72" t="n"/>
      <c r="O54" s="72" t="n"/>
      <c r="P54" s="72" t="n"/>
      <c r="W54" s="71" t="n"/>
    </row>
    <row r="55" ht="20.25" customHeight="1">
      <c r="A55" s="71" t="n"/>
      <c r="B55" s="71" t="n"/>
      <c r="C55" s="72" t="n"/>
      <c r="G55" s="72" t="n"/>
      <c r="H55" s="72" t="n"/>
      <c r="I55" s="72" t="n"/>
      <c r="J55" s="72" t="n"/>
      <c r="K55" s="72" t="n"/>
      <c r="L55" s="72" t="n"/>
      <c r="M55" s="72" t="n"/>
      <c r="N55" s="72" t="n"/>
      <c r="O55" s="72" t="n"/>
      <c r="P55" s="72" t="n"/>
      <c r="W55" s="71" t="n"/>
    </row>
    <row r="56" ht="20.25" customHeight="1">
      <c r="A56" s="71" t="n"/>
      <c r="B56" s="71" t="n"/>
      <c r="C56" s="72" t="n"/>
      <c r="G56" s="72" t="n"/>
      <c r="H56" s="72" t="n"/>
      <c r="I56" s="72" t="n"/>
      <c r="J56" s="72" t="n"/>
      <c r="K56" s="72" t="n"/>
      <c r="L56" s="72" t="n"/>
      <c r="M56" s="72" t="n"/>
      <c r="N56" s="72" t="n"/>
      <c r="O56" s="72" t="n"/>
      <c r="P56" s="72" t="n"/>
      <c r="W56" s="71" t="n"/>
    </row>
    <row r="57" ht="20.25" customHeight="1">
      <c r="A57" s="71" t="n"/>
      <c r="B57" s="71" t="n"/>
      <c r="C57" s="72" t="n"/>
      <c r="G57" s="72" t="n"/>
      <c r="H57" s="72" t="n"/>
      <c r="I57" s="72" t="n"/>
      <c r="J57" s="72" t="n"/>
      <c r="K57" s="72" t="n"/>
      <c r="L57" s="72" t="n"/>
      <c r="M57" s="72" t="n"/>
      <c r="N57" s="72" t="n"/>
      <c r="O57" s="72" t="n"/>
      <c r="P57" s="72" t="n"/>
      <c r="W57" s="71" t="n"/>
    </row>
    <row r="58" ht="20.25" customHeight="1">
      <c r="A58" s="71" t="n"/>
      <c r="B58" s="71" t="n"/>
      <c r="C58" s="72" t="n"/>
      <c r="G58" s="72" t="n"/>
      <c r="H58" s="72" t="n"/>
      <c r="I58" s="72" t="n"/>
      <c r="J58" s="72" t="n"/>
      <c r="K58" s="72" t="n"/>
      <c r="L58" s="72" t="n"/>
      <c r="M58" s="72" t="n"/>
      <c r="N58" s="72" t="n"/>
      <c r="O58" s="72" t="n"/>
      <c r="P58" s="72" t="n"/>
      <c r="W58" s="71" t="n"/>
    </row>
    <row r="59" ht="20.25" customHeight="1">
      <c r="A59" s="71" t="n"/>
      <c r="B59" s="71" t="n"/>
      <c r="C59" s="72" t="n"/>
      <c r="G59" s="72" t="n"/>
      <c r="H59" s="72" t="n"/>
      <c r="I59" s="72" t="n"/>
      <c r="J59" s="72" t="n"/>
      <c r="K59" s="72" t="n"/>
      <c r="L59" s="72" t="n"/>
      <c r="M59" s="72" t="n"/>
      <c r="N59" s="72" t="n"/>
      <c r="O59" s="72" t="n"/>
      <c r="P59" s="72" t="n"/>
      <c r="W59" s="71" t="n"/>
    </row>
    <row r="60" ht="20.25" customHeight="1">
      <c r="A60" s="71" t="n"/>
      <c r="B60" s="71" t="n"/>
      <c r="C60" s="72" t="n"/>
      <c r="G60" s="72" t="n"/>
      <c r="H60" s="72" t="n"/>
      <c r="I60" s="72" t="n"/>
      <c r="J60" s="72" t="n"/>
      <c r="K60" s="72" t="n"/>
      <c r="L60" s="72" t="n"/>
      <c r="M60" s="72" t="n"/>
      <c r="N60" s="72" t="n"/>
      <c r="O60" s="72" t="n"/>
      <c r="P60" s="72" t="n"/>
      <c r="W60" s="71" t="n"/>
    </row>
    <row r="61" ht="20.25" customHeight="1">
      <c r="A61" s="71" t="n"/>
      <c r="B61" s="71" t="n"/>
      <c r="C61" s="72" t="n"/>
      <c r="G61" s="72" t="n"/>
      <c r="H61" s="72" t="n"/>
      <c r="I61" s="72" t="n"/>
      <c r="J61" s="72" t="n"/>
      <c r="K61" s="72" t="n"/>
      <c r="L61" s="72" t="n"/>
      <c r="M61" s="72" t="n"/>
      <c r="N61" s="72" t="n"/>
      <c r="O61" s="72" t="n"/>
      <c r="P61" s="72" t="n"/>
      <c r="W61" s="71" t="n"/>
    </row>
    <row r="62" ht="20.25" customHeight="1">
      <c r="A62" s="71" t="n"/>
      <c r="B62" s="71" t="n"/>
      <c r="C62" s="72" t="n"/>
      <c r="G62" s="72" t="n"/>
      <c r="H62" s="72" t="n"/>
      <c r="I62" s="72" t="n"/>
      <c r="J62" s="72" t="n"/>
      <c r="K62" s="72" t="n"/>
      <c r="L62" s="72" t="n"/>
      <c r="M62" s="72" t="n"/>
      <c r="N62" s="72" t="n"/>
      <c r="O62" s="72" t="n"/>
      <c r="P62" s="72" t="n"/>
      <c r="W62" s="71" t="n"/>
    </row>
    <row r="63" ht="20.25" customHeight="1">
      <c r="A63" s="71" t="n"/>
      <c r="B63" s="71" t="n"/>
      <c r="C63" s="72" t="n"/>
      <c r="G63" s="72" t="n"/>
      <c r="H63" s="72" t="n"/>
      <c r="I63" s="72" t="n"/>
      <c r="J63" s="72" t="n"/>
      <c r="K63" s="72" t="n"/>
      <c r="L63" s="72" t="n"/>
      <c r="M63" s="72" t="n"/>
      <c r="N63" s="72" t="n"/>
      <c r="O63" s="72" t="n"/>
      <c r="P63" s="72" t="n"/>
      <c r="W63" s="71" t="n"/>
    </row>
    <row r="64" ht="20.25" customHeight="1">
      <c r="A64" s="71" t="n"/>
      <c r="B64" s="71" t="n"/>
      <c r="C64" s="72" t="n"/>
      <c r="G64" s="72" t="n"/>
      <c r="H64" s="72" t="n"/>
      <c r="I64" s="72" t="n"/>
      <c r="J64" s="72" t="n"/>
      <c r="K64" s="72" t="n"/>
      <c r="L64" s="72" t="n"/>
      <c r="M64" s="72" t="n"/>
      <c r="N64" s="72" t="n"/>
      <c r="O64" s="72" t="n"/>
      <c r="P64" s="72" t="n"/>
      <c r="W64" s="71" t="n"/>
    </row>
    <row r="65" ht="20.25" customHeight="1">
      <c r="A65" s="71" t="n"/>
      <c r="B65" s="71" t="n"/>
      <c r="C65" s="72" t="n"/>
      <c r="G65" s="72" t="n"/>
      <c r="H65" s="72" t="n"/>
      <c r="I65" s="72" t="n"/>
      <c r="J65" s="72" t="n"/>
      <c r="K65" s="72" t="n"/>
      <c r="L65" s="72" t="n"/>
      <c r="M65" s="72" t="n"/>
      <c r="N65" s="72" t="n"/>
      <c r="O65" s="72" t="n"/>
      <c r="P65" s="72" t="n"/>
      <c r="W65" s="71" t="n"/>
    </row>
    <row r="66" ht="20.25" customHeight="1">
      <c r="A66" s="71" t="n"/>
      <c r="B66" s="71" t="n"/>
      <c r="C66" s="72" t="n"/>
      <c r="G66" s="72" t="n"/>
      <c r="H66" s="72" t="n"/>
      <c r="I66" s="72" t="n"/>
      <c r="J66" s="72" t="n"/>
      <c r="K66" s="72" t="n"/>
      <c r="L66" s="72" t="n"/>
      <c r="M66" s="72" t="n"/>
      <c r="N66" s="72" t="n"/>
      <c r="O66" s="72" t="n"/>
      <c r="P66" s="72" t="n"/>
      <c r="W66" s="71" t="n"/>
    </row>
    <row r="67" ht="20.25" customHeight="1">
      <c r="A67" s="71" t="n"/>
      <c r="B67" s="71" t="n"/>
      <c r="C67" s="72" t="n"/>
      <c r="G67" s="72" t="n"/>
      <c r="H67" s="72" t="n"/>
      <c r="I67" s="72" t="n"/>
      <c r="J67" s="72" t="n"/>
      <c r="K67" s="72" t="n"/>
      <c r="L67" s="72" t="n"/>
      <c r="M67" s="72" t="n"/>
      <c r="N67" s="72" t="n"/>
      <c r="O67" s="72" t="n"/>
      <c r="P67" s="72" t="n"/>
      <c r="W67" s="71" t="n"/>
    </row>
    <row r="68" ht="20.25" customHeight="1">
      <c r="A68" s="71" t="n"/>
      <c r="B68" s="71" t="n"/>
      <c r="C68" s="72" t="n"/>
      <c r="G68" s="72" t="n"/>
      <c r="H68" s="72" t="n"/>
      <c r="I68" s="72" t="n"/>
      <c r="J68" s="72" t="n"/>
      <c r="K68" s="72" t="n"/>
      <c r="L68" s="72" t="n"/>
      <c r="M68" s="72" t="n"/>
      <c r="N68" s="72" t="n"/>
      <c r="O68" s="72" t="n"/>
      <c r="P68" s="72" t="n"/>
      <c r="W68" s="71" t="n"/>
    </row>
    <row r="69" ht="20.25" customHeight="1">
      <c r="A69" s="71" t="n"/>
      <c r="B69" s="71" t="n"/>
      <c r="C69" s="72" t="n"/>
      <c r="G69" s="72" t="n"/>
      <c r="H69" s="72" t="n"/>
      <c r="I69" s="72" t="n"/>
      <c r="J69" s="72" t="n"/>
      <c r="K69" s="72" t="n"/>
      <c r="L69" s="72" t="n"/>
      <c r="M69" s="72" t="n"/>
      <c r="N69" s="72" t="n"/>
      <c r="O69" s="72" t="n"/>
      <c r="P69" s="72" t="n"/>
      <c r="W69" s="71" t="n"/>
    </row>
    <row r="70" ht="20.25" customHeight="1">
      <c r="A70" s="71" t="n"/>
      <c r="B70" s="71" t="n"/>
      <c r="C70" s="72" t="n"/>
      <c r="G70" s="72" t="n"/>
      <c r="H70" s="72" t="n"/>
      <c r="I70" s="72" t="n"/>
      <c r="J70" s="72" t="n"/>
      <c r="K70" s="72" t="n"/>
      <c r="L70" s="72" t="n"/>
      <c r="M70" s="72" t="n"/>
      <c r="N70" s="72" t="n"/>
      <c r="O70" s="72" t="n"/>
      <c r="P70" s="72" t="n"/>
      <c r="W70" s="71" t="n"/>
    </row>
    <row r="71" ht="20.25" customHeight="1">
      <c r="A71" s="71" t="n"/>
      <c r="B71" s="71" t="n"/>
      <c r="C71" s="72" t="n"/>
      <c r="G71" s="72" t="n"/>
      <c r="H71" s="72" t="n"/>
      <c r="I71" s="72" t="n"/>
      <c r="J71" s="72" t="n"/>
      <c r="K71" s="72" t="n"/>
      <c r="L71" s="72" t="n"/>
      <c r="M71" s="72" t="n"/>
      <c r="N71" s="72" t="n"/>
      <c r="O71" s="72" t="n"/>
      <c r="P71" s="72" t="n"/>
      <c r="W71" s="71" t="n"/>
    </row>
    <row r="72" ht="20.25" customHeight="1">
      <c r="A72" s="71" t="n"/>
      <c r="B72" s="71" t="n"/>
      <c r="C72" s="72" t="n"/>
      <c r="G72" s="72" t="n"/>
      <c r="H72" s="72" t="n"/>
      <c r="I72" s="72" t="n"/>
      <c r="J72" s="72" t="n"/>
      <c r="K72" s="72" t="n"/>
      <c r="L72" s="72" t="n"/>
      <c r="M72" s="72" t="n"/>
      <c r="N72" s="72" t="n"/>
      <c r="O72" s="72" t="n"/>
      <c r="P72" s="72" t="n"/>
      <c r="W72" s="71" t="n"/>
    </row>
    <row r="73" ht="20.25" customHeight="1">
      <c r="A73" s="71" t="n"/>
      <c r="B73" s="71" t="n"/>
      <c r="C73" s="72" t="n"/>
      <c r="G73" s="72" t="n"/>
      <c r="H73" s="72" t="n"/>
      <c r="I73" s="72" t="n"/>
      <c r="J73" s="72" t="n"/>
      <c r="K73" s="72" t="n"/>
      <c r="L73" s="72" t="n"/>
      <c r="M73" s="72" t="n"/>
      <c r="N73" s="72" t="n"/>
      <c r="O73" s="72" t="n"/>
      <c r="P73" s="72" t="n"/>
      <c r="W73" s="71" t="n"/>
    </row>
    <row r="74" ht="20.25" customHeight="1">
      <c r="A74" s="71" t="n"/>
      <c r="B74" s="71" t="n"/>
      <c r="C74" s="72" t="n"/>
      <c r="G74" s="72" t="n"/>
      <c r="H74" s="72" t="n"/>
      <c r="I74" s="72" t="n"/>
      <c r="J74" s="72" t="n"/>
      <c r="K74" s="72" t="n"/>
      <c r="L74" s="72" t="n"/>
      <c r="M74" s="72" t="n"/>
      <c r="N74" s="72" t="n"/>
      <c r="O74" s="72" t="n"/>
      <c r="P74" s="72" t="n"/>
      <c r="W74" s="71" t="n"/>
    </row>
    <row r="75" ht="20.25" customHeight="1">
      <c r="A75" s="71" t="n"/>
      <c r="B75" s="71" t="n"/>
      <c r="C75" s="72" t="n"/>
      <c r="G75" s="72" t="n"/>
      <c r="H75" s="72" t="n"/>
      <c r="I75" s="72" t="n"/>
      <c r="J75" s="72" t="n"/>
      <c r="K75" s="72" t="n"/>
      <c r="L75" s="72" t="n"/>
      <c r="M75" s="72" t="n"/>
      <c r="N75" s="72" t="n"/>
      <c r="O75" s="72" t="n"/>
      <c r="P75" s="72" t="n"/>
      <c r="W75" s="71" t="n"/>
    </row>
    <row r="76" ht="20.25" customHeight="1">
      <c r="A76" s="71" t="n"/>
      <c r="B76" s="71" t="n"/>
      <c r="C76" s="72" t="n"/>
      <c r="G76" s="72" t="n"/>
      <c r="H76" s="72" t="n"/>
      <c r="I76" s="72" t="n"/>
      <c r="J76" s="72" t="n"/>
      <c r="K76" s="72" t="n"/>
      <c r="L76" s="72" t="n"/>
      <c r="M76" s="72" t="n"/>
      <c r="N76" s="72" t="n"/>
      <c r="O76" s="72" t="n"/>
      <c r="P76" s="72" t="n"/>
      <c r="W76" s="71" t="n"/>
    </row>
    <row r="77" ht="20.25" customHeight="1">
      <c r="A77" s="71" t="n"/>
      <c r="B77" s="71" t="n"/>
      <c r="C77" s="72" t="n"/>
      <c r="G77" s="72" t="n"/>
      <c r="H77" s="72" t="n"/>
      <c r="I77" s="72" t="n"/>
      <c r="J77" s="72" t="n"/>
      <c r="K77" s="72" t="n"/>
      <c r="L77" s="72" t="n"/>
      <c r="M77" s="72" t="n"/>
      <c r="N77" s="72" t="n"/>
      <c r="O77" s="72" t="n"/>
      <c r="P77" s="72" t="n"/>
      <c r="W77" s="71" t="n"/>
    </row>
    <row r="78" ht="20.25" customHeight="1">
      <c r="A78" s="71" t="n"/>
      <c r="B78" s="71" t="n"/>
      <c r="C78" s="72" t="n"/>
      <c r="G78" s="72" t="n"/>
      <c r="H78" s="72" t="n"/>
      <c r="I78" s="72" t="n"/>
      <c r="J78" s="72" t="n"/>
      <c r="K78" s="72" t="n"/>
      <c r="L78" s="72" t="n"/>
      <c r="M78" s="72" t="n"/>
      <c r="N78" s="72" t="n"/>
      <c r="O78" s="72" t="n"/>
      <c r="P78" s="72" t="n"/>
      <c r="W78" s="71" t="n"/>
    </row>
    <row r="79" ht="20.25" customHeight="1">
      <c r="A79" s="71" t="n"/>
      <c r="B79" s="71" t="n"/>
      <c r="C79" s="72" t="n"/>
      <c r="G79" s="72" t="n"/>
      <c r="H79" s="72" t="n"/>
      <c r="I79" s="72" t="n"/>
      <c r="J79" s="72" t="n"/>
      <c r="K79" s="72" t="n"/>
      <c r="L79" s="72" t="n"/>
      <c r="M79" s="72" t="n"/>
      <c r="N79" s="72" t="n"/>
      <c r="O79" s="72" t="n"/>
      <c r="P79" s="72" t="n"/>
      <c r="W79" s="71" t="n"/>
    </row>
    <row r="80" ht="20.25" customHeight="1">
      <c r="A80" s="71" t="n"/>
      <c r="B80" s="71" t="n"/>
      <c r="C80" s="72" t="n"/>
      <c r="G80" s="72" t="n"/>
      <c r="H80" s="72" t="n"/>
      <c r="I80" s="72" t="n"/>
      <c r="J80" s="72" t="n"/>
      <c r="K80" s="72" t="n"/>
      <c r="L80" s="72" t="n"/>
      <c r="M80" s="72" t="n"/>
      <c r="N80" s="72" t="n"/>
      <c r="O80" s="72" t="n"/>
      <c r="P80" s="72" t="n"/>
      <c r="W80" s="71" t="n"/>
    </row>
    <row r="81" ht="20.25" customHeight="1">
      <c r="A81" s="71" t="n"/>
      <c r="B81" s="71" t="n"/>
      <c r="C81" s="72" t="n"/>
      <c r="G81" s="72" t="n"/>
      <c r="H81" s="72" t="n"/>
      <c r="I81" s="72" t="n"/>
      <c r="J81" s="72" t="n"/>
      <c r="K81" s="72" t="n"/>
      <c r="L81" s="72" t="n"/>
      <c r="M81" s="72" t="n"/>
      <c r="N81" s="72" t="n"/>
      <c r="O81" s="72" t="n"/>
      <c r="P81" s="72" t="n"/>
      <c r="W81" s="71" t="n"/>
    </row>
    <row r="82" ht="20.25" customHeight="1">
      <c r="A82" s="71" t="n"/>
      <c r="B82" s="71" t="n"/>
      <c r="C82" s="72" t="n"/>
      <c r="G82" s="72" t="n"/>
      <c r="H82" s="72" t="n"/>
      <c r="I82" s="72" t="n"/>
      <c r="J82" s="72" t="n"/>
      <c r="K82" s="72" t="n"/>
      <c r="L82" s="72" t="n"/>
      <c r="M82" s="72" t="n"/>
      <c r="N82" s="72" t="n"/>
      <c r="O82" s="72" t="n"/>
      <c r="P82" s="72" t="n"/>
      <c r="W82" s="71" t="n"/>
    </row>
    <row r="83" ht="20.25" customHeight="1">
      <c r="A83" s="71" t="n"/>
      <c r="B83" s="71" t="n"/>
      <c r="C83" s="72" t="n"/>
      <c r="G83" s="72" t="n"/>
      <c r="H83" s="72" t="n"/>
      <c r="I83" s="72" t="n"/>
      <c r="J83" s="72" t="n"/>
      <c r="K83" s="72" t="n"/>
      <c r="L83" s="72" t="n"/>
      <c r="M83" s="72" t="n"/>
      <c r="N83" s="72" t="n"/>
      <c r="O83" s="72" t="n"/>
      <c r="P83" s="72" t="n"/>
      <c r="W83" s="71" t="n"/>
    </row>
    <row r="84" ht="20.25" customHeight="1">
      <c r="A84" s="71" t="n"/>
      <c r="B84" s="71" t="n"/>
      <c r="C84" s="72" t="n"/>
      <c r="G84" s="72" t="n"/>
      <c r="H84" s="72" t="n"/>
      <c r="I84" s="72" t="n"/>
      <c r="J84" s="72" t="n"/>
      <c r="K84" s="72" t="n"/>
      <c r="L84" s="72" t="n"/>
      <c r="M84" s="72" t="n"/>
      <c r="N84" s="72" t="n"/>
      <c r="O84" s="72" t="n"/>
      <c r="P84" s="72" t="n"/>
      <c r="W84" s="71" t="n"/>
    </row>
    <row r="85" ht="20.25" customHeight="1">
      <c r="A85" s="71" t="n"/>
      <c r="B85" s="71" t="n"/>
      <c r="C85" s="72" t="n"/>
      <c r="G85" s="72" t="n"/>
      <c r="H85" s="72" t="n"/>
      <c r="I85" s="72" t="n"/>
      <c r="J85" s="72" t="n"/>
      <c r="K85" s="72" t="n"/>
      <c r="L85" s="72" t="n"/>
      <c r="M85" s="72" t="n"/>
      <c r="N85" s="72" t="n"/>
      <c r="O85" s="72" t="n"/>
      <c r="P85" s="72" t="n"/>
      <c r="W85" s="71" t="n"/>
    </row>
    <row r="86" ht="20.25" customHeight="1">
      <c r="A86" s="71" t="n"/>
      <c r="B86" s="71" t="n"/>
      <c r="C86" s="72" t="n"/>
      <c r="G86" s="72" t="n"/>
      <c r="H86" s="72" t="n"/>
      <c r="I86" s="72" t="n"/>
      <c r="J86" s="72" t="n"/>
      <c r="K86" s="72" t="n"/>
      <c r="L86" s="72" t="n"/>
      <c r="M86" s="72" t="n"/>
      <c r="N86" s="72" t="n"/>
      <c r="O86" s="72" t="n"/>
      <c r="P86" s="72" t="n"/>
      <c r="W86" s="71" t="n"/>
    </row>
    <row r="87" ht="20.25" customHeight="1">
      <c r="A87" s="71" t="n"/>
      <c r="B87" s="71" t="n"/>
      <c r="C87" s="72" t="n"/>
      <c r="G87" s="72" t="n"/>
      <c r="H87" s="72" t="n"/>
      <c r="I87" s="72" t="n"/>
      <c r="J87" s="72" t="n"/>
      <c r="K87" s="72" t="n"/>
      <c r="L87" s="72" t="n"/>
      <c r="M87" s="72" t="n"/>
      <c r="N87" s="72" t="n"/>
      <c r="O87" s="72" t="n"/>
      <c r="P87" s="72" t="n"/>
      <c r="W87" s="71" t="n"/>
    </row>
    <row r="88" ht="20.25" customHeight="1">
      <c r="A88" s="71" t="n"/>
      <c r="B88" s="71" t="n"/>
      <c r="C88" s="72" t="n"/>
      <c r="G88" s="72" t="n"/>
      <c r="H88" s="72" t="n"/>
      <c r="I88" s="72" t="n"/>
      <c r="J88" s="72" t="n"/>
      <c r="K88" s="72" t="n"/>
      <c r="L88" s="72" t="n"/>
      <c r="M88" s="72" t="n"/>
      <c r="N88" s="72" t="n"/>
      <c r="O88" s="72" t="n"/>
      <c r="P88" s="72" t="n"/>
      <c r="W88" s="71" t="n"/>
    </row>
    <row r="89" ht="20.25" customHeight="1">
      <c r="A89" s="71" t="n"/>
      <c r="B89" s="71" t="n"/>
      <c r="C89" s="72" t="n"/>
      <c r="G89" s="72" t="n"/>
      <c r="H89" s="72" t="n"/>
      <c r="I89" s="72" t="n"/>
      <c r="J89" s="72" t="n"/>
      <c r="K89" s="72" t="n"/>
      <c r="L89" s="72" t="n"/>
      <c r="M89" s="72" t="n"/>
      <c r="N89" s="72" t="n"/>
      <c r="O89" s="72" t="n"/>
      <c r="P89" s="72" t="n"/>
      <c r="W89" s="71" t="n"/>
    </row>
    <row r="90" ht="20.25" customHeight="1">
      <c r="A90" s="71" t="n"/>
      <c r="B90" s="71" t="n"/>
      <c r="C90" s="72" t="n"/>
      <c r="G90" s="72" t="n"/>
      <c r="H90" s="72" t="n"/>
      <c r="I90" s="72" t="n"/>
      <c r="J90" s="72" t="n"/>
      <c r="K90" s="72" t="n"/>
      <c r="L90" s="72" t="n"/>
      <c r="M90" s="72" t="n"/>
      <c r="N90" s="72" t="n"/>
      <c r="O90" s="72" t="n"/>
      <c r="P90" s="72" t="n"/>
      <c r="W90" s="71" t="n"/>
    </row>
    <row r="91" ht="20.25" customHeight="1">
      <c r="A91" s="71" t="n"/>
      <c r="B91" s="71" t="n"/>
      <c r="C91" s="72" t="n"/>
      <c r="G91" s="72" t="n"/>
      <c r="H91" s="72" t="n"/>
      <c r="I91" s="72" t="n"/>
      <c r="J91" s="72" t="n"/>
      <c r="K91" s="72" t="n"/>
      <c r="L91" s="72" t="n"/>
      <c r="M91" s="72" t="n"/>
      <c r="N91" s="72" t="n"/>
      <c r="O91" s="72" t="n"/>
      <c r="P91" s="72" t="n"/>
      <c r="W91" s="71" t="n"/>
    </row>
    <row r="92" ht="20.25" customHeight="1">
      <c r="A92" s="71" t="n"/>
      <c r="B92" s="71" t="n"/>
      <c r="C92" s="72" t="n"/>
      <c r="G92" s="72" t="n"/>
      <c r="H92" s="72" t="n"/>
      <c r="I92" s="72" t="n"/>
      <c r="J92" s="72" t="n"/>
      <c r="K92" s="72" t="n"/>
      <c r="L92" s="72" t="n"/>
      <c r="M92" s="72" t="n"/>
      <c r="N92" s="72" t="n"/>
      <c r="O92" s="72" t="n"/>
      <c r="P92" s="72" t="n"/>
      <c r="W92" s="71" t="n"/>
    </row>
    <row r="93" ht="20.25" customHeight="1">
      <c r="A93" s="71" t="n"/>
      <c r="B93" s="71" t="n"/>
      <c r="C93" s="72" t="n"/>
      <c r="G93" s="72" t="n"/>
      <c r="H93" s="72" t="n"/>
      <c r="I93" s="72" t="n"/>
      <c r="J93" s="72" t="n"/>
      <c r="K93" s="72" t="n"/>
      <c r="L93" s="72" t="n"/>
      <c r="M93" s="72" t="n"/>
      <c r="N93" s="72" t="n"/>
      <c r="O93" s="72" t="n"/>
      <c r="P93" s="72" t="n"/>
      <c r="W93" s="71" t="n"/>
    </row>
    <row r="94" ht="20.25" customHeight="1">
      <c r="A94" s="71" t="n"/>
      <c r="B94" s="71" t="n"/>
      <c r="C94" s="72" t="n"/>
      <c r="G94" s="72" t="n"/>
      <c r="H94" s="72" t="n"/>
      <c r="I94" s="72" t="n"/>
      <c r="J94" s="72" t="n"/>
      <c r="K94" s="72" t="n"/>
      <c r="L94" s="72" t="n"/>
      <c r="M94" s="72" t="n"/>
      <c r="N94" s="72" t="n"/>
      <c r="O94" s="72" t="n"/>
      <c r="P94" s="72" t="n"/>
      <c r="W94" s="71" t="n"/>
    </row>
    <row r="95" ht="20.25" customHeight="1">
      <c r="A95" s="71" t="n"/>
      <c r="B95" s="71" t="n"/>
      <c r="C95" s="72" t="n"/>
      <c r="G95" s="72" t="n"/>
      <c r="H95" s="72" t="n"/>
      <c r="I95" s="72" t="n"/>
      <c r="J95" s="72" t="n"/>
      <c r="K95" s="72" t="n"/>
      <c r="L95" s="72" t="n"/>
      <c r="M95" s="72" t="n"/>
      <c r="N95" s="72" t="n"/>
      <c r="O95" s="72" t="n"/>
      <c r="P95" s="72" t="n"/>
      <c r="W95" s="71" t="n"/>
    </row>
    <row r="96" ht="20.25" customHeight="1">
      <c r="A96" s="71" t="n"/>
      <c r="B96" s="71" t="n"/>
      <c r="C96" s="72" t="n"/>
      <c r="G96" s="72" t="n"/>
      <c r="H96" s="72" t="n"/>
      <c r="I96" s="72" t="n"/>
      <c r="J96" s="72" t="n"/>
      <c r="K96" s="72" t="n"/>
      <c r="L96" s="72" t="n"/>
      <c r="M96" s="72" t="n"/>
      <c r="N96" s="72" t="n"/>
      <c r="O96" s="72" t="n"/>
      <c r="P96" s="72" t="n"/>
      <c r="W96" s="71" t="n"/>
    </row>
    <row r="97" ht="20.25" customHeight="1">
      <c r="A97" s="71" t="n"/>
      <c r="B97" s="71" t="n"/>
      <c r="C97" s="72" t="n"/>
      <c r="G97" s="72" t="n"/>
      <c r="H97" s="72" t="n"/>
      <c r="I97" s="72" t="n"/>
      <c r="J97" s="72" t="n"/>
      <c r="K97" s="72" t="n"/>
      <c r="L97" s="72" t="n"/>
      <c r="M97" s="72" t="n"/>
      <c r="N97" s="72" t="n"/>
      <c r="O97" s="72" t="n"/>
      <c r="P97" s="72" t="n"/>
      <c r="W97" s="71" t="n"/>
    </row>
    <row r="98" ht="20.25" customHeight="1">
      <c r="A98" s="71" t="n"/>
      <c r="B98" s="71" t="n"/>
      <c r="C98" s="72" t="n"/>
      <c r="G98" s="72" t="n"/>
      <c r="H98" s="72" t="n"/>
      <c r="I98" s="72" t="n"/>
      <c r="J98" s="72" t="n"/>
      <c r="K98" s="72" t="n"/>
      <c r="L98" s="72" t="n"/>
      <c r="M98" s="72" t="n"/>
      <c r="N98" s="72" t="n"/>
      <c r="O98" s="72" t="n"/>
      <c r="P98" s="72" t="n"/>
      <c r="W98" s="71" t="n"/>
    </row>
    <row r="99" ht="20.25" customHeight="1">
      <c r="A99" s="71" t="n"/>
      <c r="B99" s="71" t="n"/>
      <c r="C99" s="72" t="n"/>
      <c r="G99" s="72" t="n"/>
      <c r="H99" s="72" t="n"/>
      <c r="I99" s="72" t="n"/>
      <c r="J99" s="72" t="n"/>
      <c r="K99" s="72" t="n"/>
      <c r="L99" s="72" t="n"/>
      <c r="M99" s="72" t="n"/>
      <c r="N99" s="72" t="n"/>
      <c r="O99" s="72" t="n"/>
      <c r="P99" s="72" t="n"/>
      <c r="W99" s="71" t="n"/>
    </row>
    <row r="100" ht="20.25" customHeight="1">
      <c r="A100" s="71" t="n"/>
      <c r="B100" s="71" t="n"/>
      <c r="C100" s="72" t="n"/>
      <c r="G100" s="72" t="n"/>
      <c r="H100" s="72" t="n"/>
      <c r="I100" s="72" t="n"/>
      <c r="J100" s="72" t="n"/>
      <c r="K100" s="72" t="n"/>
      <c r="L100" s="72" t="n"/>
      <c r="M100" s="72" t="n"/>
      <c r="N100" s="72" t="n"/>
      <c r="O100" s="72" t="n"/>
      <c r="P100" s="72" t="n"/>
      <c r="W100" s="71" t="n"/>
    </row>
    <row r="101" ht="20.25" customHeight="1">
      <c r="A101" s="71" t="n"/>
      <c r="B101" s="71" t="n"/>
      <c r="C101" s="72" t="n"/>
      <c r="G101" s="72" t="n"/>
      <c r="H101" s="72" t="n"/>
      <c r="I101" s="72" t="n"/>
      <c r="J101" s="72" t="n"/>
      <c r="K101" s="72" t="n"/>
      <c r="L101" s="72" t="n"/>
      <c r="M101" s="72" t="n"/>
      <c r="N101" s="72" t="n"/>
      <c r="O101" s="72" t="n"/>
      <c r="P101" s="72" t="n"/>
      <c r="W101" s="71" t="n"/>
    </row>
    <row r="102" ht="20.25" customHeight="1">
      <c r="A102" s="71" t="n"/>
      <c r="B102" s="71" t="n"/>
      <c r="C102" s="72" t="n"/>
      <c r="G102" s="72" t="n"/>
      <c r="H102" s="72" t="n"/>
      <c r="I102" s="72" t="n"/>
      <c r="J102" s="72" t="n"/>
      <c r="K102" s="72" t="n"/>
      <c r="L102" s="72" t="n"/>
      <c r="M102" s="72" t="n"/>
      <c r="N102" s="72" t="n"/>
      <c r="O102" s="72" t="n"/>
      <c r="P102" s="72" t="n"/>
      <c r="W102" s="71" t="n"/>
    </row>
    <row r="103" ht="20.25" customHeight="1">
      <c r="A103" s="71" t="n"/>
      <c r="B103" s="71" t="n"/>
      <c r="C103" s="72" t="n"/>
      <c r="G103" s="72" t="n"/>
      <c r="H103" s="72" t="n"/>
      <c r="I103" s="72" t="n"/>
      <c r="J103" s="72" t="n"/>
      <c r="K103" s="72" t="n"/>
      <c r="L103" s="72" t="n"/>
      <c r="M103" s="72" t="n"/>
      <c r="N103" s="72" t="n"/>
      <c r="O103" s="72" t="n"/>
      <c r="P103" s="72" t="n"/>
      <c r="W103" s="71" t="n"/>
    </row>
    <row r="104" ht="20.25" customHeight="1">
      <c r="A104" s="71" t="n"/>
      <c r="B104" s="71" t="n"/>
      <c r="C104" s="72" t="n"/>
      <c r="G104" s="72" t="n"/>
      <c r="H104" s="72" t="n"/>
      <c r="I104" s="72" t="n"/>
      <c r="J104" s="72" t="n"/>
      <c r="K104" s="72" t="n"/>
      <c r="L104" s="72" t="n"/>
      <c r="M104" s="72" t="n"/>
      <c r="N104" s="72" t="n"/>
      <c r="O104" s="72" t="n"/>
      <c r="P104" s="72" t="n"/>
      <c r="W104" s="71" t="n"/>
    </row>
    <row r="105" ht="20.25" customHeight="1">
      <c r="A105" s="71" t="n"/>
      <c r="B105" s="71" t="n"/>
      <c r="C105" s="72" t="n"/>
      <c r="G105" s="72" t="n"/>
      <c r="H105" s="72" t="n"/>
      <c r="I105" s="72" t="n"/>
      <c r="J105" s="72" t="n"/>
      <c r="K105" s="72" t="n"/>
      <c r="L105" s="72" t="n"/>
      <c r="M105" s="72" t="n"/>
      <c r="N105" s="72" t="n"/>
      <c r="O105" s="72" t="n"/>
      <c r="P105" s="72" t="n"/>
      <c r="W105" s="71" t="n"/>
    </row>
    <row r="106" ht="20.25" customHeight="1">
      <c r="A106" s="71" t="n"/>
      <c r="B106" s="71" t="n"/>
      <c r="C106" s="72" t="n"/>
      <c r="G106" s="72" t="n"/>
      <c r="H106" s="72" t="n"/>
      <c r="I106" s="72" t="n"/>
      <c r="J106" s="72" t="n"/>
      <c r="K106" s="72" t="n"/>
      <c r="L106" s="72" t="n"/>
      <c r="M106" s="72" t="n"/>
      <c r="N106" s="72" t="n"/>
      <c r="O106" s="72" t="n"/>
      <c r="P106" s="72" t="n"/>
      <c r="W106" s="71" t="n"/>
    </row>
    <row r="107" ht="20.25" customHeight="1">
      <c r="A107" s="71" t="n"/>
      <c r="B107" s="71" t="n"/>
      <c r="C107" s="72" t="n"/>
      <c r="G107" s="72" t="n"/>
      <c r="H107" s="72" t="n"/>
      <c r="I107" s="72" t="n"/>
      <c r="J107" s="72" t="n"/>
      <c r="K107" s="72" t="n"/>
      <c r="L107" s="72" t="n"/>
      <c r="M107" s="72" t="n"/>
      <c r="N107" s="72" t="n"/>
      <c r="O107" s="72" t="n"/>
      <c r="P107" s="72" t="n"/>
      <c r="W107" s="71" t="n"/>
    </row>
    <row r="108" ht="20.25" customHeight="1">
      <c r="A108" s="71" t="n"/>
      <c r="B108" s="71" t="n"/>
      <c r="C108" s="72" t="n"/>
      <c r="G108" s="72" t="n"/>
      <c r="H108" s="72" t="n"/>
      <c r="I108" s="72" t="n"/>
      <c r="J108" s="72" t="n"/>
      <c r="K108" s="72" t="n"/>
      <c r="L108" s="72" t="n"/>
      <c r="M108" s="72" t="n"/>
      <c r="N108" s="72" t="n"/>
      <c r="O108" s="72" t="n"/>
      <c r="P108" s="72" t="n"/>
      <c r="W108" s="71" t="n"/>
    </row>
    <row r="109" ht="20.25" customHeight="1">
      <c r="A109" s="71" t="n"/>
      <c r="B109" s="71" t="n"/>
      <c r="C109" s="72" t="n"/>
      <c r="G109" s="72" t="n"/>
      <c r="H109" s="72" t="n"/>
      <c r="I109" s="72" t="n"/>
      <c r="J109" s="72" t="n"/>
      <c r="K109" s="72" t="n"/>
      <c r="L109" s="72" t="n"/>
      <c r="M109" s="72" t="n"/>
      <c r="N109" s="72" t="n"/>
      <c r="O109" s="72" t="n"/>
      <c r="P109" s="72" t="n"/>
      <c r="W109" s="71" t="n"/>
    </row>
    <row r="110" ht="20.25" customHeight="1">
      <c r="A110" s="71" t="n"/>
      <c r="B110" s="71" t="n"/>
      <c r="C110" s="72" t="n"/>
      <c r="G110" s="72" t="n"/>
      <c r="H110" s="72" t="n"/>
      <c r="I110" s="72" t="n"/>
      <c r="J110" s="72" t="n"/>
      <c r="K110" s="72" t="n"/>
      <c r="L110" s="72" t="n"/>
      <c r="M110" s="72" t="n"/>
      <c r="N110" s="72" t="n"/>
      <c r="O110" s="72" t="n"/>
      <c r="P110" s="72" t="n"/>
      <c r="W110" s="71" t="n"/>
    </row>
    <row r="111" ht="20.25" customHeight="1">
      <c r="A111" s="71" t="n"/>
      <c r="B111" s="71" t="n"/>
      <c r="C111" s="72" t="n"/>
      <c r="G111" s="72" t="n"/>
      <c r="H111" s="72" t="n"/>
      <c r="I111" s="72" t="n"/>
      <c r="J111" s="72" t="n"/>
      <c r="K111" s="72" t="n"/>
      <c r="L111" s="72" t="n"/>
      <c r="M111" s="72" t="n"/>
      <c r="N111" s="72" t="n"/>
      <c r="O111" s="72" t="n"/>
      <c r="P111" s="72" t="n"/>
      <c r="W111" s="71" t="n"/>
    </row>
    <row r="112" ht="20.25" customHeight="1">
      <c r="A112" s="71" t="n"/>
      <c r="B112" s="71" t="n"/>
      <c r="C112" s="72" t="n"/>
      <c r="G112" s="72" t="n"/>
      <c r="H112" s="72" t="n"/>
      <c r="I112" s="72" t="n"/>
      <c r="J112" s="72" t="n"/>
      <c r="K112" s="72" t="n"/>
      <c r="L112" s="72" t="n"/>
      <c r="M112" s="72" t="n"/>
      <c r="N112" s="72" t="n"/>
      <c r="O112" s="72" t="n"/>
      <c r="P112" s="72" t="n"/>
      <c r="W112" s="71" t="n"/>
    </row>
    <row r="113" ht="20.25" customHeight="1">
      <c r="A113" s="71" t="n"/>
      <c r="B113" s="71" t="n"/>
      <c r="C113" s="72" t="n"/>
      <c r="G113" s="72" t="n"/>
      <c r="H113" s="72" t="n"/>
      <c r="I113" s="72" t="n"/>
      <c r="J113" s="72" t="n"/>
      <c r="K113" s="72" t="n"/>
      <c r="L113" s="72" t="n"/>
      <c r="M113" s="72" t="n"/>
      <c r="N113" s="72" t="n"/>
      <c r="O113" s="72" t="n"/>
      <c r="P113" s="72" t="n"/>
      <c r="W113" s="71" t="n"/>
    </row>
    <row r="114" ht="20.25" customHeight="1">
      <c r="A114" s="71" t="n"/>
      <c r="B114" s="71" t="n"/>
      <c r="C114" s="72" t="n"/>
      <c r="G114" s="72" t="n"/>
      <c r="H114" s="72" t="n"/>
      <c r="I114" s="72" t="n"/>
      <c r="J114" s="72" t="n"/>
      <c r="K114" s="72" t="n"/>
      <c r="L114" s="72" t="n"/>
      <c r="M114" s="72" t="n"/>
      <c r="N114" s="72" t="n"/>
      <c r="O114" s="72" t="n"/>
      <c r="P114" s="72" t="n"/>
      <c r="W114" s="71" t="n"/>
    </row>
    <row r="115" ht="20.25" customHeight="1">
      <c r="A115" s="71" t="n"/>
      <c r="B115" s="71" t="n"/>
      <c r="C115" s="72" t="n"/>
      <c r="G115" s="72" t="n"/>
      <c r="H115" s="72" t="n"/>
      <c r="I115" s="72" t="n"/>
      <c r="J115" s="72" t="n"/>
      <c r="K115" s="72" t="n"/>
      <c r="L115" s="72" t="n"/>
      <c r="M115" s="72" t="n"/>
      <c r="N115" s="72" t="n"/>
      <c r="O115" s="72" t="n"/>
      <c r="P115" s="72" t="n"/>
      <c r="W115" s="71" t="n"/>
    </row>
    <row r="116" ht="20.25" customHeight="1">
      <c r="A116" s="71" t="n"/>
      <c r="B116" s="71" t="n"/>
      <c r="C116" s="72" t="n"/>
      <c r="G116" s="72" t="n"/>
      <c r="H116" s="72" t="n"/>
      <c r="I116" s="72" t="n"/>
      <c r="J116" s="72" t="n"/>
      <c r="K116" s="72" t="n"/>
      <c r="L116" s="72" t="n"/>
      <c r="M116" s="72" t="n"/>
      <c r="N116" s="72" t="n"/>
      <c r="O116" s="72" t="n"/>
      <c r="P116" s="72" t="n"/>
      <c r="W116" s="71" t="n"/>
    </row>
    <row r="117" ht="20.25" customHeight="1">
      <c r="A117" s="71" t="n"/>
      <c r="B117" s="71" t="n"/>
      <c r="C117" s="72" t="n"/>
      <c r="G117" s="72" t="n"/>
      <c r="H117" s="72" t="n"/>
      <c r="I117" s="72" t="n"/>
      <c r="J117" s="72" t="n"/>
      <c r="K117" s="72" t="n"/>
      <c r="L117" s="72" t="n"/>
      <c r="M117" s="72" t="n"/>
      <c r="N117" s="72" t="n"/>
      <c r="O117" s="72" t="n"/>
      <c r="P117" s="72" t="n"/>
      <c r="W117" s="71" t="n"/>
    </row>
    <row r="118" ht="20.25" customHeight="1">
      <c r="A118" s="71" t="n"/>
      <c r="B118" s="71" t="n"/>
      <c r="C118" s="72" t="n"/>
      <c r="G118" s="72" t="n"/>
      <c r="H118" s="72" t="n"/>
      <c r="I118" s="72" t="n"/>
      <c r="J118" s="72" t="n"/>
      <c r="K118" s="72" t="n"/>
      <c r="L118" s="72" t="n"/>
      <c r="M118" s="72" t="n"/>
      <c r="N118" s="72" t="n"/>
      <c r="O118" s="72" t="n"/>
      <c r="P118" s="72" t="n"/>
      <c r="W118" s="71" t="n"/>
    </row>
    <row r="119" ht="20.25" customHeight="1">
      <c r="A119" s="71" t="n"/>
      <c r="B119" s="71" t="n"/>
      <c r="C119" s="72" t="n"/>
      <c r="G119" s="72" t="n"/>
      <c r="H119" s="72" t="n"/>
      <c r="I119" s="72" t="n"/>
      <c r="J119" s="72" t="n"/>
      <c r="K119" s="72" t="n"/>
      <c r="L119" s="72" t="n"/>
      <c r="M119" s="72" t="n"/>
      <c r="N119" s="72" t="n"/>
      <c r="O119" s="72" t="n"/>
      <c r="P119" s="72" t="n"/>
      <c r="W119" s="71" t="n"/>
    </row>
    <row r="120" ht="20.25" customHeight="1">
      <c r="A120" s="71" t="n"/>
      <c r="B120" s="71" t="n"/>
      <c r="C120" s="72" t="n"/>
      <c r="G120" s="72" t="n"/>
      <c r="H120" s="72" t="n"/>
      <c r="I120" s="72" t="n"/>
      <c r="J120" s="72" t="n"/>
      <c r="K120" s="72" t="n"/>
      <c r="L120" s="72" t="n"/>
      <c r="M120" s="72" t="n"/>
      <c r="N120" s="72" t="n"/>
      <c r="O120" s="72" t="n"/>
      <c r="P120" s="72" t="n"/>
      <c r="W120" s="71" t="n"/>
    </row>
    <row r="121" ht="20.25" customHeight="1">
      <c r="A121" s="71" t="n"/>
      <c r="B121" s="71" t="n"/>
      <c r="C121" s="72" t="n"/>
      <c r="G121" s="72" t="n"/>
      <c r="H121" s="72" t="n"/>
      <c r="I121" s="72" t="n"/>
      <c r="J121" s="72" t="n"/>
      <c r="K121" s="72" t="n"/>
      <c r="L121" s="72" t="n"/>
      <c r="M121" s="72" t="n"/>
      <c r="N121" s="72" t="n"/>
      <c r="O121" s="72" t="n"/>
      <c r="P121" s="72" t="n"/>
      <c r="W121" s="71" t="n"/>
    </row>
    <row r="122" ht="20.25" customHeight="1">
      <c r="A122" s="71" t="n"/>
      <c r="B122" s="71" t="n"/>
      <c r="C122" s="72" t="n"/>
      <c r="G122" s="72" t="n"/>
      <c r="H122" s="72" t="n"/>
      <c r="I122" s="72" t="n"/>
      <c r="J122" s="72" t="n"/>
      <c r="K122" s="72" t="n"/>
      <c r="L122" s="72" t="n"/>
      <c r="M122" s="72" t="n"/>
      <c r="N122" s="72" t="n"/>
      <c r="O122" s="72" t="n"/>
      <c r="P122" s="72" t="n"/>
      <c r="W122" s="71" t="n"/>
    </row>
    <row r="123" ht="20.25" customHeight="1">
      <c r="A123" s="71" t="n"/>
      <c r="B123" s="71" t="n"/>
      <c r="C123" s="72" t="n"/>
      <c r="G123" s="72" t="n"/>
      <c r="H123" s="72" t="n"/>
      <c r="I123" s="72" t="n"/>
      <c r="J123" s="72" t="n"/>
      <c r="K123" s="72" t="n"/>
      <c r="L123" s="72" t="n"/>
      <c r="M123" s="72" t="n"/>
      <c r="N123" s="72" t="n"/>
      <c r="O123" s="72" t="n"/>
      <c r="P123" s="72" t="n"/>
      <c r="W123" s="71" t="n"/>
    </row>
    <row r="124" ht="20.25" customHeight="1">
      <c r="A124" s="71" t="n"/>
      <c r="B124" s="71" t="n"/>
      <c r="C124" s="72" t="n"/>
      <c r="G124" s="72" t="n"/>
      <c r="H124" s="72" t="n"/>
      <c r="I124" s="72" t="n"/>
      <c r="J124" s="72" t="n"/>
      <c r="K124" s="72" t="n"/>
      <c r="L124" s="72" t="n"/>
      <c r="M124" s="72" t="n"/>
      <c r="N124" s="72" t="n"/>
      <c r="O124" s="72" t="n"/>
      <c r="P124" s="72" t="n"/>
      <c r="W124" s="71" t="n"/>
    </row>
    <row r="125" ht="20.25" customHeight="1">
      <c r="A125" s="71" t="n"/>
      <c r="B125" s="71" t="n"/>
      <c r="C125" s="72" t="n"/>
      <c r="G125" s="72" t="n"/>
      <c r="H125" s="72" t="n"/>
      <c r="I125" s="72" t="n"/>
      <c r="J125" s="72" t="n"/>
      <c r="K125" s="72" t="n"/>
      <c r="L125" s="72" t="n"/>
      <c r="M125" s="72" t="n"/>
      <c r="N125" s="72" t="n"/>
      <c r="O125" s="72" t="n"/>
      <c r="P125" s="72" t="n"/>
      <c r="W125" s="71" t="n"/>
    </row>
    <row r="126" ht="20.25" customHeight="1">
      <c r="A126" s="71" t="n"/>
      <c r="B126" s="71" t="n"/>
      <c r="C126" s="72" t="n"/>
      <c r="G126" s="72" t="n"/>
      <c r="H126" s="72" t="n"/>
      <c r="I126" s="72" t="n"/>
      <c r="J126" s="72" t="n"/>
      <c r="K126" s="72" t="n"/>
      <c r="L126" s="72" t="n"/>
      <c r="M126" s="72" t="n"/>
      <c r="N126" s="72" t="n"/>
      <c r="O126" s="72" t="n"/>
      <c r="P126" s="72" t="n"/>
      <c r="W126" s="71" t="n"/>
    </row>
    <row r="127" ht="20.25" customHeight="1">
      <c r="A127" s="71" t="n"/>
      <c r="B127" s="71" t="n"/>
      <c r="C127" s="72" t="n"/>
      <c r="G127" s="72" t="n"/>
      <c r="H127" s="72" t="n"/>
      <c r="I127" s="72" t="n"/>
      <c r="J127" s="72" t="n"/>
      <c r="K127" s="72" t="n"/>
      <c r="L127" s="72" t="n"/>
      <c r="M127" s="72" t="n"/>
      <c r="N127" s="72" t="n"/>
      <c r="O127" s="72" t="n"/>
      <c r="P127" s="72" t="n"/>
      <c r="W127" s="71" t="n"/>
    </row>
    <row r="128" ht="20.25" customHeight="1">
      <c r="A128" s="71" t="n"/>
      <c r="B128" s="71" t="n"/>
      <c r="C128" s="72" t="n"/>
      <c r="G128" s="72" t="n"/>
      <c r="H128" s="72" t="n"/>
      <c r="I128" s="72" t="n"/>
      <c r="J128" s="72" t="n"/>
      <c r="K128" s="72" t="n"/>
      <c r="L128" s="72" t="n"/>
      <c r="M128" s="72" t="n"/>
      <c r="N128" s="72" t="n"/>
      <c r="O128" s="72" t="n"/>
      <c r="P128" s="72" t="n"/>
      <c r="W128" s="71" t="n"/>
    </row>
    <row r="129" ht="20.25" customHeight="1">
      <c r="A129" s="71" t="n"/>
      <c r="B129" s="71" t="n"/>
      <c r="C129" s="72" t="n"/>
      <c r="G129" s="72" t="n"/>
      <c r="H129" s="72" t="n"/>
      <c r="I129" s="72" t="n"/>
      <c r="J129" s="72" t="n"/>
      <c r="K129" s="72" t="n"/>
      <c r="L129" s="72" t="n"/>
      <c r="M129" s="72" t="n"/>
      <c r="N129" s="72" t="n"/>
      <c r="O129" s="72" t="n"/>
      <c r="P129" s="72" t="n"/>
      <c r="W129" s="71" t="n"/>
    </row>
    <row r="130" ht="20.25" customHeight="1">
      <c r="A130" s="71" t="n"/>
      <c r="B130" s="71" t="n"/>
      <c r="C130" s="72" t="n"/>
      <c r="G130" s="72" t="n"/>
      <c r="H130" s="72" t="n"/>
      <c r="I130" s="72" t="n"/>
      <c r="J130" s="72" t="n"/>
      <c r="K130" s="72" t="n"/>
      <c r="L130" s="72" t="n"/>
      <c r="M130" s="72" t="n"/>
      <c r="N130" s="72" t="n"/>
      <c r="O130" s="72" t="n"/>
      <c r="P130" s="72" t="n"/>
      <c r="W130" s="71" t="n"/>
    </row>
    <row r="131" ht="20.25" customHeight="1">
      <c r="A131" s="71" t="n"/>
      <c r="B131" s="71" t="n"/>
      <c r="C131" s="72" t="n"/>
      <c r="G131" s="72" t="n"/>
      <c r="H131" s="72" t="n"/>
      <c r="I131" s="72" t="n"/>
      <c r="J131" s="72" t="n"/>
      <c r="K131" s="72" t="n"/>
      <c r="L131" s="72" t="n"/>
      <c r="M131" s="72" t="n"/>
      <c r="N131" s="72" t="n"/>
      <c r="O131" s="72" t="n"/>
      <c r="P131" s="72" t="n"/>
      <c r="W131" s="71" t="n"/>
    </row>
    <row r="132" ht="20.25" customHeight="1">
      <c r="A132" s="71" t="n"/>
      <c r="B132" s="71" t="n"/>
      <c r="C132" s="72" t="n"/>
      <c r="G132" s="72" t="n"/>
      <c r="H132" s="72" t="n"/>
      <c r="I132" s="72" t="n"/>
      <c r="J132" s="72" t="n"/>
      <c r="K132" s="72" t="n"/>
      <c r="L132" s="72" t="n"/>
      <c r="M132" s="72" t="n"/>
      <c r="N132" s="72" t="n"/>
      <c r="O132" s="72" t="n"/>
      <c r="P132" s="72" t="n"/>
      <c r="W132" s="71" t="n"/>
    </row>
    <row r="133" ht="20.25" customHeight="1">
      <c r="A133" s="71" t="n"/>
      <c r="B133" s="71" t="n"/>
      <c r="C133" s="72" t="n"/>
      <c r="G133" s="72" t="n"/>
      <c r="H133" s="72" t="n"/>
      <c r="I133" s="72" t="n"/>
      <c r="J133" s="72" t="n"/>
      <c r="K133" s="72" t="n"/>
      <c r="L133" s="72" t="n"/>
      <c r="M133" s="72" t="n"/>
      <c r="N133" s="72" t="n"/>
      <c r="O133" s="72" t="n"/>
      <c r="P133" s="72" t="n"/>
      <c r="W133" s="71" t="n"/>
    </row>
    <row r="134" ht="20.25" customHeight="1">
      <c r="A134" s="71" t="n"/>
      <c r="B134" s="71" t="n"/>
      <c r="C134" s="72" t="n"/>
      <c r="G134" s="72" t="n"/>
      <c r="H134" s="72" t="n"/>
      <c r="I134" s="72" t="n"/>
      <c r="J134" s="72" t="n"/>
      <c r="K134" s="72" t="n"/>
      <c r="L134" s="72" t="n"/>
      <c r="M134" s="72" t="n"/>
      <c r="N134" s="72" t="n"/>
      <c r="O134" s="72" t="n"/>
      <c r="P134" s="72" t="n"/>
      <c r="W134" s="71" t="n"/>
    </row>
    <row r="135" ht="20.25" customHeight="1">
      <c r="A135" s="71" t="n"/>
      <c r="B135" s="71" t="n"/>
      <c r="C135" s="72" t="n"/>
      <c r="G135" s="72" t="n"/>
      <c r="H135" s="72" t="n"/>
      <c r="I135" s="72" t="n"/>
      <c r="J135" s="72" t="n"/>
      <c r="K135" s="72" t="n"/>
      <c r="L135" s="72" t="n"/>
      <c r="M135" s="72" t="n"/>
      <c r="N135" s="72" t="n"/>
      <c r="O135" s="72" t="n"/>
      <c r="P135" s="72" t="n"/>
      <c r="W135" s="71" t="n"/>
    </row>
    <row r="136" ht="20.25" customHeight="1">
      <c r="A136" s="71" t="n"/>
      <c r="B136" s="71" t="n"/>
      <c r="C136" s="72" t="n"/>
      <c r="G136" s="72" t="n"/>
      <c r="H136" s="72" t="n"/>
      <c r="I136" s="72" t="n"/>
      <c r="J136" s="72" t="n"/>
      <c r="K136" s="72" t="n"/>
      <c r="L136" s="72" t="n"/>
      <c r="M136" s="72" t="n"/>
      <c r="N136" s="72" t="n"/>
      <c r="O136" s="72" t="n"/>
      <c r="P136" s="72" t="n"/>
      <c r="W136" s="71" t="n"/>
    </row>
    <row r="137" ht="20.25" customHeight="1">
      <c r="A137" s="71" t="n"/>
      <c r="B137" s="71" t="n"/>
      <c r="C137" s="72" t="n"/>
      <c r="G137" s="72" t="n"/>
      <c r="H137" s="72" t="n"/>
      <c r="I137" s="72" t="n"/>
      <c r="J137" s="72" t="n"/>
      <c r="K137" s="72" t="n"/>
      <c r="L137" s="72" t="n"/>
      <c r="M137" s="72" t="n"/>
      <c r="N137" s="72" t="n"/>
      <c r="O137" s="72" t="n"/>
      <c r="P137" s="72" t="n"/>
      <c r="W137" s="71" t="n"/>
    </row>
    <row r="138" ht="20.25" customHeight="1">
      <c r="A138" s="71" t="n"/>
      <c r="B138" s="71" t="n"/>
      <c r="C138" s="72" t="n"/>
      <c r="G138" s="72" t="n"/>
      <c r="H138" s="72" t="n"/>
      <c r="I138" s="72" t="n"/>
      <c r="J138" s="72" t="n"/>
      <c r="K138" s="72" t="n"/>
      <c r="L138" s="72" t="n"/>
      <c r="M138" s="72" t="n"/>
      <c r="N138" s="72" t="n"/>
      <c r="O138" s="72" t="n"/>
      <c r="P138" s="72" t="n"/>
      <c r="W138" s="71" t="n"/>
    </row>
    <row r="139" ht="20.25" customHeight="1">
      <c r="A139" s="71" t="n"/>
      <c r="B139" s="71" t="n"/>
      <c r="C139" s="72" t="n"/>
      <c r="G139" s="72" t="n"/>
      <c r="H139" s="72" t="n"/>
      <c r="I139" s="72" t="n"/>
      <c r="J139" s="72" t="n"/>
      <c r="K139" s="72" t="n"/>
      <c r="L139" s="72" t="n"/>
      <c r="M139" s="72" t="n"/>
      <c r="N139" s="72" t="n"/>
      <c r="O139" s="72" t="n"/>
      <c r="P139" s="72" t="n"/>
      <c r="W139" s="71" t="n"/>
    </row>
    <row r="140" ht="20.25" customHeight="1">
      <c r="A140" s="71" t="n"/>
      <c r="B140" s="71" t="n"/>
      <c r="C140" s="72" t="n"/>
      <c r="G140" s="72" t="n"/>
      <c r="H140" s="72" t="n"/>
      <c r="I140" s="72" t="n"/>
      <c r="J140" s="72" t="n"/>
      <c r="K140" s="72" t="n"/>
      <c r="L140" s="72" t="n"/>
      <c r="M140" s="72" t="n"/>
      <c r="N140" s="72" t="n"/>
      <c r="O140" s="72" t="n"/>
      <c r="P140" s="72" t="n"/>
      <c r="W140" s="71" t="n"/>
    </row>
    <row r="141" ht="20.25" customHeight="1">
      <c r="A141" s="71" t="n"/>
      <c r="B141" s="71" t="n"/>
      <c r="C141" s="72" t="n"/>
      <c r="G141" s="72" t="n"/>
      <c r="H141" s="72" t="n"/>
      <c r="I141" s="72" t="n"/>
      <c r="J141" s="72" t="n"/>
      <c r="K141" s="72" t="n"/>
      <c r="L141" s="72" t="n"/>
      <c r="M141" s="72" t="n"/>
      <c r="N141" s="72" t="n"/>
      <c r="O141" s="72" t="n"/>
      <c r="P141" s="72" t="n"/>
      <c r="W141" s="71" t="n"/>
    </row>
    <row r="142" ht="20.25" customHeight="1">
      <c r="A142" s="71" t="n"/>
      <c r="B142" s="71" t="n"/>
      <c r="C142" s="72" t="n"/>
      <c r="G142" s="72" t="n"/>
      <c r="H142" s="72" t="n"/>
      <c r="I142" s="72" t="n"/>
      <c r="J142" s="72" t="n"/>
      <c r="K142" s="72" t="n"/>
      <c r="L142" s="72" t="n"/>
      <c r="M142" s="72" t="n"/>
      <c r="N142" s="72" t="n"/>
      <c r="O142" s="72" t="n"/>
      <c r="P142" s="72" t="n"/>
      <c r="W142" s="71" t="n"/>
    </row>
    <row r="143" ht="20.25" customHeight="1">
      <c r="A143" s="71" t="n"/>
      <c r="B143" s="71" t="n"/>
      <c r="C143" s="72" t="n"/>
      <c r="G143" s="72" t="n"/>
      <c r="H143" s="72" t="n"/>
      <c r="I143" s="72" t="n"/>
      <c r="J143" s="72" t="n"/>
      <c r="K143" s="72" t="n"/>
      <c r="L143" s="72" t="n"/>
      <c r="M143" s="72" t="n"/>
      <c r="N143" s="72" t="n"/>
      <c r="O143" s="72" t="n"/>
      <c r="P143" s="72" t="n"/>
      <c r="W143" s="71" t="n"/>
    </row>
    <row r="144" ht="20.25" customHeight="1">
      <c r="A144" s="71" t="n"/>
      <c r="B144" s="71" t="n"/>
      <c r="C144" s="72" t="n"/>
      <c r="G144" s="72" t="n"/>
      <c r="H144" s="72" t="n"/>
      <c r="I144" s="72" t="n"/>
      <c r="J144" s="72" t="n"/>
      <c r="K144" s="72" t="n"/>
      <c r="L144" s="72" t="n"/>
      <c r="M144" s="72" t="n"/>
      <c r="N144" s="72" t="n"/>
      <c r="O144" s="72" t="n"/>
      <c r="P144" s="72" t="n"/>
      <c r="W144" s="71" t="n"/>
    </row>
    <row r="145" ht="20.25" customHeight="1">
      <c r="A145" s="71" t="n"/>
      <c r="B145" s="71" t="n"/>
      <c r="C145" s="72" t="n"/>
      <c r="G145" s="72" t="n"/>
      <c r="H145" s="72" t="n"/>
      <c r="I145" s="72" t="n"/>
      <c r="J145" s="72" t="n"/>
      <c r="K145" s="72" t="n"/>
      <c r="L145" s="72" t="n"/>
      <c r="M145" s="72" t="n"/>
      <c r="N145" s="72" t="n"/>
      <c r="O145" s="72" t="n"/>
      <c r="P145" s="72" t="n"/>
      <c r="W145" s="71" t="n"/>
    </row>
    <row r="146" ht="20.25" customHeight="1">
      <c r="A146" s="71" t="n"/>
      <c r="B146" s="71" t="n"/>
      <c r="C146" s="72" t="n"/>
      <c r="G146" s="72" t="n"/>
      <c r="H146" s="72" t="n"/>
      <c r="I146" s="72" t="n"/>
      <c r="J146" s="72" t="n"/>
      <c r="K146" s="72" t="n"/>
      <c r="L146" s="72" t="n"/>
      <c r="M146" s="72" t="n"/>
      <c r="N146" s="72" t="n"/>
      <c r="O146" s="72" t="n"/>
      <c r="P146" s="72" t="n"/>
      <c r="W146" s="71" t="n"/>
    </row>
    <row r="147" ht="20.25" customHeight="1">
      <c r="A147" s="71" t="n"/>
      <c r="B147" s="71" t="n"/>
      <c r="C147" s="72" t="n"/>
      <c r="G147" s="72" t="n"/>
      <c r="H147" s="72" t="n"/>
      <c r="I147" s="72" t="n"/>
      <c r="J147" s="72" t="n"/>
      <c r="K147" s="72" t="n"/>
      <c r="L147" s="72" t="n"/>
      <c r="M147" s="72" t="n"/>
      <c r="N147" s="72" t="n"/>
      <c r="O147" s="72" t="n"/>
      <c r="P147" s="72" t="n"/>
      <c r="W147" s="71" t="n"/>
    </row>
    <row r="148" ht="20.25" customHeight="1">
      <c r="A148" s="71" t="n"/>
      <c r="B148" s="71" t="n"/>
      <c r="C148" s="72" t="n"/>
      <c r="G148" s="72" t="n"/>
      <c r="H148" s="72" t="n"/>
      <c r="I148" s="72" t="n"/>
      <c r="J148" s="72" t="n"/>
      <c r="K148" s="72" t="n"/>
      <c r="L148" s="72" t="n"/>
      <c r="M148" s="72" t="n"/>
      <c r="N148" s="72" t="n"/>
      <c r="O148" s="72" t="n"/>
      <c r="P148" s="72" t="n"/>
      <c r="W148" s="71" t="n"/>
    </row>
    <row r="149" ht="20.25" customHeight="1">
      <c r="A149" s="71" t="n"/>
      <c r="B149" s="71" t="n"/>
      <c r="C149" s="72" t="n"/>
      <c r="G149" s="72" t="n"/>
      <c r="H149" s="72" t="n"/>
      <c r="I149" s="72" t="n"/>
      <c r="J149" s="72" t="n"/>
      <c r="K149" s="72" t="n"/>
      <c r="L149" s="72" t="n"/>
      <c r="M149" s="72" t="n"/>
      <c r="N149" s="72" t="n"/>
      <c r="O149" s="72" t="n"/>
      <c r="P149" s="72" t="n"/>
      <c r="W149" s="71" t="n"/>
    </row>
    <row r="150" ht="20.25" customHeight="1">
      <c r="A150" s="71" t="n"/>
      <c r="B150" s="71" t="n"/>
      <c r="C150" s="72" t="n"/>
      <c r="G150" s="72" t="n"/>
      <c r="H150" s="72" t="n"/>
      <c r="I150" s="72" t="n"/>
      <c r="J150" s="72" t="n"/>
      <c r="K150" s="72" t="n"/>
      <c r="L150" s="72" t="n"/>
      <c r="M150" s="72" t="n"/>
      <c r="N150" s="72" t="n"/>
      <c r="O150" s="72" t="n"/>
      <c r="P150" s="72" t="n"/>
      <c r="W150" s="71" t="n"/>
    </row>
    <row r="151" ht="20.25" customHeight="1">
      <c r="A151" s="71" t="n"/>
      <c r="B151" s="71" t="n"/>
      <c r="C151" s="72" t="n"/>
      <c r="G151" s="72" t="n"/>
      <c r="H151" s="72" t="n"/>
      <c r="I151" s="72" t="n"/>
      <c r="J151" s="72" t="n"/>
      <c r="K151" s="72" t="n"/>
      <c r="L151" s="72" t="n"/>
      <c r="M151" s="72" t="n"/>
      <c r="N151" s="72" t="n"/>
      <c r="O151" s="72" t="n"/>
      <c r="P151" s="72" t="n"/>
      <c r="W151" s="71" t="n"/>
    </row>
    <row r="152" ht="20.25" customHeight="1">
      <c r="A152" s="71" t="n"/>
      <c r="B152" s="71" t="n"/>
      <c r="C152" s="72" t="n"/>
      <c r="G152" s="72" t="n"/>
      <c r="H152" s="72" t="n"/>
      <c r="I152" s="72" t="n"/>
      <c r="J152" s="72" t="n"/>
      <c r="K152" s="72" t="n"/>
      <c r="L152" s="72" t="n"/>
      <c r="M152" s="72" t="n"/>
      <c r="N152" s="72" t="n"/>
      <c r="O152" s="72" t="n"/>
      <c r="P152" s="72" t="n"/>
      <c r="W152" s="71" t="n"/>
    </row>
    <row r="153" ht="20.25" customHeight="1">
      <c r="A153" s="71" t="n"/>
      <c r="B153" s="71" t="n"/>
      <c r="C153" s="72" t="n"/>
      <c r="G153" s="72" t="n"/>
      <c r="H153" s="72" t="n"/>
      <c r="I153" s="72" t="n"/>
      <c r="J153" s="72" t="n"/>
      <c r="K153" s="72" t="n"/>
      <c r="L153" s="72" t="n"/>
      <c r="M153" s="72" t="n"/>
      <c r="N153" s="72" t="n"/>
      <c r="O153" s="72" t="n"/>
      <c r="P153" s="72" t="n"/>
      <c r="W153" s="71" t="n"/>
    </row>
    <row r="154" ht="20.25" customHeight="1">
      <c r="A154" s="71" t="n"/>
      <c r="B154" s="71" t="n"/>
      <c r="C154" s="72" t="n"/>
      <c r="G154" s="72" t="n"/>
      <c r="H154" s="72" t="n"/>
      <c r="I154" s="72" t="n"/>
      <c r="J154" s="72" t="n"/>
      <c r="K154" s="72" t="n"/>
      <c r="L154" s="72" t="n"/>
      <c r="M154" s="72" t="n"/>
      <c r="N154" s="72" t="n"/>
      <c r="O154" s="72" t="n"/>
      <c r="P154" s="72" t="n"/>
      <c r="W154" s="71" t="n"/>
    </row>
    <row r="155" ht="20.25" customHeight="1">
      <c r="A155" s="71" t="n"/>
      <c r="B155" s="71" t="n"/>
      <c r="C155" s="72" t="n"/>
      <c r="G155" s="72" t="n"/>
      <c r="H155" s="72" t="n"/>
      <c r="I155" s="72" t="n"/>
      <c r="J155" s="72" t="n"/>
      <c r="K155" s="72" t="n"/>
      <c r="L155" s="72" t="n"/>
      <c r="M155" s="72" t="n"/>
      <c r="N155" s="72" t="n"/>
      <c r="O155" s="72" t="n"/>
      <c r="P155" s="72" t="n"/>
      <c r="W155" s="71" t="n"/>
    </row>
    <row r="156" ht="20.25" customHeight="1">
      <c r="A156" s="71" t="n"/>
      <c r="B156" s="71" t="n"/>
      <c r="C156" s="72" t="n"/>
      <c r="G156" s="72" t="n"/>
      <c r="H156" s="72" t="n"/>
      <c r="I156" s="72" t="n"/>
      <c r="J156" s="72" t="n"/>
      <c r="K156" s="72" t="n"/>
      <c r="L156" s="72" t="n"/>
      <c r="M156" s="72" t="n"/>
      <c r="N156" s="72" t="n"/>
      <c r="O156" s="72" t="n"/>
      <c r="P156" s="72" t="n"/>
      <c r="W156" s="71" t="n"/>
    </row>
    <row r="157" ht="20.25" customHeight="1">
      <c r="A157" s="71" t="n"/>
      <c r="B157" s="71" t="n"/>
      <c r="C157" s="72" t="n"/>
      <c r="G157" s="72" t="n"/>
      <c r="H157" s="72" t="n"/>
      <c r="I157" s="72" t="n"/>
      <c r="J157" s="72" t="n"/>
      <c r="K157" s="72" t="n"/>
      <c r="L157" s="72" t="n"/>
      <c r="M157" s="72" t="n"/>
      <c r="N157" s="72" t="n"/>
      <c r="O157" s="72" t="n"/>
      <c r="P157" s="72" t="n"/>
      <c r="W157" s="71" t="n"/>
    </row>
    <row r="158" ht="20.25" customHeight="1">
      <c r="A158" s="71" t="n"/>
      <c r="B158" s="71" t="n"/>
      <c r="C158" s="72" t="n"/>
      <c r="G158" s="72" t="n"/>
      <c r="H158" s="72" t="n"/>
      <c r="I158" s="72" t="n"/>
      <c r="J158" s="72" t="n"/>
      <c r="K158" s="72" t="n"/>
      <c r="L158" s="72" t="n"/>
      <c r="M158" s="72" t="n"/>
      <c r="N158" s="72" t="n"/>
      <c r="O158" s="72" t="n"/>
      <c r="P158" s="72" t="n"/>
      <c r="W158" s="71" t="n"/>
    </row>
    <row r="159" ht="20.25" customHeight="1">
      <c r="A159" s="71" t="n"/>
      <c r="B159" s="71" t="n"/>
      <c r="C159" s="72" t="n"/>
      <c r="G159" s="72" t="n"/>
      <c r="H159" s="72" t="n"/>
      <c r="I159" s="72" t="n"/>
      <c r="J159" s="72" t="n"/>
      <c r="K159" s="72" t="n"/>
      <c r="L159" s="72" t="n"/>
      <c r="M159" s="72" t="n"/>
      <c r="N159" s="72" t="n"/>
      <c r="O159" s="72" t="n"/>
      <c r="P159" s="72" t="n"/>
      <c r="W159" s="71" t="n"/>
    </row>
    <row r="160" ht="20.25" customHeight="1">
      <c r="A160" s="71" t="n"/>
      <c r="B160" s="71" t="n"/>
      <c r="C160" s="72" t="n"/>
      <c r="G160" s="72" t="n"/>
      <c r="H160" s="72" t="n"/>
      <c r="I160" s="72" t="n"/>
      <c r="J160" s="72" t="n"/>
      <c r="K160" s="72" t="n"/>
      <c r="L160" s="72" t="n"/>
      <c r="M160" s="72" t="n"/>
      <c r="N160" s="72" t="n"/>
      <c r="O160" s="72" t="n"/>
      <c r="P160" s="72" t="n"/>
      <c r="W160" s="71" t="n"/>
    </row>
    <row r="161" ht="20.25" customHeight="1">
      <c r="A161" s="71" t="n"/>
      <c r="B161" s="71" t="n"/>
      <c r="C161" s="72" t="n"/>
      <c r="G161" s="72" t="n"/>
      <c r="H161" s="72" t="n"/>
      <c r="I161" s="72" t="n"/>
      <c r="J161" s="72" t="n"/>
      <c r="K161" s="72" t="n"/>
      <c r="L161" s="72" t="n"/>
      <c r="M161" s="72" t="n"/>
      <c r="N161" s="72" t="n"/>
      <c r="O161" s="72" t="n"/>
      <c r="P161" s="72" t="n"/>
      <c r="W161" s="71" t="n"/>
    </row>
    <row r="162" ht="20.25" customHeight="1">
      <c r="A162" s="71" t="n"/>
      <c r="B162" s="71" t="n"/>
      <c r="C162" s="72" t="n"/>
      <c r="G162" s="72" t="n"/>
      <c r="H162" s="72" t="n"/>
      <c r="I162" s="72" t="n"/>
      <c r="J162" s="72" t="n"/>
      <c r="K162" s="72" t="n"/>
      <c r="L162" s="72" t="n"/>
      <c r="M162" s="72" t="n"/>
      <c r="N162" s="72" t="n"/>
      <c r="O162" s="72" t="n"/>
      <c r="P162" s="72" t="n"/>
      <c r="W162" s="71" t="n"/>
    </row>
    <row r="163" ht="20.25" customHeight="1">
      <c r="A163" s="71" t="n"/>
      <c r="B163" s="71" t="n"/>
      <c r="C163" s="72" t="n"/>
      <c r="G163" s="72" t="n"/>
      <c r="H163" s="72" t="n"/>
      <c r="I163" s="72" t="n"/>
      <c r="J163" s="72" t="n"/>
      <c r="K163" s="72" t="n"/>
      <c r="L163" s="72" t="n"/>
      <c r="M163" s="72" t="n"/>
      <c r="N163" s="72" t="n"/>
      <c r="O163" s="72" t="n"/>
      <c r="P163" s="72" t="n"/>
      <c r="W163" s="71" t="n"/>
    </row>
    <row r="164" ht="20.25" customHeight="1">
      <c r="A164" s="71" t="n"/>
      <c r="B164" s="71" t="n"/>
      <c r="C164" s="72" t="n"/>
      <c r="G164" s="72" t="n"/>
      <c r="H164" s="72" t="n"/>
      <c r="I164" s="72" t="n"/>
      <c r="J164" s="72" t="n"/>
      <c r="K164" s="72" t="n"/>
      <c r="L164" s="72" t="n"/>
      <c r="M164" s="72" t="n"/>
      <c r="N164" s="72" t="n"/>
      <c r="O164" s="72" t="n"/>
      <c r="P164" s="72" t="n"/>
      <c r="W164" s="71" t="n"/>
    </row>
    <row r="165" ht="20.25" customHeight="1">
      <c r="A165" s="71" t="n"/>
      <c r="B165" s="71" t="n"/>
      <c r="C165" s="72" t="n"/>
      <c r="G165" s="72" t="n"/>
      <c r="H165" s="72" t="n"/>
      <c r="I165" s="72" t="n"/>
      <c r="J165" s="72" t="n"/>
      <c r="K165" s="72" t="n"/>
      <c r="L165" s="72" t="n"/>
      <c r="M165" s="72" t="n"/>
      <c r="N165" s="72" t="n"/>
      <c r="O165" s="72" t="n"/>
      <c r="P165" s="72" t="n"/>
      <c r="W165" s="71" t="n"/>
    </row>
    <row r="166" ht="20.25" customHeight="1">
      <c r="A166" s="71" t="n"/>
      <c r="B166" s="71" t="n"/>
      <c r="C166" s="72" t="n"/>
      <c r="G166" s="72" t="n"/>
      <c r="H166" s="72" t="n"/>
      <c r="I166" s="72" t="n"/>
      <c r="J166" s="72" t="n"/>
      <c r="K166" s="72" t="n"/>
      <c r="L166" s="72" t="n"/>
      <c r="M166" s="72" t="n"/>
      <c r="N166" s="72" t="n"/>
      <c r="O166" s="72" t="n"/>
      <c r="P166" s="72" t="n"/>
      <c r="W166" s="71" t="n"/>
    </row>
    <row r="167" ht="20.25" customHeight="1">
      <c r="A167" s="71" t="n"/>
      <c r="B167" s="71" t="n"/>
      <c r="C167" s="72" t="n"/>
      <c r="G167" s="72" t="n"/>
      <c r="H167" s="72" t="n"/>
      <c r="I167" s="72" t="n"/>
      <c r="J167" s="72" t="n"/>
      <c r="K167" s="72" t="n"/>
      <c r="L167" s="72" t="n"/>
      <c r="M167" s="72" t="n"/>
      <c r="N167" s="72" t="n"/>
      <c r="O167" s="72" t="n"/>
      <c r="P167" s="72" t="n"/>
      <c r="W167" s="71" t="n"/>
    </row>
    <row r="168" ht="20.25" customHeight="1">
      <c r="A168" s="71" t="n"/>
      <c r="B168" s="71" t="n"/>
      <c r="C168" s="72" t="n"/>
      <c r="G168" s="72" t="n"/>
      <c r="H168" s="72" t="n"/>
      <c r="I168" s="72" t="n"/>
      <c r="J168" s="72" t="n"/>
      <c r="K168" s="72" t="n"/>
      <c r="L168" s="72" t="n"/>
      <c r="M168" s="72" t="n"/>
      <c r="N168" s="72" t="n"/>
      <c r="O168" s="72" t="n"/>
      <c r="P168" s="72" t="n"/>
      <c r="W168" s="71" t="n"/>
    </row>
    <row r="169" ht="20.25" customHeight="1">
      <c r="A169" s="71" t="n"/>
      <c r="B169" s="71" t="n"/>
      <c r="C169" s="72" t="n"/>
      <c r="G169" s="72" t="n"/>
      <c r="H169" s="72" t="n"/>
      <c r="I169" s="72" t="n"/>
      <c r="J169" s="72" t="n"/>
      <c r="K169" s="72" t="n"/>
      <c r="L169" s="72" t="n"/>
      <c r="M169" s="72" t="n"/>
      <c r="N169" s="72" t="n"/>
      <c r="O169" s="72" t="n"/>
      <c r="P169" s="72" t="n"/>
      <c r="W169" s="71" t="n"/>
    </row>
    <row r="170" ht="20.25" customHeight="1">
      <c r="A170" s="71" t="n"/>
      <c r="B170" s="71" t="n"/>
      <c r="C170" s="72" t="n"/>
      <c r="G170" s="72" t="n"/>
      <c r="H170" s="72" t="n"/>
      <c r="I170" s="72" t="n"/>
      <c r="J170" s="72" t="n"/>
      <c r="K170" s="72" t="n"/>
      <c r="L170" s="72" t="n"/>
      <c r="M170" s="72" t="n"/>
      <c r="N170" s="72" t="n"/>
      <c r="O170" s="72" t="n"/>
      <c r="P170" s="72" t="n"/>
      <c r="W170" s="71" t="n"/>
    </row>
    <row r="171" ht="20.25" customHeight="1">
      <c r="A171" s="71" t="n"/>
      <c r="B171" s="71" t="n"/>
      <c r="C171" s="72" t="n"/>
      <c r="G171" s="72" t="n"/>
      <c r="H171" s="72" t="n"/>
      <c r="I171" s="72" t="n"/>
      <c r="J171" s="72" t="n"/>
      <c r="K171" s="72" t="n"/>
      <c r="L171" s="72" t="n"/>
      <c r="M171" s="72" t="n"/>
      <c r="N171" s="72" t="n"/>
      <c r="O171" s="72" t="n"/>
      <c r="P171" s="72" t="n"/>
      <c r="W171" s="71" t="n"/>
    </row>
    <row r="172" ht="20.25" customHeight="1">
      <c r="A172" s="71" t="n"/>
      <c r="B172" s="71" t="n"/>
      <c r="C172" s="72" t="n"/>
      <c r="G172" s="72" t="n"/>
      <c r="H172" s="72" t="n"/>
      <c r="I172" s="72" t="n"/>
      <c r="J172" s="72" t="n"/>
      <c r="K172" s="72" t="n"/>
      <c r="L172" s="72" t="n"/>
      <c r="M172" s="72" t="n"/>
      <c r="N172" s="72" t="n"/>
      <c r="O172" s="72" t="n"/>
      <c r="P172" s="72" t="n"/>
      <c r="W172" s="71" t="n"/>
    </row>
    <row r="173" ht="20.25" customHeight="1">
      <c r="A173" s="71" t="n"/>
      <c r="B173" s="71" t="n"/>
      <c r="C173" s="72" t="n"/>
      <c r="G173" s="72" t="n"/>
      <c r="H173" s="72" t="n"/>
      <c r="I173" s="72" t="n"/>
      <c r="J173" s="72" t="n"/>
      <c r="K173" s="72" t="n"/>
      <c r="L173" s="72" t="n"/>
      <c r="M173" s="72" t="n"/>
      <c r="N173" s="72" t="n"/>
      <c r="O173" s="72" t="n"/>
      <c r="P173" s="72" t="n"/>
      <c r="W173" s="71" t="n"/>
    </row>
    <row r="174" ht="20.25" customHeight="1">
      <c r="A174" s="71" t="n"/>
      <c r="B174" s="71" t="n"/>
      <c r="C174" s="72" t="n"/>
      <c r="G174" s="72" t="n"/>
      <c r="H174" s="72" t="n"/>
      <c r="I174" s="72" t="n"/>
      <c r="J174" s="72" t="n"/>
      <c r="K174" s="72" t="n"/>
      <c r="L174" s="72" t="n"/>
      <c r="M174" s="72" t="n"/>
      <c r="N174" s="72" t="n"/>
      <c r="O174" s="72" t="n"/>
      <c r="P174" s="72" t="n"/>
      <c r="W174" s="71" t="n"/>
    </row>
    <row r="175" ht="20.25" customHeight="1">
      <c r="A175" s="71" t="n"/>
      <c r="B175" s="71" t="n"/>
      <c r="C175" s="72" t="n"/>
      <c r="G175" s="72" t="n"/>
      <c r="H175" s="72" t="n"/>
      <c r="I175" s="72" t="n"/>
      <c r="J175" s="72" t="n"/>
      <c r="K175" s="72" t="n"/>
      <c r="L175" s="72" t="n"/>
      <c r="M175" s="72" t="n"/>
      <c r="N175" s="72" t="n"/>
      <c r="O175" s="72" t="n"/>
      <c r="P175" s="72" t="n"/>
      <c r="W175" s="71" t="n"/>
    </row>
    <row r="176" ht="20.25" customHeight="1">
      <c r="A176" s="71" t="n"/>
      <c r="B176" s="71" t="n"/>
      <c r="C176" s="72" t="n"/>
      <c r="G176" s="72" t="n"/>
      <c r="H176" s="72" t="n"/>
      <c r="I176" s="72" t="n"/>
      <c r="J176" s="72" t="n"/>
      <c r="K176" s="72" t="n"/>
      <c r="L176" s="72" t="n"/>
      <c r="M176" s="72" t="n"/>
      <c r="N176" s="72" t="n"/>
      <c r="O176" s="72" t="n"/>
      <c r="P176" s="72" t="n"/>
      <c r="W176" s="71" t="n"/>
    </row>
    <row r="177" ht="20.25" customHeight="1">
      <c r="A177" s="71" t="n"/>
      <c r="B177" s="71" t="n"/>
      <c r="C177" s="72" t="n"/>
      <c r="G177" s="72" t="n"/>
      <c r="H177" s="72" t="n"/>
      <c r="I177" s="72" t="n"/>
      <c r="J177" s="72" t="n"/>
      <c r="K177" s="72" t="n"/>
      <c r="L177" s="72" t="n"/>
      <c r="M177" s="72" t="n"/>
      <c r="N177" s="72" t="n"/>
      <c r="O177" s="72" t="n"/>
      <c r="P177" s="72" t="n"/>
      <c r="W177" s="71" t="n"/>
    </row>
    <row r="178" ht="20.25" customHeight="1">
      <c r="A178" s="71" t="n"/>
      <c r="B178" s="71" t="n"/>
      <c r="C178" s="72" t="n"/>
      <c r="G178" s="72" t="n"/>
      <c r="H178" s="72" t="n"/>
      <c r="I178" s="72" t="n"/>
      <c r="J178" s="72" t="n"/>
      <c r="K178" s="72" t="n"/>
      <c r="L178" s="72" t="n"/>
      <c r="M178" s="72" t="n"/>
      <c r="N178" s="72" t="n"/>
      <c r="O178" s="72" t="n"/>
      <c r="P178" s="72" t="n"/>
      <c r="W178" s="71" t="n"/>
    </row>
    <row r="179" ht="20.25" customHeight="1">
      <c r="A179" s="71" t="n"/>
      <c r="B179" s="71" t="n"/>
      <c r="C179" s="72" t="n"/>
      <c r="G179" s="72" t="n"/>
      <c r="H179" s="72" t="n"/>
      <c r="I179" s="72" t="n"/>
      <c r="J179" s="72" t="n"/>
      <c r="K179" s="72" t="n"/>
      <c r="L179" s="72" t="n"/>
      <c r="M179" s="72" t="n"/>
      <c r="N179" s="72" t="n"/>
      <c r="O179" s="72" t="n"/>
      <c r="P179" s="72" t="n"/>
      <c r="W179" s="71" t="n"/>
    </row>
    <row r="180" ht="20.25" customHeight="1">
      <c r="A180" s="71" t="n"/>
      <c r="B180" s="71" t="n"/>
      <c r="C180" s="72" t="n"/>
      <c r="G180" s="72" t="n"/>
      <c r="H180" s="72" t="n"/>
      <c r="I180" s="72" t="n"/>
      <c r="J180" s="72" t="n"/>
      <c r="K180" s="72" t="n"/>
      <c r="L180" s="72" t="n"/>
      <c r="M180" s="72" t="n"/>
      <c r="N180" s="72" t="n"/>
      <c r="O180" s="72" t="n"/>
      <c r="P180" s="72" t="n"/>
      <c r="W180" s="71" t="n"/>
    </row>
    <row r="181" ht="20.25" customHeight="1">
      <c r="A181" s="71" t="n"/>
      <c r="B181" s="71" t="n"/>
      <c r="C181" s="72" t="n"/>
      <c r="G181" s="72" t="n"/>
      <c r="H181" s="72" t="n"/>
      <c r="I181" s="72" t="n"/>
      <c r="J181" s="72" t="n"/>
      <c r="K181" s="72" t="n"/>
      <c r="L181" s="72" t="n"/>
      <c r="M181" s="72" t="n"/>
      <c r="N181" s="72" t="n"/>
      <c r="O181" s="72" t="n"/>
      <c r="P181" s="72" t="n"/>
      <c r="W181" s="71" t="n"/>
    </row>
    <row r="182" ht="20.25" customHeight="1">
      <c r="A182" s="71" t="n"/>
      <c r="B182" s="71" t="n"/>
      <c r="C182" s="72" t="n"/>
      <c r="G182" s="72" t="n"/>
      <c r="H182" s="72" t="n"/>
      <c r="I182" s="72" t="n"/>
      <c r="J182" s="72" t="n"/>
      <c r="K182" s="72" t="n"/>
      <c r="L182" s="72" t="n"/>
      <c r="M182" s="72" t="n"/>
      <c r="N182" s="72" t="n"/>
      <c r="O182" s="72" t="n"/>
      <c r="P182" s="72" t="n"/>
      <c r="W182" s="71" t="n"/>
    </row>
    <row r="183" ht="20.25" customHeight="1">
      <c r="A183" s="71" t="n"/>
      <c r="B183" s="71" t="n"/>
      <c r="C183" s="72" t="n"/>
      <c r="G183" s="72" t="n"/>
      <c r="H183" s="72" t="n"/>
      <c r="I183" s="72" t="n"/>
      <c r="J183" s="72" t="n"/>
      <c r="K183" s="72" t="n"/>
      <c r="L183" s="72" t="n"/>
      <c r="M183" s="72" t="n"/>
      <c r="N183" s="72" t="n"/>
      <c r="O183" s="72" t="n"/>
      <c r="P183" s="72" t="n"/>
      <c r="W183" s="71" t="n"/>
    </row>
    <row r="184" ht="20.25" customHeight="1">
      <c r="A184" s="71" t="n"/>
      <c r="B184" s="71" t="n"/>
      <c r="C184" s="72" t="n"/>
      <c r="G184" s="72" t="n"/>
      <c r="H184" s="72" t="n"/>
      <c r="I184" s="72" t="n"/>
      <c r="J184" s="72" t="n"/>
      <c r="K184" s="72" t="n"/>
      <c r="L184" s="72" t="n"/>
      <c r="M184" s="72" t="n"/>
      <c r="N184" s="72" t="n"/>
      <c r="O184" s="72" t="n"/>
      <c r="P184" s="72" t="n"/>
      <c r="W184" s="71" t="n"/>
    </row>
    <row r="185" ht="20.25" customHeight="1">
      <c r="A185" s="71" t="n"/>
      <c r="B185" s="71" t="n"/>
      <c r="C185" s="72" t="n"/>
      <c r="G185" s="72" t="n"/>
      <c r="H185" s="72" t="n"/>
      <c r="I185" s="72" t="n"/>
      <c r="J185" s="72" t="n"/>
      <c r="K185" s="72" t="n"/>
      <c r="L185" s="72" t="n"/>
      <c r="M185" s="72" t="n"/>
      <c r="N185" s="72" t="n"/>
      <c r="O185" s="72" t="n"/>
      <c r="P185" s="72" t="n"/>
      <c r="W185" s="71" t="n"/>
    </row>
    <row r="186" ht="20.25" customHeight="1">
      <c r="A186" s="71" t="n"/>
      <c r="B186" s="71" t="n"/>
      <c r="C186" s="72" t="n"/>
      <c r="G186" s="72" t="n"/>
      <c r="H186" s="72" t="n"/>
      <c r="I186" s="72" t="n"/>
      <c r="J186" s="72" t="n"/>
      <c r="K186" s="72" t="n"/>
      <c r="L186" s="72" t="n"/>
      <c r="M186" s="72" t="n"/>
      <c r="N186" s="72" t="n"/>
      <c r="O186" s="72" t="n"/>
      <c r="P186" s="72" t="n"/>
      <c r="W186" s="71" t="n"/>
    </row>
    <row r="187" ht="20.25" customHeight="1">
      <c r="A187" s="71" t="n"/>
      <c r="B187" s="71" t="n"/>
      <c r="C187" s="72" t="n"/>
      <c r="G187" s="72" t="n"/>
      <c r="H187" s="72" t="n"/>
      <c r="I187" s="72" t="n"/>
      <c r="J187" s="72" t="n"/>
      <c r="K187" s="72" t="n"/>
      <c r="L187" s="72" t="n"/>
      <c r="M187" s="72" t="n"/>
      <c r="N187" s="72" t="n"/>
      <c r="O187" s="72" t="n"/>
      <c r="P187" s="72" t="n"/>
      <c r="W187" s="71" t="n"/>
    </row>
    <row r="188" ht="20.25" customHeight="1">
      <c r="A188" s="71" t="n"/>
      <c r="B188" s="71" t="n"/>
      <c r="C188" s="72" t="n"/>
      <c r="G188" s="72" t="n"/>
      <c r="H188" s="72" t="n"/>
      <c r="I188" s="72" t="n"/>
      <c r="J188" s="72" t="n"/>
      <c r="K188" s="72" t="n"/>
      <c r="L188" s="72" t="n"/>
      <c r="M188" s="72" t="n"/>
      <c r="N188" s="72" t="n"/>
      <c r="O188" s="72" t="n"/>
      <c r="P188" s="72" t="n"/>
      <c r="W188" s="71" t="n"/>
    </row>
    <row r="189" ht="20.25" customHeight="1">
      <c r="A189" s="71" t="n"/>
      <c r="B189" s="71" t="n"/>
      <c r="C189" s="72" t="n"/>
      <c r="G189" s="72" t="n"/>
      <c r="H189" s="72" t="n"/>
      <c r="I189" s="72" t="n"/>
      <c r="J189" s="72" t="n"/>
      <c r="K189" s="72" t="n"/>
      <c r="L189" s="72" t="n"/>
      <c r="M189" s="72" t="n"/>
      <c r="N189" s="72" t="n"/>
      <c r="O189" s="72" t="n"/>
      <c r="P189" s="72" t="n"/>
      <c r="W189" s="71" t="n"/>
    </row>
    <row r="190" ht="20.25" customHeight="1">
      <c r="A190" s="71" t="n"/>
      <c r="B190" s="71" t="n"/>
      <c r="C190" s="72" t="n"/>
      <c r="G190" s="72" t="n"/>
      <c r="H190" s="72" t="n"/>
      <c r="I190" s="72" t="n"/>
      <c r="J190" s="72" t="n"/>
      <c r="K190" s="72" t="n"/>
      <c r="L190" s="72" t="n"/>
      <c r="M190" s="72" t="n"/>
      <c r="N190" s="72" t="n"/>
      <c r="O190" s="72" t="n"/>
      <c r="P190" s="72" t="n"/>
      <c r="W190" s="71" t="n"/>
    </row>
    <row r="191" ht="20.25" customHeight="1">
      <c r="A191" s="71" t="n"/>
      <c r="B191" s="71" t="n"/>
      <c r="C191" s="72" t="n"/>
      <c r="G191" s="72" t="n"/>
      <c r="H191" s="72" t="n"/>
      <c r="I191" s="72" t="n"/>
      <c r="J191" s="72" t="n"/>
      <c r="K191" s="72" t="n"/>
      <c r="L191" s="72" t="n"/>
      <c r="M191" s="72" t="n"/>
      <c r="N191" s="72" t="n"/>
      <c r="O191" s="72" t="n"/>
      <c r="P191" s="72" t="n"/>
      <c r="W191" s="71" t="n"/>
    </row>
    <row r="192" ht="20.25" customHeight="1">
      <c r="A192" s="71" t="n"/>
      <c r="B192" s="71" t="n"/>
      <c r="C192" s="72" t="n"/>
      <c r="G192" s="72" t="n"/>
      <c r="H192" s="72" t="n"/>
      <c r="I192" s="72" t="n"/>
      <c r="J192" s="72" t="n"/>
      <c r="K192" s="72" t="n"/>
      <c r="L192" s="72" t="n"/>
      <c r="M192" s="72" t="n"/>
      <c r="N192" s="72" t="n"/>
      <c r="O192" s="72" t="n"/>
      <c r="P192" s="72" t="n"/>
      <c r="W192" s="71" t="n"/>
    </row>
    <row r="193" ht="20.25" customHeight="1">
      <c r="A193" s="71" t="n"/>
      <c r="B193" s="71" t="n"/>
      <c r="C193" s="72" t="n"/>
      <c r="G193" s="72" t="n"/>
      <c r="H193" s="72" t="n"/>
      <c r="I193" s="72" t="n"/>
      <c r="J193" s="72" t="n"/>
      <c r="K193" s="72" t="n"/>
      <c r="L193" s="72" t="n"/>
      <c r="M193" s="72" t="n"/>
      <c r="N193" s="72" t="n"/>
      <c r="O193" s="72" t="n"/>
      <c r="P193" s="72" t="n"/>
      <c r="W193" s="71" t="n"/>
    </row>
    <row r="194" ht="20.25" customHeight="1">
      <c r="A194" s="71" t="n"/>
      <c r="B194" s="71" t="n"/>
      <c r="C194" s="72" t="n"/>
      <c r="G194" s="72" t="n"/>
      <c r="H194" s="72" t="n"/>
      <c r="I194" s="72" t="n"/>
      <c r="J194" s="72" t="n"/>
      <c r="K194" s="72" t="n"/>
      <c r="L194" s="72" t="n"/>
      <c r="M194" s="72" t="n"/>
      <c r="N194" s="72" t="n"/>
      <c r="O194" s="72" t="n"/>
      <c r="P194" s="72" t="n"/>
      <c r="W194" s="71" t="n"/>
    </row>
    <row r="195" ht="20.25" customHeight="1">
      <c r="A195" s="71" t="n"/>
      <c r="B195" s="71" t="n"/>
      <c r="C195" s="72" t="n"/>
      <c r="G195" s="72" t="n"/>
      <c r="H195" s="72" t="n"/>
      <c r="I195" s="72" t="n"/>
      <c r="J195" s="72" t="n"/>
      <c r="K195" s="72" t="n"/>
      <c r="L195" s="72" t="n"/>
      <c r="M195" s="72" t="n"/>
      <c r="N195" s="72" t="n"/>
      <c r="O195" s="72" t="n"/>
      <c r="P195" s="72" t="n"/>
      <c r="W195" s="71" t="n"/>
    </row>
    <row r="196" ht="20.25" customHeight="1">
      <c r="A196" s="71" t="n"/>
      <c r="B196" s="71" t="n"/>
      <c r="C196" s="72" t="n"/>
      <c r="G196" s="72" t="n"/>
      <c r="H196" s="72" t="n"/>
      <c r="I196" s="72" t="n"/>
      <c r="J196" s="72" t="n"/>
      <c r="K196" s="72" t="n"/>
      <c r="L196" s="72" t="n"/>
      <c r="M196" s="72" t="n"/>
      <c r="N196" s="72" t="n"/>
      <c r="O196" s="72" t="n"/>
      <c r="P196" s="72" t="n"/>
      <c r="W196" s="71" t="n"/>
    </row>
    <row r="197" ht="20.25" customHeight="1">
      <c r="A197" s="71" t="n"/>
      <c r="B197" s="71" t="n"/>
      <c r="C197" s="72" t="n"/>
      <c r="G197" s="72" t="n"/>
      <c r="H197" s="72" t="n"/>
      <c r="I197" s="72" t="n"/>
      <c r="J197" s="72" t="n"/>
      <c r="K197" s="72" t="n"/>
      <c r="L197" s="72" t="n"/>
      <c r="M197" s="72" t="n"/>
      <c r="N197" s="72" t="n"/>
      <c r="O197" s="72" t="n"/>
      <c r="P197" s="72" t="n"/>
      <c r="W197" s="71" t="n"/>
    </row>
    <row r="198" ht="20.25" customHeight="1">
      <c r="A198" s="71" t="n"/>
      <c r="B198" s="71" t="n"/>
      <c r="C198" s="72" t="n"/>
      <c r="G198" s="72" t="n"/>
      <c r="H198" s="72" t="n"/>
      <c r="I198" s="72" t="n"/>
      <c r="J198" s="72" t="n"/>
      <c r="K198" s="72" t="n"/>
      <c r="L198" s="72" t="n"/>
      <c r="M198" s="72" t="n"/>
      <c r="N198" s="72" t="n"/>
      <c r="O198" s="72" t="n"/>
      <c r="P198" s="72" t="n"/>
      <c r="W198" s="71" t="n"/>
    </row>
    <row r="199" ht="20.25" customHeight="1">
      <c r="A199" s="71" t="n"/>
      <c r="B199" s="71" t="n"/>
      <c r="C199" s="72" t="n"/>
      <c r="G199" s="72" t="n"/>
      <c r="H199" s="72" t="n"/>
      <c r="I199" s="72" t="n"/>
      <c r="J199" s="72" t="n"/>
      <c r="K199" s="72" t="n"/>
      <c r="L199" s="72" t="n"/>
      <c r="M199" s="72" t="n"/>
      <c r="N199" s="72" t="n"/>
      <c r="O199" s="72" t="n"/>
      <c r="P199" s="72" t="n"/>
      <c r="W199" s="71" t="n"/>
    </row>
    <row r="200" ht="20.25" customHeight="1">
      <c r="A200" s="71" t="n"/>
      <c r="B200" s="71" t="n"/>
      <c r="C200" s="72" t="n"/>
      <c r="G200" s="72" t="n"/>
      <c r="H200" s="72" t="n"/>
      <c r="I200" s="72" t="n"/>
      <c r="J200" s="72" t="n"/>
      <c r="K200" s="72" t="n"/>
      <c r="L200" s="72" t="n"/>
      <c r="M200" s="72" t="n"/>
      <c r="N200" s="72" t="n"/>
      <c r="O200" s="72" t="n"/>
      <c r="P200" s="72" t="n"/>
      <c r="W200" s="71" t="n"/>
    </row>
    <row r="201" ht="20.25" customHeight="1">
      <c r="A201" s="71" t="n"/>
      <c r="B201" s="71" t="n"/>
      <c r="C201" s="72" t="n"/>
      <c r="G201" s="72" t="n"/>
      <c r="H201" s="72" t="n"/>
      <c r="I201" s="72" t="n"/>
      <c r="J201" s="72" t="n"/>
      <c r="K201" s="72" t="n"/>
      <c r="L201" s="72" t="n"/>
      <c r="M201" s="72" t="n"/>
      <c r="N201" s="72" t="n"/>
      <c r="O201" s="72" t="n"/>
      <c r="P201" s="72" t="n"/>
      <c r="W201" s="71" t="n"/>
    </row>
    <row r="202" ht="20.25" customHeight="1">
      <c r="A202" s="71" t="n"/>
      <c r="B202" s="71" t="n"/>
      <c r="C202" s="72" t="n"/>
      <c r="G202" s="72" t="n"/>
      <c r="H202" s="72" t="n"/>
      <c r="I202" s="72" t="n"/>
      <c r="J202" s="72" t="n"/>
      <c r="K202" s="72" t="n"/>
      <c r="L202" s="72" t="n"/>
      <c r="M202" s="72" t="n"/>
      <c r="N202" s="72" t="n"/>
      <c r="O202" s="72" t="n"/>
      <c r="P202" s="72" t="n"/>
      <c r="W202" s="71" t="n"/>
    </row>
    <row r="203" ht="20.25" customHeight="1">
      <c r="A203" s="71" t="n"/>
      <c r="B203" s="71" t="n"/>
      <c r="C203" s="72" t="n"/>
      <c r="G203" s="72" t="n"/>
      <c r="H203" s="72" t="n"/>
      <c r="I203" s="72" t="n"/>
      <c r="J203" s="72" t="n"/>
      <c r="K203" s="72" t="n"/>
      <c r="L203" s="72" t="n"/>
      <c r="M203" s="72" t="n"/>
      <c r="N203" s="72" t="n"/>
      <c r="O203" s="72" t="n"/>
      <c r="P203" s="72" t="n"/>
      <c r="W203" s="71" t="n"/>
    </row>
    <row r="204" ht="20.25" customHeight="1">
      <c r="A204" s="71" t="n"/>
      <c r="B204" s="71" t="n"/>
      <c r="C204" s="72" t="n"/>
      <c r="G204" s="72" t="n"/>
      <c r="H204" s="72" t="n"/>
      <c r="I204" s="72" t="n"/>
      <c r="J204" s="72" t="n"/>
      <c r="K204" s="72" t="n"/>
      <c r="L204" s="72" t="n"/>
      <c r="M204" s="72" t="n"/>
      <c r="N204" s="72" t="n"/>
      <c r="O204" s="72" t="n"/>
      <c r="P204" s="72" t="n"/>
      <c r="W204" s="71" t="n"/>
    </row>
    <row r="205" ht="20.25" customHeight="1">
      <c r="A205" s="71" t="n"/>
      <c r="B205" s="71" t="n"/>
      <c r="C205" s="72" t="n"/>
      <c r="G205" s="72" t="n"/>
      <c r="H205" s="72" t="n"/>
      <c r="I205" s="72" t="n"/>
      <c r="J205" s="72" t="n"/>
      <c r="K205" s="72" t="n"/>
      <c r="L205" s="72" t="n"/>
      <c r="M205" s="72" t="n"/>
      <c r="N205" s="72" t="n"/>
      <c r="O205" s="72" t="n"/>
      <c r="P205" s="72" t="n"/>
      <c r="W205" s="71" t="n"/>
    </row>
    <row r="206" ht="20.25" customHeight="1">
      <c r="A206" s="71" t="n"/>
      <c r="B206" s="71" t="n"/>
      <c r="C206" s="72" t="n"/>
      <c r="G206" s="72" t="n"/>
      <c r="H206" s="72" t="n"/>
      <c r="I206" s="72" t="n"/>
      <c r="J206" s="72" t="n"/>
      <c r="K206" s="72" t="n"/>
      <c r="L206" s="72" t="n"/>
      <c r="M206" s="72" t="n"/>
      <c r="N206" s="72" t="n"/>
      <c r="O206" s="72" t="n"/>
      <c r="P206" s="72" t="n"/>
      <c r="W206" s="71" t="n"/>
    </row>
    <row r="207" ht="20.25" customHeight="1">
      <c r="A207" s="71" t="n"/>
      <c r="B207" s="71" t="n"/>
      <c r="C207" s="72" t="n"/>
      <c r="G207" s="72" t="n"/>
      <c r="H207" s="72" t="n"/>
      <c r="I207" s="72" t="n"/>
      <c r="J207" s="72" t="n"/>
      <c r="K207" s="72" t="n"/>
      <c r="L207" s="72" t="n"/>
      <c r="M207" s="72" t="n"/>
      <c r="N207" s="72" t="n"/>
      <c r="O207" s="72" t="n"/>
      <c r="P207" s="72" t="n"/>
      <c r="W207" s="71" t="n"/>
    </row>
    <row r="208" ht="20.25" customHeight="1">
      <c r="A208" s="71" t="n"/>
      <c r="B208" s="71" t="n"/>
      <c r="C208" s="72" t="n"/>
      <c r="G208" s="72" t="n"/>
      <c r="H208" s="72" t="n"/>
      <c r="I208" s="72" t="n"/>
      <c r="J208" s="72" t="n"/>
      <c r="K208" s="72" t="n"/>
      <c r="L208" s="72" t="n"/>
      <c r="M208" s="72" t="n"/>
      <c r="N208" s="72" t="n"/>
      <c r="O208" s="72" t="n"/>
      <c r="P208" s="72" t="n"/>
      <c r="W208" s="71" t="n"/>
    </row>
    <row r="209" ht="20.25" customHeight="1">
      <c r="A209" s="71" t="n"/>
      <c r="B209" s="71" t="n"/>
      <c r="C209" s="72" t="n"/>
      <c r="G209" s="72" t="n"/>
      <c r="H209" s="72" t="n"/>
      <c r="I209" s="72" t="n"/>
      <c r="J209" s="72" t="n"/>
      <c r="K209" s="72" t="n"/>
      <c r="L209" s="72" t="n"/>
      <c r="M209" s="72" t="n"/>
      <c r="N209" s="72" t="n"/>
      <c r="O209" s="72" t="n"/>
      <c r="P209" s="72" t="n"/>
      <c r="W209" s="71" t="n"/>
    </row>
    <row r="210" ht="20.25" customHeight="1">
      <c r="A210" s="71" t="n"/>
      <c r="B210" s="71" t="n"/>
      <c r="C210" s="72" t="n"/>
      <c r="G210" s="72" t="n"/>
      <c r="H210" s="72" t="n"/>
      <c r="I210" s="72" t="n"/>
      <c r="J210" s="72" t="n"/>
      <c r="K210" s="72" t="n"/>
      <c r="L210" s="72" t="n"/>
      <c r="M210" s="72" t="n"/>
      <c r="N210" s="72" t="n"/>
      <c r="O210" s="72" t="n"/>
      <c r="P210" s="72" t="n"/>
      <c r="W210" s="71" t="n"/>
    </row>
    <row r="211" ht="20.25" customHeight="1">
      <c r="A211" s="71" t="n"/>
      <c r="B211" s="71" t="n"/>
      <c r="C211" s="72" t="n"/>
      <c r="G211" s="72" t="n"/>
      <c r="H211" s="72" t="n"/>
      <c r="I211" s="72" t="n"/>
      <c r="J211" s="72" t="n"/>
      <c r="K211" s="72" t="n"/>
      <c r="L211" s="72" t="n"/>
      <c r="M211" s="72" t="n"/>
      <c r="N211" s="72" t="n"/>
      <c r="O211" s="72" t="n"/>
      <c r="P211" s="72" t="n"/>
      <c r="W211" s="71" t="n"/>
    </row>
    <row r="212" ht="20.25" customHeight="1">
      <c r="A212" s="71" t="n"/>
      <c r="B212" s="71" t="n"/>
      <c r="C212" s="72" t="n"/>
      <c r="G212" s="72" t="n"/>
      <c r="H212" s="72" t="n"/>
      <c r="I212" s="72" t="n"/>
      <c r="J212" s="72" t="n"/>
      <c r="K212" s="72" t="n"/>
      <c r="L212" s="72" t="n"/>
      <c r="M212" s="72" t="n"/>
      <c r="N212" s="72" t="n"/>
      <c r="O212" s="72" t="n"/>
      <c r="P212" s="72" t="n"/>
      <c r="W212" s="71" t="n"/>
    </row>
    <row r="213" ht="20.25" customHeight="1">
      <c r="A213" s="71" t="n"/>
      <c r="B213" s="71" t="n"/>
      <c r="C213" s="72" t="n"/>
      <c r="G213" s="72" t="n"/>
      <c r="H213" s="72" t="n"/>
      <c r="I213" s="72" t="n"/>
      <c r="J213" s="72" t="n"/>
      <c r="K213" s="72" t="n"/>
      <c r="L213" s="72" t="n"/>
      <c r="M213" s="72" t="n"/>
      <c r="N213" s="72" t="n"/>
      <c r="O213" s="72" t="n"/>
      <c r="P213" s="72" t="n"/>
      <c r="W213" s="71" t="n"/>
    </row>
    <row r="214" ht="20.25" customHeight="1">
      <c r="A214" s="71" t="n"/>
      <c r="B214" s="71" t="n"/>
      <c r="C214" s="72" t="n"/>
      <c r="G214" s="72" t="n"/>
      <c r="H214" s="72" t="n"/>
      <c r="I214" s="72" t="n"/>
      <c r="J214" s="72" t="n"/>
      <c r="K214" s="72" t="n"/>
      <c r="L214" s="72" t="n"/>
      <c r="M214" s="72" t="n"/>
      <c r="N214" s="72" t="n"/>
      <c r="O214" s="72" t="n"/>
      <c r="P214" s="72" t="n"/>
      <c r="W214" s="71" t="n"/>
    </row>
    <row r="215" ht="20.25" customHeight="1">
      <c r="A215" s="71" t="n"/>
      <c r="B215" s="71" t="n"/>
      <c r="C215" s="72" t="n"/>
      <c r="G215" s="72" t="n"/>
      <c r="H215" s="72" t="n"/>
      <c r="I215" s="72" t="n"/>
      <c r="J215" s="72" t="n"/>
      <c r="K215" s="72" t="n"/>
      <c r="L215" s="72" t="n"/>
      <c r="M215" s="72" t="n"/>
      <c r="N215" s="72" t="n"/>
      <c r="O215" s="72" t="n"/>
      <c r="P215" s="72" t="n"/>
      <c r="W215" s="71" t="n"/>
    </row>
    <row r="216" ht="20.25" customHeight="1">
      <c r="A216" s="71" t="n"/>
      <c r="B216" s="71" t="n"/>
      <c r="C216" s="72" t="n"/>
      <c r="G216" s="72" t="n"/>
      <c r="H216" s="72" t="n"/>
      <c r="I216" s="72" t="n"/>
      <c r="J216" s="72" t="n"/>
      <c r="K216" s="72" t="n"/>
      <c r="L216" s="72" t="n"/>
      <c r="M216" s="72" t="n"/>
      <c r="N216" s="72" t="n"/>
      <c r="O216" s="72" t="n"/>
      <c r="P216" s="72" t="n"/>
      <c r="W216" s="71" t="n"/>
    </row>
    <row r="217" ht="20.25" customHeight="1">
      <c r="A217" s="71" t="n"/>
      <c r="B217" s="71" t="n"/>
      <c r="C217" s="72" t="n"/>
      <c r="G217" s="72" t="n"/>
      <c r="H217" s="72" t="n"/>
      <c r="I217" s="72" t="n"/>
      <c r="J217" s="72" t="n"/>
      <c r="K217" s="72" t="n"/>
      <c r="L217" s="72" t="n"/>
      <c r="M217" s="72" t="n"/>
      <c r="N217" s="72" t="n"/>
      <c r="O217" s="72" t="n"/>
      <c r="P217" s="72" t="n"/>
      <c r="W217" s="71" t="n"/>
    </row>
    <row r="218" ht="20.25" customHeight="1">
      <c r="A218" s="71" t="n"/>
      <c r="B218" s="71" t="n"/>
      <c r="C218" s="72" t="n"/>
      <c r="G218" s="72" t="n"/>
      <c r="H218" s="72" t="n"/>
      <c r="I218" s="72" t="n"/>
      <c r="J218" s="72" t="n"/>
      <c r="K218" s="72" t="n"/>
      <c r="L218" s="72" t="n"/>
      <c r="M218" s="72" t="n"/>
      <c r="N218" s="72" t="n"/>
      <c r="O218" s="72" t="n"/>
      <c r="P218" s="72" t="n"/>
      <c r="W218" s="71" t="n"/>
    </row>
    <row r="219" ht="20.25" customHeight="1">
      <c r="A219" s="71" t="n"/>
      <c r="B219" s="71" t="n"/>
      <c r="C219" s="72" t="n"/>
      <c r="G219" s="72" t="n"/>
      <c r="H219" s="72" t="n"/>
      <c r="I219" s="72" t="n"/>
      <c r="J219" s="72" t="n"/>
      <c r="K219" s="72" t="n"/>
      <c r="L219" s="72" t="n"/>
      <c r="M219" s="72" t="n"/>
      <c r="N219" s="72" t="n"/>
      <c r="O219" s="72" t="n"/>
      <c r="P219" s="72" t="n"/>
      <c r="W219" s="71" t="n"/>
    </row>
    <row r="220" ht="20.25" customHeight="1">
      <c r="A220" s="71" t="n"/>
      <c r="B220" s="71" t="n"/>
      <c r="C220" s="72" t="n"/>
      <c r="G220" s="72" t="n"/>
      <c r="H220" s="72" t="n"/>
      <c r="I220" s="72" t="n"/>
      <c r="J220" s="72" t="n"/>
      <c r="K220" s="72" t="n"/>
      <c r="L220" s="72" t="n"/>
      <c r="M220" s="72" t="n"/>
      <c r="N220" s="72" t="n"/>
      <c r="O220" s="72" t="n"/>
      <c r="P220" s="72" t="n"/>
      <c r="W220" s="71" t="n"/>
    </row>
    <row r="221" ht="20.25" customHeight="1">
      <c r="A221" s="71" t="n"/>
      <c r="B221" s="71" t="n"/>
      <c r="C221" s="72" t="n"/>
      <c r="G221" s="72" t="n"/>
      <c r="H221" s="72" t="n"/>
      <c r="I221" s="72" t="n"/>
      <c r="J221" s="72" t="n"/>
      <c r="K221" s="72" t="n"/>
      <c r="L221" s="72" t="n"/>
      <c r="M221" s="72" t="n"/>
      <c r="N221" s="72" t="n"/>
      <c r="O221" s="72" t="n"/>
      <c r="P221" s="72" t="n"/>
      <c r="W221" s="71" t="n"/>
    </row>
    <row r="222" ht="20.25" customHeight="1">
      <c r="A222" s="71" t="n"/>
      <c r="B222" s="71" t="n"/>
      <c r="C222" s="72" t="n"/>
      <c r="G222" s="72" t="n"/>
      <c r="H222" s="72" t="n"/>
      <c r="I222" s="72" t="n"/>
      <c r="J222" s="72" t="n"/>
      <c r="K222" s="72" t="n"/>
      <c r="L222" s="72" t="n"/>
      <c r="M222" s="72" t="n"/>
      <c r="N222" s="72" t="n"/>
      <c r="O222" s="72" t="n"/>
      <c r="P222" s="72" t="n"/>
      <c r="W222" s="71" t="n"/>
    </row>
    <row r="223" ht="20.25" customHeight="1">
      <c r="A223" s="71" t="n"/>
      <c r="B223" s="71" t="n"/>
      <c r="C223" s="72" t="n"/>
      <c r="G223" s="72" t="n"/>
      <c r="H223" s="72" t="n"/>
      <c r="I223" s="72" t="n"/>
      <c r="J223" s="72" t="n"/>
      <c r="K223" s="72" t="n"/>
      <c r="L223" s="72" t="n"/>
      <c r="M223" s="72" t="n"/>
      <c r="N223" s="72" t="n"/>
      <c r="O223" s="72" t="n"/>
      <c r="P223" s="72" t="n"/>
      <c r="W223" s="71" t="n"/>
    </row>
    <row r="224" ht="20.25" customHeight="1">
      <c r="A224" s="71" t="n"/>
      <c r="B224" s="71" t="n"/>
      <c r="C224" s="72" t="n"/>
      <c r="G224" s="72" t="n"/>
      <c r="H224" s="72" t="n"/>
      <c r="I224" s="72" t="n"/>
      <c r="J224" s="72" t="n"/>
      <c r="K224" s="72" t="n"/>
      <c r="L224" s="72" t="n"/>
      <c r="M224" s="72" t="n"/>
      <c r="N224" s="72" t="n"/>
      <c r="O224" s="72" t="n"/>
      <c r="P224" s="72" t="n"/>
      <c r="W224" s="71" t="n"/>
    </row>
    <row r="225" ht="20.25" customHeight="1">
      <c r="A225" s="71" t="n"/>
      <c r="B225" s="71" t="n"/>
      <c r="C225" s="72" t="n"/>
      <c r="G225" s="72" t="n"/>
      <c r="H225" s="72" t="n"/>
      <c r="I225" s="72" t="n"/>
      <c r="J225" s="72" t="n"/>
      <c r="K225" s="72" t="n"/>
      <c r="L225" s="72" t="n"/>
      <c r="M225" s="72" t="n"/>
      <c r="N225" s="72" t="n"/>
      <c r="O225" s="72" t="n"/>
      <c r="P225" s="72" t="n"/>
      <c r="W225" s="71" t="n"/>
    </row>
    <row r="226" ht="20.25" customHeight="1">
      <c r="A226" s="71" t="n"/>
      <c r="B226" s="71" t="n"/>
      <c r="C226" s="72" t="n"/>
      <c r="G226" s="72" t="n"/>
      <c r="H226" s="72" t="n"/>
      <c r="I226" s="72" t="n"/>
      <c r="J226" s="72" t="n"/>
      <c r="K226" s="72" t="n"/>
      <c r="L226" s="72" t="n"/>
      <c r="M226" s="72" t="n"/>
      <c r="N226" s="72" t="n"/>
      <c r="O226" s="72" t="n"/>
      <c r="P226" s="72" t="n"/>
      <c r="W226" s="71" t="n"/>
    </row>
    <row r="227" ht="20.25" customHeight="1">
      <c r="A227" s="71" t="n"/>
      <c r="B227" s="71" t="n"/>
      <c r="C227" s="72" t="n"/>
      <c r="G227" s="72" t="n"/>
      <c r="H227" s="72" t="n"/>
      <c r="I227" s="72" t="n"/>
      <c r="J227" s="72" t="n"/>
      <c r="K227" s="72" t="n"/>
      <c r="L227" s="72" t="n"/>
      <c r="M227" s="72" t="n"/>
      <c r="N227" s="72" t="n"/>
      <c r="O227" s="72" t="n"/>
      <c r="P227" s="72" t="n"/>
      <c r="W227" s="71" t="n"/>
    </row>
    <row r="228" ht="20.25" customHeight="1">
      <c r="A228" s="71" t="n"/>
      <c r="B228" s="71" t="n"/>
      <c r="C228" s="72" t="n"/>
      <c r="G228" s="72" t="n"/>
      <c r="H228" s="72" t="n"/>
      <c r="I228" s="72" t="n"/>
      <c r="J228" s="72" t="n"/>
      <c r="K228" s="72" t="n"/>
      <c r="L228" s="72" t="n"/>
      <c r="M228" s="72" t="n"/>
      <c r="N228" s="72" t="n"/>
      <c r="O228" s="72" t="n"/>
      <c r="P228" s="72" t="n"/>
      <c r="W228" s="71" t="n"/>
    </row>
    <row r="229" ht="20.25" customHeight="1">
      <c r="A229" s="71" t="n"/>
      <c r="B229" s="71" t="n"/>
      <c r="C229" s="72" t="n"/>
      <c r="G229" s="72" t="n"/>
      <c r="H229" s="72" t="n"/>
      <c r="I229" s="72" t="n"/>
      <c r="J229" s="72" t="n"/>
      <c r="K229" s="72" t="n"/>
      <c r="L229" s="72" t="n"/>
      <c r="M229" s="72" t="n"/>
      <c r="N229" s="72" t="n"/>
      <c r="O229" s="72" t="n"/>
      <c r="P229" s="72" t="n"/>
      <c r="W229" s="71" t="n"/>
    </row>
    <row r="230" ht="20.25" customHeight="1">
      <c r="A230" s="71" t="n"/>
      <c r="B230" s="71" t="n"/>
      <c r="C230" s="72" t="n"/>
      <c r="G230" s="72" t="n"/>
      <c r="H230" s="72" t="n"/>
      <c r="I230" s="72" t="n"/>
      <c r="J230" s="72" t="n"/>
      <c r="K230" s="72" t="n"/>
      <c r="L230" s="72" t="n"/>
      <c r="M230" s="72" t="n"/>
      <c r="N230" s="72" t="n"/>
      <c r="O230" s="72" t="n"/>
      <c r="P230" s="72" t="n"/>
      <c r="W230" s="71" t="n"/>
    </row>
    <row r="231" ht="20.25" customHeight="1">
      <c r="A231" s="71" t="n"/>
      <c r="B231" s="71" t="n"/>
      <c r="C231" s="72" t="n"/>
      <c r="G231" s="72" t="n"/>
      <c r="H231" s="72" t="n"/>
      <c r="I231" s="72" t="n"/>
      <c r="J231" s="72" t="n"/>
      <c r="K231" s="72" t="n"/>
      <c r="L231" s="72" t="n"/>
      <c r="M231" s="72" t="n"/>
      <c r="N231" s="72" t="n"/>
      <c r="O231" s="72" t="n"/>
      <c r="P231" s="72" t="n"/>
      <c r="W231" s="71" t="n"/>
    </row>
    <row r="232" ht="20.25" customHeight="1">
      <c r="A232" s="71" t="n"/>
      <c r="B232" s="71" t="n"/>
      <c r="C232" s="72" t="n"/>
      <c r="G232" s="72" t="n"/>
      <c r="H232" s="72" t="n"/>
      <c r="I232" s="72" t="n"/>
      <c r="J232" s="72" t="n"/>
      <c r="K232" s="72" t="n"/>
      <c r="L232" s="72" t="n"/>
      <c r="M232" s="72" t="n"/>
      <c r="N232" s="72" t="n"/>
      <c r="O232" s="72" t="n"/>
      <c r="P232" s="72" t="n"/>
      <c r="W232" s="71" t="n"/>
    </row>
    <row r="233" ht="20.25" customHeight="1">
      <c r="A233" s="71" t="n"/>
      <c r="B233" s="71" t="n"/>
      <c r="C233" s="72" t="n"/>
      <c r="G233" s="72" t="n"/>
      <c r="H233" s="72" t="n"/>
      <c r="I233" s="72" t="n"/>
      <c r="J233" s="72" t="n"/>
      <c r="K233" s="72" t="n"/>
      <c r="L233" s="72" t="n"/>
      <c r="M233" s="72" t="n"/>
      <c r="N233" s="72" t="n"/>
      <c r="O233" s="72" t="n"/>
      <c r="P233" s="72" t="n"/>
      <c r="W233" s="71" t="n"/>
    </row>
    <row r="234" ht="20.25" customHeight="1">
      <c r="A234" s="71" t="n"/>
      <c r="B234" s="71" t="n"/>
      <c r="C234" s="72" t="n"/>
      <c r="G234" s="72" t="n"/>
      <c r="H234" s="72" t="n"/>
      <c r="I234" s="72" t="n"/>
      <c r="J234" s="72" t="n"/>
      <c r="K234" s="72" t="n"/>
      <c r="L234" s="72" t="n"/>
      <c r="M234" s="72" t="n"/>
      <c r="N234" s="72" t="n"/>
      <c r="O234" s="72" t="n"/>
      <c r="P234" s="72" t="n"/>
      <c r="W234" s="71" t="n"/>
    </row>
    <row r="235" ht="20.25" customHeight="1">
      <c r="A235" s="71" t="n"/>
      <c r="B235" s="71" t="n"/>
      <c r="C235" s="72" t="n"/>
      <c r="G235" s="72" t="n"/>
      <c r="H235" s="72" t="n"/>
      <c r="I235" s="72" t="n"/>
      <c r="J235" s="72" t="n"/>
      <c r="K235" s="72" t="n"/>
      <c r="L235" s="72" t="n"/>
      <c r="M235" s="72" t="n"/>
      <c r="N235" s="72" t="n"/>
      <c r="O235" s="72" t="n"/>
      <c r="P235" s="72" t="n"/>
      <c r="W235" s="71" t="n"/>
    </row>
    <row r="236" ht="20.25" customHeight="1">
      <c r="A236" s="71" t="n"/>
      <c r="B236" s="71" t="n"/>
      <c r="C236" s="72" t="n"/>
      <c r="G236" s="72" t="n"/>
      <c r="H236" s="72" t="n"/>
      <c r="I236" s="72" t="n"/>
      <c r="J236" s="72" t="n"/>
      <c r="K236" s="72" t="n"/>
      <c r="L236" s="72" t="n"/>
      <c r="M236" s="72" t="n"/>
      <c r="N236" s="72" t="n"/>
      <c r="O236" s="72" t="n"/>
      <c r="P236" s="72" t="n"/>
      <c r="W236" s="71" t="n"/>
    </row>
    <row r="237" ht="20.25" customHeight="1">
      <c r="A237" s="71" t="n"/>
      <c r="B237" s="71" t="n"/>
      <c r="C237" s="72" t="n"/>
      <c r="G237" s="72" t="n"/>
      <c r="H237" s="72" t="n"/>
      <c r="I237" s="72" t="n"/>
      <c r="J237" s="72" t="n"/>
      <c r="K237" s="72" t="n"/>
      <c r="L237" s="72" t="n"/>
      <c r="M237" s="72" t="n"/>
      <c r="N237" s="72" t="n"/>
      <c r="O237" s="72" t="n"/>
      <c r="P237" s="72" t="n"/>
      <c r="W237" s="71" t="n"/>
    </row>
    <row r="238" ht="20.25" customHeight="1">
      <c r="A238" s="71" t="n"/>
      <c r="B238" s="71" t="n"/>
      <c r="C238" s="72" t="n"/>
      <c r="G238" s="72" t="n"/>
      <c r="H238" s="72" t="n"/>
      <c r="I238" s="72" t="n"/>
      <c r="J238" s="72" t="n"/>
      <c r="K238" s="72" t="n"/>
      <c r="L238" s="72" t="n"/>
      <c r="M238" s="72" t="n"/>
      <c r="N238" s="72" t="n"/>
      <c r="O238" s="72" t="n"/>
      <c r="P238" s="72" t="n"/>
      <c r="W238" s="71" t="n"/>
    </row>
    <row r="239" ht="20.25" customHeight="1">
      <c r="A239" s="71" t="n"/>
      <c r="B239" s="71" t="n"/>
      <c r="C239" s="72" t="n"/>
      <c r="G239" s="72" t="n"/>
      <c r="H239" s="72" t="n"/>
      <c r="I239" s="72" t="n"/>
      <c r="J239" s="72" t="n"/>
      <c r="K239" s="72" t="n"/>
      <c r="L239" s="72" t="n"/>
      <c r="M239" s="72" t="n"/>
      <c r="N239" s="72" t="n"/>
      <c r="O239" s="72" t="n"/>
      <c r="P239" s="72" t="n"/>
      <c r="W239" s="71" t="n"/>
    </row>
    <row r="240" ht="20.25" customHeight="1">
      <c r="A240" s="71" t="n"/>
      <c r="B240" s="71" t="n"/>
      <c r="C240" s="72" t="n"/>
      <c r="G240" s="72" t="n"/>
      <c r="H240" s="72" t="n"/>
      <c r="I240" s="72" t="n"/>
      <c r="J240" s="72" t="n"/>
      <c r="K240" s="72" t="n"/>
      <c r="L240" s="72" t="n"/>
      <c r="M240" s="72" t="n"/>
      <c r="N240" s="72" t="n"/>
      <c r="O240" s="72" t="n"/>
      <c r="P240" s="72" t="n"/>
      <c r="W240" s="71" t="n"/>
    </row>
    <row r="241" ht="20.25" customHeight="1">
      <c r="A241" s="71" t="n"/>
      <c r="B241" s="71" t="n"/>
      <c r="C241" s="72" t="n"/>
      <c r="G241" s="72" t="n"/>
      <c r="H241" s="72" t="n"/>
      <c r="I241" s="72" t="n"/>
      <c r="J241" s="72" t="n"/>
      <c r="K241" s="72" t="n"/>
      <c r="L241" s="72" t="n"/>
      <c r="M241" s="72" t="n"/>
      <c r="N241" s="72" t="n"/>
      <c r="O241" s="72" t="n"/>
      <c r="P241" s="72" t="n"/>
      <c r="W241" s="71" t="n"/>
    </row>
    <row r="242" ht="20.25" customHeight="1">
      <c r="A242" s="71" t="n"/>
      <c r="B242" s="71" t="n"/>
      <c r="C242" s="72" t="n"/>
      <c r="G242" s="72" t="n"/>
      <c r="H242" s="72" t="n"/>
      <c r="I242" s="72" t="n"/>
      <c r="J242" s="72" t="n"/>
      <c r="K242" s="72" t="n"/>
      <c r="L242" s="72" t="n"/>
      <c r="M242" s="72" t="n"/>
      <c r="N242" s="72" t="n"/>
      <c r="O242" s="72" t="n"/>
      <c r="P242" s="72" t="n"/>
      <c r="W242" s="71" t="n"/>
    </row>
    <row r="243" ht="20.25" customHeight="1">
      <c r="A243" s="71" t="n"/>
      <c r="B243" s="71" t="n"/>
      <c r="C243" s="72" t="n"/>
      <c r="G243" s="72" t="n"/>
      <c r="H243" s="72" t="n"/>
      <c r="I243" s="72" t="n"/>
      <c r="J243" s="72" t="n"/>
      <c r="K243" s="72" t="n"/>
      <c r="L243" s="72" t="n"/>
      <c r="M243" s="72" t="n"/>
      <c r="N243" s="72" t="n"/>
      <c r="O243" s="72" t="n"/>
      <c r="P243" s="72" t="n"/>
      <c r="W243" s="71" t="n"/>
    </row>
    <row r="244" ht="20.25" customHeight="1">
      <c r="A244" s="71" t="n"/>
      <c r="B244" s="71" t="n"/>
      <c r="C244" s="72" t="n"/>
      <c r="G244" s="72" t="n"/>
      <c r="H244" s="72" t="n"/>
      <c r="I244" s="72" t="n"/>
      <c r="J244" s="72" t="n"/>
      <c r="K244" s="72" t="n"/>
      <c r="L244" s="72" t="n"/>
      <c r="M244" s="72" t="n"/>
      <c r="N244" s="72" t="n"/>
      <c r="O244" s="72" t="n"/>
      <c r="P244" s="72" t="n"/>
      <c r="W244" s="71" t="n"/>
    </row>
    <row r="245" ht="20.25" customHeight="1">
      <c r="A245" s="71" t="n"/>
      <c r="B245" s="71" t="n"/>
      <c r="C245" s="72" t="n"/>
      <c r="G245" s="72" t="n"/>
      <c r="H245" s="72" t="n"/>
      <c r="I245" s="72" t="n"/>
      <c r="J245" s="72" t="n"/>
      <c r="K245" s="72" t="n"/>
      <c r="L245" s="72" t="n"/>
      <c r="M245" s="72" t="n"/>
      <c r="N245" s="72" t="n"/>
      <c r="O245" s="72" t="n"/>
      <c r="P245" s="72" t="n"/>
      <c r="W245" s="71" t="n"/>
    </row>
    <row r="246" ht="20.25" customHeight="1">
      <c r="A246" s="71" t="n"/>
      <c r="B246" s="71" t="n"/>
      <c r="C246" s="72" t="n"/>
      <c r="G246" s="72" t="n"/>
      <c r="H246" s="72" t="n"/>
      <c r="I246" s="72" t="n"/>
      <c r="J246" s="72" t="n"/>
      <c r="K246" s="72" t="n"/>
      <c r="L246" s="72" t="n"/>
      <c r="M246" s="72" t="n"/>
      <c r="N246" s="72" t="n"/>
      <c r="O246" s="72" t="n"/>
      <c r="P246" s="72" t="n"/>
      <c r="W246" s="71" t="n"/>
    </row>
    <row r="247" ht="20.25" customHeight="1">
      <c r="A247" s="71" t="n"/>
      <c r="B247" s="71" t="n"/>
      <c r="C247" s="72" t="n"/>
      <c r="G247" s="72" t="n"/>
      <c r="H247" s="72" t="n"/>
      <c r="I247" s="72" t="n"/>
      <c r="J247" s="72" t="n"/>
      <c r="K247" s="72" t="n"/>
      <c r="L247" s="72" t="n"/>
      <c r="M247" s="72" t="n"/>
      <c r="N247" s="72" t="n"/>
      <c r="O247" s="72" t="n"/>
      <c r="P247" s="72" t="n"/>
      <c r="W247" s="71" t="n"/>
    </row>
    <row r="248" ht="20.25" customHeight="1">
      <c r="A248" s="71" t="n"/>
      <c r="B248" s="71" t="n"/>
      <c r="C248" s="72" t="n"/>
      <c r="G248" s="72" t="n"/>
      <c r="H248" s="72" t="n"/>
      <c r="I248" s="72" t="n"/>
      <c r="J248" s="72" t="n"/>
      <c r="K248" s="72" t="n"/>
      <c r="L248" s="72" t="n"/>
      <c r="M248" s="72" t="n"/>
      <c r="N248" s="72" t="n"/>
      <c r="O248" s="72" t="n"/>
      <c r="P248" s="72" t="n"/>
      <c r="W248" s="71" t="n"/>
    </row>
    <row r="249" ht="20.25" customHeight="1">
      <c r="A249" s="71" t="n"/>
      <c r="B249" s="71" t="n"/>
      <c r="C249" s="72" t="n"/>
      <c r="G249" s="72" t="n"/>
      <c r="H249" s="72" t="n"/>
      <c r="I249" s="72" t="n"/>
      <c r="J249" s="72" t="n"/>
      <c r="K249" s="72" t="n"/>
      <c r="L249" s="72" t="n"/>
      <c r="M249" s="72" t="n"/>
      <c r="N249" s="72" t="n"/>
      <c r="O249" s="72" t="n"/>
      <c r="P249" s="72" t="n"/>
      <c r="W249" s="71" t="n"/>
    </row>
    <row r="250" ht="20.25" customHeight="1">
      <c r="A250" s="71" t="n"/>
      <c r="B250" s="71" t="n"/>
      <c r="C250" s="72" t="n"/>
      <c r="G250" s="72" t="n"/>
      <c r="H250" s="72" t="n"/>
      <c r="I250" s="72" t="n"/>
      <c r="J250" s="72" t="n"/>
      <c r="K250" s="72" t="n"/>
      <c r="L250" s="72" t="n"/>
      <c r="M250" s="72" t="n"/>
      <c r="N250" s="72" t="n"/>
      <c r="O250" s="72" t="n"/>
      <c r="P250" s="72" t="n"/>
      <c r="W250" s="71" t="n"/>
    </row>
    <row r="251" ht="20.25" customHeight="1">
      <c r="A251" s="71" t="n"/>
      <c r="B251" s="71" t="n"/>
      <c r="C251" s="72" t="n"/>
      <c r="G251" s="72" t="n"/>
      <c r="H251" s="72" t="n"/>
      <c r="I251" s="72" t="n"/>
      <c r="J251" s="72" t="n"/>
      <c r="K251" s="72" t="n"/>
      <c r="L251" s="72" t="n"/>
      <c r="M251" s="72" t="n"/>
      <c r="N251" s="72" t="n"/>
      <c r="O251" s="72" t="n"/>
      <c r="P251" s="72" t="n"/>
      <c r="W251" s="71" t="n"/>
    </row>
    <row r="252" ht="20.25" customHeight="1">
      <c r="A252" s="71" t="n"/>
      <c r="B252" s="71" t="n"/>
      <c r="C252" s="72" t="n"/>
      <c r="G252" s="72" t="n"/>
      <c r="H252" s="72" t="n"/>
      <c r="I252" s="72" t="n"/>
      <c r="J252" s="72" t="n"/>
      <c r="K252" s="72" t="n"/>
      <c r="L252" s="72" t="n"/>
      <c r="M252" s="72" t="n"/>
      <c r="N252" s="72" t="n"/>
      <c r="O252" s="72" t="n"/>
      <c r="P252" s="72" t="n"/>
      <c r="W252" s="71" t="n"/>
    </row>
    <row r="253" ht="20.25" customHeight="1">
      <c r="A253" s="71" t="n"/>
      <c r="B253" s="71" t="n"/>
      <c r="C253" s="72" t="n"/>
      <c r="G253" s="72" t="n"/>
      <c r="H253" s="72" t="n"/>
      <c r="I253" s="72" t="n"/>
      <c r="J253" s="72" t="n"/>
      <c r="K253" s="72" t="n"/>
      <c r="L253" s="72" t="n"/>
      <c r="M253" s="72" t="n"/>
      <c r="N253" s="72" t="n"/>
      <c r="O253" s="72" t="n"/>
      <c r="P253" s="72" t="n"/>
      <c r="W253" s="71" t="n"/>
    </row>
    <row r="254" ht="20.25" customHeight="1">
      <c r="A254" s="71" t="n"/>
      <c r="B254" s="71" t="n"/>
      <c r="C254" s="72" t="n"/>
      <c r="G254" s="72" t="n"/>
      <c r="H254" s="72" t="n"/>
      <c r="I254" s="72" t="n"/>
      <c r="J254" s="72" t="n"/>
      <c r="K254" s="72" t="n"/>
      <c r="L254" s="72" t="n"/>
      <c r="M254" s="72" t="n"/>
      <c r="N254" s="72" t="n"/>
      <c r="O254" s="72" t="n"/>
      <c r="P254" s="72" t="n"/>
      <c r="W254" s="71" t="n"/>
    </row>
    <row r="255" ht="20.25" customHeight="1">
      <c r="A255" s="71" t="n"/>
      <c r="B255" s="71" t="n"/>
      <c r="C255" s="72" t="n"/>
      <c r="G255" s="72" t="n"/>
      <c r="H255" s="72" t="n"/>
      <c r="I255" s="72" t="n"/>
      <c r="J255" s="72" t="n"/>
      <c r="K255" s="72" t="n"/>
      <c r="L255" s="72" t="n"/>
      <c r="M255" s="72" t="n"/>
      <c r="N255" s="72" t="n"/>
      <c r="O255" s="72" t="n"/>
      <c r="P255" s="72" t="n"/>
      <c r="W255" s="71" t="n"/>
    </row>
    <row r="256" ht="20.25" customHeight="1">
      <c r="A256" s="71" t="n"/>
      <c r="B256" s="71" t="n"/>
      <c r="C256" s="72" t="n"/>
      <c r="G256" s="72" t="n"/>
      <c r="H256" s="72" t="n"/>
      <c r="I256" s="72" t="n"/>
      <c r="J256" s="72" t="n"/>
      <c r="K256" s="72" t="n"/>
      <c r="L256" s="72" t="n"/>
      <c r="M256" s="72" t="n"/>
      <c r="N256" s="72" t="n"/>
      <c r="O256" s="72" t="n"/>
      <c r="P256" s="72" t="n"/>
      <c r="W256" s="71" t="n"/>
    </row>
    <row r="257" ht="20.25" customHeight="1">
      <c r="A257" s="71" t="n"/>
      <c r="B257" s="71" t="n"/>
      <c r="C257" s="72" t="n"/>
      <c r="G257" s="72" t="n"/>
      <c r="H257" s="72" t="n"/>
      <c r="I257" s="72" t="n"/>
      <c r="J257" s="72" t="n"/>
      <c r="K257" s="72" t="n"/>
      <c r="L257" s="72" t="n"/>
      <c r="M257" s="72" t="n"/>
      <c r="N257" s="72" t="n"/>
      <c r="O257" s="72" t="n"/>
      <c r="P257" s="72" t="n"/>
      <c r="W257" s="71" t="n"/>
    </row>
    <row r="258" ht="20.25" customHeight="1">
      <c r="A258" s="71" t="n"/>
      <c r="B258" s="71" t="n"/>
      <c r="C258" s="72" t="n"/>
      <c r="G258" s="72" t="n"/>
      <c r="H258" s="72" t="n"/>
      <c r="I258" s="72" t="n"/>
      <c r="J258" s="72" t="n"/>
      <c r="K258" s="72" t="n"/>
      <c r="L258" s="72" t="n"/>
      <c r="M258" s="72" t="n"/>
      <c r="N258" s="72" t="n"/>
      <c r="O258" s="72" t="n"/>
      <c r="P258" s="72" t="n"/>
      <c r="W258" s="71" t="n"/>
    </row>
    <row r="259" ht="20.25" customHeight="1">
      <c r="A259" s="71" t="n"/>
      <c r="B259" s="71" t="n"/>
      <c r="C259" s="72" t="n"/>
      <c r="G259" s="72" t="n"/>
      <c r="H259" s="72" t="n"/>
      <c r="I259" s="72" t="n"/>
      <c r="J259" s="72" t="n"/>
      <c r="K259" s="72" t="n"/>
      <c r="L259" s="72" t="n"/>
      <c r="M259" s="72" t="n"/>
      <c r="N259" s="72" t="n"/>
      <c r="O259" s="72" t="n"/>
      <c r="P259" s="72" t="n"/>
      <c r="W259" s="71" t="n"/>
    </row>
    <row r="260" ht="20.25" customHeight="1">
      <c r="A260" s="71" t="n"/>
      <c r="B260" s="71" t="n"/>
      <c r="C260" s="72" t="n"/>
      <c r="G260" s="72" t="n"/>
      <c r="H260" s="72" t="n"/>
      <c r="I260" s="72" t="n"/>
      <c r="J260" s="72" t="n"/>
      <c r="K260" s="72" t="n"/>
      <c r="L260" s="72" t="n"/>
      <c r="M260" s="72" t="n"/>
      <c r="N260" s="72" t="n"/>
      <c r="O260" s="72" t="n"/>
      <c r="P260" s="72" t="n"/>
      <c r="W260" s="71" t="n"/>
    </row>
    <row r="261" ht="20.25" customHeight="1">
      <c r="A261" s="71" t="n"/>
      <c r="B261" s="71" t="n"/>
      <c r="C261" s="72" t="n"/>
      <c r="G261" s="72" t="n"/>
      <c r="H261" s="72" t="n"/>
      <c r="I261" s="72" t="n"/>
      <c r="J261" s="72" t="n"/>
      <c r="K261" s="72" t="n"/>
      <c r="L261" s="72" t="n"/>
      <c r="M261" s="72" t="n"/>
      <c r="N261" s="72" t="n"/>
      <c r="O261" s="72" t="n"/>
      <c r="P261" s="72" t="n"/>
      <c r="W261" s="71" t="n"/>
    </row>
    <row r="262" ht="20.25" customHeight="1">
      <c r="A262" s="71" t="n"/>
      <c r="B262" s="71" t="n"/>
      <c r="C262" s="72" t="n"/>
      <c r="G262" s="72" t="n"/>
      <c r="H262" s="72" t="n"/>
      <c r="I262" s="72" t="n"/>
      <c r="J262" s="72" t="n"/>
      <c r="K262" s="72" t="n"/>
      <c r="L262" s="72" t="n"/>
      <c r="M262" s="72" t="n"/>
      <c r="N262" s="72" t="n"/>
      <c r="O262" s="72" t="n"/>
      <c r="P262" s="72" t="n"/>
      <c r="W262" s="71" t="n"/>
    </row>
    <row r="263" ht="20.25" customHeight="1">
      <c r="A263" s="71" t="n"/>
      <c r="B263" s="71" t="n"/>
      <c r="C263" s="72" t="n"/>
      <c r="G263" s="72" t="n"/>
      <c r="H263" s="72" t="n"/>
      <c r="I263" s="72" t="n"/>
      <c r="J263" s="72" t="n"/>
      <c r="K263" s="72" t="n"/>
      <c r="L263" s="72" t="n"/>
      <c r="M263" s="72" t="n"/>
      <c r="N263" s="72" t="n"/>
      <c r="O263" s="72" t="n"/>
      <c r="P263" s="72" t="n"/>
      <c r="W263" s="71" t="n"/>
    </row>
    <row r="264" ht="20.25" customHeight="1">
      <c r="A264" s="71" t="n"/>
      <c r="B264" s="71" t="n"/>
      <c r="C264" s="72" t="n"/>
      <c r="G264" s="72" t="n"/>
      <c r="H264" s="72" t="n"/>
      <c r="I264" s="72" t="n"/>
      <c r="J264" s="72" t="n"/>
      <c r="K264" s="72" t="n"/>
      <c r="L264" s="72" t="n"/>
      <c r="M264" s="72" t="n"/>
      <c r="N264" s="72" t="n"/>
      <c r="O264" s="72" t="n"/>
      <c r="P264" s="72" t="n"/>
      <c r="W264" s="71" t="n"/>
    </row>
    <row r="265" ht="20.25" customHeight="1">
      <c r="A265" s="71" t="n"/>
      <c r="B265" s="71" t="n"/>
      <c r="C265" s="72" t="n"/>
      <c r="G265" s="72" t="n"/>
      <c r="H265" s="72" t="n"/>
      <c r="I265" s="72" t="n"/>
      <c r="J265" s="72" t="n"/>
      <c r="K265" s="72" t="n"/>
      <c r="L265" s="72" t="n"/>
      <c r="M265" s="72" t="n"/>
      <c r="N265" s="72" t="n"/>
      <c r="O265" s="72" t="n"/>
      <c r="P265" s="72" t="n"/>
      <c r="W265" s="71" t="n"/>
    </row>
    <row r="266" ht="20.25" customHeight="1">
      <c r="A266" s="71" t="n"/>
      <c r="B266" s="71" t="n"/>
      <c r="C266" s="72" t="n"/>
      <c r="G266" s="72" t="n"/>
      <c r="H266" s="72" t="n"/>
      <c r="I266" s="72" t="n"/>
      <c r="J266" s="72" t="n"/>
      <c r="K266" s="72" t="n"/>
      <c r="L266" s="72" t="n"/>
      <c r="M266" s="72" t="n"/>
      <c r="N266" s="72" t="n"/>
      <c r="O266" s="72" t="n"/>
      <c r="P266" s="72" t="n"/>
      <c r="W266" s="71" t="n"/>
    </row>
    <row r="267" ht="20.25" customHeight="1">
      <c r="A267" s="71" t="n"/>
      <c r="B267" s="71" t="n"/>
      <c r="C267" s="72" t="n"/>
      <c r="G267" s="72" t="n"/>
      <c r="H267" s="72" t="n"/>
      <c r="I267" s="72" t="n"/>
      <c r="J267" s="72" t="n"/>
      <c r="K267" s="72" t="n"/>
      <c r="L267" s="72" t="n"/>
      <c r="M267" s="72" t="n"/>
      <c r="N267" s="72" t="n"/>
      <c r="O267" s="72" t="n"/>
      <c r="P267" s="72" t="n"/>
      <c r="W267" s="71" t="n"/>
    </row>
    <row r="268" ht="20.25" customHeight="1">
      <c r="A268" s="71" t="n"/>
      <c r="B268" s="71" t="n"/>
      <c r="C268" s="72" t="n"/>
      <c r="G268" s="72" t="n"/>
      <c r="H268" s="72" t="n"/>
      <c r="I268" s="72" t="n"/>
      <c r="J268" s="72" t="n"/>
      <c r="K268" s="72" t="n"/>
      <c r="L268" s="72" t="n"/>
      <c r="M268" s="72" t="n"/>
      <c r="N268" s="72" t="n"/>
      <c r="O268" s="72" t="n"/>
      <c r="P268" s="72" t="n"/>
      <c r="W268" s="71" t="n"/>
    </row>
    <row r="269" ht="20.25" customHeight="1">
      <c r="A269" s="71" t="n"/>
      <c r="B269" s="71" t="n"/>
      <c r="C269" s="72" t="n"/>
      <c r="G269" s="72" t="n"/>
      <c r="H269" s="72" t="n"/>
      <c r="I269" s="72" t="n"/>
      <c r="J269" s="72" t="n"/>
      <c r="K269" s="72" t="n"/>
      <c r="L269" s="72" t="n"/>
      <c r="M269" s="72" t="n"/>
      <c r="N269" s="72" t="n"/>
      <c r="O269" s="72" t="n"/>
      <c r="P269" s="72" t="n"/>
      <c r="W269" s="71" t="n"/>
    </row>
    <row r="270" ht="20.25" customHeight="1">
      <c r="A270" s="71" t="n"/>
      <c r="B270" s="71" t="n"/>
      <c r="C270" s="72" t="n"/>
      <c r="G270" s="72" t="n"/>
      <c r="H270" s="72" t="n"/>
      <c r="I270" s="72" t="n"/>
      <c r="J270" s="72" t="n"/>
      <c r="K270" s="72" t="n"/>
      <c r="L270" s="72" t="n"/>
      <c r="M270" s="72" t="n"/>
      <c r="N270" s="72" t="n"/>
      <c r="O270" s="72" t="n"/>
      <c r="P270" s="72" t="n"/>
      <c r="W270" s="71" t="n"/>
    </row>
    <row r="271" ht="20.25" customHeight="1">
      <c r="A271" s="71" t="n"/>
      <c r="B271" s="71" t="n"/>
      <c r="C271" s="72" t="n"/>
      <c r="G271" s="72" t="n"/>
      <c r="H271" s="72" t="n"/>
      <c r="I271" s="72" t="n"/>
      <c r="J271" s="72" t="n"/>
      <c r="K271" s="72" t="n"/>
      <c r="L271" s="72" t="n"/>
      <c r="M271" s="72" t="n"/>
      <c r="N271" s="72" t="n"/>
      <c r="O271" s="72" t="n"/>
      <c r="P271" s="72" t="n"/>
      <c r="W271" s="71" t="n"/>
    </row>
    <row r="272" ht="20.25" customHeight="1">
      <c r="A272" s="71" t="n"/>
      <c r="B272" s="71" t="n"/>
      <c r="C272" s="72" t="n"/>
      <c r="G272" s="72" t="n"/>
      <c r="H272" s="72" t="n"/>
      <c r="I272" s="72" t="n"/>
      <c r="J272" s="72" t="n"/>
      <c r="K272" s="72" t="n"/>
      <c r="L272" s="72" t="n"/>
      <c r="M272" s="72" t="n"/>
      <c r="N272" s="72" t="n"/>
      <c r="O272" s="72" t="n"/>
      <c r="P272" s="72" t="n"/>
      <c r="W272" s="71" t="n"/>
    </row>
    <row r="273" ht="20.25" customHeight="1">
      <c r="A273" s="71" t="n"/>
      <c r="B273" s="71" t="n"/>
      <c r="C273" s="72" t="n"/>
      <c r="G273" s="72" t="n"/>
      <c r="H273" s="72" t="n"/>
      <c r="I273" s="72" t="n"/>
      <c r="J273" s="72" t="n"/>
      <c r="K273" s="72" t="n"/>
      <c r="L273" s="72" t="n"/>
      <c r="M273" s="72" t="n"/>
      <c r="N273" s="72" t="n"/>
      <c r="O273" s="72" t="n"/>
      <c r="P273" s="72" t="n"/>
      <c r="W273" s="71" t="n"/>
    </row>
    <row r="274" ht="20.25" customHeight="1">
      <c r="A274" s="71" t="n"/>
      <c r="B274" s="71" t="n"/>
      <c r="C274" s="72" t="n"/>
      <c r="G274" s="72" t="n"/>
      <c r="H274" s="72" t="n"/>
      <c r="I274" s="72" t="n"/>
      <c r="J274" s="72" t="n"/>
      <c r="K274" s="72" t="n"/>
      <c r="L274" s="72" t="n"/>
      <c r="M274" s="72" t="n"/>
      <c r="N274" s="72" t="n"/>
      <c r="O274" s="72" t="n"/>
      <c r="P274" s="72" t="n"/>
      <c r="W274" s="71" t="n"/>
    </row>
    <row r="275" ht="20.25" customHeight="1">
      <c r="A275" s="71" t="n"/>
      <c r="B275" s="71" t="n"/>
      <c r="C275" s="72" t="n"/>
      <c r="G275" s="72" t="n"/>
      <c r="H275" s="72" t="n"/>
      <c r="I275" s="72" t="n"/>
      <c r="J275" s="72" t="n"/>
      <c r="K275" s="72" t="n"/>
      <c r="L275" s="72" t="n"/>
      <c r="M275" s="72" t="n"/>
      <c r="N275" s="72" t="n"/>
      <c r="O275" s="72" t="n"/>
      <c r="P275" s="72" t="n"/>
      <c r="W275" s="71" t="n"/>
    </row>
    <row r="276" ht="20.25" customHeight="1">
      <c r="A276" s="71" t="n"/>
      <c r="B276" s="71" t="n"/>
      <c r="C276" s="72" t="n"/>
      <c r="G276" s="72" t="n"/>
      <c r="H276" s="72" t="n"/>
      <c r="I276" s="72" t="n"/>
      <c r="J276" s="72" t="n"/>
      <c r="K276" s="72" t="n"/>
      <c r="L276" s="72" t="n"/>
      <c r="M276" s="72" t="n"/>
      <c r="N276" s="72" t="n"/>
      <c r="O276" s="72" t="n"/>
      <c r="P276" s="72" t="n"/>
      <c r="W276" s="71" t="n"/>
    </row>
    <row r="277" ht="20.25" customHeight="1">
      <c r="A277" s="71" t="n"/>
      <c r="B277" s="71" t="n"/>
      <c r="C277" s="72" t="n"/>
      <c r="G277" s="72" t="n"/>
      <c r="H277" s="72" t="n"/>
      <c r="I277" s="72" t="n"/>
      <c r="J277" s="72" t="n"/>
      <c r="K277" s="72" t="n"/>
      <c r="L277" s="72" t="n"/>
      <c r="M277" s="72" t="n"/>
      <c r="N277" s="72" t="n"/>
      <c r="O277" s="72" t="n"/>
      <c r="P277" s="72" t="n"/>
      <c r="W277" s="71" t="n"/>
    </row>
    <row r="278" ht="20.25" customHeight="1">
      <c r="A278" s="71" t="n"/>
      <c r="B278" s="71" t="n"/>
      <c r="C278" s="72" t="n"/>
      <c r="G278" s="72" t="n"/>
      <c r="H278" s="72" t="n"/>
      <c r="I278" s="72" t="n"/>
      <c r="J278" s="72" t="n"/>
      <c r="K278" s="72" t="n"/>
      <c r="L278" s="72" t="n"/>
      <c r="M278" s="72" t="n"/>
      <c r="N278" s="72" t="n"/>
      <c r="O278" s="72" t="n"/>
      <c r="P278" s="72" t="n"/>
      <c r="W278" s="71" t="n"/>
    </row>
    <row r="279" ht="20.25" customHeight="1">
      <c r="A279" s="71" t="n"/>
      <c r="B279" s="71" t="n"/>
      <c r="C279" s="72" t="n"/>
      <c r="G279" s="72" t="n"/>
      <c r="H279" s="72" t="n"/>
      <c r="I279" s="72" t="n"/>
      <c r="J279" s="72" t="n"/>
      <c r="K279" s="72" t="n"/>
      <c r="L279" s="72" t="n"/>
      <c r="M279" s="72" t="n"/>
      <c r="N279" s="72" t="n"/>
      <c r="O279" s="72" t="n"/>
      <c r="P279" s="72" t="n"/>
      <c r="W279" s="71" t="n"/>
    </row>
    <row r="280" ht="20.25" customHeight="1">
      <c r="A280" s="71" t="n"/>
      <c r="B280" s="71" t="n"/>
      <c r="C280" s="72" t="n"/>
      <c r="G280" s="72" t="n"/>
      <c r="H280" s="72" t="n"/>
      <c r="I280" s="72" t="n"/>
      <c r="J280" s="72" t="n"/>
      <c r="K280" s="72" t="n"/>
      <c r="L280" s="72" t="n"/>
      <c r="M280" s="72" t="n"/>
      <c r="N280" s="72" t="n"/>
      <c r="O280" s="72" t="n"/>
      <c r="P280" s="72" t="n"/>
      <c r="W280" s="71" t="n"/>
    </row>
    <row r="281" ht="20.25" customHeight="1">
      <c r="A281" s="71" t="n"/>
      <c r="B281" s="71" t="n"/>
      <c r="C281" s="72" t="n"/>
      <c r="G281" s="72" t="n"/>
      <c r="H281" s="72" t="n"/>
      <c r="I281" s="72" t="n"/>
      <c r="J281" s="72" t="n"/>
      <c r="K281" s="72" t="n"/>
      <c r="L281" s="72" t="n"/>
      <c r="M281" s="72" t="n"/>
      <c r="N281" s="72" t="n"/>
      <c r="O281" s="72" t="n"/>
      <c r="P281" s="72" t="n"/>
      <c r="W281" s="71" t="n"/>
    </row>
    <row r="282" ht="20.25" customHeight="1">
      <c r="A282" s="71" t="n"/>
      <c r="B282" s="71" t="n"/>
      <c r="C282" s="72" t="n"/>
      <c r="G282" s="72" t="n"/>
      <c r="H282" s="72" t="n"/>
      <c r="I282" s="72" t="n"/>
      <c r="J282" s="72" t="n"/>
      <c r="K282" s="72" t="n"/>
      <c r="L282" s="72" t="n"/>
      <c r="M282" s="72" t="n"/>
      <c r="N282" s="72" t="n"/>
      <c r="O282" s="72" t="n"/>
      <c r="P282" s="72" t="n"/>
      <c r="W282" s="71" t="n"/>
    </row>
    <row r="283" ht="20.25" customHeight="1">
      <c r="A283" s="71" t="n"/>
      <c r="B283" s="71" t="n"/>
      <c r="C283" s="72" t="n"/>
      <c r="G283" s="72" t="n"/>
      <c r="H283" s="72" t="n"/>
      <c r="I283" s="72" t="n"/>
      <c r="J283" s="72" t="n"/>
      <c r="K283" s="72" t="n"/>
      <c r="L283" s="72" t="n"/>
      <c r="M283" s="72" t="n"/>
      <c r="N283" s="72" t="n"/>
      <c r="O283" s="72" t="n"/>
      <c r="P283" s="72" t="n"/>
      <c r="W283" s="71" t="n"/>
    </row>
    <row r="284" ht="20.25" customHeight="1"/>
    <row r="285" ht="20.25" customHeight="1"/>
    <row r="286" ht="20.25" customHeight="1"/>
    <row r="287" ht="20.25" customHeight="1"/>
    <row r="288" ht="20.25" customHeight="1"/>
    <row r="289" ht="20.25" customHeight="1"/>
    <row r="290" ht="20.25" customHeight="1"/>
    <row r="291" ht="20.25" customHeight="1"/>
    <row r="292" ht="20.25" customHeight="1"/>
    <row r="293" ht="20.25" customHeight="1"/>
    <row r="294" ht="20.25" customHeight="1"/>
    <row r="295" ht="20.25" customHeight="1"/>
    <row r="296" ht="20.25" customHeight="1"/>
    <row r="297" ht="20.25" customHeight="1"/>
    <row r="298" ht="20.25" customHeight="1"/>
    <row r="299" ht="20.25" customHeight="1"/>
    <row r="300" ht="20.25" customHeight="1"/>
    <row r="301" ht="20.25" customHeight="1"/>
    <row r="302" ht="20.25" customHeight="1"/>
    <row r="303" ht="20.25" customHeight="1"/>
    <row r="304" ht="20.25" customHeight="1"/>
    <row r="305" ht="20.25" customHeight="1"/>
    <row r="306" ht="20.25" customHeight="1"/>
    <row r="307" ht="20.25" customHeight="1"/>
    <row r="308" ht="20.25" customHeight="1"/>
    <row r="309" ht="20.25" customHeight="1"/>
    <row r="310" ht="20.25" customHeight="1"/>
    <row r="311" ht="20.25" customHeight="1"/>
    <row r="312" ht="20.25" customHeight="1"/>
    <row r="313" ht="20.25" customHeight="1"/>
    <row r="314" ht="20.25" customHeight="1"/>
    <row r="315" ht="20.25" customHeight="1"/>
    <row r="316" ht="20.25" customHeight="1"/>
    <row r="317" ht="20.25" customHeight="1"/>
    <row r="318" ht="20.25" customHeight="1"/>
    <row r="319" ht="20.25" customHeight="1"/>
    <row r="320" ht="20.25" customHeight="1"/>
    <row r="321" ht="20.25" customHeight="1"/>
    <row r="322" ht="20.25" customHeight="1"/>
    <row r="323" ht="20.25" customHeight="1"/>
    <row r="324" ht="20.25" customHeight="1"/>
    <row r="325" ht="20.25" customHeight="1"/>
    <row r="326" ht="20.25" customHeight="1"/>
    <row r="327" ht="20.25" customHeight="1"/>
    <row r="328" ht="20.25" customHeight="1"/>
    <row r="329" ht="20.25" customHeight="1"/>
    <row r="330" ht="20.25" customHeight="1"/>
    <row r="331" ht="20.25" customHeight="1"/>
    <row r="332" ht="20.25" customHeight="1"/>
    <row r="333" ht="20.25" customHeight="1"/>
    <row r="334" ht="20.25" customHeight="1"/>
    <row r="335" ht="20.25" customHeight="1"/>
    <row r="336" ht="20.25" customHeight="1"/>
    <row r="337" ht="20.25" customHeight="1"/>
    <row r="338" ht="20.25" customHeight="1"/>
    <row r="339" ht="20.25" customHeight="1"/>
    <row r="340" ht="20.25" customHeight="1"/>
    <row r="341" ht="20.25" customHeight="1"/>
    <row r="342" ht="20.25" customHeight="1"/>
    <row r="343" ht="20.25" customHeight="1"/>
    <row r="344" ht="20.25" customHeight="1"/>
    <row r="345" ht="20.25" customHeight="1"/>
    <row r="346" ht="20.25" customHeight="1"/>
    <row r="347" ht="20.25" customHeight="1"/>
    <row r="348" ht="20.25" customHeight="1"/>
    <row r="349" ht="20.25" customHeight="1"/>
    <row r="350" ht="20.25" customHeight="1"/>
    <row r="351" ht="20.25" customHeight="1"/>
    <row r="352" ht="20.25" customHeight="1"/>
    <row r="353" ht="20.25" customHeight="1"/>
    <row r="354" ht="20.25" customHeight="1"/>
    <row r="355" ht="20.25" customHeight="1"/>
    <row r="356" ht="20.25" customHeight="1"/>
    <row r="357" ht="20.25" customHeight="1"/>
    <row r="358" ht="20.25" customHeight="1"/>
    <row r="359" ht="20.25" customHeight="1"/>
    <row r="360" ht="20.25" customHeight="1"/>
    <row r="361" ht="20.25" customHeight="1"/>
    <row r="362" ht="20.25" customHeight="1"/>
    <row r="363" ht="20.25" customHeight="1"/>
    <row r="364" ht="20.25" customHeight="1"/>
    <row r="365" ht="20.25" customHeight="1"/>
    <row r="366" ht="20.25" customHeight="1"/>
    <row r="367" ht="20.25" customHeight="1"/>
    <row r="368" ht="20.25" customHeight="1"/>
    <row r="369" ht="20.25" customHeight="1"/>
    <row r="370" ht="20.25" customHeight="1"/>
    <row r="371" ht="20.25" customHeight="1"/>
    <row r="372" ht="20.25" customHeight="1"/>
    <row r="373" ht="20.25" customHeight="1"/>
    <row r="374" ht="20.25" customHeight="1"/>
    <row r="375" ht="20.25" customHeight="1"/>
    <row r="376" ht="20.25" customHeight="1"/>
    <row r="377" ht="20.25" customHeight="1"/>
    <row r="378" ht="20.25" customHeight="1"/>
    <row r="379" ht="20.25" customHeight="1"/>
    <row r="380" ht="20.25" customHeight="1"/>
    <row r="381" ht="20.25" customHeight="1"/>
    <row r="382" ht="20.25" customHeight="1"/>
    <row r="383" ht="20.25" customHeight="1"/>
    <row r="384" ht="20.25" customHeight="1"/>
    <row r="385" ht="20.25" customHeight="1"/>
    <row r="386" ht="20.25" customHeight="1"/>
    <row r="387" ht="20.25" customHeight="1"/>
    <row r="388" ht="20.25" customHeight="1"/>
    <row r="389" ht="20.25" customHeight="1"/>
    <row r="390" ht="20.25" customHeight="1"/>
    <row r="391" ht="20.25" customHeight="1"/>
    <row r="392" ht="20.25" customHeight="1"/>
    <row r="393" ht="20.25" customHeight="1"/>
    <row r="394" ht="20.25" customHeight="1"/>
    <row r="395" ht="20.25" customHeight="1"/>
    <row r="396" ht="20.25" customHeight="1"/>
    <row r="397" ht="20.25" customHeight="1"/>
    <row r="398" ht="20.25" customHeight="1"/>
    <row r="399" ht="20.25" customHeight="1"/>
    <row r="400" ht="20.25" customHeight="1"/>
    <row r="401" ht="20.25" customHeight="1"/>
    <row r="402" ht="20.25" customHeight="1"/>
    <row r="403" ht="20.25" customHeight="1"/>
    <row r="404" ht="20.25" customHeight="1"/>
    <row r="405" ht="20.25" customHeight="1"/>
    <row r="406" ht="20.25" customHeight="1"/>
    <row r="407" ht="20.25" customHeight="1"/>
    <row r="408" ht="20.25" customHeight="1"/>
    <row r="409" ht="20.25" customHeight="1"/>
    <row r="410" ht="20.25" customHeight="1"/>
    <row r="411" ht="20.25" customHeight="1"/>
    <row r="412" ht="20.25" customHeight="1"/>
    <row r="413" ht="20.25" customHeight="1"/>
    <row r="414" ht="20.25" customHeight="1"/>
    <row r="415" ht="20.25" customHeight="1"/>
    <row r="416" ht="20.25" customHeight="1"/>
    <row r="417" ht="20.25" customHeight="1"/>
    <row r="418" ht="20.25" customHeight="1"/>
    <row r="419" ht="20.25" customHeight="1"/>
    <row r="420" ht="20.25" customHeight="1"/>
    <row r="421" ht="20.25" customHeight="1"/>
    <row r="422" ht="20.25" customHeight="1"/>
    <row r="423" ht="20.25" customHeight="1"/>
    <row r="424" ht="20.25" customHeight="1"/>
    <row r="425" ht="20.25" customHeight="1"/>
    <row r="426" ht="20.25" customHeight="1"/>
    <row r="427" ht="20.25" customHeight="1"/>
    <row r="428" ht="20.25" customHeight="1"/>
    <row r="429" ht="20.25" customHeight="1"/>
    <row r="430" ht="20.25" customHeight="1"/>
    <row r="431" ht="20.25" customHeight="1"/>
    <row r="432" ht="20.25" customHeight="1"/>
    <row r="433" ht="20.25" customHeight="1"/>
    <row r="434" ht="20.25" customHeight="1"/>
    <row r="435" ht="20.25" customHeight="1"/>
    <row r="436" ht="20.25" customHeight="1"/>
    <row r="437" ht="20.25" customHeight="1"/>
    <row r="438" ht="20.25" customHeight="1"/>
    <row r="439" ht="20.25" customHeight="1"/>
    <row r="440" ht="20.25" customHeight="1"/>
    <row r="441" ht="20.25" customHeight="1"/>
    <row r="442" ht="20.25" customHeight="1"/>
    <row r="443" ht="20.25" customHeight="1"/>
    <row r="444" ht="20.25" customHeight="1"/>
    <row r="445" ht="20.25" customHeight="1"/>
    <row r="446" ht="20.25" customHeight="1"/>
    <row r="447" ht="20.25" customHeight="1"/>
    <row r="448" ht="20.25" customHeight="1"/>
    <row r="449" ht="20.25" customHeight="1"/>
    <row r="450" ht="20.25" customHeight="1"/>
    <row r="451" ht="20.25" customHeight="1"/>
    <row r="452" ht="20.25" customHeight="1"/>
    <row r="453" ht="20.25" customHeight="1"/>
    <row r="454" ht="20.25" customHeight="1"/>
    <row r="455" ht="20.25" customHeight="1"/>
    <row r="456" ht="20.25" customHeight="1"/>
    <row r="457" ht="20.25" customHeight="1"/>
    <row r="458" ht="20.25" customHeight="1"/>
    <row r="459" ht="20.25" customHeight="1"/>
    <row r="460" ht="20.25" customHeight="1"/>
    <row r="461" ht="20.25" customHeight="1"/>
    <row r="462" ht="20.25" customHeight="1"/>
    <row r="463" ht="20.25" customHeight="1"/>
    <row r="464" ht="20.25" customHeight="1"/>
    <row r="465" ht="20.25" customHeight="1"/>
    <row r="466" ht="20.25" customHeight="1"/>
    <row r="467" ht="20.25" customHeight="1"/>
    <row r="468" ht="20.25" customHeight="1"/>
    <row r="469" ht="20.25" customHeight="1"/>
    <row r="470" ht="20.25" customHeight="1"/>
    <row r="471" ht="20.25" customHeight="1"/>
    <row r="472" ht="20.25" customHeight="1"/>
    <row r="473" ht="20.25" customHeight="1"/>
    <row r="474" ht="20.25" customHeight="1"/>
    <row r="475" ht="20.25" customHeight="1"/>
    <row r="476" ht="20.25" customHeight="1"/>
    <row r="477" ht="20.25" customHeight="1"/>
    <row r="478" ht="20.25" customHeight="1"/>
    <row r="479" ht="20.25" customHeight="1"/>
    <row r="480" ht="20.25" customHeight="1"/>
    <row r="481" ht="20.25" customHeight="1"/>
    <row r="482" ht="20.25" customHeight="1"/>
    <row r="483" ht="20.25" customHeight="1"/>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150 R3:W150">
    <cfRule type="expression" priority="17" dxfId="10">
      <formula>ROW()-NumberOfTeams=2</formula>
    </cfRule>
  </conditionalFormatting>
  <conditionalFormatting sqref="A3:B150">
    <cfRule type="expression" priority="11" dxfId="9">
      <formula>IF($O3 &lt;= NumberofTeamsAdvancing,TRUE,FALSE)</formula>
    </cfRule>
  </conditionalFormatting>
  <conditionalFormatting sqref="C3:P150 R3:W150">
    <cfRule type="expression" priority="21" dxfId="8">
      <formula>IF($P3&lt;&gt;"",TRUE,FALSE)</formula>
    </cfRule>
  </conditionalFormatting>
  <conditionalFormatting sqref="P3:P150">
    <cfRule type="duplicateValues" priority="309" dxfId="7"/>
  </conditionalFormatting>
  <conditionalFormatting sqref="Q3:Q150">
    <cfRule type="cellIs" priority="322" operator="equal" dxfId="6" stopIfTrue="1">
      <formula>"Yes"</formula>
    </cfRule>
    <cfRule type="cellIs" priority="323" operator="equal" dxfId="5" stopIfTrue="1">
      <formula>"Alt"</formula>
    </cfRule>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dataValidations count="2">
    <dataValidation sqref="P3:P150" showDropDown="0" showInputMessage="1" showErrorMessage="1" allowBlank="1" type="list">
      <formula1>Awards</formula1>
    </dataValidation>
    <dataValidation sqref="Q3:Q150" showDropDown="0" showInputMessage="1" showErrorMessage="1"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55"/>
  <sheetViews>
    <sheetView zoomScaleNormal="100" workbookViewId="0">
      <pane ySplit="1" topLeftCell="A2" activePane="bottomLeft" state="frozen"/>
      <selection pane="bottomLeft" activeCell="A2" sqref="A2"/>
    </sheetView>
  </sheetViews>
  <sheetFormatPr baseColWidth="8" defaultColWidth="8.85546875" defaultRowHeight="30" customHeight="1"/>
  <cols>
    <col width="16.7109375" customWidth="1" style="39" min="1" max="1"/>
    <col width="32.7109375" customWidth="1" style="39" min="2" max="2"/>
    <col width="7.42578125" customWidth="1" style="39" min="3" max="5"/>
    <col width="10.42578125" customWidth="1" style="43" min="6" max="6"/>
    <col width="8.85546875" customWidth="1" style="5" min="7" max="10"/>
    <col width="8.85546875" customWidth="1" style="5" min="11" max="16384"/>
  </cols>
  <sheetData>
    <row r="1" ht="150" customFormat="1" customHeight="1" s="41">
      <c r="A1" s="58" t="inlineStr">
        <is>
          <t>Team Number</t>
        </is>
      </c>
      <c r="B1" s="58" t="inlineStr">
        <is>
          <t>Team Name</t>
        </is>
      </c>
      <c r="C1" s="65" t="inlineStr">
        <is>
          <t>Robot Game 1 Score</t>
        </is>
      </c>
      <c r="D1" s="65" t="inlineStr">
        <is>
          <t>Robot Game 2 Score</t>
        </is>
      </c>
      <c r="E1" s="65" t="inlineStr">
        <is>
          <t>Robot Game 3 Score</t>
        </is>
      </c>
      <c r="F1" s="59" t="inlineStr">
        <is>
          <t>Highest Robot Game Score</t>
        </is>
      </c>
    </row>
    <row r="2" ht="21" customHeight="1">
      <c r="A2" s="69" t="n">
        <v>24277</v>
      </c>
      <c r="B2" s="106">
        <f>INDEX(OfficialTeamList[Team Name],MATCH(RobotGameScores[[#This Row],[Team Number]], OfficialTeamList[Team Number],0))</f>
        <v/>
      </c>
      <c r="C2" s="70" t="n"/>
      <c r="D2" s="70" t="n"/>
      <c r="E2" s="70" t="n"/>
      <c r="F2" s="74">
        <f>MAX(C2:E2)</f>
        <v/>
      </c>
    </row>
    <row r="3" ht="21" customHeight="1">
      <c r="A3" s="69" t="n">
        <v>26034</v>
      </c>
      <c r="B3" s="106">
        <f>INDEX(OfficialTeamList[Team Name],MATCH(RobotGameScores[[#This Row],[Team Number]], OfficialTeamList[Team Number],0))</f>
        <v/>
      </c>
      <c r="C3" s="70" t="n"/>
      <c r="D3" s="70" t="n"/>
      <c r="E3" s="70" t="n"/>
      <c r="F3" s="74">
        <f>MAX(C3:E3)</f>
        <v/>
      </c>
    </row>
    <row r="4" ht="21" customHeight="1">
      <c r="A4" s="69" t="n">
        <v>60801</v>
      </c>
      <c r="B4" s="106">
        <f>INDEX(OfficialTeamList[Team Name],MATCH(RobotGameScores[[#This Row],[Team Number]], OfficialTeamList[Team Number],0))</f>
        <v/>
      </c>
      <c r="C4" s="70" t="n"/>
      <c r="D4" s="70" t="n"/>
      <c r="E4" s="70" t="n"/>
      <c r="F4" s="74">
        <f>MAX(C4:E4)</f>
        <v/>
      </c>
    </row>
    <row r="5" ht="21" customHeight="1">
      <c r="A5" s="69" t="n">
        <v>67083</v>
      </c>
      <c r="B5" s="106">
        <f>INDEX(OfficialTeamList[Team Name],MATCH(RobotGameScores[[#This Row],[Team Number]], OfficialTeamList[Team Number],0))</f>
        <v/>
      </c>
      <c r="C5" s="70" t="n"/>
      <c r="D5" s="70" t="n"/>
      <c r="E5" s="70" t="n"/>
      <c r="F5" s="74">
        <f>MAX(C5:E5)</f>
        <v/>
      </c>
    </row>
    <row r="6" ht="21" customHeight="1">
      <c r="A6" s="69" t="n">
        <v>67801</v>
      </c>
      <c r="B6" s="106">
        <f>INDEX(OfficialTeamList[Team Name],MATCH(RobotGameScores[[#This Row],[Team Number]], OfficialTeamList[Team Number],0))</f>
        <v/>
      </c>
      <c r="C6" s="70" t="n"/>
      <c r="D6" s="70" t="n"/>
      <c r="E6" s="70" t="n"/>
      <c r="F6" s="74">
        <f>MAX(C6:E6)</f>
        <v/>
      </c>
    </row>
    <row r="7" ht="21" customHeight="1">
      <c r="A7" s="69" t="n">
        <v>68850</v>
      </c>
      <c r="B7" s="106">
        <f>INDEX(OfficialTeamList[Team Name],MATCH(RobotGameScores[[#This Row],[Team Number]], OfficialTeamList[Team Number],0))</f>
        <v/>
      </c>
      <c r="C7" s="70" t="n"/>
      <c r="D7" s="70" t="n"/>
      <c r="E7" s="70" t="n"/>
      <c r="F7" s="74">
        <f>MAX(C7:E7)</f>
        <v/>
      </c>
    </row>
    <row r="8" ht="21" customHeight="1">
      <c r="A8" s="69" t="n">
        <v>71673</v>
      </c>
      <c r="B8" s="106">
        <f>INDEX(OfficialTeamList[Team Name],MATCH(RobotGameScores[[#This Row],[Team Number]], OfficialTeamList[Team Number],0))</f>
        <v/>
      </c>
      <c r="C8" s="70" t="n"/>
      <c r="D8" s="70" t="n"/>
      <c r="E8" s="70" t="n"/>
      <c r="F8" s="74">
        <f>MAX(C8:E8)</f>
        <v/>
      </c>
    </row>
    <row r="9" ht="21" customHeight="1">
      <c r="A9" s="69" t="n"/>
      <c r="B9" s="69" t="n"/>
      <c r="C9" s="69" t="n"/>
      <c r="D9" s="69" t="n"/>
      <c r="E9" s="69" t="n"/>
      <c r="F9" s="84" t="n"/>
    </row>
    <row r="10" ht="21" customHeight="1">
      <c r="A10" s="69" t="n"/>
      <c r="B10" s="69" t="n"/>
      <c r="C10" s="69" t="n"/>
      <c r="D10" s="69" t="n"/>
      <c r="E10" s="69" t="n"/>
      <c r="F10" s="84" t="n"/>
    </row>
    <row r="11" ht="21" customHeight="1">
      <c r="A11" s="69" t="n"/>
      <c r="B11" s="69" t="n"/>
      <c r="C11" s="69" t="n"/>
      <c r="D11" s="69" t="n"/>
      <c r="E11" s="69" t="n"/>
      <c r="F11" s="84" t="n"/>
    </row>
    <row r="12" ht="21" customHeight="1">
      <c r="A12" s="69" t="n"/>
      <c r="B12" s="69" t="n"/>
      <c r="C12" s="69" t="n"/>
      <c r="D12" s="69" t="n"/>
      <c r="E12" s="69" t="n"/>
      <c r="F12" s="84" t="n"/>
    </row>
    <row r="13" ht="21" customHeight="1">
      <c r="A13" s="69" t="n"/>
      <c r="B13" s="69" t="n"/>
      <c r="C13" s="69" t="n"/>
      <c r="D13" s="69" t="n"/>
      <c r="E13" s="69" t="n"/>
      <c r="F13" s="84" t="n"/>
    </row>
    <row r="14" ht="21" customHeight="1">
      <c r="A14" s="69" t="n"/>
      <c r="B14" s="69" t="n"/>
      <c r="C14" s="69" t="n"/>
      <c r="D14" s="69" t="n"/>
      <c r="E14" s="69" t="n"/>
      <c r="F14" s="84" t="n"/>
    </row>
    <row r="15" ht="21" customHeight="1">
      <c r="A15" s="69" t="n"/>
      <c r="B15" s="69" t="n"/>
      <c r="C15" s="69" t="n"/>
      <c r="D15" s="69" t="n"/>
      <c r="E15" s="69" t="n"/>
      <c r="F15" s="84" t="n"/>
    </row>
    <row r="16" ht="21" customHeight="1">
      <c r="A16" s="69" t="n"/>
      <c r="B16" s="69" t="n"/>
      <c r="C16" s="69" t="n"/>
      <c r="D16" s="69" t="n"/>
      <c r="E16" s="69" t="n"/>
      <c r="F16" s="84" t="n"/>
    </row>
    <row r="17" ht="21" customHeight="1">
      <c r="A17" s="69" t="n"/>
      <c r="B17" s="69" t="n"/>
      <c r="C17" s="69" t="n"/>
      <c r="D17" s="69" t="n"/>
      <c r="E17" s="69" t="n"/>
      <c r="F17" s="84" t="n"/>
    </row>
    <row r="18" ht="21" customHeight="1">
      <c r="A18" s="69" t="n"/>
      <c r="B18" s="69" t="n"/>
      <c r="C18" s="69" t="n"/>
      <c r="D18" s="69" t="n"/>
      <c r="E18" s="69" t="n"/>
      <c r="F18" s="84" t="n"/>
    </row>
    <row r="19" ht="21" customHeight="1">
      <c r="A19" s="69" t="n"/>
      <c r="B19" s="69" t="n"/>
      <c r="C19" s="69" t="n"/>
      <c r="D19" s="69" t="n"/>
      <c r="E19" s="69" t="n"/>
      <c r="F19" s="84" t="n"/>
    </row>
    <row r="20" ht="21" customHeight="1">
      <c r="A20" s="69" t="n"/>
      <c r="B20" s="69" t="n"/>
      <c r="C20" s="69" t="n"/>
      <c r="D20" s="69" t="n"/>
      <c r="E20" s="69" t="n"/>
      <c r="F20" s="84" t="n"/>
    </row>
    <row r="21" ht="21" customHeight="1">
      <c r="A21" s="69" t="n"/>
      <c r="B21" s="69" t="n"/>
      <c r="C21" s="69" t="n"/>
      <c r="D21" s="69" t="n"/>
      <c r="E21" s="69" t="n"/>
      <c r="F21" s="84" t="n"/>
    </row>
    <row r="22" ht="21" customHeight="1">
      <c r="A22" s="69" t="n"/>
      <c r="B22" s="69" t="n"/>
      <c r="C22" s="69" t="n"/>
      <c r="D22" s="69" t="n"/>
      <c r="E22" s="69" t="n"/>
      <c r="F22" s="84" t="n"/>
    </row>
    <row r="23" ht="21" customHeight="1">
      <c r="A23" s="69" t="n"/>
      <c r="B23" s="69" t="n"/>
      <c r="C23" s="69" t="n"/>
      <c r="D23" s="69" t="n"/>
      <c r="E23" s="69" t="n"/>
      <c r="F23" s="84" t="n"/>
    </row>
    <row r="24" ht="21" customHeight="1">
      <c r="A24" s="69" t="n"/>
      <c r="B24" s="69" t="n"/>
      <c r="C24" s="69" t="n"/>
      <c r="D24" s="69" t="n"/>
      <c r="E24" s="69" t="n"/>
      <c r="F24" s="84" t="n"/>
    </row>
    <row r="25" ht="21" customHeight="1">
      <c r="A25" s="69" t="n"/>
      <c r="B25" s="69" t="n"/>
      <c r="C25" s="69" t="n"/>
      <c r="D25" s="69" t="n"/>
      <c r="E25" s="69" t="n"/>
      <c r="F25" s="84" t="n"/>
    </row>
    <row r="26" ht="21" customHeight="1">
      <c r="A26" s="69" t="n"/>
      <c r="B26" s="69" t="n"/>
      <c r="C26" s="69" t="n"/>
      <c r="D26" s="69" t="n"/>
      <c r="E26" s="69" t="n"/>
      <c r="F26" s="84" t="n"/>
    </row>
    <row r="27" ht="21" customHeight="1">
      <c r="A27" s="69" t="n"/>
      <c r="B27" s="69" t="n"/>
      <c r="C27" s="69" t="n"/>
      <c r="D27" s="69" t="n"/>
      <c r="E27" s="69" t="n"/>
      <c r="F27" s="84" t="n"/>
    </row>
    <row r="28" ht="21" customHeight="1">
      <c r="A28" s="69" t="n"/>
      <c r="B28" s="69" t="n"/>
      <c r="C28" s="69" t="n"/>
      <c r="D28" s="69" t="n"/>
      <c r="E28" s="69" t="n"/>
      <c r="F28" s="84" t="n"/>
    </row>
    <row r="29" ht="21" customHeight="1">
      <c r="A29" s="69" t="n"/>
      <c r="B29" s="69" t="n"/>
      <c r="C29" s="69" t="n"/>
      <c r="D29" s="69" t="n"/>
      <c r="E29" s="69" t="n"/>
      <c r="F29" s="84" t="n"/>
    </row>
    <row r="30" ht="21" customHeight="1">
      <c r="A30" s="69" t="n"/>
      <c r="B30" s="69" t="n"/>
      <c r="C30" s="69" t="n"/>
      <c r="D30" s="69" t="n"/>
      <c r="E30" s="69" t="n"/>
      <c r="F30" s="84" t="n"/>
    </row>
    <row r="31" ht="21" customHeight="1">
      <c r="A31" s="69" t="n"/>
      <c r="B31" s="69" t="n"/>
      <c r="C31" s="69" t="n"/>
      <c r="D31" s="69" t="n"/>
      <c r="E31" s="69" t="n"/>
      <c r="F31" s="84" t="n"/>
    </row>
    <row r="32" ht="21" customHeight="1">
      <c r="A32" s="69" t="n"/>
      <c r="B32" s="69" t="n"/>
      <c r="C32" s="69" t="n"/>
      <c r="D32" s="69" t="n"/>
      <c r="E32" s="69" t="n"/>
      <c r="F32" s="84" t="n"/>
    </row>
    <row r="33" ht="21" customHeight="1">
      <c r="A33" s="69" t="n"/>
      <c r="B33" s="69" t="n"/>
      <c r="C33" s="69" t="n"/>
      <c r="D33" s="69" t="n"/>
      <c r="E33" s="69" t="n"/>
      <c r="F33" s="84" t="n"/>
    </row>
    <row r="34" ht="21" customHeight="1">
      <c r="A34" s="69" t="n"/>
      <c r="B34" s="69" t="n"/>
      <c r="C34" s="69" t="n"/>
      <c r="D34" s="69" t="n"/>
      <c r="E34" s="69" t="n"/>
      <c r="F34" s="84" t="n"/>
    </row>
    <row r="35" ht="21" customHeight="1">
      <c r="A35" s="69" t="n"/>
      <c r="B35" s="69" t="n"/>
      <c r="C35" s="69" t="n"/>
      <c r="D35" s="69" t="n"/>
      <c r="E35" s="69" t="n"/>
      <c r="F35" s="84" t="n"/>
    </row>
    <row r="36" ht="21" customHeight="1">
      <c r="A36" s="69" t="n"/>
      <c r="B36" s="69" t="n"/>
      <c r="C36" s="69" t="n"/>
      <c r="D36" s="69" t="n"/>
      <c r="E36" s="69" t="n"/>
      <c r="F36" s="84" t="n"/>
    </row>
    <row r="37" ht="21" customHeight="1">
      <c r="F37" s="85" t="n"/>
    </row>
    <row r="38" ht="21" customHeight="1">
      <c r="F38" s="85" t="n"/>
    </row>
    <row r="39" ht="21" customHeight="1">
      <c r="F39" s="85" t="n"/>
    </row>
    <row r="40" ht="21" customHeight="1">
      <c r="F40" s="85" t="n"/>
    </row>
    <row r="41" ht="21" customHeight="1">
      <c r="F41" s="85" t="n"/>
    </row>
    <row r="42" ht="21" customHeight="1">
      <c r="F42" s="85" t="n"/>
    </row>
    <row r="43" ht="21" customHeight="1">
      <c r="A43" s="75" t="n"/>
      <c r="B43" s="75" t="n"/>
      <c r="C43" s="75" t="n"/>
      <c r="D43" s="75" t="n"/>
      <c r="E43" s="75" t="n"/>
      <c r="F43" s="76" t="n"/>
    </row>
    <row r="44" ht="21" customHeight="1">
      <c r="A44" s="75" t="n"/>
      <c r="B44" s="75" t="n"/>
      <c r="C44" s="75" t="n"/>
      <c r="D44" s="75" t="n"/>
      <c r="E44" s="75" t="n"/>
      <c r="F44" s="76" t="n"/>
    </row>
    <row r="45" ht="21" customHeight="1">
      <c r="A45" s="75" t="n"/>
      <c r="B45" s="75" t="n"/>
      <c r="C45" s="75" t="n"/>
      <c r="D45" s="75" t="n"/>
      <c r="E45" s="75" t="n"/>
      <c r="F45" s="76" t="n"/>
    </row>
    <row r="46" ht="21" customHeight="1">
      <c r="A46" s="75" t="n"/>
      <c r="B46" s="75" t="n"/>
      <c r="C46" s="75" t="n"/>
      <c r="D46" s="75" t="n"/>
      <c r="E46" s="75" t="n"/>
      <c r="F46" s="76" t="n"/>
    </row>
    <row r="47" ht="21" customHeight="1">
      <c r="A47" s="75" t="n"/>
      <c r="B47" s="75" t="n"/>
      <c r="C47" s="75" t="n"/>
      <c r="D47" s="75" t="n"/>
      <c r="E47" s="75" t="n"/>
      <c r="F47" s="76" t="n"/>
    </row>
    <row r="48" ht="21" customHeight="1">
      <c r="A48" s="75" t="n"/>
      <c r="B48" s="75" t="n"/>
      <c r="C48" s="75" t="n"/>
      <c r="D48" s="75" t="n"/>
      <c r="E48" s="75" t="n"/>
      <c r="F48" s="76" t="n"/>
    </row>
    <row r="49" ht="21" customHeight="1">
      <c r="A49" s="75" t="n"/>
      <c r="B49" s="75" t="n"/>
      <c r="C49" s="75" t="n"/>
      <c r="D49" s="75" t="n"/>
      <c r="E49" s="75" t="n"/>
      <c r="F49" s="76" t="n"/>
    </row>
    <row r="50" ht="21" customHeight="1">
      <c r="A50" s="75" t="n"/>
      <c r="B50" s="75" t="n"/>
      <c r="C50" s="75" t="n"/>
      <c r="D50" s="75" t="n"/>
      <c r="E50" s="75" t="n"/>
      <c r="F50" s="76" t="n"/>
    </row>
    <row r="51" ht="21" customHeight="1">
      <c r="A51" s="75" t="n"/>
      <c r="B51" s="75" t="n"/>
      <c r="C51" s="75" t="n"/>
      <c r="D51" s="75" t="n"/>
      <c r="E51" s="75" t="n"/>
      <c r="F51" s="76" t="n"/>
    </row>
    <row r="52" ht="21" customHeight="1">
      <c r="A52" s="75" t="n"/>
      <c r="B52" s="75" t="n"/>
      <c r="C52" s="75" t="n"/>
      <c r="D52" s="75" t="n"/>
      <c r="E52" s="75" t="n"/>
      <c r="F52" s="76" t="n"/>
    </row>
    <row r="53" ht="21" customHeight="1">
      <c r="A53" s="75" t="n"/>
      <c r="B53" s="75" t="n"/>
      <c r="C53" s="75" t="n"/>
      <c r="D53" s="75" t="n"/>
      <c r="E53" s="75" t="n"/>
      <c r="F53" s="76" t="n"/>
    </row>
    <row r="54" ht="21" customHeight="1">
      <c r="A54" s="75" t="n"/>
      <c r="B54" s="75" t="n"/>
      <c r="C54" s="75" t="n"/>
      <c r="D54" s="75" t="n"/>
      <c r="E54" s="75" t="n"/>
      <c r="F54" s="76" t="n"/>
    </row>
    <row r="55" ht="21" customHeight="1">
      <c r="A55" s="75" t="n"/>
      <c r="B55" s="75" t="n"/>
      <c r="C55" s="75" t="n"/>
      <c r="D55" s="75" t="n"/>
      <c r="E55" s="75" t="n"/>
      <c r="F55" s="76" t="n"/>
    </row>
    <row r="56" ht="21" customHeight="1">
      <c r="A56" s="75" t="n"/>
      <c r="B56" s="75" t="n"/>
      <c r="C56" s="75" t="n"/>
      <c r="D56" s="75" t="n"/>
      <c r="E56" s="75" t="n"/>
      <c r="F56" s="76" t="n"/>
    </row>
    <row r="57" ht="21" customHeight="1">
      <c r="A57" s="75" t="n"/>
      <c r="B57" s="75" t="n"/>
      <c r="C57" s="75" t="n"/>
      <c r="D57" s="75" t="n"/>
      <c r="E57" s="75" t="n"/>
      <c r="F57" s="76" t="n"/>
    </row>
    <row r="58" ht="21" customHeight="1">
      <c r="A58" s="75" t="n"/>
      <c r="B58" s="75" t="n"/>
      <c r="C58" s="75" t="n"/>
      <c r="D58" s="75" t="n"/>
      <c r="E58" s="75" t="n"/>
      <c r="F58" s="76" t="n"/>
    </row>
    <row r="59" ht="21" customHeight="1">
      <c r="A59" s="75" t="n"/>
      <c r="B59" s="75" t="n"/>
      <c r="C59" s="75" t="n"/>
      <c r="D59" s="75" t="n"/>
      <c r="E59" s="75" t="n"/>
      <c r="F59" s="76" t="n"/>
    </row>
    <row r="60" ht="21" customHeight="1">
      <c r="A60" s="75" t="n"/>
      <c r="B60" s="75" t="n"/>
      <c r="C60" s="75" t="n"/>
      <c r="D60" s="75" t="n"/>
      <c r="E60" s="75" t="n"/>
      <c r="F60" s="76" t="n"/>
    </row>
    <row r="61" ht="21" customHeight="1">
      <c r="A61" s="75" t="n"/>
      <c r="B61" s="75" t="n"/>
      <c r="C61" s="75" t="n"/>
      <c r="D61" s="75" t="n"/>
      <c r="E61" s="75" t="n"/>
      <c r="F61" s="76" t="n"/>
    </row>
    <row r="62" ht="21" customHeight="1">
      <c r="A62" s="75" t="n"/>
      <c r="B62" s="75" t="n"/>
      <c r="C62" s="75" t="n"/>
      <c r="D62" s="75" t="n"/>
      <c r="E62" s="75" t="n"/>
      <c r="F62" s="76" t="n"/>
    </row>
    <row r="63" ht="21" customHeight="1">
      <c r="A63" s="75" t="n"/>
      <c r="B63" s="75" t="n"/>
      <c r="C63" s="75" t="n"/>
      <c r="D63" s="75" t="n"/>
      <c r="E63" s="75" t="n"/>
      <c r="F63" s="76" t="n"/>
    </row>
    <row r="64" ht="21" customHeight="1">
      <c r="A64" s="75" t="n"/>
      <c r="B64" s="75" t="n"/>
      <c r="C64" s="75" t="n"/>
      <c r="D64" s="75" t="n"/>
      <c r="E64" s="75" t="n"/>
      <c r="F64" s="76" t="n"/>
    </row>
    <row r="65" ht="21" customHeight="1">
      <c r="A65" s="75" t="n"/>
      <c r="B65" s="75" t="n"/>
      <c r="C65" s="75" t="n"/>
      <c r="D65" s="75" t="n"/>
      <c r="E65" s="75" t="n"/>
      <c r="F65" s="76" t="n"/>
    </row>
    <row r="66" ht="21" customHeight="1">
      <c r="A66" s="75" t="n"/>
      <c r="B66" s="75" t="n"/>
      <c r="C66" s="75" t="n"/>
      <c r="D66" s="75" t="n"/>
      <c r="E66" s="75" t="n"/>
      <c r="F66" s="76" t="n"/>
    </row>
    <row r="67" ht="21" customHeight="1">
      <c r="A67" s="75" t="n"/>
      <c r="B67" s="75" t="n"/>
      <c r="C67" s="75" t="n"/>
      <c r="D67" s="75" t="n"/>
      <c r="E67" s="75" t="n"/>
      <c r="F67" s="76" t="n"/>
    </row>
    <row r="68" ht="21" customHeight="1">
      <c r="A68" s="75" t="n"/>
      <c r="B68" s="75" t="n"/>
      <c r="C68" s="75" t="n"/>
      <c r="D68" s="75" t="n"/>
      <c r="E68" s="75" t="n"/>
      <c r="F68" s="76" t="n"/>
    </row>
    <row r="69" ht="21" customHeight="1">
      <c r="A69" s="75" t="n"/>
      <c r="B69" s="75" t="n"/>
      <c r="C69" s="75" t="n"/>
      <c r="D69" s="75" t="n"/>
      <c r="E69" s="75" t="n"/>
      <c r="F69" s="76" t="n"/>
    </row>
    <row r="70" ht="21" customHeight="1">
      <c r="A70" s="75" t="n"/>
      <c r="B70" s="75" t="n"/>
      <c r="C70" s="75" t="n"/>
      <c r="D70" s="75" t="n"/>
      <c r="E70" s="75" t="n"/>
      <c r="F70" s="76" t="n"/>
    </row>
    <row r="71" ht="21" customHeight="1">
      <c r="A71" s="75" t="n"/>
      <c r="B71" s="75" t="n"/>
      <c r="C71" s="75" t="n"/>
      <c r="D71" s="75" t="n"/>
      <c r="E71" s="75" t="n"/>
      <c r="F71" s="76" t="n"/>
    </row>
    <row r="72" ht="21" customHeight="1">
      <c r="A72" s="75" t="n"/>
      <c r="B72" s="75" t="n"/>
      <c r="C72" s="75" t="n"/>
      <c r="D72" s="75" t="n"/>
      <c r="E72" s="75" t="n"/>
      <c r="F72" s="76" t="n"/>
    </row>
    <row r="73" ht="21" customHeight="1">
      <c r="A73" s="75" t="n"/>
      <c r="B73" s="75" t="n"/>
      <c r="C73" s="75" t="n"/>
      <c r="D73" s="75" t="n"/>
      <c r="E73" s="75" t="n"/>
      <c r="F73" s="76" t="n"/>
    </row>
    <row r="74" ht="21" customHeight="1">
      <c r="A74" s="75" t="n"/>
      <c r="B74" s="75" t="n"/>
      <c r="C74" s="75" t="n"/>
      <c r="D74" s="75" t="n"/>
      <c r="E74" s="75" t="n"/>
      <c r="F74" s="76" t="n"/>
    </row>
    <row r="75" ht="21" customHeight="1">
      <c r="A75" s="75" t="n"/>
      <c r="B75" s="75" t="n"/>
      <c r="C75" s="75" t="n"/>
      <c r="D75" s="75" t="n"/>
      <c r="E75" s="75" t="n"/>
      <c r="F75" s="76" t="n"/>
    </row>
    <row r="76" ht="21" customHeight="1">
      <c r="A76" s="75" t="n"/>
      <c r="B76" s="75" t="n"/>
      <c r="C76" s="75" t="n"/>
      <c r="D76" s="75" t="n"/>
      <c r="E76" s="75" t="n"/>
      <c r="F76" s="76" t="n"/>
    </row>
    <row r="77" ht="21" customHeight="1">
      <c r="A77" s="75" t="n"/>
      <c r="B77" s="75" t="n"/>
      <c r="C77" s="75" t="n"/>
      <c r="D77" s="75" t="n"/>
      <c r="E77" s="75" t="n"/>
      <c r="F77" s="76" t="n"/>
    </row>
    <row r="78" ht="21" customHeight="1">
      <c r="A78" s="75" t="n"/>
      <c r="B78" s="75" t="n"/>
      <c r="C78" s="75" t="n"/>
      <c r="D78" s="75" t="n"/>
      <c r="E78" s="75" t="n"/>
      <c r="F78" s="76" t="n"/>
    </row>
    <row r="79" ht="21" customHeight="1">
      <c r="A79" s="75" t="n"/>
      <c r="B79" s="75" t="n"/>
      <c r="C79" s="75" t="n"/>
      <c r="D79" s="75" t="n"/>
      <c r="E79" s="75" t="n"/>
      <c r="F79" s="76" t="n"/>
    </row>
    <row r="80" ht="21" customHeight="1">
      <c r="A80" s="75" t="n"/>
      <c r="B80" s="75" t="n"/>
      <c r="C80" s="75" t="n"/>
      <c r="D80" s="75" t="n"/>
      <c r="E80" s="75" t="n"/>
      <c r="F80" s="76" t="n"/>
    </row>
    <row r="81" ht="21" customHeight="1">
      <c r="A81" s="75" t="n"/>
      <c r="B81" s="75" t="n"/>
      <c r="C81" s="75" t="n"/>
      <c r="D81" s="75" t="n"/>
      <c r="E81" s="75" t="n"/>
      <c r="F81" s="76" t="n"/>
    </row>
    <row r="82" ht="21" customHeight="1">
      <c r="A82" s="75" t="n"/>
      <c r="B82" s="75" t="n"/>
      <c r="C82" s="75" t="n"/>
      <c r="D82" s="75" t="n"/>
      <c r="E82" s="75" t="n"/>
      <c r="F82" s="76" t="n"/>
    </row>
    <row r="83" ht="21" customHeight="1">
      <c r="A83" s="75" t="n"/>
      <c r="B83" s="75" t="n"/>
      <c r="C83" s="75" t="n"/>
      <c r="D83" s="75" t="n"/>
      <c r="E83" s="75" t="n"/>
      <c r="F83" s="76" t="n"/>
    </row>
    <row r="84" ht="21" customHeight="1">
      <c r="A84" s="75" t="n"/>
      <c r="B84" s="75" t="n"/>
      <c r="C84" s="75" t="n"/>
      <c r="D84" s="75" t="n"/>
      <c r="E84" s="75" t="n"/>
      <c r="F84" s="76" t="n"/>
    </row>
    <row r="85" ht="21" customHeight="1">
      <c r="A85" s="75" t="n"/>
      <c r="B85" s="75" t="n"/>
      <c r="C85" s="75" t="n"/>
      <c r="D85" s="75" t="n"/>
      <c r="E85" s="75" t="n"/>
      <c r="F85" s="76" t="n"/>
    </row>
    <row r="86" ht="21" customHeight="1">
      <c r="A86" s="75" t="n"/>
      <c r="B86" s="75" t="n"/>
      <c r="C86" s="75" t="n"/>
      <c r="D86" s="75" t="n"/>
      <c r="E86" s="75" t="n"/>
      <c r="F86" s="76" t="n"/>
    </row>
    <row r="87" ht="21" customHeight="1">
      <c r="A87" s="75" t="n"/>
      <c r="B87" s="75" t="n"/>
      <c r="C87" s="75" t="n"/>
      <c r="D87" s="75" t="n"/>
      <c r="E87" s="75" t="n"/>
      <c r="F87" s="76" t="n"/>
    </row>
    <row r="88" ht="21" customHeight="1">
      <c r="A88" s="75" t="n"/>
      <c r="B88" s="75" t="n"/>
      <c r="C88" s="75" t="n"/>
      <c r="D88" s="75" t="n"/>
      <c r="E88" s="75" t="n"/>
      <c r="F88" s="76" t="n"/>
    </row>
    <row r="89" ht="21" customHeight="1">
      <c r="A89" s="75" t="n"/>
      <c r="B89" s="75" t="n"/>
      <c r="C89" s="75" t="n"/>
      <c r="D89" s="75" t="n"/>
      <c r="E89" s="75" t="n"/>
      <c r="F89" s="76" t="n"/>
    </row>
    <row r="90" ht="21" customHeight="1">
      <c r="A90" s="75" t="n"/>
      <c r="B90" s="75" t="n"/>
      <c r="C90" s="75" t="n"/>
      <c r="D90" s="75" t="n"/>
      <c r="E90" s="75" t="n"/>
      <c r="F90" s="76" t="n"/>
    </row>
    <row r="91" ht="21" customHeight="1">
      <c r="A91" s="75" t="n"/>
      <c r="B91" s="75" t="n"/>
      <c r="C91" s="75" t="n"/>
      <c r="D91" s="75" t="n"/>
      <c r="E91" s="75" t="n"/>
      <c r="F91" s="76" t="n"/>
    </row>
    <row r="92" ht="21" customHeight="1">
      <c r="A92" s="75" t="n"/>
      <c r="B92" s="75" t="n"/>
      <c r="C92" s="75" t="n"/>
      <c r="D92" s="75" t="n"/>
      <c r="E92" s="75" t="n"/>
      <c r="F92" s="76" t="n"/>
    </row>
    <row r="93" ht="21" customHeight="1">
      <c r="A93" s="75" t="n"/>
      <c r="B93" s="75" t="n"/>
      <c r="C93" s="75" t="n"/>
      <c r="D93" s="75" t="n"/>
      <c r="E93" s="75" t="n"/>
      <c r="F93" s="76" t="n"/>
    </row>
    <row r="94" ht="21" customHeight="1">
      <c r="A94" s="75" t="n"/>
      <c r="B94" s="75" t="n"/>
      <c r="C94" s="75" t="n"/>
      <c r="D94" s="75" t="n"/>
      <c r="E94" s="75" t="n"/>
      <c r="F94" s="76" t="n"/>
    </row>
    <row r="95" ht="21" customHeight="1">
      <c r="A95" s="75" t="n"/>
      <c r="B95" s="75" t="n"/>
      <c r="C95" s="75" t="n"/>
      <c r="D95" s="75" t="n"/>
      <c r="E95" s="75" t="n"/>
      <c r="F95" s="76" t="n"/>
    </row>
    <row r="96" ht="21" customHeight="1">
      <c r="A96" s="75" t="n"/>
      <c r="B96" s="75" t="n"/>
      <c r="C96" s="75" t="n"/>
      <c r="D96" s="75" t="n"/>
      <c r="E96" s="75" t="n"/>
      <c r="F96" s="76" t="n"/>
    </row>
    <row r="97" ht="21" customHeight="1">
      <c r="A97" s="75" t="n"/>
      <c r="B97" s="75" t="n"/>
      <c r="C97" s="75" t="n"/>
      <c r="D97" s="75" t="n"/>
      <c r="E97" s="75" t="n"/>
      <c r="F97" s="76" t="n"/>
    </row>
    <row r="98" ht="21" customHeight="1">
      <c r="A98" s="75" t="n"/>
      <c r="B98" s="75" t="n"/>
      <c r="C98" s="75" t="n"/>
      <c r="D98" s="75" t="n"/>
      <c r="E98" s="75" t="n"/>
      <c r="F98" s="76" t="n"/>
    </row>
    <row r="99" ht="21" customHeight="1">
      <c r="A99" s="75" t="n"/>
      <c r="B99" s="75" t="n"/>
      <c r="C99" s="75" t="n"/>
      <c r="D99" s="75" t="n"/>
      <c r="E99" s="75" t="n"/>
      <c r="F99" s="76" t="n"/>
    </row>
    <row r="100" ht="21" customHeight="1">
      <c r="A100" s="75" t="n"/>
      <c r="B100" s="75" t="n"/>
      <c r="C100" s="75" t="n"/>
      <c r="D100" s="75" t="n"/>
      <c r="E100" s="75" t="n"/>
      <c r="F100" s="76" t="n"/>
    </row>
    <row r="101" ht="21" customHeight="1">
      <c r="A101" s="75" t="n"/>
      <c r="B101" s="75" t="n"/>
      <c r="C101" s="75" t="n"/>
      <c r="D101" s="75" t="n"/>
      <c r="E101" s="75" t="n"/>
      <c r="F101" s="76" t="n"/>
    </row>
    <row r="102" ht="21" customHeight="1">
      <c r="A102" s="75" t="n"/>
      <c r="B102" s="75" t="n"/>
      <c r="C102" s="75" t="n"/>
      <c r="D102" s="75" t="n"/>
      <c r="E102" s="75" t="n"/>
      <c r="F102" s="76" t="n"/>
    </row>
    <row r="103" ht="21" customHeight="1">
      <c r="A103" s="75" t="n"/>
      <c r="B103" s="75" t="n"/>
      <c r="C103" s="75" t="n"/>
      <c r="D103" s="75" t="n"/>
      <c r="E103" s="75" t="n"/>
      <c r="F103" s="76" t="n"/>
    </row>
    <row r="104" ht="21" customHeight="1">
      <c r="A104" s="75" t="n"/>
      <c r="B104" s="75" t="n"/>
      <c r="C104" s="75" t="n"/>
      <c r="D104" s="75" t="n"/>
      <c r="E104" s="75" t="n"/>
      <c r="F104" s="76" t="n"/>
    </row>
    <row r="105" ht="21" customHeight="1">
      <c r="A105" s="75" t="n"/>
      <c r="B105" s="75" t="n"/>
      <c r="C105" s="75" t="n"/>
      <c r="D105" s="75" t="n"/>
      <c r="E105" s="75" t="n"/>
      <c r="F105" s="76" t="n"/>
    </row>
    <row r="106" ht="21" customHeight="1">
      <c r="A106" s="75" t="n"/>
      <c r="B106" s="75" t="n"/>
      <c r="C106" s="75" t="n"/>
      <c r="D106" s="75" t="n"/>
      <c r="E106" s="75" t="n"/>
      <c r="F106" s="76" t="n"/>
    </row>
    <row r="107" ht="21" customHeight="1">
      <c r="A107" s="75" t="n"/>
      <c r="B107" s="75" t="n"/>
      <c r="C107" s="75" t="n"/>
      <c r="D107" s="75" t="n"/>
      <c r="E107" s="75" t="n"/>
      <c r="F107" s="76" t="n"/>
    </row>
    <row r="108" ht="21" customHeight="1">
      <c r="A108" s="75" t="n"/>
      <c r="B108" s="75" t="n"/>
      <c r="C108" s="75" t="n"/>
      <c r="D108" s="75" t="n"/>
      <c r="E108" s="75" t="n"/>
      <c r="F108" s="76" t="n"/>
    </row>
    <row r="109" ht="21" customHeight="1">
      <c r="A109" s="75" t="n"/>
      <c r="B109" s="75" t="n"/>
      <c r="C109" s="75" t="n"/>
      <c r="D109" s="75" t="n"/>
      <c r="E109" s="75" t="n"/>
      <c r="F109" s="76" t="n"/>
    </row>
    <row r="110" ht="21" customHeight="1">
      <c r="A110" s="75" t="n"/>
      <c r="B110" s="75" t="n"/>
      <c r="C110" s="75" t="n"/>
      <c r="D110" s="75" t="n"/>
      <c r="E110" s="75" t="n"/>
      <c r="F110" s="76" t="n"/>
    </row>
    <row r="111" ht="21" customHeight="1">
      <c r="A111" s="75" t="n"/>
      <c r="B111" s="75" t="n"/>
      <c r="C111" s="75" t="n"/>
      <c r="D111" s="75" t="n"/>
      <c r="E111" s="75" t="n"/>
      <c r="F111" s="76" t="n"/>
    </row>
    <row r="112" ht="21" customHeight="1">
      <c r="A112" s="75" t="n"/>
      <c r="B112" s="75" t="n"/>
      <c r="C112" s="75" t="n"/>
      <c r="D112" s="75" t="n"/>
      <c r="E112" s="75" t="n"/>
      <c r="F112" s="76" t="n"/>
    </row>
    <row r="113" ht="21" customHeight="1">
      <c r="A113" s="75" t="n"/>
      <c r="B113" s="75" t="n"/>
      <c r="C113" s="75" t="n"/>
      <c r="D113" s="75" t="n"/>
      <c r="E113" s="75" t="n"/>
      <c r="F113" s="76" t="n"/>
    </row>
    <row r="114" ht="21" customHeight="1">
      <c r="A114" s="75" t="n"/>
      <c r="B114" s="75" t="n"/>
      <c r="C114" s="75" t="n"/>
      <c r="D114" s="75" t="n"/>
      <c r="E114" s="75" t="n"/>
      <c r="F114" s="76" t="n"/>
    </row>
    <row r="115" ht="21" customHeight="1">
      <c r="A115" s="75" t="n"/>
      <c r="B115" s="75" t="n"/>
      <c r="C115" s="75" t="n"/>
      <c r="D115" s="75" t="n"/>
      <c r="E115" s="75" t="n"/>
      <c r="F115" s="76" t="n"/>
    </row>
    <row r="116" ht="21" customHeight="1">
      <c r="A116" s="75" t="n"/>
      <c r="B116" s="75" t="n"/>
      <c r="C116" s="75" t="n"/>
      <c r="D116" s="75" t="n"/>
      <c r="E116" s="75" t="n"/>
      <c r="F116" s="76" t="n"/>
    </row>
    <row r="117" ht="21" customHeight="1">
      <c r="A117" s="75" t="n"/>
      <c r="B117" s="75" t="n"/>
      <c r="C117" s="75" t="n"/>
      <c r="D117" s="75" t="n"/>
      <c r="E117" s="75" t="n"/>
      <c r="F117" s="76" t="n"/>
    </row>
    <row r="118" ht="21" customHeight="1">
      <c r="A118" s="75" t="n"/>
      <c r="B118" s="75" t="n"/>
      <c r="C118" s="75" t="n"/>
      <c r="D118" s="75" t="n"/>
      <c r="E118" s="75" t="n"/>
      <c r="F118" s="76" t="n"/>
    </row>
    <row r="119" ht="21" customHeight="1">
      <c r="A119" s="75" t="n"/>
      <c r="B119" s="75" t="n"/>
      <c r="C119" s="75" t="n"/>
      <c r="D119" s="75" t="n"/>
      <c r="E119" s="75" t="n"/>
      <c r="F119" s="76" t="n"/>
    </row>
    <row r="120" ht="21" customHeight="1">
      <c r="A120" s="75" t="n"/>
      <c r="B120" s="75" t="n"/>
      <c r="C120" s="75" t="n"/>
      <c r="D120" s="75" t="n"/>
      <c r="E120" s="75" t="n"/>
      <c r="F120" s="76" t="n"/>
    </row>
    <row r="121" ht="21" customHeight="1">
      <c r="A121" s="75" t="n"/>
      <c r="B121" s="75" t="n"/>
      <c r="C121" s="75" t="n"/>
      <c r="D121" s="75" t="n"/>
      <c r="E121" s="75" t="n"/>
      <c r="F121" s="76" t="n"/>
    </row>
    <row r="122" ht="21" customHeight="1">
      <c r="A122" s="75" t="n"/>
      <c r="B122" s="75" t="n"/>
      <c r="C122" s="75" t="n"/>
      <c r="D122" s="75" t="n"/>
      <c r="E122" s="75" t="n"/>
      <c r="F122" s="76" t="n"/>
    </row>
    <row r="123" ht="21" customHeight="1">
      <c r="A123" s="75" t="n"/>
      <c r="B123" s="75" t="n"/>
      <c r="C123" s="75" t="n"/>
      <c r="D123" s="75" t="n"/>
      <c r="E123" s="75" t="n"/>
      <c r="F123" s="76" t="n"/>
    </row>
    <row r="124" ht="21" customHeight="1">
      <c r="A124" s="75" t="n"/>
      <c r="B124" s="75" t="n"/>
      <c r="C124" s="75" t="n"/>
      <c r="D124" s="75" t="n"/>
      <c r="E124" s="75" t="n"/>
      <c r="F124" s="76" t="n"/>
    </row>
    <row r="125" ht="21" customHeight="1">
      <c r="A125" s="75" t="n"/>
      <c r="B125" s="75" t="n"/>
      <c r="C125" s="75" t="n"/>
      <c r="D125" s="75" t="n"/>
      <c r="E125" s="75" t="n"/>
      <c r="F125" s="76" t="n"/>
    </row>
    <row r="126" ht="21" customHeight="1">
      <c r="A126" s="75" t="n"/>
      <c r="B126" s="75" t="n"/>
      <c r="C126" s="75" t="n"/>
      <c r="D126" s="75" t="n"/>
      <c r="E126" s="75" t="n"/>
      <c r="F126" s="76" t="n"/>
    </row>
    <row r="127" ht="21" customHeight="1">
      <c r="A127" s="75" t="n"/>
      <c r="B127" s="75" t="n"/>
      <c r="C127" s="75" t="n"/>
      <c r="D127" s="75" t="n"/>
      <c r="E127" s="75" t="n"/>
      <c r="F127" s="76" t="n"/>
    </row>
    <row r="128" ht="21" customHeight="1">
      <c r="A128" s="75" t="n"/>
      <c r="B128" s="75" t="n"/>
      <c r="C128" s="75" t="n"/>
      <c r="D128" s="75" t="n"/>
      <c r="E128" s="75" t="n"/>
      <c r="F128" s="76" t="n"/>
    </row>
    <row r="129" ht="21" customHeight="1">
      <c r="A129" s="75" t="n"/>
      <c r="B129" s="75" t="n"/>
      <c r="C129" s="75" t="n"/>
      <c r="D129" s="75" t="n"/>
      <c r="E129" s="75" t="n"/>
      <c r="F129" s="76" t="n"/>
    </row>
    <row r="130" ht="21" customHeight="1">
      <c r="A130" s="75" t="n"/>
      <c r="B130" s="75" t="n"/>
      <c r="C130" s="75" t="n"/>
      <c r="D130" s="75" t="n"/>
      <c r="E130" s="75" t="n"/>
      <c r="F130" s="76" t="n"/>
    </row>
    <row r="131" ht="21" customHeight="1">
      <c r="A131" s="75" t="n"/>
      <c r="B131" s="75" t="n"/>
      <c r="C131" s="75" t="n"/>
      <c r="D131" s="75" t="n"/>
      <c r="E131" s="75" t="n"/>
      <c r="F131" s="76" t="n"/>
    </row>
    <row r="132" ht="21" customHeight="1">
      <c r="A132" s="75" t="n"/>
      <c r="B132" s="75" t="n"/>
      <c r="C132" s="75" t="n"/>
      <c r="D132" s="75" t="n"/>
      <c r="E132" s="75" t="n"/>
      <c r="F132" s="76" t="n"/>
    </row>
    <row r="133" ht="21" customHeight="1">
      <c r="A133" s="75" t="n"/>
      <c r="B133" s="75" t="n"/>
      <c r="C133" s="75" t="n"/>
      <c r="D133" s="75" t="n"/>
      <c r="E133" s="75" t="n"/>
      <c r="F133" s="76" t="n"/>
    </row>
    <row r="134" ht="21" customHeight="1">
      <c r="A134" s="75" t="n"/>
      <c r="B134" s="75" t="n"/>
      <c r="C134" s="75" t="n"/>
      <c r="D134" s="75" t="n"/>
      <c r="E134" s="75" t="n"/>
      <c r="F134" s="76" t="n"/>
    </row>
    <row r="135" ht="21" customHeight="1">
      <c r="A135" s="75" t="n"/>
      <c r="B135" s="75" t="n"/>
      <c r="C135" s="75" t="n"/>
      <c r="D135" s="75" t="n"/>
      <c r="E135" s="75" t="n"/>
      <c r="F135" s="76" t="n"/>
    </row>
    <row r="136" ht="21" customHeight="1">
      <c r="A136" s="75" t="n"/>
      <c r="B136" s="75" t="n"/>
      <c r="C136" s="75" t="n"/>
      <c r="D136" s="75" t="n"/>
      <c r="E136" s="75" t="n"/>
      <c r="F136" s="76" t="n"/>
    </row>
    <row r="137" ht="21" customHeight="1">
      <c r="A137" s="75" t="n"/>
      <c r="B137" s="75" t="n"/>
      <c r="C137" s="75" t="n"/>
      <c r="D137" s="75" t="n"/>
      <c r="E137" s="75" t="n"/>
      <c r="F137" s="76" t="n"/>
    </row>
    <row r="138" ht="21" customHeight="1">
      <c r="A138" s="75" t="n"/>
      <c r="B138" s="75" t="n"/>
      <c r="C138" s="75" t="n"/>
      <c r="D138" s="75" t="n"/>
      <c r="E138" s="75" t="n"/>
      <c r="F138" s="76" t="n"/>
    </row>
    <row r="139" ht="21" customHeight="1">
      <c r="A139" s="75" t="n"/>
      <c r="B139" s="75" t="n"/>
      <c r="C139" s="75" t="n"/>
      <c r="D139" s="75" t="n"/>
      <c r="E139" s="75" t="n"/>
      <c r="F139" s="76" t="n"/>
    </row>
    <row r="140" ht="21" customHeight="1">
      <c r="A140" s="75" t="n"/>
      <c r="B140" s="75" t="n"/>
      <c r="C140" s="75" t="n"/>
      <c r="D140" s="75" t="n"/>
      <c r="E140" s="75" t="n"/>
      <c r="F140" s="76" t="n"/>
    </row>
    <row r="141" ht="21" customHeight="1">
      <c r="A141" s="75" t="n"/>
      <c r="B141" s="75" t="n"/>
      <c r="C141" s="75" t="n"/>
      <c r="D141" s="75" t="n"/>
      <c r="E141" s="75" t="n"/>
      <c r="F141" s="76" t="n"/>
    </row>
    <row r="142" ht="21" customHeight="1">
      <c r="A142" s="75" t="n"/>
      <c r="B142" s="75" t="n"/>
      <c r="C142" s="75" t="n"/>
      <c r="D142" s="75" t="n"/>
      <c r="E142" s="75" t="n"/>
      <c r="F142" s="76" t="n"/>
    </row>
    <row r="143" ht="21" customHeight="1">
      <c r="A143" s="75" t="n"/>
      <c r="B143" s="75" t="n"/>
      <c r="C143" s="75" t="n"/>
      <c r="D143" s="75" t="n"/>
      <c r="E143" s="75" t="n"/>
      <c r="F143" s="76" t="n"/>
    </row>
    <row r="144" ht="21" customHeight="1">
      <c r="A144" s="75" t="n"/>
      <c r="B144" s="75" t="n"/>
      <c r="C144" s="75" t="n"/>
      <c r="D144" s="75" t="n"/>
      <c r="E144" s="75" t="n"/>
      <c r="F144" s="76" t="n"/>
    </row>
    <row r="145" ht="21" customHeight="1">
      <c r="A145" s="75" t="n"/>
      <c r="B145" s="75" t="n"/>
      <c r="C145" s="75" t="n"/>
      <c r="D145" s="75" t="n"/>
      <c r="E145" s="75" t="n"/>
      <c r="F145" s="76" t="n"/>
    </row>
    <row r="146" ht="21" customHeight="1">
      <c r="A146" s="75" t="n"/>
      <c r="B146" s="75" t="n"/>
      <c r="C146" s="75" t="n"/>
      <c r="D146" s="75" t="n"/>
      <c r="E146" s="75" t="n"/>
      <c r="F146" s="76" t="n"/>
    </row>
    <row r="147" ht="21" customHeight="1">
      <c r="A147" s="75" t="n"/>
      <c r="B147" s="75" t="n"/>
      <c r="C147" s="75" t="n"/>
      <c r="D147" s="75" t="n"/>
      <c r="E147" s="75" t="n"/>
      <c r="F147" s="76" t="n"/>
    </row>
    <row r="148" ht="21" customHeight="1">
      <c r="A148" s="75" t="n"/>
      <c r="B148" s="75" t="n"/>
      <c r="C148" s="75" t="n"/>
      <c r="D148" s="75" t="n"/>
      <c r="E148" s="75" t="n"/>
      <c r="F148" s="76" t="n"/>
    </row>
    <row r="149" ht="21" customHeight="1">
      <c r="A149" s="75" t="n"/>
      <c r="B149" s="75" t="n"/>
      <c r="C149" s="75" t="n"/>
      <c r="D149" s="75" t="n"/>
      <c r="E149" s="75" t="n"/>
      <c r="F149" s="76" t="n"/>
    </row>
    <row r="150" ht="21" customHeight="1">
      <c r="A150" s="75" t="n"/>
      <c r="B150" s="75" t="n"/>
      <c r="C150" s="75" t="n"/>
      <c r="D150" s="75" t="n"/>
      <c r="E150" s="75" t="n"/>
      <c r="F150" s="76" t="n"/>
    </row>
    <row r="151" ht="21" customHeight="1">
      <c r="A151" s="75" t="n"/>
      <c r="B151" s="75" t="n"/>
      <c r="C151" s="75" t="n"/>
      <c r="D151" s="75" t="n"/>
      <c r="E151" s="75" t="n"/>
      <c r="F151" s="76" t="n"/>
    </row>
    <row r="152" ht="21" customHeight="1">
      <c r="A152" s="75" t="n"/>
      <c r="B152" s="75" t="n"/>
      <c r="C152" s="75" t="n"/>
      <c r="D152" s="75" t="n"/>
      <c r="E152" s="75" t="n"/>
      <c r="F152" s="76" t="n"/>
    </row>
    <row r="153" ht="21" customHeight="1">
      <c r="A153" s="75" t="n"/>
      <c r="B153" s="75" t="n"/>
      <c r="C153" s="75" t="n"/>
      <c r="D153" s="75" t="n"/>
      <c r="E153" s="75" t="n"/>
      <c r="F153" s="76" t="n"/>
    </row>
    <row r="154" ht="21" customHeight="1">
      <c r="A154" s="75" t="n"/>
      <c r="B154" s="75" t="n"/>
      <c r="C154" s="75" t="n"/>
      <c r="D154" s="75" t="n"/>
      <c r="E154" s="75" t="n"/>
      <c r="F154" s="76" t="n"/>
    </row>
    <row r="155" ht="21" customHeight="1">
      <c r="A155" s="75" t="n"/>
      <c r="B155" s="75" t="n"/>
      <c r="C155" s="75" t="n"/>
      <c r="D155" s="75" t="n"/>
      <c r="E155" s="75" t="n"/>
      <c r="F155" s="76" t="n"/>
    </row>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40" min="16" max="16"/>
  </cols>
  <sheetData>
    <row r="1" ht="150" customHeight="1">
      <c r="A1" s="56" t="inlineStr">
        <is>
          <t>Team Number</t>
        </is>
      </c>
      <c r="B1" s="56" t="inlineStr">
        <is>
          <t>POD</t>
        </is>
      </c>
      <c r="C1" s="57" t="inlineStr">
        <is>
          <t>Team Name</t>
        </is>
      </c>
      <c r="D1" s="64" t="inlineStr">
        <is>
          <t>Identify - Define</t>
        </is>
      </c>
      <c r="E1" s="64" t="inlineStr">
        <is>
          <t>Identify - Research (CV)</t>
        </is>
      </c>
      <c r="F1" s="64" t="inlineStr">
        <is>
          <t>Design - Plan</t>
        </is>
      </c>
      <c r="G1" s="64" t="inlineStr">
        <is>
          <t>Design - Teamwork (CV)</t>
        </is>
      </c>
      <c r="H1" s="64" t="inlineStr">
        <is>
          <t>Create - Innovation (CV)</t>
        </is>
      </c>
      <c r="I1" s="64" t="inlineStr">
        <is>
          <t>Create - Model</t>
        </is>
      </c>
      <c r="J1" s="64" t="inlineStr">
        <is>
          <t>Iterate - Sharing</t>
        </is>
      </c>
      <c r="K1" s="64" t="inlineStr">
        <is>
          <t>Iterate - Improvement</t>
        </is>
      </c>
      <c r="L1" s="64" t="inlineStr">
        <is>
          <t>Communicate - Impact (CV)</t>
        </is>
      </c>
      <c r="M1" s="64" t="inlineStr">
        <is>
          <t>Communicate - Fun (CV)</t>
        </is>
      </c>
      <c r="N1" s="103" t="inlineStr">
        <is>
          <t>Innovation Project Score</t>
        </is>
      </c>
      <c r="O1" s="104" t="inlineStr">
        <is>
          <t>Innovation Project Rank</t>
        </is>
      </c>
    </row>
    <row r="2" ht="21" customHeight="1">
      <c r="A2" s="69" t="n">
        <v>24277</v>
      </c>
      <c r="B2" s="69">
        <f>INDEX(OfficialTeamList[Pod Number],MATCH(InnovationProjectResults[[#This Row],[Team Number]], OfficialTeamList[Team Number],0))</f>
        <v/>
      </c>
      <c r="C2" s="106">
        <f>INDEX(OfficialTeamList[Team Name],MATCH(InnovationProjectResults[[#This Row],[Team Number]], OfficialTeamList[Team Number],0))</f>
        <v/>
      </c>
      <c r="D2" s="70" t="n"/>
      <c r="E2" s="70" t="n"/>
      <c r="F2" s="70" t="n"/>
      <c r="G2" s="70" t="n"/>
      <c r="H2" s="70" t="n"/>
      <c r="I2" s="70" t="n"/>
      <c r="J2" s="70" t="n"/>
      <c r="K2" s="70" t="n"/>
      <c r="L2" s="70" t="n"/>
      <c r="M2" s="70" t="n"/>
      <c r="N2" s="83">
        <f>SUM(InnovationProjectResults[[#This Row],[Identify - Define]:[Communicate - Fun (CV)]])</f>
        <v/>
      </c>
      <c r="O2" s="73">
        <f>_xlfn.RANK.EQ(InnovationProjectResults[[#This Row],[Innovation Project Score]],InnovationProjectResults[Innovation Project Score],0)</f>
        <v/>
      </c>
    </row>
    <row r="3" ht="21" customHeight="1">
      <c r="A3" s="69" t="n">
        <v>26034</v>
      </c>
      <c r="B3" s="69">
        <f>INDEX(OfficialTeamList[Pod Number],MATCH(InnovationProjectResults[[#This Row],[Team Number]], OfficialTeamList[Team Number],0))</f>
        <v/>
      </c>
      <c r="C3" s="106">
        <f>INDEX(OfficialTeamList[Team Name],MATCH(InnovationProjectResults[[#This Row],[Team Number]], OfficialTeamList[Team Number],0))</f>
        <v/>
      </c>
      <c r="D3" s="70" t="n"/>
      <c r="E3" s="70" t="n"/>
      <c r="F3" s="70" t="n"/>
      <c r="G3" s="70" t="n"/>
      <c r="H3" s="70" t="n"/>
      <c r="I3" s="70" t="n"/>
      <c r="J3" s="70" t="n"/>
      <c r="K3" s="70" t="n"/>
      <c r="L3" s="70" t="n"/>
      <c r="M3" s="70" t="n"/>
      <c r="N3" s="83">
        <f>SUM(InnovationProjectResults[[#This Row],[Identify - Define]:[Communicate - Fun (CV)]])</f>
        <v/>
      </c>
      <c r="O3" s="73">
        <f>_xlfn.RANK.EQ(InnovationProjectResults[[#This Row],[Innovation Project Score]],InnovationProjectResults[Innovation Project Score],0)</f>
        <v/>
      </c>
    </row>
    <row r="4" ht="21" customHeight="1">
      <c r="A4" s="69" t="n">
        <v>60801</v>
      </c>
      <c r="B4" s="69">
        <f>INDEX(OfficialTeamList[Pod Number],MATCH(InnovationProjectResults[[#This Row],[Team Number]], OfficialTeamList[Team Number],0))</f>
        <v/>
      </c>
      <c r="C4" s="106">
        <f>INDEX(OfficialTeamList[Team Name],MATCH(InnovationProjectResults[[#This Row],[Team Number]], OfficialTeamList[Team Number],0))</f>
        <v/>
      </c>
      <c r="D4" s="70" t="n"/>
      <c r="E4" s="70" t="n"/>
      <c r="F4" s="70" t="n"/>
      <c r="G4" s="70" t="n"/>
      <c r="H4" s="70" t="n"/>
      <c r="I4" s="70" t="n"/>
      <c r="J4" s="70" t="n"/>
      <c r="K4" s="70" t="n"/>
      <c r="L4" s="70" t="n"/>
      <c r="M4" s="70" t="n"/>
      <c r="N4" s="83">
        <f>SUM(InnovationProjectResults[[#This Row],[Identify - Define]:[Communicate - Fun (CV)]])</f>
        <v/>
      </c>
      <c r="O4" s="73">
        <f>_xlfn.RANK.EQ(InnovationProjectResults[[#This Row],[Innovation Project Score]],InnovationProjectResults[Innovation Project Score],0)</f>
        <v/>
      </c>
    </row>
    <row r="5" ht="21" customHeight="1">
      <c r="A5" s="69" t="n">
        <v>67083</v>
      </c>
      <c r="B5" s="69">
        <f>INDEX(OfficialTeamList[Pod Number],MATCH(InnovationProjectResults[[#This Row],[Team Number]], OfficialTeamList[Team Number],0))</f>
        <v/>
      </c>
      <c r="C5" s="106">
        <f>INDEX(OfficialTeamList[Team Name],MATCH(InnovationProjectResults[[#This Row],[Team Number]], OfficialTeamList[Team Number],0))</f>
        <v/>
      </c>
      <c r="D5" s="70" t="n"/>
      <c r="E5" s="70" t="n"/>
      <c r="F5" s="70" t="n"/>
      <c r="G5" s="70" t="n"/>
      <c r="H5" s="70" t="n"/>
      <c r="I5" s="70" t="n"/>
      <c r="J5" s="70" t="n"/>
      <c r="K5" s="70" t="n"/>
      <c r="L5" s="70" t="n"/>
      <c r="M5" s="70" t="n"/>
      <c r="N5" s="83">
        <f>SUM(InnovationProjectResults[[#This Row],[Identify - Define]:[Communicate - Fun (CV)]])</f>
        <v/>
      </c>
      <c r="O5" s="73">
        <f>_xlfn.RANK.EQ(InnovationProjectResults[[#This Row],[Innovation Project Score]],InnovationProjectResults[Innovation Project Score],0)</f>
        <v/>
      </c>
    </row>
    <row r="6" ht="21" customHeight="1">
      <c r="A6" s="69" t="n">
        <v>67801</v>
      </c>
      <c r="B6" s="69">
        <f>INDEX(OfficialTeamList[Pod Number],MATCH(InnovationProjectResults[[#This Row],[Team Number]], OfficialTeamList[Team Number],0))</f>
        <v/>
      </c>
      <c r="C6" s="106">
        <f>INDEX(OfficialTeamList[Team Name],MATCH(InnovationProjectResults[[#This Row],[Team Number]], OfficialTeamList[Team Number],0))</f>
        <v/>
      </c>
      <c r="D6" s="70" t="n"/>
      <c r="E6" s="70" t="n"/>
      <c r="F6" s="70" t="n"/>
      <c r="G6" s="70" t="n"/>
      <c r="H6" s="70" t="n"/>
      <c r="I6" s="70" t="n"/>
      <c r="J6" s="70" t="n"/>
      <c r="K6" s="70" t="n"/>
      <c r="L6" s="70" t="n"/>
      <c r="M6" s="70" t="n"/>
      <c r="N6" s="83">
        <f>SUM(InnovationProjectResults[[#This Row],[Identify - Define]:[Communicate - Fun (CV)]])</f>
        <v/>
      </c>
      <c r="O6" s="73">
        <f>_xlfn.RANK.EQ(InnovationProjectResults[[#This Row],[Innovation Project Score]],InnovationProjectResults[Innovation Project Score],0)</f>
        <v/>
      </c>
    </row>
    <row r="7" ht="21" customHeight="1">
      <c r="A7" s="69" t="n">
        <v>68850</v>
      </c>
      <c r="B7" s="69">
        <f>INDEX(OfficialTeamList[Pod Number],MATCH(InnovationProjectResults[[#This Row],[Team Number]], OfficialTeamList[Team Number],0))</f>
        <v/>
      </c>
      <c r="C7" s="106">
        <f>INDEX(OfficialTeamList[Team Name],MATCH(InnovationProjectResults[[#This Row],[Team Number]], OfficialTeamList[Team Number],0))</f>
        <v/>
      </c>
      <c r="D7" s="70" t="n"/>
      <c r="E7" s="70" t="n"/>
      <c r="F7" s="70" t="n"/>
      <c r="G7" s="70" t="n"/>
      <c r="H7" s="70" t="n"/>
      <c r="I7" s="70" t="n"/>
      <c r="J7" s="70" t="n"/>
      <c r="K7" s="70" t="n"/>
      <c r="L7" s="70" t="n"/>
      <c r="M7" s="70" t="n"/>
      <c r="N7" s="83">
        <f>SUM(InnovationProjectResults[[#This Row],[Identify - Define]:[Communicate - Fun (CV)]])</f>
        <v/>
      </c>
      <c r="O7" s="73">
        <f>_xlfn.RANK.EQ(InnovationProjectResults[[#This Row],[Innovation Project Score]],InnovationProjectResults[Innovation Project Score],0)</f>
        <v/>
      </c>
    </row>
    <row r="8" ht="21" customHeight="1">
      <c r="A8" s="69" t="n">
        <v>71673</v>
      </c>
      <c r="B8" s="69">
        <f>INDEX(OfficialTeamList[Pod Number],MATCH(InnovationProjectResults[[#This Row],[Team Number]], OfficialTeamList[Team Number],0))</f>
        <v/>
      </c>
      <c r="C8" s="106">
        <f>INDEX(OfficialTeamList[Team Name],MATCH(InnovationProjectResults[[#This Row],[Team Number]], OfficialTeamList[Team Number],0))</f>
        <v/>
      </c>
      <c r="D8" s="70" t="n"/>
      <c r="E8" s="70" t="n"/>
      <c r="F8" s="70" t="n"/>
      <c r="G8" s="70" t="n"/>
      <c r="H8" s="70" t="n"/>
      <c r="I8" s="70" t="n"/>
      <c r="J8" s="70" t="n"/>
      <c r="K8" s="70" t="n"/>
      <c r="L8" s="70" t="n"/>
      <c r="M8" s="70" t="n"/>
      <c r="N8" s="83">
        <f>SUM(InnovationProjectResults[[#This Row],[Identify - Define]:[Communicate - Fun (CV)]])</f>
        <v/>
      </c>
      <c r="O8" s="73">
        <f>_xlfn.RANK.EQ(InnovationProjectResults[[#This Row],[Innovation Project Score]],InnovationProjectResults[Innovation Project Score],0)</f>
        <v/>
      </c>
    </row>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40" min="16" max="16"/>
  </cols>
  <sheetData>
    <row r="1" ht="150" customHeight="1">
      <c r="A1" s="56" t="inlineStr">
        <is>
          <t>Team Number</t>
        </is>
      </c>
      <c r="B1" s="56" t="inlineStr">
        <is>
          <t>POD</t>
        </is>
      </c>
      <c r="C1" s="57" t="inlineStr">
        <is>
          <t>Team Name</t>
        </is>
      </c>
      <c r="D1" s="63" t="inlineStr">
        <is>
          <t>Identify - Strategy</t>
        </is>
      </c>
      <c r="E1" s="63" t="inlineStr">
        <is>
          <t>Identify - Research (CV)</t>
        </is>
      </c>
      <c r="F1" s="63" t="inlineStr">
        <is>
          <t>Design - Ideas (CV)</t>
        </is>
      </c>
      <c r="G1" s="63" t="inlineStr">
        <is>
          <t>Design - Building/Coding</t>
        </is>
      </c>
      <c r="H1" s="63" t="inlineStr">
        <is>
          <t>Create - Attachments</t>
        </is>
      </c>
      <c r="I1" s="63" t="inlineStr">
        <is>
          <t>Create - Code/ Sensors</t>
        </is>
      </c>
      <c r="J1" s="63" t="inlineStr">
        <is>
          <t>Iterate - Testing</t>
        </is>
      </c>
      <c r="K1" s="63" t="inlineStr">
        <is>
          <t>Iterate - Improvements (CV)</t>
        </is>
      </c>
      <c r="L1" s="63" t="inlineStr">
        <is>
          <t>Communicate - Impact (CV)</t>
        </is>
      </c>
      <c r="M1" s="63" t="inlineStr">
        <is>
          <t>Communicate - Fun (CV)</t>
        </is>
      </c>
      <c r="N1" s="61" t="inlineStr">
        <is>
          <t>Robot Design Score</t>
        </is>
      </c>
      <c r="O1" s="62" t="inlineStr">
        <is>
          <t>Robot Design Rank</t>
        </is>
      </c>
    </row>
    <row r="2" ht="21" customHeight="1">
      <c r="A2" s="69" t="n">
        <v>24277</v>
      </c>
      <c r="B2" s="69">
        <f>INDEX(OfficialTeamList[Pod Number],MATCH(RobotDesignResults[[#This Row],[Team Number]], OfficialTeamList[Team Number],0))</f>
        <v/>
      </c>
      <c r="C2" s="106">
        <f>INDEX(OfficialTeamList[Team Name],MATCH(RobotDesignResults[[#This Row],[Team Number]], OfficialTeamList[Team Number],0))</f>
        <v/>
      </c>
      <c r="D2" s="70" t="n"/>
      <c r="E2" s="70" t="n"/>
      <c r="F2" s="70" t="n"/>
      <c r="G2" s="70" t="n"/>
      <c r="H2" s="70" t="n"/>
      <c r="I2" s="70" t="n"/>
      <c r="J2" s="70" t="n"/>
      <c r="K2" s="70" t="n"/>
      <c r="L2" s="70" t="n"/>
      <c r="M2" s="70" t="n"/>
      <c r="N2" s="83">
        <f>SUM(RobotDesignResults[[#This Row],[Identify - Strategy]:[Communicate - Fun (CV)]])</f>
        <v/>
      </c>
      <c r="O2" s="73">
        <f>_xlfn.RANK.EQ(RobotDesignResults[[#This Row],[Robot Design Score]],RobotDesignResults[Robot Design Score],0)</f>
        <v/>
      </c>
    </row>
    <row r="3" ht="21" customHeight="1">
      <c r="A3" s="69" t="n">
        <v>26034</v>
      </c>
      <c r="B3" s="69">
        <f>INDEX(OfficialTeamList[Pod Number],MATCH(RobotDesignResults[[#This Row],[Team Number]], OfficialTeamList[Team Number],0))</f>
        <v/>
      </c>
      <c r="C3" s="106">
        <f>INDEX(OfficialTeamList[Team Name],MATCH(RobotDesignResults[[#This Row],[Team Number]], OfficialTeamList[Team Number],0))</f>
        <v/>
      </c>
      <c r="D3" s="70" t="n"/>
      <c r="E3" s="70" t="n"/>
      <c r="F3" s="70" t="n"/>
      <c r="G3" s="70" t="n"/>
      <c r="H3" s="70" t="n"/>
      <c r="I3" s="70" t="n"/>
      <c r="J3" s="70" t="n"/>
      <c r="K3" s="70" t="n"/>
      <c r="L3" s="70" t="n"/>
      <c r="M3" s="70" t="n"/>
      <c r="N3" s="83">
        <f>SUM(RobotDesignResults[[#This Row],[Identify - Strategy]:[Communicate - Fun (CV)]])</f>
        <v/>
      </c>
      <c r="O3" s="73">
        <f>_xlfn.RANK.EQ(RobotDesignResults[[#This Row],[Robot Design Score]],RobotDesignResults[Robot Design Score],0)</f>
        <v/>
      </c>
    </row>
    <row r="4" ht="21" customHeight="1">
      <c r="A4" s="69" t="n">
        <v>60801</v>
      </c>
      <c r="B4" s="69">
        <f>INDEX(OfficialTeamList[Pod Number],MATCH(RobotDesignResults[[#This Row],[Team Number]], OfficialTeamList[Team Number],0))</f>
        <v/>
      </c>
      <c r="C4" s="106">
        <f>INDEX(OfficialTeamList[Team Name],MATCH(RobotDesignResults[[#This Row],[Team Number]], OfficialTeamList[Team Number],0))</f>
        <v/>
      </c>
      <c r="D4" s="70" t="n"/>
      <c r="E4" s="70" t="n"/>
      <c r="F4" s="70" t="n"/>
      <c r="G4" s="70" t="n"/>
      <c r="H4" s="70" t="n"/>
      <c r="I4" s="70" t="n"/>
      <c r="J4" s="70" t="n"/>
      <c r="K4" s="70" t="n"/>
      <c r="L4" s="70" t="n"/>
      <c r="M4" s="70" t="n"/>
      <c r="N4" s="83">
        <f>SUM(RobotDesignResults[[#This Row],[Identify - Strategy]:[Communicate - Fun (CV)]])</f>
        <v/>
      </c>
      <c r="O4" s="73">
        <f>_xlfn.RANK.EQ(RobotDesignResults[[#This Row],[Robot Design Score]],RobotDesignResults[Robot Design Score],0)</f>
        <v/>
      </c>
    </row>
    <row r="5" ht="21" customHeight="1">
      <c r="A5" s="69" t="n">
        <v>67083</v>
      </c>
      <c r="B5" s="69">
        <f>INDEX(OfficialTeamList[Pod Number],MATCH(RobotDesignResults[[#This Row],[Team Number]], OfficialTeamList[Team Number],0))</f>
        <v/>
      </c>
      <c r="C5" s="106">
        <f>INDEX(OfficialTeamList[Team Name],MATCH(RobotDesignResults[[#This Row],[Team Number]], OfficialTeamList[Team Number],0))</f>
        <v/>
      </c>
      <c r="D5" s="70" t="n"/>
      <c r="E5" s="70" t="n"/>
      <c r="F5" s="70" t="n"/>
      <c r="G5" s="70" t="n"/>
      <c r="H5" s="70" t="n"/>
      <c r="I5" s="70" t="n"/>
      <c r="J5" s="70" t="n"/>
      <c r="K5" s="70" t="n"/>
      <c r="L5" s="70" t="n"/>
      <c r="M5" s="70" t="n"/>
      <c r="N5" s="83">
        <f>SUM(RobotDesignResults[[#This Row],[Identify - Strategy]:[Communicate - Fun (CV)]])</f>
        <v/>
      </c>
      <c r="O5" s="73">
        <f>_xlfn.RANK.EQ(RobotDesignResults[[#This Row],[Robot Design Score]],RobotDesignResults[Robot Design Score],0)</f>
        <v/>
      </c>
    </row>
    <row r="6" ht="21" customHeight="1">
      <c r="A6" s="69" t="n">
        <v>67801</v>
      </c>
      <c r="B6" s="69">
        <f>INDEX(OfficialTeamList[Pod Number],MATCH(RobotDesignResults[[#This Row],[Team Number]], OfficialTeamList[Team Number],0))</f>
        <v/>
      </c>
      <c r="C6" s="106">
        <f>INDEX(OfficialTeamList[Team Name],MATCH(RobotDesignResults[[#This Row],[Team Number]], OfficialTeamList[Team Number],0))</f>
        <v/>
      </c>
      <c r="D6" s="70" t="n"/>
      <c r="E6" s="70" t="n"/>
      <c r="F6" s="70" t="n"/>
      <c r="G6" s="70" t="n"/>
      <c r="H6" s="70" t="n"/>
      <c r="I6" s="70" t="n"/>
      <c r="J6" s="70" t="n"/>
      <c r="K6" s="70" t="n"/>
      <c r="L6" s="70" t="n"/>
      <c r="M6" s="70" t="n"/>
      <c r="N6" s="83">
        <f>SUM(RobotDesignResults[[#This Row],[Identify - Strategy]:[Communicate - Fun (CV)]])</f>
        <v/>
      </c>
      <c r="O6" s="73">
        <f>_xlfn.RANK.EQ(RobotDesignResults[[#This Row],[Robot Design Score]],RobotDesignResults[Robot Design Score],0)</f>
        <v/>
      </c>
    </row>
    <row r="7" ht="21" customHeight="1">
      <c r="A7" s="69" t="n">
        <v>68850</v>
      </c>
      <c r="B7" s="69">
        <f>INDEX(OfficialTeamList[Pod Number],MATCH(RobotDesignResults[[#This Row],[Team Number]], OfficialTeamList[Team Number],0))</f>
        <v/>
      </c>
      <c r="C7" s="106">
        <f>INDEX(OfficialTeamList[Team Name],MATCH(RobotDesignResults[[#This Row],[Team Number]], OfficialTeamList[Team Number],0))</f>
        <v/>
      </c>
      <c r="D7" s="70" t="n"/>
      <c r="E7" s="70" t="n"/>
      <c r="F7" s="70" t="n"/>
      <c r="G7" s="70" t="n"/>
      <c r="H7" s="70" t="n"/>
      <c r="I7" s="70" t="n"/>
      <c r="J7" s="70" t="n"/>
      <c r="K7" s="70" t="n"/>
      <c r="L7" s="70" t="n"/>
      <c r="M7" s="70" t="n"/>
      <c r="N7" s="83">
        <f>SUM(RobotDesignResults[[#This Row],[Identify - Strategy]:[Communicate - Fun (CV)]])</f>
        <v/>
      </c>
      <c r="O7" s="73">
        <f>_xlfn.RANK.EQ(RobotDesignResults[[#This Row],[Robot Design Score]],RobotDesignResults[Robot Design Score],0)</f>
        <v/>
      </c>
    </row>
    <row r="8" ht="21" customHeight="1">
      <c r="A8" s="69" t="n">
        <v>71673</v>
      </c>
      <c r="B8" s="69">
        <f>INDEX(OfficialTeamList[Pod Number],MATCH(RobotDesignResults[[#This Row],[Team Number]], OfficialTeamList[Team Number],0))</f>
        <v/>
      </c>
      <c r="C8" s="106">
        <f>INDEX(OfficialTeamList[Team Name],MATCH(RobotDesignResults[[#This Row],[Team Number]], OfficialTeamList[Team Number],0))</f>
        <v/>
      </c>
      <c r="D8" s="70" t="n"/>
      <c r="E8" s="70" t="n"/>
      <c r="F8" s="70" t="n"/>
      <c r="G8" s="70" t="n"/>
      <c r="H8" s="70" t="n"/>
      <c r="I8" s="70" t="n"/>
      <c r="J8" s="70" t="n"/>
      <c r="K8" s="70" t="n"/>
      <c r="L8" s="70" t="n"/>
      <c r="M8" s="70" t="n"/>
      <c r="N8" s="83">
        <f>SUM(RobotDesignResults[[#This Row],[Identify - Strategy]:[Communicate - Fun (CV)]])</f>
        <v/>
      </c>
      <c r="O8" s="73">
        <f>_xlfn.RANK.EQ(RobotDesignResults[[#This Row],[Robot Design Score]],RobotDesignResults[Robot Design Score],0)</f>
        <v/>
      </c>
    </row>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Y8"/>
  <sheetViews>
    <sheetView zoomScaleNormal="100" zoomScalePageLayoutView="14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 customWidth="1" style="42" min="4" max="4"/>
    <col width="5.85546875" customWidth="1" style="42" min="5" max="6"/>
    <col width="6.28515625" customWidth="1" style="42" min="7" max="7"/>
    <col width="5.85546875" customWidth="1" style="42" min="8" max="13"/>
    <col width="8.28515625" bestFit="1" customWidth="1" min="14" max="14"/>
    <col width="7.42578125" customWidth="1" min="15" max="18"/>
    <col width="10.42578125" customWidth="1" min="19" max="19"/>
    <col width="15.42578125" customWidth="1" min="20" max="20"/>
    <col width="8.42578125" customWidth="1" style="40" min="21" max="21"/>
    <col hidden="1" width="13" customWidth="1" min="24" max="26"/>
  </cols>
  <sheetData>
    <row r="1" ht="150" customHeight="1">
      <c r="A1" s="56" t="inlineStr">
        <is>
          <t>Team Number</t>
        </is>
      </c>
      <c r="B1" s="56" t="inlineStr">
        <is>
          <t>POD</t>
        </is>
      </c>
      <c r="C1" s="57" t="inlineStr">
        <is>
          <t>Team Name</t>
        </is>
      </c>
      <c r="D1" s="66" t="inlineStr">
        <is>
          <t>Identify - Research (CV-IP)</t>
        </is>
      </c>
      <c r="E1" s="66" t="inlineStr">
        <is>
          <t>Design - Teamwork (CV-IP)</t>
        </is>
      </c>
      <c r="F1" s="66" t="inlineStr">
        <is>
          <t>Create - Innovation (CV-IP)</t>
        </is>
      </c>
      <c r="G1" s="66" t="inlineStr">
        <is>
          <t>Communicate - Impact (CV-IP)</t>
        </is>
      </c>
      <c r="H1" s="66" t="inlineStr">
        <is>
          <t>Communicate - Fun (CV-IP)</t>
        </is>
      </c>
      <c r="I1" s="66" t="inlineStr">
        <is>
          <t>Identify - Research (CV-RD)</t>
        </is>
      </c>
      <c r="J1" s="66" t="inlineStr">
        <is>
          <t>Design - Ideas (CV-RD)</t>
        </is>
      </c>
      <c r="K1" s="66" t="inlineStr">
        <is>
          <t>Iterate - Improvements (CV-RD)</t>
        </is>
      </c>
      <c r="L1" s="66" t="inlineStr">
        <is>
          <t>Communicate - Impact (CV-RD)</t>
        </is>
      </c>
      <c r="M1" s="66" t="inlineStr">
        <is>
          <t>Communicate - Fun (CV-RD)</t>
        </is>
      </c>
      <c r="N1" s="67" t="inlineStr">
        <is>
          <t>Gracious Professionalism 1</t>
        </is>
      </c>
      <c r="O1" s="67" t="inlineStr">
        <is>
          <t>Gracious Professionalism 2</t>
        </is>
      </c>
      <c r="P1" s="67" t="inlineStr">
        <is>
          <t>Gracious Professionalism 3</t>
        </is>
      </c>
      <c r="Q1" s="67" t="inlineStr">
        <is>
          <t>Gracious Professionalism Total</t>
        </is>
      </c>
      <c r="R1" s="68" t="inlineStr">
        <is>
          <t>Gracious Professionalism Score</t>
        </is>
      </c>
      <c r="S1" s="68" t="inlineStr">
        <is>
          <t>Core Values Score</t>
        </is>
      </c>
      <c r="T1" s="68" t="inlineStr">
        <is>
          <t>Core Values Rank</t>
        </is>
      </c>
      <c r="Y1" s="33" t="n"/>
    </row>
    <row r="2" ht="21" customHeight="1">
      <c r="A2" s="69" t="n">
        <v>24277</v>
      </c>
      <c r="B2" s="69">
        <f>INDEX(OfficialTeamList[Pod Number],MATCH(CoreValuesResults[[#This Row],[Team Number]], OfficialTeamList[Team Number],0))</f>
        <v/>
      </c>
      <c r="C2" s="106">
        <f>INDEX(OfficialTeamList[Team Name],MATCH(CoreValuesResults[[#This Row],[Team Number]], OfficialTeamList[Team Number],0))</f>
        <v/>
      </c>
      <c r="D2" s="77">
        <f>INDEX(InnovationProjectResults[Identify - Research (CV)],MATCH(CoreValuesResults[[#This Row],[Team Number]],InnovationProjectResults[Team Number],0))</f>
        <v/>
      </c>
      <c r="E2" s="77">
        <f>INDEX(InnovationProjectResults[Design - Teamwork (CV)],MATCH(CoreValuesResults[[#This Row],[Team Number]],InnovationProjectResults[Team Number],0))</f>
        <v/>
      </c>
      <c r="F2" s="77">
        <f>INDEX(InnovationProjectResults[Create - Innovation (CV)],MATCH(CoreValuesResults[[#This Row],[Team Number]],InnovationProjectResults[Team Number],0))</f>
        <v/>
      </c>
      <c r="G2" s="77">
        <f>INDEX(InnovationProjectResults[Communicate - Impact (CV)],MATCH(CoreValuesResults[[#This Row],[Team Number]],InnovationProjectResults[Team Number],0))</f>
        <v/>
      </c>
      <c r="H2" s="77">
        <f>INDEX(InnovationProjectResults[Communicate - Fun (CV)],MATCH(CoreValuesResults[[#This Row],[Team Number]],InnovationProjectResults[Team Number],0))</f>
        <v/>
      </c>
      <c r="I2" s="77">
        <f>INDEX(RobotDesignResults[Identify - Research (CV)],MATCH(CoreValuesResults[[#This Row],[Team Number]],RobotDesignResults[Team Number],0))</f>
        <v/>
      </c>
      <c r="J2" s="77">
        <f>INDEX(RobotDesignResults[Design - Ideas (CV)],MATCH(CoreValuesResults[[#This Row],[Team Number]],RobotDesignResults[Team Number],0))</f>
        <v/>
      </c>
      <c r="K2" s="77">
        <f>INDEX(RobotDesignResults[Iterate - Improvements (CV)],MATCH(CoreValuesResults[[#This Row],[Team Number]],RobotDesignResults[Team Number],0))</f>
        <v/>
      </c>
      <c r="L2" s="77">
        <f>INDEX(RobotDesignResults[Communicate - Impact (CV)],MATCH(CoreValuesResults[[#This Row],[Team Number]],RobotDesignResults[Team Number],0))</f>
        <v/>
      </c>
      <c r="M2" s="77">
        <f>INDEX(RobotDesignResults[Communicate - Fun (CV)],MATCH(CoreValuesResults[[#This Row],[Team Number]],RobotDesignResults[Team Number],0))</f>
        <v/>
      </c>
      <c r="N2" s="86" t="n">
        <v>0</v>
      </c>
      <c r="O2" s="86" t="n"/>
      <c r="P2" s="86" t="n"/>
      <c r="Q2" s="69">
        <f>SUM(CoreValuesResults[[#This Row],[Gracious Professionalism 1]:[Gracious Professionalism 3]])</f>
        <v/>
      </c>
      <c r="R2" s="69">
        <f>SUM(N2:Q2)</f>
        <v/>
      </c>
      <c r="S2" s="83">
        <f>SUM(CoreValuesResults[[#This Row],[Identify - Research (CV-IP)]:[Communicate - Fun (CV-RD)]],CoreValuesResults[[#This Row],[Gracious Professionalism Score]])</f>
        <v/>
      </c>
      <c r="T2" s="73">
        <f>_xlfn.RANK.EQ(CoreValuesResults[[#This Row],[Core Values Score]],CoreValuesResults[Core Values Score],0)</f>
        <v/>
      </c>
    </row>
    <row r="3" ht="21" customHeight="1">
      <c r="A3" s="69" t="n">
        <v>26034</v>
      </c>
      <c r="B3" s="69">
        <f>INDEX(OfficialTeamList[Pod Number],MATCH(CoreValuesResults[[#This Row],[Team Number]], OfficialTeamList[Team Number],0))</f>
        <v/>
      </c>
      <c r="C3" s="106">
        <f>INDEX(OfficialTeamList[Team Name],MATCH(CoreValuesResults[[#This Row],[Team Number]], OfficialTeamList[Team Number],0))</f>
        <v/>
      </c>
      <c r="D3" s="77">
        <f>INDEX(InnovationProjectResults[Identify - Research (CV)],MATCH(CoreValuesResults[[#This Row],[Team Number]],InnovationProjectResults[Team Number],0))</f>
        <v/>
      </c>
      <c r="E3" s="77">
        <f>INDEX(InnovationProjectResults[Design - Teamwork (CV)],MATCH(CoreValuesResults[[#This Row],[Team Number]],InnovationProjectResults[Team Number],0))</f>
        <v/>
      </c>
      <c r="F3" s="77">
        <f>INDEX(InnovationProjectResults[Create - Innovation (CV)],MATCH(CoreValuesResults[[#This Row],[Team Number]],InnovationProjectResults[Team Number],0))</f>
        <v/>
      </c>
      <c r="G3" s="77">
        <f>INDEX(InnovationProjectResults[Communicate - Impact (CV)],MATCH(CoreValuesResults[[#This Row],[Team Number]],InnovationProjectResults[Team Number],0))</f>
        <v/>
      </c>
      <c r="H3" s="77">
        <f>INDEX(InnovationProjectResults[Communicate - Fun (CV)],MATCH(CoreValuesResults[[#This Row],[Team Number]],InnovationProjectResults[Team Number],0))</f>
        <v/>
      </c>
      <c r="I3" s="77">
        <f>INDEX(RobotDesignResults[Identify - Research (CV)],MATCH(CoreValuesResults[[#This Row],[Team Number]],RobotDesignResults[Team Number],0))</f>
        <v/>
      </c>
      <c r="J3" s="77">
        <f>INDEX(RobotDesignResults[Design - Ideas (CV)],MATCH(CoreValuesResults[[#This Row],[Team Number]],RobotDesignResults[Team Number],0))</f>
        <v/>
      </c>
      <c r="K3" s="77">
        <f>INDEX(RobotDesignResults[Iterate - Improvements (CV)],MATCH(CoreValuesResults[[#This Row],[Team Number]],RobotDesignResults[Team Number],0))</f>
        <v/>
      </c>
      <c r="L3" s="77">
        <f>INDEX(RobotDesignResults[Communicate - Impact (CV)],MATCH(CoreValuesResults[[#This Row],[Team Number]],RobotDesignResults[Team Number],0))</f>
        <v/>
      </c>
      <c r="M3" s="77">
        <f>INDEX(RobotDesignResults[Communicate - Fun (CV)],MATCH(CoreValuesResults[[#This Row],[Team Number]],RobotDesignResults[Team Number],0))</f>
        <v/>
      </c>
      <c r="N3" s="86" t="n"/>
      <c r="O3" s="86" t="n"/>
      <c r="P3" s="86" t="n"/>
      <c r="Q3" s="69">
        <f>SUM(CoreValuesResults[[#This Row],[Gracious Professionalism 1]:[Gracious Professionalism 3]])</f>
        <v/>
      </c>
      <c r="R3" s="69">
        <f>SUM(N3:Q3)</f>
        <v/>
      </c>
      <c r="S3" s="83">
        <f>SUM(CoreValuesResults[[#This Row],[Identify - Research (CV-IP)]:[Communicate - Fun (CV-RD)]],CoreValuesResults[[#This Row],[Gracious Professionalism Score]])</f>
        <v/>
      </c>
      <c r="T3" s="73">
        <f>_xlfn.RANK.EQ(CoreValuesResults[[#This Row],[Core Values Score]],CoreValuesResults[Core Values Score],0)</f>
        <v/>
      </c>
    </row>
    <row r="4" ht="21" customHeight="1">
      <c r="A4" s="69" t="n">
        <v>60801</v>
      </c>
      <c r="B4" s="69">
        <f>INDEX(OfficialTeamList[Pod Number],MATCH(CoreValuesResults[[#This Row],[Team Number]], OfficialTeamList[Team Number],0))</f>
        <v/>
      </c>
      <c r="C4" s="106">
        <f>INDEX(OfficialTeamList[Team Name],MATCH(CoreValuesResults[[#This Row],[Team Number]], OfficialTeamList[Team Number],0))</f>
        <v/>
      </c>
      <c r="D4" s="77">
        <f>INDEX(InnovationProjectResults[Identify - Research (CV)],MATCH(CoreValuesResults[[#This Row],[Team Number]],InnovationProjectResults[Team Number],0))</f>
        <v/>
      </c>
      <c r="E4" s="77">
        <f>INDEX(InnovationProjectResults[Design - Teamwork (CV)],MATCH(CoreValuesResults[[#This Row],[Team Number]],InnovationProjectResults[Team Number],0))</f>
        <v/>
      </c>
      <c r="F4" s="77">
        <f>INDEX(InnovationProjectResults[Create - Innovation (CV)],MATCH(CoreValuesResults[[#This Row],[Team Number]],InnovationProjectResults[Team Number],0))</f>
        <v/>
      </c>
      <c r="G4" s="77">
        <f>INDEX(InnovationProjectResults[Communicate - Impact (CV)],MATCH(CoreValuesResults[[#This Row],[Team Number]],InnovationProjectResults[Team Number],0))</f>
        <v/>
      </c>
      <c r="H4" s="77">
        <f>INDEX(InnovationProjectResults[Communicate - Fun (CV)],MATCH(CoreValuesResults[[#This Row],[Team Number]],InnovationProjectResults[Team Number],0))</f>
        <v/>
      </c>
      <c r="I4" s="77">
        <f>INDEX(RobotDesignResults[Identify - Research (CV)],MATCH(CoreValuesResults[[#This Row],[Team Number]],RobotDesignResults[Team Number],0))</f>
        <v/>
      </c>
      <c r="J4" s="77">
        <f>INDEX(RobotDesignResults[Design - Ideas (CV)],MATCH(CoreValuesResults[[#This Row],[Team Number]],RobotDesignResults[Team Number],0))</f>
        <v/>
      </c>
      <c r="K4" s="77">
        <f>INDEX(RobotDesignResults[Iterate - Improvements (CV)],MATCH(CoreValuesResults[[#This Row],[Team Number]],RobotDesignResults[Team Number],0))</f>
        <v/>
      </c>
      <c r="L4" s="77">
        <f>INDEX(RobotDesignResults[Communicate - Impact (CV)],MATCH(CoreValuesResults[[#This Row],[Team Number]],RobotDesignResults[Team Number],0))</f>
        <v/>
      </c>
      <c r="M4" s="77">
        <f>INDEX(RobotDesignResults[Communicate - Fun (CV)],MATCH(CoreValuesResults[[#This Row],[Team Number]],RobotDesignResults[Team Number],0))</f>
        <v/>
      </c>
      <c r="N4" s="86" t="n"/>
      <c r="O4" s="86" t="n"/>
      <c r="P4" s="86" t="n"/>
      <c r="Q4" s="69">
        <f>SUM(CoreValuesResults[[#This Row],[Gracious Professionalism 1]:[Gracious Professionalism 3]])</f>
        <v/>
      </c>
      <c r="R4" s="69">
        <f>SUM(N4:Q4)</f>
        <v/>
      </c>
      <c r="S4" s="83">
        <f>SUM(CoreValuesResults[[#This Row],[Identify - Research (CV-IP)]:[Communicate - Fun (CV-RD)]],CoreValuesResults[[#This Row],[Gracious Professionalism Score]])</f>
        <v/>
      </c>
      <c r="T4" s="73">
        <f>_xlfn.RANK.EQ(CoreValuesResults[[#This Row],[Core Values Score]],CoreValuesResults[Core Values Score],0)</f>
        <v/>
      </c>
    </row>
    <row r="5" ht="21" customHeight="1">
      <c r="A5" s="69" t="n">
        <v>67083</v>
      </c>
      <c r="B5" s="69">
        <f>INDEX(OfficialTeamList[Pod Number],MATCH(CoreValuesResults[[#This Row],[Team Number]], OfficialTeamList[Team Number],0))</f>
        <v/>
      </c>
      <c r="C5" s="106">
        <f>INDEX(OfficialTeamList[Team Name],MATCH(CoreValuesResults[[#This Row],[Team Number]], OfficialTeamList[Team Number],0))</f>
        <v/>
      </c>
      <c r="D5" s="77">
        <f>INDEX(InnovationProjectResults[Identify - Research (CV)],MATCH(CoreValuesResults[[#This Row],[Team Number]],InnovationProjectResults[Team Number],0))</f>
        <v/>
      </c>
      <c r="E5" s="77">
        <f>INDEX(InnovationProjectResults[Design - Teamwork (CV)],MATCH(CoreValuesResults[[#This Row],[Team Number]],InnovationProjectResults[Team Number],0))</f>
        <v/>
      </c>
      <c r="F5" s="77">
        <f>INDEX(InnovationProjectResults[Create - Innovation (CV)],MATCH(CoreValuesResults[[#This Row],[Team Number]],InnovationProjectResults[Team Number],0))</f>
        <v/>
      </c>
      <c r="G5" s="77">
        <f>INDEX(InnovationProjectResults[Communicate - Impact (CV)],MATCH(CoreValuesResults[[#This Row],[Team Number]],InnovationProjectResults[Team Number],0))</f>
        <v/>
      </c>
      <c r="H5" s="77">
        <f>INDEX(InnovationProjectResults[Communicate - Fun (CV)],MATCH(CoreValuesResults[[#This Row],[Team Number]],InnovationProjectResults[Team Number],0))</f>
        <v/>
      </c>
      <c r="I5" s="77">
        <f>INDEX(RobotDesignResults[Identify - Research (CV)],MATCH(CoreValuesResults[[#This Row],[Team Number]],RobotDesignResults[Team Number],0))</f>
        <v/>
      </c>
      <c r="J5" s="77">
        <f>INDEX(RobotDesignResults[Design - Ideas (CV)],MATCH(CoreValuesResults[[#This Row],[Team Number]],RobotDesignResults[Team Number],0))</f>
        <v/>
      </c>
      <c r="K5" s="77">
        <f>INDEX(RobotDesignResults[Iterate - Improvements (CV)],MATCH(CoreValuesResults[[#This Row],[Team Number]],RobotDesignResults[Team Number],0))</f>
        <v/>
      </c>
      <c r="L5" s="77">
        <f>INDEX(RobotDesignResults[Communicate - Impact (CV)],MATCH(CoreValuesResults[[#This Row],[Team Number]],RobotDesignResults[Team Number],0))</f>
        <v/>
      </c>
      <c r="M5" s="77">
        <f>INDEX(RobotDesignResults[Communicate - Fun (CV)],MATCH(CoreValuesResults[[#This Row],[Team Number]],RobotDesignResults[Team Number],0))</f>
        <v/>
      </c>
      <c r="N5" s="86" t="n"/>
      <c r="O5" s="86" t="n"/>
      <c r="P5" s="86" t="n"/>
      <c r="Q5" s="69">
        <f>SUM(CoreValuesResults[[#This Row],[Gracious Professionalism 1]:[Gracious Professionalism 3]])</f>
        <v/>
      </c>
      <c r="R5" s="69">
        <f>SUM(N5:Q5)</f>
        <v/>
      </c>
      <c r="S5" s="83">
        <f>SUM(CoreValuesResults[[#This Row],[Identify - Research (CV-IP)]:[Communicate - Fun (CV-RD)]],CoreValuesResults[[#This Row],[Gracious Professionalism Score]])</f>
        <v/>
      </c>
      <c r="T5" s="73">
        <f>_xlfn.RANK.EQ(CoreValuesResults[[#This Row],[Core Values Score]],CoreValuesResults[Core Values Score],0)</f>
        <v/>
      </c>
    </row>
    <row r="6" ht="21" customHeight="1">
      <c r="A6" s="69" t="n">
        <v>67801</v>
      </c>
      <c r="B6" s="69">
        <f>INDEX(OfficialTeamList[Pod Number],MATCH(CoreValuesResults[[#This Row],[Team Number]], OfficialTeamList[Team Number],0))</f>
        <v/>
      </c>
      <c r="C6" s="106">
        <f>INDEX(OfficialTeamList[Team Name],MATCH(CoreValuesResults[[#This Row],[Team Number]], OfficialTeamList[Team Number],0))</f>
        <v/>
      </c>
      <c r="D6" s="77">
        <f>INDEX(InnovationProjectResults[Identify - Research (CV)],MATCH(CoreValuesResults[[#This Row],[Team Number]],InnovationProjectResults[Team Number],0))</f>
        <v/>
      </c>
      <c r="E6" s="77">
        <f>INDEX(InnovationProjectResults[Design - Teamwork (CV)],MATCH(CoreValuesResults[[#This Row],[Team Number]],InnovationProjectResults[Team Number],0))</f>
        <v/>
      </c>
      <c r="F6" s="77">
        <f>INDEX(InnovationProjectResults[Create - Innovation (CV)],MATCH(CoreValuesResults[[#This Row],[Team Number]],InnovationProjectResults[Team Number],0))</f>
        <v/>
      </c>
      <c r="G6" s="77">
        <f>INDEX(InnovationProjectResults[Communicate - Impact (CV)],MATCH(CoreValuesResults[[#This Row],[Team Number]],InnovationProjectResults[Team Number],0))</f>
        <v/>
      </c>
      <c r="H6" s="77">
        <f>INDEX(InnovationProjectResults[Communicate - Fun (CV)],MATCH(CoreValuesResults[[#This Row],[Team Number]],InnovationProjectResults[Team Number],0))</f>
        <v/>
      </c>
      <c r="I6" s="77">
        <f>INDEX(RobotDesignResults[Identify - Research (CV)],MATCH(CoreValuesResults[[#This Row],[Team Number]],RobotDesignResults[Team Number],0))</f>
        <v/>
      </c>
      <c r="J6" s="77">
        <f>INDEX(RobotDesignResults[Design - Ideas (CV)],MATCH(CoreValuesResults[[#This Row],[Team Number]],RobotDesignResults[Team Number],0))</f>
        <v/>
      </c>
      <c r="K6" s="77">
        <f>INDEX(RobotDesignResults[Iterate - Improvements (CV)],MATCH(CoreValuesResults[[#This Row],[Team Number]],RobotDesignResults[Team Number],0))</f>
        <v/>
      </c>
      <c r="L6" s="77">
        <f>INDEX(RobotDesignResults[Communicate - Impact (CV)],MATCH(CoreValuesResults[[#This Row],[Team Number]],RobotDesignResults[Team Number],0))</f>
        <v/>
      </c>
      <c r="M6" s="77">
        <f>INDEX(RobotDesignResults[Communicate - Fun (CV)],MATCH(CoreValuesResults[[#This Row],[Team Number]],RobotDesignResults[Team Number],0))</f>
        <v/>
      </c>
      <c r="N6" s="86" t="n"/>
      <c r="O6" s="86" t="n"/>
      <c r="P6" s="86" t="n"/>
      <c r="Q6" s="69">
        <f>SUM(CoreValuesResults[[#This Row],[Gracious Professionalism 1]:[Gracious Professionalism 3]])</f>
        <v/>
      </c>
      <c r="R6" s="69">
        <f>SUM(N6:Q6)</f>
        <v/>
      </c>
      <c r="S6" s="83">
        <f>SUM(CoreValuesResults[[#This Row],[Identify - Research (CV-IP)]:[Communicate - Fun (CV-RD)]],CoreValuesResults[[#This Row],[Gracious Professionalism Score]])</f>
        <v/>
      </c>
      <c r="T6" s="73">
        <f>_xlfn.RANK.EQ(CoreValuesResults[[#This Row],[Core Values Score]],CoreValuesResults[Core Values Score],0)</f>
        <v/>
      </c>
    </row>
    <row r="7" ht="21" customHeight="1">
      <c r="A7" s="69" t="n">
        <v>68850</v>
      </c>
      <c r="B7" s="69">
        <f>INDEX(OfficialTeamList[Pod Number],MATCH(CoreValuesResults[[#This Row],[Team Number]], OfficialTeamList[Team Number],0))</f>
        <v/>
      </c>
      <c r="C7" s="106">
        <f>INDEX(OfficialTeamList[Team Name],MATCH(CoreValuesResults[[#This Row],[Team Number]], OfficialTeamList[Team Number],0))</f>
        <v/>
      </c>
      <c r="D7" s="77">
        <f>INDEX(InnovationProjectResults[Identify - Research (CV)],MATCH(CoreValuesResults[[#This Row],[Team Number]],InnovationProjectResults[Team Number],0))</f>
        <v/>
      </c>
      <c r="E7" s="77">
        <f>INDEX(InnovationProjectResults[Design - Teamwork (CV)],MATCH(CoreValuesResults[[#This Row],[Team Number]],InnovationProjectResults[Team Number],0))</f>
        <v/>
      </c>
      <c r="F7" s="77">
        <f>INDEX(InnovationProjectResults[Create - Innovation (CV)],MATCH(CoreValuesResults[[#This Row],[Team Number]],InnovationProjectResults[Team Number],0))</f>
        <v/>
      </c>
      <c r="G7" s="77">
        <f>INDEX(InnovationProjectResults[Communicate - Impact (CV)],MATCH(CoreValuesResults[[#This Row],[Team Number]],InnovationProjectResults[Team Number],0))</f>
        <v/>
      </c>
      <c r="H7" s="77">
        <f>INDEX(InnovationProjectResults[Communicate - Fun (CV)],MATCH(CoreValuesResults[[#This Row],[Team Number]],InnovationProjectResults[Team Number],0))</f>
        <v/>
      </c>
      <c r="I7" s="77">
        <f>INDEX(RobotDesignResults[Identify - Research (CV)],MATCH(CoreValuesResults[[#This Row],[Team Number]],RobotDesignResults[Team Number],0))</f>
        <v/>
      </c>
      <c r="J7" s="77">
        <f>INDEX(RobotDesignResults[Design - Ideas (CV)],MATCH(CoreValuesResults[[#This Row],[Team Number]],RobotDesignResults[Team Number],0))</f>
        <v/>
      </c>
      <c r="K7" s="77">
        <f>INDEX(RobotDesignResults[Iterate - Improvements (CV)],MATCH(CoreValuesResults[[#This Row],[Team Number]],RobotDesignResults[Team Number],0))</f>
        <v/>
      </c>
      <c r="L7" s="77">
        <f>INDEX(RobotDesignResults[Communicate - Impact (CV)],MATCH(CoreValuesResults[[#This Row],[Team Number]],RobotDesignResults[Team Number],0))</f>
        <v/>
      </c>
      <c r="M7" s="77">
        <f>INDEX(RobotDesignResults[Communicate - Fun (CV)],MATCH(CoreValuesResults[[#This Row],[Team Number]],RobotDesignResults[Team Number],0))</f>
        <v/>
      </c>
      <c r="N7" s="86" t="n"/>
      <c r="O7" s="86" t="n"/>
      <c r="P7" s="86" t="n"/>
      <c r="Q7" s="69">
        <f>SUM(CoreValuesResults[[#This Row],[Gracious Professionalism 1]:[Gracious Professionalism 3]])</f>
        <v/>
      </c>
      <c r="R7" s="69">
        <f>SUM(N7:Q7)</f>
        <v/>
      </c>
      <c r="S7" s="83">
        <f>SUM(CoreValuesResults[[#This Row],[Identify - Research (CV-IP)]:[Communicate - Fun (CV-RD)]],CoreValuesResults[[#This Row],[Gracious Professionalism Score]])</f>
        <v/>
      </c>
      <c r="T7" s="73">
        <f>_xlfn.RANK.EQ(CoreValuesResults[[#This Row],[Core Values Score]],CoreValuesResults[Core Values Score],0)</f>
        <v/>
      </c>
    </row>
    <row r="8" ht="21" customHeight="1">
      <c r="A8" s="69" t="n">
        <v>71673</v>
      </c>
      <c r="B8" s="69">
        <f>INDEX(OfficialTeamList[Pod Number],MATCH(CoreValuesResults[[#This Row],[Team Number]], OfficialTeamList[Team Number],0))</f>
        <v/>
      </c>
      <c r="C8" s="106">
        <f>INDEX(OfficialTeamList[Team Name],MATCH(CoreValuesResults[[#This Row],[Team Number]], OfficialTeamList[Team Number],0))</f>
        <v/>
      </c>
      <c r="D8" s="77">
        <f>INDEX(InnovationProjectResults[Identify - Research (CV)],MATCH(CoreValuesResults[[#This Row],[Team Number]],InnovationProjectResults[Team Number],0))</f>
        <v/>
      </c>
      <c r="E8" s="77">
        <f>INDEX(InnovationProjectResults[Design - Teamwork (CV)],MATCH(CoreValuesResults[[#This Row],[Team Number]],InnovationProjectResults[Team Number],0))</f>
        <v/>
      </c>
      <c r="F8" s="77">
        <f>INDEX(InnovationProjectResults[Create - Innovation (CV)],MATCH(CoreValuesResults[[#This Row],[Team Number]],InnovationProjectResults[Team Number],0))</f>
        <v/>
      </c>
      <c r="G8" s="77">
        <f>INDEX(InnovationProjectResults[Communicate - Impact (CV)],MATCH(CoreValuesResults[[#This Row],[Team Number]],InnovationProjectResults[Team Number],0))</f>
        <v/>
      </c>
      <c r="H8" s="77">
        <f>INDEX(InnovationProjectResults[Communicate - Fun (CV)],MATCH(CoreValuesResults[[#This Row],[Team Number]],InnovationProjectResults[Team Number],0))</f>
        <v/>
      </c>
      <c r="I8" s="77">
        <f>INDEX(RobotDesignResults[Identify - Research (CV)],MATCH(CoreValuesResults[[#This Row],[Team Number]],RobotDesignResults[Team Number],0))</f>
        <v/>
      </c>
      <c r="J8" s="77">
        <f>INDEX(RobotDesignResults[Design - Ideas (CV)],MATCH(CoreValuesResults[[#This Row],[Team Number]],RobotDesignResults[Team Number],0))</f>
        <v/>
      </c>
      <c r="K8" s="77">
        <f>INDEX(RobotDesignResults[Iterate - Improvements (CV)],MATCH(CoreValuesResults[[#This Row],[Team Number]],RobotDesignResults[Team Number],0))</f>
        <v/>
      </c>
      <c r="L8" s="77">
        <f>INDEX(RobotDesignResults[Communicate - Impact (CV)],MATCH(CoreValuesResults[[#This Row],[Team Number]],RobotDesignResults[Team Number],0))</f>
        <v/>
      </c>
      <c r="M8" s="77">
        <f>INDEX(RobotDesignResults[Communicate - Fun (CV)],MATCH(CoreValuesResults[[#This Row],[Team Number]],RobotDesignResults[Team Number],0))</f>
        <v/>
      </c>
      <c r="N8" s="86" t="n"/>
      <c r="O8" s="86" t="n"/>
      <c r="P8" s="86" t="n"/>
      <c r="Q8" s="69">
        <f>SUM(CoreValuesResults[[#This Row],[Gracious Professionalism 1]:[Gracious Professionalism 3]])</f>
        <v/>
      </c>
      <c r="R8" s="69">
        <f>SUM(N8:Q8)</f>
        <v/>
      </c>
      <c r="S8" s="83">
        <f>SUM(CoreValuesResults[[#This Row],[Identify - Research (CV-IP)]:[Communicate - Fun (CV-RD)]],CoreValuesResults[[#This Row],[Gracious Professionalism Score]])</f>
        <v/>
      </c>
      <c r="T8" s="73">
        <f>_xlfn.RANK.EQ(CoreValuesResults[[#This Row],[Core Values Score]],CoreValuesResults[Core Values Score],0)</f>
        <v/>
      </c>
    </row>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Number],0))),"",INDEX(OfficialTeamList[Team Name],MATCH(ChampionsDelib[[#This Row],[Team Number]], OfficialTeamList[Team Number],0)))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Number],0))),"",INDEX(OfficialTeamList[Team Name],MATCH(RobotGameDelib[[#This Row],[Team Number]], OfficialTeamList[Team Number],0)))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Number],0))),"",INDEX(OfficialTeamList[Team Name],MATCH(ChampionsDelib[[#This Row],[Team Number]], OfficialTeamList[Team Number],0)))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Number],0))),"",INDEX(OfficialTeamList[Team Name],MATCH(RobotGameDelib[[#This Row],[Team Number]], OfficialTeamList[Team Number],0)))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Number],0))),"",INDEX(OfficialTeamList[Team Name],MATCH(ChampionsDelib[[#This Row],[Team Number]], OfficialTeamList[Team Number],0)))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Number],0))),"",INDEX(OfficialTeamList[Team Name],MATCH(RobotGameDelib[[#This Row],[Team Number]], OfficialTeamList[Team Number],0)))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Number],0))),"",INDEX(OfficialTeamList[Team Name],MATCH(ChampionsDelib[[#This Row],[Team Number]], OfficialTeamList[Team Number],0)))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Number],0))),"",INDEX(OfficialTeamList[Team Name],MATCH(RobotGameDelib[[#This Row],[Team Number]], OfficialTeamList[Team Number],0)))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Number],0))),"",INDEX(OfficialTeamList[Team Name],MATCH(ChampionsDelib[[#This Row],[Team Number]], OfficialTeamList[Team Number],0)))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Number],0))),"",INDEX(OfficialTeamList[Team Name],MATCH(RobotGameDelib[[#This Row],[Team Number]], OfficialTeamList[Team Number],0)))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Number],0))),"",INDEX(OfficialTeamList[Team Name],MATCH(ChampionsDelib[[#This Row],[Team Number]], OfficialTeamList[Team Number],0)))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Number],0))),"",INDEX(OfficialTeamList[Team Name],MATCH(RobotGameDelib[[#This Row],[Team Number]], OfficialTeamList[Team Number],0)))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Number],0))),"",INDEX(OfficialTeamList[Team Name],MATCH(ChampionsDelib[[#This Row],[Team Number]], OfficialTeamList[Team Number],0)))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Number],0))),"",INDEX(OfficialTeamList[Team Name],MATCH(RobotGameDelib[[#This Row],[Team Number]], OfficialTeamList[Team Number],0)))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Number],0))),"",INDEX(OfficialTeamList[Team Name],MATCH(ChampionsDelib[[#This Row],[Team Number]], OfficialTeamList[Team Number],0)))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Number],0))),"",INDEX(OfficialTeamList[Team Name],MATCH(RobotGameDelib[[#This Row],[Team Number]], OfficialTeamList[Team Number],0)))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Number],0))),"",INDEX(OfficialTeamList[Team Name],MATCH(ChampionsDelib[[#This Row],[Team Number]], OfficialTeamList[Team Number],0)))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Number],0))),"",INDEX(OfficialTeamList[Team Name],MATCH(RobotGameDelib[[#This Row],[Team Number]], OfficialTeamList[Team Number],0)))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Number],0))),"",INDEX(OfficialTeamList[Team Name],MATCH(ChampionsDelib[[#This Row],[Team Number]], OfficialTeamList[Team Number],0)))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Number],0))),"",INDEX(OfficialTeamList[Team Name],MATCH(RobotGameDelib[[#This Row],[Team Number]], OfficialTeamList[Team Number],0)))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Number],0))),"",INDEX(OfficialTeamList[Team Name],MATCH(ChampionsDelib[[#This Row],[Team Number]], OfficialTeamList[Team Number],0)))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Number],0))),"",INDEX(OfficialTeamList[Team Name],MATCH(RobotGameDelib[[#This Row],[Team Number]], OfficialTeamList[Team Number],0)))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Number],0))),"",INDEX(OfficialTeamList[Team Name],MATCH(ChampionsDelib[[#This Row],[Team Number]], OfficialTeamList[Team Number],0)))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Number],0))),"",INDEX(OfficialTeamList[Team Name],MATCH(RobotGameDelib[[#This Row],[Team Number]], OfficialTeamList[Team Number],0)))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Number],0))),"",INDEX(OfficialTeamList[Team Name],MATCH(ChampionsDelib[[#This Row],[Team Number]], OfficialTeamList[Team Number],0)))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Number],0))),"",INDEX(OfficialTeamList[Team Name],MATCH(RobotGameDelib[[#This Row],[Team Number]], OfficialTeamList[Team Number],0)))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Number],0))),"",INDEX(OfficialTeamList[Team Name],MATCH(ChampionsDelib[[#This Row],[Team Number]], OfficialTeamList[Team Number],0)))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Number],0))),"",INDEX(OfficialTeamList[Team Name],MATCH(RobotGameDelib[[#This Row],[Team Number]], OfficialTeamList[Team Number],0)))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Number],0))),"",INDEX(OfficialTeamList[Team Name],MATCH(ChampionsDelib[[#This Row],[Team Number]], OfficialTeamList[Team Number],0)))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Number],0))),"",INDEX(OfficialTeamList[Team Name],MATCH(RobotGameDelib[[#This Row],[Team Number]], OfficialTeamList[Team Number],0)))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Number],0))),"",INDEX(OfficialTeamList[Team Name],MATCH(CoreValuesDelib[[#This Row],[Team Number]], OfficialTeamList[Team Number],0)))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Number],0))),"",INDEX(OfficialTeamList[Team Name],MATCH(RobotDesignDelib[[#This Row],[Team Number]], OfficialTeamList[Team Number],0)))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Number],0))),"",INDEX(OfficialTeamList[Team Name],MATCH(InnovationProjectDelib[[#This Row],[Team Number]], OfficialTeamList[Team Number],0)))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Number],0))),"",INDEX(OfficialTeamList[Team Name],MATCH(CoreValuesDelib[[#This Row],[Team Number]], OfficialTeamList[Team Number],0)))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Number],0))),"",INDEX(OfficialTeamList[Team Name],MATCH(RobotDesignDelib[[#This Row],[Team Number]], OfficialTeamList[Team Number],0)))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Number],0))),"",INDEX(OfficialTeamList[Team Name],MATCH(InnovationProjectDelib[[#This Row],[Team Number]], OfficialTeamList[Team Number],0)))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Number],0))),"",INDEX(OfficialTeamList[Team Name],MATCH(CoreValuesDelib[[#This Row],[Team Number]], OfficialTeamList[Team Number],0)))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Number],0))),"",INDEX(OfficialTeamList[Team Name],MATCH(RobotDesignDelib[[#This Row],[Team Number]], OfficialTeamList[Team Number],0)))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Number],0))),"",INDEX(OfficialTeamList[Team Name],MATCH(InnovationProjectDelib[[#This Row],[Team Number]], OfficialTeamList[Team Number],0)))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Number],0))),"",INDEX(OfficialTeamList[Team Name],MATCH(CoreValuesDelib[[#This Row],[Team Number]], OfficialTeamList[Team Number],0)))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Number],0))),"",INDEX(OfficialTeamList[Team Name],MATCH(RobotDesignDelib[[#This Row],[Team Number]], OfficialTeamList[Team Number],0)))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Number],0))),"",INDEX(OfficialTeamList[Team Name],MATCH(InnovationProjectDelib[[#This Row],[Team Number]], OfficialTeamList[Team Number],0)))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Number],0))),"",INDEX(OfficialTeamList[Team Name],MATCH(CoreValuesDelib[[#This Row],[Team Number]], OfficialTeamList[Team Number],0)))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Number],0))),"",INDEX(OfficialTeamList[Team Name],MATCH(RobotDesignDelib[[#This Row],[Team Number]], OfficialTeamList[Team Number],0)))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Number],0))),"",INDEX(OfficialTeamList[Team Name],MATCH(InnovationProjectDelib[[#This Row],[Team Number]], OfficialTeamList[Team Number],0)))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Number],0))),"",INDEX(OfficialTeamList[Team Name],MATCH(CoreValuesDelib[[#This Row],[Team Number]], OfficialTeamList[Team Number],0)))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Number],0))),"",INDEX(OfficialTeamList[Team Name],MATCH(RobotDesignDelib[[#This Row],[Team Number]], OfficialTeamList[Team Number],0)))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Number],0))),"",INDEX(OfficialTeamList[Team Name],MATCH(InnovationProjectDelib[[#This Row],[Team Number]], OfficialTeamList[Team Number],0)))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Number],0))),"",INDEX(OfficialTeamList[Team Name],MATCH(CoreValuesDelib[[#This Row],[Team Number]], OfficialTeamList[Team Number],0)))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Number],0))),"",INDEX(OfficialTeamList[Team Name],MATCH(RobotDesignDelib[[#This Row],[Team Number]], OfficialTeamList[Team Number],0)))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Number],0))),"",INDEX(OfficialTeamList[Team Name],MATCH(InnovationProjectDelib[[#This Row],[Team Number]], OfficialTeamList[Team Number],0)))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Number],0))),"",INDEX(OfficialTeamList[Team Name],MATCH(CoreValuesDelib[[#This Row],[Team Number]], OfficialTeamList[Team Number],0)))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Number],0))),"",INDEX(OfficialTeamList[Team Name],MATCH(RobotDesignDelib[[#This Row],[Team Number]], OfficialTeamList[Team Number],0)))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Number],0))),"",INDEX(OfficialTeamList[Team Name],MATCH(InnovationProjectDelib[[#This Row],[Team Number]], OfficialTeamList[Team Number],0)))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Number],0))),"",INDEX(OfficialTeamList[Team Name],MATCH(CoreValuesDelib[[#This Row],[Team Number]], OfficialTeamList[Team Number],0)))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Number],0))),"",INDEX(OfficialTeamList[Team Name],MATCH(RobotDesignDelib[[#This Row],[Team Number]], OfficialTeamList[Team Number],0)))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Number],0))),"",INDEX(OfficialTeamList[Team Name],MATCH(InnovationProjectDelib[[#This Row],[Team Number]], OfficialTeamList[Team Number],0)))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Number],0))),"",INDEX(OfficialTeamList[Team Name],MATCH(CoreValuesDelib[[#This Row],[Team Number]], OfficialTeamList[Team Number],0)))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Number],0))),"",INDEX(OfficialTeamList[Team Name],MATCH(RobotDesignDelib[[#This Row],[Team Number]], OfficialTeamList[Team Number],0)))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Number],0))),"",INDEX(OfficialTeamList[Team Name],MATCH(InnovationProjectDelib[[#This Row],[Team Number]], OfficialTeamList[Team Number],0)))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Number],0))),"",INDEX(OfficialTeamList[Team Name],MATCH(CoreValuesDelib[[#This Row],[Team Number]], OfficialTeamList[Team Number],0)))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Number],0))),"",INDEX(OfficialTeamList[Team Name],MATCH(RobotDesignDelib[[#This Row],[Team Number]], OfficialTeamList[Team Number],0)))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Number],0))),"",INDEX(OfficialTeamList[Team Name],MATCH(InnovationProjectDelib[[#This Row],[Team Number]], OfficialTeamList[Team Number],0)))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Number],0))),"",INDEX(OfficialTeamList[Team Name],MATCH(CoreValuesDelib[[#This Row],[Team Number]], OfficialTeamList[Team Number],0)))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Number],0))),"",INDEX(OfficialTeamList[Team Name],MATCH(RobotDesignDelib[[#This Row],[Team Number]], OfficialTeamList[Team Number],0)))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Number],0))),"",INDEX(OfficialTeamList[Team Name],MATCH(InnovationProjectDelib[[#This Row],[Team Number]], OfficialTeamList[Team Number],0)))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Number],0))),"",INDEX(OfficialTeamList[Team Name],MATCH(CoreValuesDelib[[#This Row],[Team Number]], OfficialTeamList[Team Number],0)))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Number],0))),"",INDEX(OfficialTeamList[Team Name],MATCH(RobotDesignDelib[[#This Row],[Team Number]], OfficialTeamList[Team Number],0)))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Number],0))),"",INDEX(OfficialTeamList[Team Name],MATCH(InnovationProjectDelib[[#This Row],[Team Number]], OfficialTeamList[Team Number],0)))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Number],0))),"",INDEX(OfficialTeamList[Team Name],MATCH(CoreValuesDelib[[#This Row],[Team Number]], OfficialTeamList[Team Number],0)))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Number],0))),"",INDEX(OfficialTeamList[Team Name],MATCH(RobotDesignDelib[[#This Row],[Team Number]], OfficialTeamList[Team Number],0)))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Number],0))),"",INDEX(OfficialTeamList[Team Name],MATCH(InnovationProjectDelib[[#This Row],[Team Number]], OfficialTeamList[Team Number],0)))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Number],0))),"",INDEX(OfficialTeamList[Team Name],MATCH(CoreValuesDelib[[#This Row],[Team Number]], OfficialTeamList[Team Number],0)))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Number],0))),"",INDEX(OfficialTeamList[Team Name],MATCH(RobotDesignDelib[[#This Row],[Team Number]], OfficialTeamList[Team Number],0)))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Number],0))),"",INDEX(OfficialTeamList[Team Name],MATCH(InnovationProjectDelib[[#This Row],[Team Number]], OfficialTeamList[Team Number],0)))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Number],0))),"",INDEX(OfficialTeamList[Team Name],MATCH(BreakthroughDelib[[#This Row],[Team Number]], OfficialTeamList[Team Number],0)))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Number],0))),"",INDEX(OfficialTeamList[Team Name],MATCH(RookiAllStarDelib[[#This Row],[Team Number]], OfficialTeamList[Team Number],0)))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Number],0))),"",INDEX(OfficialTeamList[Team Name],MATCH(MotivateDelib[[#This Row],[Team Number]], OfficialTeamList[Team Number],0)))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Number],0))),"",INDEX(OfficialTeamList[Team Name],MATCH(BreakthroughDelib[[#This Row],[Team Number]], OfficialTeamList[Team Number],0)))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Number],0))),"",INDEX(OfficialTeamList[Team Name],MATCH(RookiAllStarDelib[[#This Row],[Team Number]], OfficialTeamList[Team Number],0)))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Number],0))),"",INDEX(OfficialTeamList[Team Name],MATCH(MotivateDelib[[#This Row],[Team Number]], OfficialTeamList[Team Number],0)))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Number],0))),"",INDEX(OfficialTeamList[Team Name],MATCH(BreakthroughDelib[[#This Row],[Team Number]], OfficialTeamList[Team Number],0)))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Number],0))),"",INDEX(OfficialTeamList[Team Name],MATCH(RookiAllStarDelib[[#This Row],[Team Number]], OfficialTeamList[Team Number],0)))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Number],0))),"",INDEX(OfficialTeamList[Team Name],MATCH(MotivateDelib[[#This Row],[Team Number]], OfficialTeamList[Team Number],0)))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Number],0))),"",INDEX(OfficialTeamList[Team Name],MATCH(BreakthroughDelib[[#This Row],[Team Number]], OfficialTeamList[Team Number],0)))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Number],0))),"",INDEX(OfficialTeamList[Team Name],MATCH(RookiAllStarDelib[[#This Row],[Team Number]], OfficialTeamList[Team Number],0)))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Number],0))),"",INDEX(OfficialTeamList[Team Name],MATCH(MotivateDelib[[#This Row],[Team Number]], OfficialTeamList[Team Number],0)))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Number],0))),"",INDEX(OfficialTeamList[Team Name],MATCH(BreakthroughDelib[[#This Row],[Team Number]], OfficialTeamList[Team Number],0)))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Number],0))),"",INDEX(OfficialTeamList[Team Name],MATCH(RookiAllStarDelib[[#This Row],[Team Number]], OfficialTeamList[Team Number],0)))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Number],0))),"",INDEX(OfficialTeamList[Team Name],MATCH(MotivateDelib[[#This Row],[Team Number]], OfficialTeamList[Team Number],0)))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Number],0))),"",INDEX(OfficialTeamList[Team Name],MATCH(BreakthroughDelib[[#This Row],[Team Number]], OfficialTeamList[Team Number],0)))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Number],0))),"",INDEX(OfficialTeamList[Team Name],MATCH(RookiAllStarDelib[[#This Row],[Team Number]], OfficialTeamList[Team Number],0)))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Number],0))),"",INDEX(OfficialTeamList[Team Name],MATCH(MotivateDelib[[#This Row],[Team Number]], OfficialTeamList[Team Number],0)))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Number],0))),"",INDEX(OfficialTeamList[Team Name],MATCH(BreakthroughDelib[[#This Row],[Team Number]], OfficialTeamList[Team Number],0)))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Number],0))),"",INDEX(OfficialTeamList[Team Name],MATCH(RookiAllStarDelib[[#This Row],[Team Number]], OfficialTeamList[Team Number],0)))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Number],0))),"",INDEX(OfficialTeamList[Team Name],MATCH(MotivateDelib[[#This Row],[Team Number]], OfficialTeamList[Team Number],0)))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Number],0))),"",INDEX(OfficialTeamList[Team Name],MATCH(BreakthroughDelib[[#This Row],[Team Number]], OfficialTeamList[Team Number],0)))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Number],0))),"",INDEX(OfficialTeamList[Team Name],MATCH(RookiAllStarDelib[[#This Row],[Team Number]], OfficialTeamList[Team Number],0)))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Number],0))),"",INDEX(OfficialTeamList[Team Name],MATCH(MotivateDelib[[#This Row],[Team Number]], OfficialTeamList[Team Number],0)))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Number],0))),"",INDEX(OfficialTeamList[Team Name],MATCH(BreakthroughDelib[[#This Row],[Team Number]], OfficialTeamList[Team Number],0)))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Number],0))),"",INDEX(OfficialTeamList[Team Name],MATCH(RookiAllStarDelib[[#This Row],[Team Number]], OfficialTeamList[Team Number],0)))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Number],0))),"",INDEX(OfficialTeamList[Team Name],MATCH(MotivateDelib[[#This Row],[Team Number]], OfficialTeamList[Team Number],0)))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Number],0))),"",INDEX(OfficialTeamList[Team Name],MATCH(BreakthroughDelib[[#This Row],[Team Number]], OfficialTeamList[Team Number],0)))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Number],0))),"",INDEX(OfficialTeamList[Team Name],MATCH(RookiAllStarDelib[[#This Row],[Team Number]], OfficialTeamList[Team Number],0)))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Number],0))),"",INDEX(OfficialTeamList[Team Name],MATCH(MotivateDelib[[#This Row],[Team Number]], OfficialTeamList[Team Number],0)))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Number],0))),"",INDEX(OfficialTeamList[Team Name],MATCH(BreakthroughDelib[[#This Row],[Team Number]], OfficialTeamList[Team Number],0)))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Number],0))),"",INDEX(OfficialTeamList[Team Name],MATCH(RookiAllStarDelib[[#This Row],[Team Number]], OfficialTeamList[Team Number],0)))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Number],0))),"",INDEX(OfficialTeamList[Team Name],MATCH(MotivateDelib[[#This Row],[Team Number]], OfficialTeamList[Team Number],0)))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Number],0))),"",INDEX(OfficialTeamList[Team Name],MATCH(BreakthroughDelib[[#This Row],[Team Number]], OfficialTeamList[Team Number],0)))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Number],0))),"",INDEX(OfficialTeamList[Team Name],MATCH(RookiAllStarDelib[[#This Row],[Team Number]], OfficialTeamList[Team Number],0)))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Number],0))),"",INDEX(OfficialTeamList[Team Name],MATCH(MotivateDelib[[#This Row],[Team Number]], OfficialTeamList[Team Number],0)))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Number],0))),"",INDEX(OfficialTeamList[Team Name],MATCH(BreakthroughDelib[[#This Row],[Team Number]], OfficialTeamList[Team Number],0)))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Number],0))),"",INDEX(OfficialTeamList[Team Name],MATCH(RookiAllStarDelib[[#This Row],[Team Number]], OfficialTeamList[Team Number],0)))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Number],0))),"",INDEX(OfficialTeamList[Team Name],MATCH(MotivateDelib[[#This Row],[Team Number]], OfficialTeamList[Team Number],0)))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Number],0))),"",INDEX(OfficialTeamList[Team Name],MATCH(BreakthroughDelib[[#This Row],[Team Number]], OfficialTeamList[Team Number],0)))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Number],0))),"",INDEX(OfficialTeamList[Team Name],MATCH(RookiAllStarDelib[[#This Row],[Team Number]], OfficialTeamList[Team Number],0)))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Number],0))),"",INDEX(OfficialTeamList[Team Name],MATCH(MotivateDelib[[#This Row],[Team Number]], OfficialTeamList[Team Number],0)))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Number],0))),"",INDEX(OfficialTeamList[Team Name],MATCH(BreakthroughDelib[[#This Row],[Team Number]], OfficialTeamList[Team Number],0)))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Number],0))),"",INDEX(OfficialTeamList[Team Name],MATCH(RookiAllStarDelib[[#This Row],[Team Number]], OfficialTeamList[Team Number],0)))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Number],0))),"",INDEX(OfficialTeamList[Team Name],MATCH(MotivateDelib[[#This Row],[Team Number]], OfficialTeamList[Team Number],0)))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2025-12-12T00:15:43Z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