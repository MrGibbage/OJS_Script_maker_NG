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7"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2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7"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6"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6"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6"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6"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7"/>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9021</v>
      </c>
      <c r="B3" s="68" t="inlineStr">
        <is>
          <t>Greenbrier Panthers</t>
        </is>
      </c>
      <c r="C3" s="68" t="inlineStr">
        <is>
          <t>John Sammons</t>
        </is>
      </c>
      <c r="D3" s="69" t="n">
        <v>0</v>
      </c>
      <c r="H3" s="3" t="n"/>
    </row>
    <row r="4">
      <c r="A4" t="n">
        <v>62149</v>
      </c>
      <c r="B4" t="inlineStr">
        <is>
          <t>Dynamite Dolphins</t>
        </is>
      </c>
      <c r="C4" t="inlineStr">
        <is>
          <t>Jonathan Torch</t>
        </is>
      </c>
      <c r="D4" t="n">
        <v>0</v>
      </c>
    </row>
    <row r="5">
      <c r="A5" t="n">
        <v>62706</v>
      </c>
      <c r="B5" t="inlineStr">
        <is>
          <t>OLMC Aquinas</t>
        </is>
      </c>
      <c r="C5" t="inlineStr">
        <is>
          <t>Patrick McFadden</t>
        </is>
      </c>
      <c r="D5" t="n">
        <v>0</v>
      </c>
    </row>
    <row r="6">
      <c r="A6" t="n">
        <v>73002</v>
      </c>
      <c r="B6" t="inlineStr">
        <is>
          <t>MCH Monarchs</t>
        </is>
      </c>
      <c r="C6" t="inlineStr">
        <is>
          <t>Kathy Hendrickson</t>
        </is>
      </c>
      <c r="D6" t="n">
        <v>0</v>
      </c>
    </row>
    <row r="7">
      <c r="A7" t="n">
        <v>73106</v>
      </c>
      <c r="B7" t="inlineStr">
        <is>
          <t>Kempsville Dino-Nuggets</t>
        </is>
      </c>
      <c r="C7" t="inlineStr">
        <is>
          <t>Kiel Phillips</t>
        </is>
      </c>
      <c r="D7"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Norfolk</t>
        </is>
      </c>
    </row>
    <row r="5">
      <c r="A5" t="inlineStr">
        <is>
          <t>Tournament Long Name</t>
        </is>
      </c>
      <c r="B5" t="inlineStr">
        <is>
          <t>Norfolk 2025 Unearthed Qualifier Tournament</t>
        </is>
      </c>
    </row>
    <row r="6">
      <c r="A6" t="inlineStr">
        <is>
          <t>Completed Script File</t>
        </is>
      </c>
      <c r="B6" t="inlineStr">
        <is>
          <t>c:\github-projects\OJS_Script_maker_NG\2025-all\tournaments\Norfolk\closing_ceremony.html</t>
        </is>
      </c>
    </row>
    <row r="7">
      <c r="A7" t="inlineStr">
        <is>
          <t>Using Divisions</t>
        </is>
      </c>
      <c r="B7" t="b">
        <v>1</v>
      </c>
    </row>
    <row r="8">
      <c r="A8" t="inlineStr">
        <is>
          <t>Division</t>
        </is>
      </c>
      <c r="B8" t="inlineStr">
        <is>
          <t>D1</t>
        </is>
      </c>
    </row>
    <row r="9">
      <c r="A9" t="inlineStr">
        <is>
          <t>Advancing</t>
        </is>
      </c>
      <c r="B9" t="n">
        <v>1</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2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row r="16">
      <c r="A16" t="inlineStr">
        <is>
          <t>Judges 3</t>
        </is>
      </c>
    </row>
    <row r="17">
      <c r="A17" t="inlineStr">
        <is>
          <t>Judges 4</t>
        </is>
      </c>
    </row>
    <row r="18">
      <c r="A18" t="inlineStr">
        <is>
          <t>Judges 5</t>
        </is>
      </c>
    </row>
    <row r="19">
      <c r="A19" t="inlineStr">
        <is>
          <t>Judges 6</t>
        </is>
      </c>
    </row>
    <row r="20">
      <c r="A20" t="inlineStr">
        <is>
          <t>Judges 7</t>
        </is>
      </c>
    </row>
    <row r="21">
      <c r="A21" t="inlineStr">
        <is>
          <t>Judges 8</t>
        </is>
      </c>
    </row>
    <row r="22">
      <c r="A22" t="inlineStr">
        <is>
          <t>Judges 9</t>
        </is>
      </c>
    </row>
    <row r="23">
      <c r="A23" t="inlineStr">
        <is>
          <t>Judges 10</t>
        </is>
      </c>
    </row>
    <row r="24">
      <c r="A24" t="inlineStr">
        <is>
          <t>Judges 11</t>
        </is>
      </c>
    </row>
    <row r="25">
      <c r="A25" t="inlineStr">
        <is>
          <t>Judges 12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7"/>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9021</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62149</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62706</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73002</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73106</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7">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7" showDropDown="0" showInputMessage="0" showErrorMessage="0" allowBlank="1" type="list">
      <formula1>Awards</formula1>
    </dataValidation>
    <dataValidation sqref="Q3:Q7"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6"/>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9021</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62149</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62706</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73002</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73106</v>
      </c>
      <c r="B6" s="106">
        <f>INDEX(OfficialTeamList[Team Name],MATCH(RobotGameScores[[#This Row],[Team Number]], OfficialTeamList[Team '#],0))</f>
        <v/>
      </c>
      <c r="C6" s="107" t="n"/>
      <c r="D6" s="107" t="n"/>
      <c r="E6" s="107" t="n"/>
      <c r="F6"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9021</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62149</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62706</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73002</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73106</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9021</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62149</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62706</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73002</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73106</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6"/>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9021</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62149</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62706</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73002</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73106</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2025-12-19T17:43:32Z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