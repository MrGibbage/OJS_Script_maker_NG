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tables/table5.xml" ContentType="application/vnd.openxmlformats-officedocument.spreadsheetml.table+xml"/>
  <Override PartName="/xl/worksheets/sheet6.xml" ContentType="application/vnd.openxmlformats-officedocument.spreadsheetml.worksheet+xml"/>
  <Override PartName="/xl/tables/table6.xml" ContentType="application/vnd.openxmlformats-officedocument.spreadsheetml.table+xml"/>
  <Override PartName="/xl/worksheets/sheet7.xml" ContentType="application/vnd.openxmlformats-officedocument.spreadsheetml.worksheet+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 Type="http://schemas.microsoft.com/office/2006/relationships/ui/extensibility" Target="customUI/customUI.xml" Id="Rf561baa7cdd441cb"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785" yWindow="1590" windowWidth="28800" windowHeight="15345" tabRatio="879" firstSheet="1" activeTab="7" autoFilterDateGrouping="1"/>
  </bookViews>
  <sheets>
    <sheet name="Instructions" sheetId="1" state="visible" r:id="rId1"/>
    <sheet name="Team and Program Information" sheetId="2" state="visible" r:id="rId2"/>
    <sheet name="Data Validation" sheetId="3" state="hidden" r:id="rId3"/>
    <sheet name="Meta" sheetId="4" state="hidden" r:id="rId4"/>
    <sheet name="AwardListDropdowns" sheetId="5" state="hidden" r:id="rId5"/>
    <sheet name="AwardDef" sheetId="6" state="hidden" r:id="rId6"/>
    <sheet name="Pod Analysis" sheetId="7" state="visible" r:id="rId7"/>
    <sheet name="Results and Rankings" sheetId="8" state="visible" r:id="rId8"/>
    <sheet name="Robot Game Scores" sheetId="9" state="visible" r:id="rId9"/>
    <sheet name="Innovation Project Input" sheetId="10" state="visible" r:id="rId10"/>
    <sheet name="Robot Design Input" sheetId="11" state="visible" r:id="rId11"/>
    <sheet name="Core Values Input" sheetId="12" state="visible" r:id="rId12"/>
    <sheet name="GP Scores" sheetId="13" state="hidden" r:id="rId13"/>
    <sheet name="Area Deliberations" sheetId="14" state="hidden" r:id="rId14"/>
  </sheets>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7">'Results and Rankings'!$1:$1</definedName>
  </definedNames>
  <calcPr calcId="191029" fullCalcOnLoad="1"/>
</workbook>
</file>

<file path=xl/styles.xml><?xml version="1.0" encoding="utf-8"?>
<styleSheet xmlns="http://schemas.openxmlformats.org/spreadsheetml/2006/main">
  <numFmts count="2">
    <numFmt numFmtId="164" formatCode=";;;"/>
    <numFmt numFmtId="165" formatCode="0;\-0;;@"/>
  </numFmts>
  <fonts count="31">
    <font>
      <name val="Calibri"/>
      <family val="2"/>
      <color theme="1"/>
      <sz val="11"/>
      <scheme val="minor"/>
    </font>
    <font>
      <name val="Calibri"/>
      <family val="2"/>
      <color theme="1"/>
      <sz val="12"/>
      <scheme val="minor"/>
    </font>
    <font>
      <name val="Calibri"/>
      <family val="2"/>
      <color theme="1"/>
      <sz val="12"/>
      <scheme val="minor"/>
    </font>
    <font>
      <name val="Calibri"/>
      <family val="2"/>
      <b val="1"/>
      <sz val="14"/>
      <scheme val="minor"/>
    </font>
    <font>
      <name val="Calibri"/>
      <family val="2"/>
      <b val="1"/>
      <color theme="1"/>
      <sz val="18"/>
      <scheme val="minor"/>
    </font>
    <font>
      <name val="Calibri"/>
      <family val="2"/>
      <b val="1"/>
      <color theme="1"/>
      <sz val="20"/>
      <scheme val="minor"/>
    </font>
    <font>
      <name val="Calibri"/>
      <family val="2"/>
      <b val="1"/>
      <color theme="1"/>
      <sz val="12"/>
      <scheme val="minor"/>
    </font>
    <font>
      <name val="Calibri"/>
      <family val="2"/>
      <b val="1"/>
      <color theme="0"/>
      <sz val="11"/>
      <scheme val="minor"/>
    </font>
    <font>
      <name val="Calibri"/>
      <family val="2"/>
      <b val="1"/>
      <color theme="0"/>
      <sz val="14"/>
      <scheme val="minor"/>
    </font>
    <font>
      <name val="Calibri"/>
      <family val="2"/>
      <b val="1"/>
      <color theme="1"/>
      <sz val="16"/>
      <scheme val="minor"/>
    </font>
    <font>
      <name val="Calibri"/>
      <family val="2"/>
      <color theme="1"/>
      <sz val="16"/>
      <scheme val="minor"/>
    </font>
    <font>
      <name val="Calibri"/>
      <family val="2"/>
      <sz val="12"/>
      <scheme val="minor"/>
    </font>
    <font>
      <name val="Calibri"/>
      <family val="2"/>
      <b val="1"/>
      <sz val="12"/>
      <scheme val="minor"/>
    </font>
    <font>
      <name val="Calibri"/>
      <family val="2"/>
      <color rgb="FF000000"/>
      <sz val="11"/>
      <scheme val="minor"/>
    </font>
    <font>
      <name val="Calibri"/>
      <family val="2"/>
      <b val="1"/>
      <color theme="1"/>
      <sz val="11"/>
      <scheme val="minor"/>
    </font>
    <font>
      <name val="Calibri"/>
      <family val="2"/>
      <color theme="1"/>
      <sz val="36"/>
      <scheme val="minor"/>
    </font>
    <font>
      <name val="Calibri"/>
      <family val="2"/>
      <color theme="1"/>
      <sz val="36"/>
      <u val="single"/>
      <scheme val="minor"/>
    </font>
    <font>
      <name val="Calibri"/>
      <family val="2"/>
      <color theme="1"/>
      <sz val="14"/>
      <scheme val="minor"/>
    </font>
    <font>
      <name val="Calibri"/>
      <family val="2"/>
      <color theme="1"/>
      <sz val="20"/>
      <scheme val="minor"/>
    </font>
    <font>
      <name val="Calibri"/>
      <family val="2"/>
      <i val="1"/>
      <color rgb="FFFF0000"/>
      <sz val="12"/>
      <scheme val="minor"/>
    </font>
    <font>
      <name val="Calibri"/>
      <family val="2"/>
      <i val="1"/>
      <color rgb="FFFF0000"/>
      <sz val="11"/>
      <scheme val="minor"/>
    </font>
    <font>
      <name val="Calibri"/>
      <family val="2"/>
      <b val="1"/>
      <color rgb="FFFF0000"/>
      <sz val="28"/>
      <u val="single"/>
      <scheme val="minor"/>
    </font>
    <font>
      <name val="Calibri"/>
      <family val="2"/>
      <b val="1"/>
      <sz val="18"/>
      <scheme val="minor"/>
    </font>
    <font>
      <name val="Calibri"/>
      <family val="2"/>
      <b val="1"/>
      <color theme="0"/>
      <sz val="18"/>
      <scheme val="minor"/>
    </font>
    <font>
      <name val="Calibri"/>
      <family val="2"/>
      <color theme="0"/>
      <sz val="12"/>
      <scheme val="minor"/>
    </font>
    <font>
      <name val="Calibri"/>
      <family val="2"/>
      <b val="1"/>
      <i val="1"/>
      <color theme="0"/>
      <sz val="11"/>
      <scheme val="minor"/>
    </font>
    <font>
      <name val="Calibri"/>
      <family val="2"/>
      <b val="1"/>
      <color theme="0"/>
      <sz val="12"/>
      <scheme val="minor"/>
    </font>
    <font>
      <name val="Calibri"/>
      <family val="2"/>
      <b val="1"/>
      <sz val="11"/>
      <scheme val="minor"/>
    </font>
    <font>
      <name val="Calibri"/>
      <family val="2"/>
      <color theme="1"/>
      <sz val="18"/>
      <scheme val="minor"/>
    </font>
    <font>
      <name val="Calibri"/>
      <family val="2"/>
      <color theme="1"/>
      <sz val="26"/>
      <scheme val="minor"/>
    </font>
    <font>
      <name val="Calibri"/>
      <family val="2"/>
      <color theme="1"/>
      <sz val="72"/>
      <scheme val="minor"/>
    </font>
  </fonts>
  <fills count="23">
    <fill>
      <patternFill/>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theme="0" tint="-0.1499984740745262"/>
        <bgColor indexed="64"/>
      </patternFill>
    </fill>
    <fill>
      <patternFill patternType="solid">
        <fgColor theme="7" tint="0.7999816888943144"/>
        <bgColor indexed="64"/>
      </patternFill>
    </fill>
    <fill>
      <patternFill patternType="solid">
        <fgColor theme="4" tint="0.7999816888943144"/>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8">
    <xf numFmtId="0" fontId="0" fillId="0" borderId="0" pivotButton="0" quotePrefix="0" xfId="0"/>
    <xf numFmtId="0" fontId="2" fillId="0" borderId="0" applyAlignment="1" pivotButton="0" quotePrefix="0" xfId="0">
      <alignment horizontal="center" vertical="center"/>
    </xf>
    <xf numFmtId="0" fontId="4" fillId="0" borderId="0" applyAlignment="1" pivotButton="0" quotePrefix="0" xfId="0">
      <alignment horizontal="left" vertical="center"/>
    </xf>
    <xf numFmtId="0" fontId="0" fillId="0" borderId="0" applyAlignment="1" pivotButton="0" quotePrefix="0" xfId="0">
      <alignment vertical="center"/>
    </xf>
    <xf numFmtId="0" fontId="4" fillId="0" borderId="0" applyAlignment="1" pivotButton="0" quotePrefix="0" xfId="0">
      <alignment horizontal="center" vertical="center"/>
    </xf>
    <xf numFmtId="0" fontId="0" fillId="0" borderId="0" applyAlignment="1" pivotButton="0" quotePrefix="0" xfId="0">
      <alignment horizontal="center" vertical="center"/>
    </xf>
    <xf numFmtId="0" fontId="9" fillId="0" borderId="0" applyAlignment="1" pivotButton="0" quotePrefix="0" xfId="0">
      <alignment horizontal="center" vertical="center"/>
    </xf>
    <xf numFmtId="0" fontId="10" fillId="0" borderId="0" applyAlignment="1" pivotButton="0" quotePrefix="0" xfId="0">
      <alignment horizontal="center" vertical="center"/>
    </xf>
    <xf numFmtId="0" fontId="2" fillId="0" borderId="0" applyAlignment="1" applyProtection="1" pivotButton="0" quotePrefix="0" xfId="0">
      <alignment horizontal="center" vertical="center"/>
      <protection locked="0" hidden="0"/>
    </xf>
    <xf numFmtId="0" fontId="3" fillId="0" borderId="0" applyAlignment="1" pivotButton="0" quotePrefix="0" xfId="0">
      <alignment horizontal="center" vertical="center" wrapText="1"/>
    </xf>
    <xf numFmtId="0" fontId="0" fillId="8" borderId="0" applyAlignment="1" pivotButton="0" quotePrefix="0" xfId="0">
      <alignment horizontal="center" vertical="center"/>
    </xf>
    <xf numFmtId="0" fontId="0" fillId="8" borderId="0" applyAlignment="1" pivotButton="0" quotePrefix="0" xfId="0">
      <alignment horizontal="center" vertical="center" wrapText="1"/>
    </xf>
    <xf numFmtId="0" fontId="0" fillId="4" borderId="0" applyAlignment="1" pivotButton="0" quotePrefix="0" xfId="0">
      <alignment horizontal="center" vertical="center"/>
    </xf>
    <xf numFmtId="0" fontId="0" fillId="4" borderId="0" applyAlignment="1" pivotButton="0" quotePrefix="0" xfId="0">
      <alignment horizontal="center" vertical="center" wrapText="1"/>
    </xf>
    <xf numFmtId="0" fontId="0" fillId="6" borderId="0" applyAlignment="1" pivotButton="0" quotePrefix="0" xfId="0">
      <alignment horizontal="center" vertical="center"/>
    </xf>
    <xf numFmtId="0" fontId="0" fillId="6" borderId="0" applyAlignment="1" pivotButton="0" quotePrefix="0" xfId="0">
      <alignment horizontal="center" vertical="center" wrapText="1"/>
    </xf>
    <xf numFmtId="0" fontId="0" fillId="5" borderId="0" applyAlignment="1" pivotButton="0" quotePrefix="0" xfId="0">
      <alignment horizontal="center" vertical="center"/>
    </xf>
    <xf numFmtId="0" fontId="0" fillId="5" borderId="0" applyAlignment="1" pivotButton="0" quotePrefix="0" xfId="0">
      <alignment horizontal="center" vertical="center" wrapText="1"/>
    </xf>
    <xf numFmtId="0" fontId="0" fillId="7" borderId="0" applyAlignment="1" pivotButton="0" quotePrefix="0" xfId="0">
      <alignment horizontal="center" vertical="center"/>
    </xf>
    <xf numFmtId="0" fontId="0" fillId="7" borderId="0" applyAlignment="1" pivotButton="0" quotePrefix="0" xfId="0">
      <alignment horizontal="center" vertical="center" wrapText="1"/>
    </xf>
    <xf numFmtId="0" fontId="0" fillId="12" borderId="0" applyAlignment="1" pivotButton="0" quotePrefix="0" xfId="0">
      <alignment horizontal="center" vertical="center"/>
    </xf>
    <xf numFmtId="0" fontId="0" fillId="12" borderId="0" applyAlignment="1" pivotButton="0" quotePrefix="0" xfId="0">
      <alignment horizontal="center" vertical="center" wrapText="1"/>
    </xf>
    <xf numFmtId="2" fontId="0" fillId="0" borderId="0" pivotButton="0" quotePrefix="0" xfId="0"/>
    <xf numFmtId="1" fontId="0" fillId="0" borderId="0" pivotButton="0" quotePrefix="0" xfId="0"/>
    <xf numFmtId="0" fontId="11" fillId="0" borderId="0" applyAlignment="1" applyProtection="1" pivotButton="0" quotePrefix="0" xfId="0">
      <alignment horizontal="center" vertical="center"/>
      <protection locked="0" hidden="0"/>
    </xf>
    <xf numFmtId="164" fontId="11" fillId="0" borderId="0" applyAlignment="1" applyProtection="1" pivotButton="0" quotePrefix="0" xfId="0">
      <alignment horizontal="center" vertical="center"/>
      <protection locked="0" hidden="0"/>
    </xf>
    <xf numFmtId="0" fontId="13" fillId="0" borderId="0" pivotButton="0" quotePrefix="0" xfId="0"/>
    <xf numFmtId="1" fontId="12" fillId="14" borderId="1" applyAlignment="1" pivotButton="0" quotePrefix="0" xfId="0">
      <alignment horizontal="center" vertical="center" textRotation="90" wrapText="1"/>
    </xf>
    <xf numFmtId="1" fontId="12" fillId="10" borderId="1" applyAlignment="1" pivotButton="0" quotePrefix="0" xfId="0">
      <alignment horizontal="center" vertical="center" textRotation="90" wrapText="1"/>
    </xf>
    <xf numFmtId="1" fontId="12" fillId="13" borderId="1" applyAlignment="1" pivotButton="0" quotePrefix="0" xfId="0">
      <alignment horizontal="center" vertical="center" textRotation="90" wrapText="1"/>
    </xf>
    <xf numFmtId="2" fontId="12" fillId="15" borderId="1" applyAlignment="1" pivotButton="0" quotePrefix="0" xfId="0">
      <alignment horizontal="center" vertical="center" textRotation="90" wrapText="1"/>
    </xf>
    <xf numFmtId="0" fontId="12" fillId="15" borderId="1" applyAlignment="1" pivotButton="0" quotePrefix="0" xfId="0">
      <alignment horizontal="center" vertical="center" textRotation="90" wrapText="1"/>
    </xf>
    <xf numFmtId="0" fontId="3" fillId="0" borderId="2" applyAlignment="1" pivotButton="0" quotePrefix="0" xfId="0">
      <alignment horizontal="center" vertical="center" wrapText="1"/>
    </xf>
    <xf numFmtId="0" fontId="0" fillId="3" borderId="0" applyAlignment="1" pivotButton="0" quotePrefix="0" xfId="0">
      <alignment horizontal="center" vertical="center"/>
    </xf>
    <xf numFmtId="0" fontId="15" fillId="3" borderId="0" applyAlignment="1" pivotButton="0" quotePrefix="0" xfId="0">
      <alignment horizontal="left" vertical="center"/>
    </xf>
    <xf numFmtId="0" fontId="16" fillId="3" borderId="0" applyAlignment="1" pivotButton="0" quotePrefix="0" xfId="0">
      <alignment horizontal="left" vertical="center"/>
    </xf>
    <xf numFmtId="0" fontId="15" fillId="3" borderId="0" applyAlignment="1" pivotButton="0" quotePrefix="0" xfId="0">
      <alignment vertical="top" wrapText="1"/>
    </xf>
    <xf numFmtId="49" fontId="15" fillId="3" borderId="0" applyAlignment="1" pivotButton="0" quotePrefix="0" xfId="0">
      <alignment horizontal="left" vertical="center"/>
    </xf>
    <xf numFmtId="0" fontId="14" fillId="0" borderId="0" applyAlignment="1" pivotButton="0" quotePrefix="0" xfId="0">
      <alignment horizontal="center" vertical="center"/>
    </xf>
    <xf numFmtId="0" fontId="0" fillId="0" borderId="4" pivotButton="0" quotePrefix="0" xfId="0"/>
    <xf numFmtId="0" fontId="17" fillId="0" borderId="0" applyAlignment="1" pivotButton="0" quotePrefix="0" xfId="0">
      <alignment horizontal="center" vertical="center" textRotation="90"/>
    </xf>
    <xf numFmtId="0" fontId="20" fillId="0" borderId="0" pivotButton="0" quotePrefix="0" xfId="0"/>
    <xf numFmtId="165" fontId="14" fillId="0" borderId="0" applyAlignment="1" pivotButton="0" quotePrefix="0" xfId="0">
      <alignment horizontal="center" vertical="center"/>
    </xf>
    <xf numFmtId="0" fontId="22" fillId="0" borderId="0" applyAlignment="1" pivotButton="0" quotePrefix="0" xfId="0">
      <alignment horizontal="left" vertical="center"/>
    </xf>
    <xf numFmtId="0" fontId="8" fillId="0" borderId="0" applyAlignment="1" pivotButton="0" quotePrefix="0" xfId="0">
      <alignment horizontal="center" vertical="center" wrapText="1"/>
    </xf>
    <xf numFmtId="0" fontId="23" fillId="0" borderId="0" applyAlignment="1" pivotButton="0" quotePrefix="0" xfId="0">
      <alignment horizontal="left" vertical="center" wrapText="1"/>
    </xf>
    <xf numFmtId="0" fontId="24" fillId="0" borderId="0" applyAlignment="1" applyProtection="1" pivotButton="0" quotePrefix="0" xfId="0">
      <alignment horizontal="center" vertical="center" wrapText="1"/>
      <protection locked="0" hidden="0"/>
    </xf>
    <xf numFmtId="0" fontId="3" fillId="9" borderId="1" applyAlignment="1" pivotButton="0" quotePrefix="0" xfId="0">
      <alignment horizontal="center" vertical="center" wrapText="1"/>
    </xf>
    <xf numFmtId="0" fontId="7" fillId="17" borderId="1" applyAlignment="1" pivotButton="0" quotePrefix="0" xfId="0">
      <alignment horizontal="center" vertical="center" wrapText="1"/>
    </xf>
    <xf numFmtId="0" fontId="8" fillId="17" borderId="1" applyAlignment="1" pivotButton="0" quotePrefix="0" xfId="0">
      <alignment horizontal="center" vertical="center" wrapText="1"/>
    </xf>
    <xf numFmtId="0" fontId="7" fillId="6" borderId="1" applyAlignment="1" pivotButton="0" quotePrefix="0" xfId="0">
      <alignment horizontal="center" vertical="center" wrapText="1"/>
    </xf>
    <xf numFmtId="0" fontId="7" fillId="5" borderId="1" applyAlignment="1" pivotButton="0" quotePrefix="0" xfId="0">
      <alignment horizontal="center" vertical="center" wrapText="1"/>
    </xf>
    <xf numFmtId="0" fontId="7" fillId="19" borderId="1" applyAlignment="1" pivotButton="0" quotePrefix="0" xfId="0">
      <alignment horizontal="center" vertical="center" wrapText="1"/>
    </xf>
    <xf numFmtId="1" fontId="8" fillId="8" borderId="1" applyAlignment="1" pivotButton="0" quotePrefix="0" xfId="0">
      <alignment horizontal="center" vertical="center" wrapText="1"/>
    </xf>
    <xf numFmtId="0" fontId="8" fillId="8" borderId="1" applyAlignment="1" pivotButton="0" quotePrefix="0" xfId="0">
      <alignment horizontal="center" vertical="center" wrapText="1"/>
    </xf>
    <xf numFmtId="0" fontId="3" fillId="9" borderId="0" applyAlignment="1" pivotButton="0" quotePrefix="0" xfId="0">
      <alignment horizontal="center" vertical="center" wrapText="1"/>
    </xf>
    <xf numFmtId="0" fontId="3" fillId="9" borderId="0" applyAlignment="1" pivotButton="0" quotePrefix="0" xfId="0">
      <alignment horizontal="center" vertical="center"/>
    </xf>
    <xf numFmtId="0" fontId="3" fillId="9" borderId="3" applyAlignment="1" pivotButton="0" quotePrefix="0" xfId="0">
      <alignment horizontal="center" vertical="center" wrapText="1"/>
    </xf>
    <xf numFmtId="165" fontId="8" fillId="17" borderId="3" applyAlignment="1" pivotButton="0" quotePrefix="0" xfId="0">
      <alignment horizontal="center" vertical="center" textRotation="90" wrapText="1"/>
    </xf>
    <xf numFmtId="0" fontId="0" fillId="0" borderId="0" applyAlignment="1" pivotButton="0" quotePrefix="0" xfId="0">
      <alignment wrapText="1"/>
    </xf>
    <xf numFmtId="1" fontId="26" fillId="19" borderId="0" applyAlignment="1" pivotButton="0" quotePrefix="0" xfId="0">
      <alignment horizontal="center" vertical="center" textRotation="90" wrapText="1"/>
    </xf>
    <xf numFmtId="0" fontId="26" fillId="19" borderId="0" applyAlignment="1" pivotButton="0" quotePrefix="0" xfId="0">
      <alignment horizontal="center" vertical="center" textRotation="90" wrapText="1"/>
    </xf>
    <xf numFmtId="0" fontId="27" fillId="18" borderId="0" applyAlignment="1" pivotButton="0" quotePrefix="0" xfId="0">
      <alignment horizontal="center" vertical="center" textRotation="90" wrapText="1"/>
    </xf>
    <xf numFmtId="0" fontId="27" fillId="10" borderId="0" applyAlignment="1" pivotButton="0" quotePrefix="0" xfId="0">
      <alignment horizontal="center" vertical="center" textRotation="90" wrapText="1"/>
    </xf>
    <xf numFmtId="0" fontId="27" fillId="18" borderId="3" applyAlignment="1" pivotButton="0" quotePrefix="0" xfId="0">
      <alignment horizontal="center" vertical="center" textRotation="90" wrapText="1"/>
    </xf>
    <xf numFmtId="0" fontId="25" fillId="16" borderId="0" applyAlignment="1" pivotButton="0" quotePrefix="0" xfId="0">
      <alignment horizontal="center" vertical="center" textRotation="90" wrapText="1"/>
    </xf>
    <xf numFmtId="0" fontId="27" fillId="11" borderId="0" applyAlignment="1" pivotButton="0" quotePrefix="0" xfId="0">
      <alignment horizontal="center" vertical="center" textRotation="90" wrapText="1"/>
    </xf>
    <xf numFmtId="0" fontId="7" fillId="6" borderId="0" applyAlignment="1" pivotButton="0" quotePrefix="0" xfId="0">
      <alignment horizontal="center" vertical="center" textRotation="90" wrapText="1"/>
    </xf>
    <xf numFmtId="0" fontId="1" fillId="0" borderId="0" pivotButton="0" quotePrefix="0" xfId="0"/>
    <xf numFmtId="0" fontId="1" fillId="0" borderId="0" applyProtection="1" pivotButton="0" quotePrefix="0" xfId="0">
      <protection locked="0" hidden="0"/>
    </xf>
    <xf numFmtId="0" fontId="6" fillId="0" borderId="0" pivotButton="0" quotePrefix="0" xfId="0"/>
    <xf numFmtId="0" fontId="19" fillId="0" borderId="0" pivotButton="0" quotePrefix="0" xfId="0"/>
    <xf numFmtId="1" fontId="1" fillId="0" borderId="0" pivotButton="0" quotePrefix="0" xfId="0"/>
    <xf numFmtId="1" fontId="11" fillId="0" borderId="0" pivotButton="0" quotePrefix="0" xfId="0"/>
    <xf numFmtId="0" fontId="11" fillId="0" borderId="0" applyProtection="1" pivotButton="0" quotePrefix="0" xfId="0">
      <protection locked="0" hidden="0"/>
    </xf>
    <xf numFmtId="1" fontId="11" fillId="0" borderId="0" applyProtection="1" pivotButton="0" quotePrefix="0" xfId="0">
      <protection locked="0" hidden="0"/>
    </xf>
    <xf numFmtId="2" fontId="11" fillId="0" borderId="0" applyProtection="1" pivotButton="0" quotePrefix="0" xfId="0">
      <protection locked="0" hidden="0"/>
    </xf>
    <xf numFmtId="1" fontId="6" fillId="0" borderId="0" pivotButton="0" quotePrefix="0" xfId="0"/>
    <xf numFmtId="0" fontId="0" fillId="0" borderId="0" applyProtection="1" pivotButton="0" quotePrefix="0" xfId="0">
      <protection locked="0" hidden="0"/>
    </xf>
    <xf numFmtId="0" fontId="1" fillId="21" borderId="0" applyAlignment="1" applyProtection="1" pivotButton="0" quotePrefix="0" xfId="0">
      <alignment horizontal="center" vertical="center"/>
      <protection locked="0" hidden="0"/>
    </xf>
    <xf numFmtId="0" fontId="28" fillId="0" borderId="0" applyAlignment="1" pivotButton="0" quotePrefix="0" xfId="0">
      <alignment horizontal="center" vertical="center"/>
    </xf>
    <xf numFmtId="0" fontId="28" fillId="0" borderId="0" applyAlignment="1" pivotButton="0" quotePrefix="0" xfId="0">
      <alignment vertical="center"/>
    </xf>
    <xf numFmtId="0" fontId="21" fillId="3" borderId="0" applyAlignment="1" pivotButton="0" quotePrefix="0" xfId="0">
      <alignment horizontal="center" vertical="center" wrapText="1"/>
    </xf>
    <xf numFmtId="0" fontId="30" fillId="3" borderId="0" applyAlignment="1" pivotButton="0" quotePrefix="0" xfId="0">
      <alignment horizontal="center" vertical="center"/>
    </xf>
    <xf numFmtId="0" fontId="29" fillId="3" borderId="0" applyAlignment="1" pivotButton="0" quotePrefix="0" xfId="0">
      <alignment horizontal="left" vertical="top" wrapText="1"/>
    </xf>
    <xf numFmtId="0" fontId="28" fillId="3" borderId="0" applyAlignment="1" pivotButton="0" quotePrefix="0" xfId="0">
      <alignment horizontal="left" vertical="top" wrapText="1"/>
    </xf>
    <xf numFmtId="0" fontId="18" fillId="20" borderId="5" applyAlignment="1" pivotButton="0" quotePrefix="0" xfId="0">
      <alignment horizontal="left" vertical="top" wrapText="1"/>
    </xf>
    <xf numFmtId="0" fontId="18" fillId="20" borderId="6" applyAlignment="1" pivotButton="0" quotePrefix="0" xfId="0">
      <alignment horizontal="left" vertical="top" wrapText="1"/>
    </xf>
    <xf numFmtId="0" fontId="18" fillId="20" borderId="7" applyAlignment="1" pivotButton="0" quotePrefix="0" xfId="0">
      <alignment horizontal="left" vertical="top" wrapText="1"/>
    </xf>
    <xf numFmtId="0" fontId="29" fillId="3" borderId="0" applyAlignment="1" pivotButton="0" quotePrefix="0" xfId="0">
      <alignment vertical="top" wrapText="1"/>
    </xf>
    <xf numFmtId="49" fontId="29" fillId="3" borderId="0" applyAlignment="1" pivotButton="0" quotePrefix="0" xfId="0">
      <alignment horizontal="left" vertical="top"/>
    </xf>
    <xf numFmtId="0" fontId="29" fillId="3" borderId="0" applyAlignment="1" pivotButton="0" quotePrefix="0" xfId="0">
      <alignment horizontal="left" vertical="center"/>
    </xf>
    <xf numFmtId="0" fontId="28" fillId="3" borderId="0" applyAlignment="1" pivotButton="0" quotePrefix="0" xfId="0">
      <alignment horizontal="left" vertical="top"/>
    </xf>
    <xf numFmtId="1" fontId="14" fillId="5" borderId="0" applyAlignment="1" pivotButton="0" quotePrefix="0" xfId="0">
      <alignment horizontal="center" vertical="center" textRotation="90"/>
    </xf>
    <xf numFmtId="0" fontId="14" fillId="5" borderId="0" applyAlignment="1" pivotButton="0" quotePrefix="0" xfId="0">
      <alignment horizontal="center" vertical="center" textRotation="90"/>
    </xf>
    <xf numFmtId="0" fontId="11" fillId="0" borderId="0" applyAlignment="1" pivotButton="0" quotePrefix="0" xfId="0">
      <alignment wrapText="1"/>
    </xf>
    <xf numFmtId="0" fontId="1" fillId="0" borderId="0" applyAlignment="1" pivotButton="0" quotePrefix="0" xfId="0">
      <alignment wrapText="1"/>
    </xf>
    <xf numFmtId="0" fontId="22" fillId="0" borderId="0" applyAlignment="1" pivotButton="0" quotePrefix="0" xfId="0">
      <alignment horizontal="center" vertical="center"/>
    </xf>
    <xf numFmtId="0" fontId="4" fillId="0" borderId="0" applyAlignment="1" pivotButton="0" quotePrefix="0" xfId="0">
      <alignment horizontal="left" vertical="center" wrapText="1"/>
    </xf>
    <xf numFmtId="0" fontId="1" fillId="0" borderId="0" applyAlignment="1" pivotButton="0" quotePrefix="0" xfId="0">
      <alignment horizontal="center" vertical="center"/>
    </xf>
    <xf numFmtId="0" fontId="2" fillId="22" borderId="7" applyAlignment="1" applyProtection="1" pivotButton="0" quotePrefix="0" xfId="0">
      <alignment horizontal="center" vertical="center"/>
      <protection locked="0" hidden="0"/>
    </xf>
    <xf numFmtId="0" fontId="5" fillId="2" borderId="0" applyAlignment="1" pivotButton="0" quotePrefix="0" xfId="0">
      <alignment horizontal="center" vertical="center"/>
    </xf>
    <xf numFmtId="0" fontId="4" fillId="0" borderId="0" applyAlignment="1" pivotButton="0" quotePrefix="0" xfId="0">
      <alignment horizontal="center" vertical="center"/>
    </xf>
    <xf numFmtId="0" fontId="22" fillId="0" borderId="0" applyAlignment="1" pivotButton="0" quotePrefix="0" xfId="0">
      <alignment horizontal="left" vertical="center"/>
    </xf>
    <xf numFmtId="0" fontId="2" fillId="0" borderId="0" pivotButton="0" quotePrefix="0" xfId="0"/>
    <xf numFmtId="1" fontId="2" fillId="0" borderId="0" pivotButton="0" quotePrefix="0" xfId="0"/>
    <xf numFmtId="0" fontId="2" fillId="0" borderId="0" applyAlignment="1" pivotButton="0" quotePrefix="0" xfId="0">
      <alignment wrapText="1"/>
    </xf>
    <xf numFmtId="0" fontId="2" fillId="0" borderId="0" applyProtection="1" pivotButton="0" quotePrefix="0" xfId="0">
      <protection locked="0" hidden="0"/>
    </xf>
  </cellXfs>
  <cellStyles count="1">
    <cellStyle name="Normal" xfId="0" builtinId="0"/>
  </cellStyles>
  <dxfs count="165">
    <dxf>
      <font>
        <color theme="9" tint="-0.499984740745262"/>
      </font>
      <fill>
        <patternFill>
          <bgColor rgb="FF00B050"/>
        </patternFill>
      </fill>
    </dxf>
    <dxf>
      <fill>
        <patternFill>
          <bgColor rgb="FF00FF00"/>
        </patternFill>
      </fill>
    </dxf>
    <dxf>
      <font>
        <b val="1"/>
        <i val="1"/>
        <color theme="0"/>
      </font>
      <fill>
        <patternFill>
          <bgColor rgb="FFC9B037"/>
        </patternFill>
      </fill>
    </dxf>
    <dxf>
      <font>
        <b val="1"/>
        <i val="1"/>
        <color theme="1"/>
      </font>
      <fill>
        <patternFill>
          <bgColor rgb="FFD7D7D7"/>
        </patternFill>
      </fill>
    </dxf>
    <dxf>
      <font>
        <b val="1"/>
        <i val="1"/>
        <color theme="0"/>
      </font>
      <fill>
        <patternFill patternType="solid">
          <fgColor auto="1"/>
          <bgColor rgb="FFAD8A56"/>
        </patternFill>
      </fill>
      <border>
        <left style="thin">
          <color auto="1"/>
        </left>
        <right style="thin">
          <color auto="1"/>
        </right>
        <top style="thin">
          <color auto="1"/>
        </top>
        <bottom style="thin">
          <color auto="1"/>
        </bottom>
      </border>
    </dxf>
    <dxf>
      <font>
        <color rgb="FF9C0006"/>
      </font>
      <fill>
        <patternFill>
          <bgColor rgb="FFFFC7CE"/>
        </patternFill>
      </fill>
    </dxf>
    <dxf>
      <fill>
        <patternFill>
          <bgColor rgb="FFC5CAE9"/>
        </patternFill>
      </fill>
    </dxf>
    <dxf>
      <fill>
        <patternFill>
          <bgColor rgb="FF42A5F5"/>
        </patternFill>
      </fill>
    </dxf>
    <dxf>
      <fill>
        <patternFill>
          <bgColor rgb="FFFFFF99"/>
        </patternFill>
      </fill>
    </dxf>
    <dxf>
      <font>
        <b val="1"/>
        <i val="1"/>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16DB6"/>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963F"/>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E40613"/>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B0F0"/>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7030A0"/>
        </patternFill>
      </fill>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rgb="FF000000"/>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theme="4" tint="0.3999450666829432"/>
        </left>
        <right style="thin">
          <color theme="4" tint="0.3999450666829432"/>
        </right>
        <top/>
        <bottom/>
        <vertical style="thin">
          <color theme="4" tint="0.3999450666829432"/>
        </vertical>
        <horizontal style="thin">
          <color theme="4" tint="0.3999450666829432"/>
        </horizontal>
      </border>
      <protection locked="1" hidden="0"/>
    </dxf>
    <dxf>
      <font>
        <name val="Calibri"/>
        <family val="2"/>
        <b val="1"/>
        <strike val="0"/>
        <outline val="0"/>
        <shadow val="0"/>
        <condense val="0"/>
        <color theme="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border outline="0">
        <bottom style="thin">
          <color indexed="64"/>
        </bottom>
      </border>
    </dxf>
    <dxf>
      <font>
        <name val="Calibri"/>
        <family val="2"/>
        <b val="1"/>
        <strike val="0"/>
        <outline val="0"/>
        <shadow val="0"/>
        <condense val="0"/>
        <color theme="1"/>
        <extend val="0"/>
        <sz val="14"/>
        <vertAlign val="baseline"/>
        <scheme val="minor"/>
      </font>
      <fill>
        <patternFill patternType="solid">
          <fgColor indexed="64"/>
          <bgColor theme="9" tint="0.3999755851924192"/>
        </patternFill>
      </fill>
      <alignment horizontal="center" vertical="center" textRotation="90"/>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2" formatCode="0.0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protection locked="0"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auto="1"/>
        <extend val="0"/>
        <sz val="12"/>
        <vertAlign val="baseline"/>
        <scheme val="minor"/>
      </font>
      <numFmt numFmtId="0" formatCode="General"/>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border>
        <bottom style="thin">
          <color auto="1"/>
        </bottom>
      </border>
    </dxf>
    <dxf>
      <font>
        <name val="Calibri"/>
        <b val="1"/>
        <strike val="0"/>
        <outline val="0"/>
        <shadow val="0"/>
        <condense val="0"/>
        <color auto="1"/>
        <extend val="0"/>
        <sz val="14"/>
        <vertAlign val="baseline"/>
        <scheme val="minor"/>
      </font>
      <alignment horizontal="center" vertical="center" wrapText="1"/>
      <border>
        <left style="thin">
          <color auto="1"/>
        </left>
        <right style="thin">
          <color auto="1"/>
        </right>
        <top/>
        <bottom/>
        <vertical style="thin">
          <color auto="1"/>
        </vertical>
        <horizontal/>
      </border>
      <protection locked="1" hidden="0"/>
    </dxf>
    <dxf>
      <protection locked="1" hidden="0"/>
    </dxf>
    <dxf>
      <protection locked="1" hidden="0"/>
    </dxf>
    <dxf>
      <protection locked="1" hidden="0"/>
    </dxf>
    <dxf>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strike val="0"/>
        <outline val="0"/>
        <shadow val="0"/>
        <color theme="1"/>
        <sz val="16"/>
        <vertAlign val="baseline"/>
        <scheme val="minor"/>
      </font>
      <alignment horizontal="center" vertical="center"/>
    </dxf>
    <dxf>
      <fill>
        <patternFill patternType="solid">
          <fgColor rgb="0000B050"/>
          <bgColor rgb="0000B050"/>
        </patternFill>
      </fill>
    </dxf>
    <dxf>
      <fill>
        <patternFill patternType="solid">
          <fgColor rgb="0000FF00"/>
          <bgColor rgb="0000FF00"/>
        </patternFill>
      </fill>
    </dxf>
    <dxf>
      <fill>
        <patternFill patternType="solid">
          <fgColor rgb="00C9B037"/>
          <bgColor rgb="00C9B037"/>
        </patternFill>
      </fill>
    </dxf>
    <dxf>
      <fill>
        <patternFill patternType="solid">
          <fgColor rgb="00D7D7D7"/>
          <bgColor rgb="00D7D7D7"/>
        </patternFill>
      </fill>
    </dxf>
    <dxf>
      <fill>
        <patternFill patternType="solid">
          <fgColor rgb="00AD8A56"/>
          <bgColor rgb="00AD8A56"/>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styles" Target="styles.xml" Id="rId15" /><Relationship Type="http://schemas.openxmlformats.org/officeDocument/2006/relationships/theme" Target="theme/theme1.xml" Id="rId16" /><Relationship Type="http://schemas.microsoft.com/office/2006/relationships/vbaProject" Target="vbaProject.bin" Id="rId17" /></Relationships>
</file>

<file path=xl/tables/table1.xml><?xml version="1.0" encoding="utf-8"?>
<table xmlns="http://schemas.openxmlformats.org/spreadsheetml/2006/main" id="1" name="OfficialTeamList" displayName="OfficialTeamList" ref="A2:D7" headerRowCount="1" insertRow="1" totalsRowShown="0" headerRowDxfId="159" dataDxfId="158">
  <autoFilter ref="A2:D3"/>
  <sortState ref="A3:D3">
    <sortCondition ref="A3"/>
  </sortState>
  <tableColumns count="4">
    <tableColumn id="1" name="Team #" dataDxfId="157"/>
    <tableColumn id="2" name="Team Name" dataDxfId="156"/>
    <tableColumn id="3" name="Coach Name" dataDxfId="155"/>
    <tableColumn id="4" name="Pod Number" dataDxfId="154"/>
  </tableColumns>
  <tableStyleInfo name="TableStyleMedium2" showFirstColumn="0" showLastColumn="0" showRowStripes="1" showColumnStripes="0"/>
</table>
</file>

<file path=xl/tables/table2.xml><?xml version="1.0" encoding="utf-8"?>
<table xmlns="http://schemas.openxmlformats.org/spreadsheetml/2006/main" id="2" name="Advancing" displayName="Advancing" ref="A1:A4" headerRowCount="1" totalsRowShown="0">
  <autoFilter ref="A1:A4"/>
  <tableColumns count="1">
    <tableColumn id="1" name="Advance"/>
  </tableColumns>
  <tableStyleInfo name="TableStyleMedium2" showFirstColumn="0" showLastColumn="0" showRowStripes="1" showColumnStripes="0"/>
</table>
</file>

<file path=xl/tables/table3.xml><?xml version="1.0" encoding="utf-8"?>
<table xmlns="http://schemas.openxmlformats.org/spreadsheetml/2006/main" id="3" name="Meta" displayName="Meta" ref="A1:B9" headerRowCount="1" insertRow="1" totalsRowShown="0" headerRowDxfId="153" dataDxfId="152">
  <autoFilter ref="A1:B2"/>
  <tableColumns count="2">
    <tableColumn id="1" name="Key" dataDxfId="151"/>
    <tableColumn id="2" name="Value" dataDxfId="150"/>
  </tableColumns>
  <tableStyleInfo name="TableStyleMedium2" showFirstColumn="0" showLastColumn="0" showRowStripes="1" showColumnStripes="0"/>
</table>
</file>

<file path=xl/tables/table4.xml><?xml version="1.0" encoding="utf-8"?>
<table xmlns="http://schemas.openxmlformats.org/spreadsheetml/2006/main" id="4" name="AwardListDropdowns" displayName="AwardListDropdowns" ref="A1:A25" headerRowCount="1" insertRow="1" totalsRowShown="0">
  <autoFilter ref="A1:A2"/>
  <tableColumns count="1">
    <tableColumn id="1" name="Award"/>
  </tableColumns>
  <tableStyleInfo name="TableStyleMedium2" showFirstColumn="0" showLastColumn="0" showRowStripes="1" showColumnStripes="0"/>
</table>
</file>

<file path=xl/tables/table5.xml><?xml version="1.0" encoding="utf-8"?>
<table xmlns="http://schemas.openxmlformats.org/spreadsheetml/2006/main" id="5" name="RobotGameAwards" displayName="RobotGameAwards" ref="C1:C4" headerRowCount="1" insertRow="1" totalsRowShown="0">
  <autoFilter ref="C1:C2"/>
  <tableColumns count="1">
    <tableColumn id="1" name="Robot Game Awards"/>
  </tableColumns>
  <tableStyleInfo name="TableStyleMedium2" showFirstColumn="0" showLastColumn="0" showRowStripes="1" showColumnStripes="0"/>
</table>
</file>

<file path=xl/tables/table6.xml><?xml version="1.0" encoding="utf-8"?>
<table xmlns="http://schemas.openxmlformats.org/spreadsheetml/2006/main" id="6" name="AwardDef" displayName="AwardDef" ref="A1:S11" headerRowCount="1" insertRow="1" totalsRowShown="0">
  <autoFilter ref="A1:S2"/>
  <tableColumns count="19">
    <tableColumn id="1" name="ColumnName"/>
    <tableColumn id="2" name="Name"/>
    <tableColumn id="3" name="DivAward"/>
    <tableColumn id="4" name="TournCount"/>
    <tableColumn id="5" name="D1Count"/>
    <tableColumn id="6" name="D2Count"/>
    <tableColumn id="7" name="Label1"/>
    <tableColumn id="8" name="Label2"/>
    <tableColumn id="9" name="Label3"/>
    <tableColumn id="10" name="Label4"/>
    <tableColumn id="11" name="Label5"/>
    <tableColumn id="12" name="Label6"/>
    <tableColumn id="13" name="Label7"/>
    <tableColumn id="14" name="Label8"/>
    <tableColumn id="15" name="Label9"/>
    <tableColumn id="16" name="Label10"/>
    <tableColumn id="17" name="Label11"/>
    <tableColumn id="18" name="Label12"/>
    <tableColumn id="19" name="OnAwdDropDown"/>
  </tableColumns>
  <tableStyleInfo name="TableStyleMedium2" showFirstColumn="0" showLastColumn="0" showRowStripes="1" showColumnStripes="0"/>
</table>
</file>

<file path=xl/tables/table7.xml><?xml version="1.0" encoding="utf-8"?>
<table xmlns="http://schemas.openxmlformats.org/spreadsheetml/2006/main" id="7" name="TournamentData" displayName="TournamentData" ref="A2:W7" headerRowCount="1" totalsRowShown="0" headerRowDxfId="149" dataDxfId="147" headerRowBorderDxfId="148">
  <autoFilter ref="A2:W3"/>
  <sortState ref="A3:W3">
    <sortCondition ref="A3"/>
  </sortState>
  <tableColumns count="23">
    <tableColumn id="1" name="Team Number" dataDxfId="146"/>
    <tableColumn id="13" name="POD" dataDxfId="145">
      <calculatedColumnFormula>INDEX(OfficialTeamList[Pod Number],MATCH(TournamentData[[#This Row],[Team Number]], OfficialTeamList[Team '#],0))</calculatedColumnFormula>
    </tableColumn>
    <tableColumn id="2" name="Team Name" dataDxfId="144">
      <calculatedColumnFormula>INDEX(OfficialTeamList[Team Name],MATCH(TournamentData[[#This Row],[Team Number]], OfficialTeamList[Team '#],0))</calculatedColumnFormula>
    </tableColumn>
    <tableColumn id="6" name="Robot Game Score 1" dataDxfId="143">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name="Robot Game Score 2" dataDxfId="142">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name="Robot Game Score 3" dataDxfId="141">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name="Robot Game Score 4" dataDxfId="140">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name="Robot Game Score 5" dataDxfId="13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name="Max Robot Game Score" dataDxfId="138">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name="Robot Game Rank" dataDxfId="137">
      <calculatedColumnFormula>_xlfn.RANK.EQ(TournamentData[[#This Row],[Max Robot Game Score]],TournamentData[Max Robot Game Score])</calculatedColumnFormula>
    </tableColumn>
    <tableColumn id="3" name="Core Values Rank" dataDxfId="136">
      <calculatedColumnFormula>INDEX(CoreValuesResults[Core Values Rank],MATCH(TournamentData[[#This Row],[Team Number]],CoreValuesResults[Team Number],0))</calculatedColumnFormula>
    </tableColumn>
    <tableColumn id="4" name="Innovation Project Rank" dataDxfId="135">
      <calculatedColumnFormula>INDEX(InnovationProjectResults[Innovation Project Rank],MATCH(TournamentData[[#This Row],[Team Number]],InnovationProjectResults[Team Number],0))</calculatedColumnFormula>
    </tableColumn>
    <tableColumn id="5" name="Robot Design Rank" dataDxfId="134">
      <calculatedColumnFormula>INDEX(RobotDesignResults[Robot Design Rank],MATCH(TournamentData[[#This Row],[Team Number]],RobotDesignResults[Team Number],0))</calculatedColumnFormula>
    </tableColumn>
    <tableColumn id="14" name="Champion's Score" dataDxfId="133">
      <calculatedColumnFormula>SUM(TournamentData[[#This Row],[Robot Game Rank]:[Robot Design Rank]])</calculatedColumnFormula>
    </tableColumn>
    <tableColumn id="11" name="Champion's Rank" dataDxfId="132">
      <calculatedColumnFormula>RANK(TournamentData[[#This Row],[Champion''s Score]],TournamentData[Champion''s Score],1)</calculatedColumnFormula>
    </tableColumn>
    <tableColumn id="12" name="Award" dataDxfId="131"/>
    <tableColumn id="21" name="Advance?" dataDxfId="130" dataCellStyle="Normal"/>
    <tableColumn id="28" name="Core Values Score" dataDxfId="129">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name="Innovattion Project Score" dataDxfId="128">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name="Robot Design Score" dataDxfId="127">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name="Overall Score - Geometric Mean" dataDxfId="126">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name="Overall Ranking - Geometric Mean" dataDxfId="125">
      <calculatedColumnFormula>IF(U3,_xlfn.RANK.EQ(U3,U$3:U$3,0),NumberOfTeams)</calculatedColumnFormula>
    </tableColumn>
    <tableColumn id="20" name="Comments" dataDxfId="124"/>
  </tableColumns>
  <tableStyleInfo name="TableStyleMedium2" showFirstColumn="0" showLastColumn="0" showRowStripes="1" showColumnStripes="0"/>
</table>
</file>

<file path=xl/tables/table8.xml><?xml version="1.0" encoding="utf-8"?>
<table xmlns="http://schemas.openxmlformats.org/spreadsheetml/2006/main" id="8" name="RobotGameScores" displayName="RobotGameScores" ref="A1:F6" headerRowCount="1" totalsRowShown="0" headerRowDxfId="123" dataDxfId="121" headerRowBorderDxfId="122">
  <autoFilter ref="A1:F2"/>
  <sortState ref="A2:F2">
    <sortCondition ref="A2"/>
  </sortState>
  <tableColumns count="6">
    <tableColumn id="2" name="Team Number" dataDxfId="120"/>
    <tableColumn id="9" name="Team Name" dataDxfId="119">
      <calculatedColumnFormula>INDEX(OfficialTeamList[Team Name],MATCH(RobotGameScores[[#This Row],[Team Number]], OfficialTeamList[Team '#],0))</calculatedColumnFormula>
    </tableColumn>
    <tableColumn id="3" name="Robot Game 1 Score" dataDxfId="118"/>
    <tableColumn id="4" name="Robot Game 2 Score" dataDxfId="117"/>
    <tableColumn id="5" name="Robot Game 3 Score" dataDxfId="116"/>
    <tableColumn id="8" name="Highest Robot Game Score" dataDxfId="115">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InnovationProjectResults" displayName="InnovationProjectResults" ref="A1:O6" headerRowCount="1" totalsRowShown="0" headerRowDxfId="114" dataDxfId="113">
  <autoFilter ref="A1:O2"/>
  <sortState ref="A2:O2">
    <sortCondition ref="A2"/>
  </sortState>
  <tableColumns count="15">
    <tableColumn id="1" name="Team Number" dataDxfId="112"/>
    <tableColumn id="6" name="POD" dataDxfId="111">
      <calculatedColumnFormula>INDEX(OfficialTeamList[Pod Number],MATCH(InnovationProjectResults[[#This Row],[Team Number]], OfficialTeamList[Team '#],0))</calculatedColumnFormula>
    </tableColumn>
    <tableColumn id="2" name="Team Name" dataDxfId="110">
      <calculatedColumnFormula>INDEX(OfficialTeamList[Team Name],MATCH(InnovationProjectResults[[#This Row],[Team Number]], OfficialTeamList[Team '#],0))</calculatedColumnFormula>
    </tableColumn>
    <tableColumn id="3" name="Identify - Define" dataDxfId="109"/>
    <tableColumn id="4" name="Identify - Research (CV)" dataDxfId="108"/>
    <tableColumn id="5" name="Design - Plan" dataDxfId="107"/>
    <tableColumn id="7" name="Design - Teamwork (CV)" dataDxfId="106"/>
    <tableColumn id="10" name="Create - Innovation (CV)" dataDxfId="105"/>
    <tableColumn id="8" name="Create - Model" dataDxfId="104"/>
    <tableColumn id="9" name="Iterate - Sharing" dataDxfId="103"/>
    <tableColumn id="11" name="Iterate - Improvement" dataDxfId="102"/>
    <tableColumn id="12" name="Communicate - Impact (CV)" dataDxfId="101"/>
    <tableColumn id="13" name="Communicate - Fun (CV)" dataDxfId="100"/>
    <tableColumn id="19" name="Innovation Project Score" dataDxfId="99">
      <calculatedColumnFormula>SUM(InnovationProjectResults[[#This Row],[Identify - Define]:[Communicate - Fun (CV)]])</calculatedColumnFormula>
    </tableColumn>
    <tableColumn id="20" name="Innovation Project Rank" dataDxfId="98">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id="10" name="RobotDesignResults" displayName="RobotDesignResults" ref="A1:O6" headerRowCount="1" totalsRowShown="0" headerRowDxfId="97" dataDxfId="96">
  <autoFilter ref="A1:O2"/>
  <sortState ref="A2:O2">
    <sortCondition ref="A2"/>
  </sortState>
  <tableColumns count="15">
    <tableColumn id="1" name="Team Number" dataDxfId="95"/>
    <tableColumn id="10" name="POD" dataDxfId="94">
      <calculatedColumnFormula>INDEX(OfficialTeamList[Pod Number],MATCH(RobotDesignResults[[#This Row],[Team Number]], OfficialTeamList[Team '#],0))</calculatedColumnFormula>
    </tableColumn>
    <tableColumn id="2" name="Team Name" dataDxfId="93">
      <calculatedColumnFormula>INDEX(OfficialTeamList[Team Name],MATCH(RobotDesignResults[[#This Row],[Team Number]], OfficialTeamList[Team '#],0))</calculatedColumnFormula>
    </tableColumn>
    <tableColumn id="3" name="Identify - Strategy" dataDxfId="92"/>
    <tableColumn id="4" name="Identify - Research (CV)" dataDxfId="91"/>
    <tableColumn id="5" name="Design - Ideas (CV)" dataDxfId="90"/>
    <tableColumn id="7" name="Design - Building/Coding" dataDxfId="89"/>
    <tableColumn id="6" name="Create - Attachments" dataDxfId="88"/>
    <tableColumn id="8" name="Create - Code/ Sensors" dataDxfId="87"/>
    <tableColumn id="9" name="Iterate - Testing" dataDxfId="86"/>
    <tableColumn id="11" name="Iterate - Improvements (CV)" dataDxfId="85"/>
    <tableColumn id="12" name="Communicate - Impact (CV)" dataDxfId="84"/>
    <tableColumn id="13" name="Communicate - Fun (CV)" dataDxfId="83"/>
    <tableColumn id="19" name="Robot Design Score" dataDxfId="82">
      <calculatedColumnFormula>SUM(RobotDesignResults[[#This Row],[Identify - Strategy]:[Communicate - Fun (CV)]])</calculatedColumnFormula>
    </tableColumn>
    <tableColumn id="20" name="Robot Design Rank" dataDxfId="81">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id="11" name="CoreValuesResults" displayName="CoreValuesResults" ref="A1:T6" headerRowCount="1" totalsRowShown="0" headerRowDxfId="80" dataDxfId="79">
  <autoFilter ref="A1:T2"/>
  <sortState ref="A2:T2">
    <sortCondition ref="A2"/>
  </sortState>
  <tableColumns count="20">
    <tableColumn id="1" name="Team Number" dataDxfId="78"/>
    <tableColumn id="9" name="POD" dataDxfId="77">
      <calculatedColumnFormula>INDEX(OfficialTeamList[Pod Number],MATCH(CoreValuesResults[[#This Row],[Team Number]], OfficialTeamList[Team '#],0))</calculatedColumnFormula>
    </tableColumn>
    <tableColumn id="2" name="Team Name" dataDxfId="76">
      <calculatedColumnFormula>INDEX(OfficialTeamList[Team Name],MATCH(CoreValuesResults[[#This Row],[Team Number]], OfficialTeamList[Team '#],0))</calculatedColumnFormula>
    </tableColumn>
    <tableColumn id="3" name="Identify - Research (CV-IP)" dataDxfId="75">
      <calculatedColumnFormula>INDEX(InnovationProjectResults[Identify - Research (CV)],MATCH(CoreValuesResults[[#This Row],[Team Number]],InnovationProjectResults[Team Number],0))</calculatedColumnFormula>
    </tableColumn>
    <tableColumn id="4" name="Design - Teamwork (CV-IP)" dataDxfId="74">
      <calculatedColumnFormula>INDEX(InnovationProjectResults[Design - Teamwork (CV)],MATCH(CoreValuesResults[[#This Row],[Team Number]],InnovationProjectResults[Team Number],0))</calculatedColumnFormula>
    </tableColumn>
    <tableColumn id="5" name="Create - Innovation (CV-IP)" dataDxfId="73">
      <calculatedColumnFormula>INDEX(InnovationProjectResults[Create - Innovation (CV)],MATCH(CoreValuesResults[[#This Row],[Team Number]],InnovationProjectResults[Team Number],0))</calculatedColumnFormula>
    </tableColumn>
    <tableColumn id="11" name="Communicate - Impact (CV-IP)" dataDxfId="72">
      <calculatedColumnFormula>INDEX(InnovationProjectResults[Communicate - Impact (CV)],MATCH(CoreValuesResults[[#This Row],[Team Number]],InnovationProjectResults[Team Number],0))</calculatedColumnFormula>
    </tableColumn>
    <tableColumn id="12" name="Communicate - Fun (CV-IP)" dataDxfId="71">
      <calculatedColumnFormula>INDEX(InnovationProjectResults[Communicate - Fun (CV)],MATCH(CoreValuesResults[[#This Row],[Team Number]],InnovationProjectResults[Team Number],0))</calculatedColumnFormula>
    </tableColumn>
    <tableColumn id="22" name="Identify - Research (CV-RD)" dataDxfId="70">
      <calculatedColumnFormula>INDEX(RobotDesignResults[Identify - Research (CV)],MATCH(CoreValuesResults[[#This Row],[Team Number]],RobotDesignResults[Team Number],0))</calculatedColumnFormula>
    </tableColumn>
    <tableColumn id="25" name="Design - Ideas (CV-RD)" dataDxfId="69">
      <calculatedColumnFormula>INDEX(RobotDesignResults[Design - Ideas (CV)],MATCH(CoreValuesResults[[#This Row],[Team Number]],RobotDesignResults[Team Number],0))</calculatedColumnFormula>
    </tableColumn>
    <tableColumn id="24" name="Iterate - Improvements (CV-RD)" dataDxfId="68">
      <calculatedColumnFormula>INDEX(RobotDesignResults[Iterate - Improvements (CV)],MATCH(CoreValuesResults[[#This Row],[Team Number]],RobotDesignResults[Team Number],0))</calculatedColumnFormula>
    </tableColumn>
    <tableColumn id="23" name="Communicate - Impact (CV-RD)" dataDxfId="67">
      <calculatedColumnFormula>INDEX(RobotDesignResults[Communicate - Impact (CV)],MATCH(CoreValuesResults[[#This Row],[Team Number]],RobotDesignResults[Team Number],0))</calculatedColumnFormula>
    </tableColumn>
    <tableColumn id="13" name="Communicate - Fun (CV-RD)" dataDxfId="66">
      <calculatedColumnFormula>INDEX(RobotDesignResults[Communicate - Fun (CV)],MATCH(CoreValuesResults[[#This Row],[Team Number]],RobotDesignResults[Team Number],0))</calculatedColumnFormula>
    </tableColumn>
    <tableColumn id="7" name="Gracious Professionalism 1" dataDxfId="65"/>
    <tableColumn id="8" name="Gracious Professionalism 2" dataDxfId="64"/>
    <tableColumn id="6" name="Gracious Professionalism 3" dataDxfId="63"/>
    <tableColumn id="14" name="Gracious Professionalism Total" dataDxfId="62">
      <calculatedColumnFormula>SUM(CoreValuesResults[[#This Row],[Gracious Professionalism 1]:[Gracious Professionalism 3]])</calculatedColumnFormula>
    </tableColumn>
    <tableColumn id="18" name="Gracious Professionalism Score" dataDxfId="61">
      <calculatedColumnFormula>SUM(N2:Q2)</calculatedColumnFormula>
    </tableColumn>
    <tableColumn id="19" name="Core Values Score" dataDxfId="60">
      <calculatedColumnFormula>SUM(CoreValuesResults[[#This Row],[Identify - Research (CV-IP)]:[Communicate - Fun (CV-RD)]],CoreValuesResults[[#This Row],[Gracious Professionalism Score]])</calculatedColumnFormula>
    </tableColumn>
    <tableColumn id="20" name="Core Values Rank" dataDxfId="59">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id="12" name="ChampionsDelib" displayName="ChampionsDelib" ref="B3:E18" headerRowCount="1" totalsRowShown="0" headerRowDxfId="58" dataDxfId="57">
  <autoFilter ref="B3:E18"/>
  <tableColumns count="4">
    <tableColumn id="1" name="Team Number" dataDxfId="56"/>
    <tableColumn id="2" name="Team Name" dataDxfId="55">
      <calculatedColumnFormula>IF(ISNA(INDEX(OfficialTeamList[Team Name],MATCH(ChampionsDelib[[#This Row],[Team Number]], OfficialTeamList[Team '#],0))),"",INDEX(OfficialTeamList[Team Name],MATCH(ChampionsDelib[[#This Row],[Team Number]], OfficialTeamList[Team '#],0)))</calculatedColumnFormula>
    </tableColumn>
    <tableColumn id="3" name="Champion's Rank" dataDxfId="54">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name="Deliberated Rank" dataDxfId="53"/>
  </tableColumns>
  <tableStyleInfo name="TableStyleMedium4" showFirstColumn="0" showLastColumn="0" showRowStripes="1" showColumnStripes="0"/>
</table>
</file>

<file path=xl/tables/table13.xml><?xml version="1.0" encoding="utf-8"?>
<table xmlns="http://schemas.openxmlformats.org/spreadsheetml/2006/main" id="13" name="RobotGameDelib" displayName="RobotGameDelib" ref="G3:J18" headerRowCount="1" totalsRowShown="0" headerRowDxfId="52" dataDxfId="51">
  <autoFilter ref="G3:J18"/>
  <tableColumns count="4">
    <tableColumn id="1" name="Team Number" dataDxfId="50"/>
    <tableColumn id="2" name="Team Name" dataDxfId="49">
      <calculatedColumnFormula>IF(ISNA(INDEX(OfficialTeamList[Team Name],MATCH(RobotGameDelib[[#This Row],[Team Number]], OfficialTeamList[Team '#],0))),"",INDEX(OfficialTeamList[Team Name],MATCH(RobotGameDelib[[#This Row],[Team Number]], OfficialTeamList[Team '#],0)))</calculatedColumnFormula>
    </tableColumn>
    <tableColumn id="3" name="Champion's Rank" dataDxfId="48">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name="Deliberated Rank" dataDxfId="47"/>
  </tableColumns>
  <tableStyleInfo name="TableStyleMedium4" showFirstColumn="0" showLastColumn="0" showRowStripes="1" showColumnStripes="0"/>
</table>
</file>

<file path=xl/tables/table14.xml><?xml version="1.0" encoding="utf-8"?>
<table xmlns="http://schemas.openxmlformats.org/spreadsheetml/2006/main" id="14" name="CoreValuesDelib" displayName="CoreValuesDelib" ref="B21:E36" headerRowCount="1" totalsRowShown="0" headerRowDxfId="46" dataDxfId="45">
  <autoFilter ref="B21:E36"/>
  <tableColumns count="4">
    <tableColumn id="1" name="Team Number" dataDxfId="44"/>
    <tableColumn id="2" name="Team Name" dataDxfId="43">
      <calculatedColumnFormula>IF(ISNA(INDEX(OfficialTeamList[Team Name],MATCH(CoreValuesDelib[[#This Row],[Team Number]], OfficialTeamList[Team '#],0))),"",INDEX(OfficialTeamList[Team Name],MATCH(CoreValuesDelib[[#This Row],[Team Number]], OfficialTeamList[Team '#],0)))</calculatedColumnFormula>
    </tableColumn>
    <tableColumn id="3" name="Core Values Rank" dataDxfId="42">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name="Deliberated Rank" dataDxfId="41"/>
  </tableColumns>
  <tableStyleInfo name="TableStyleMedium4" showFirstColumn="0" showLastColumn="0" showRowStripes="1" showColumnStripes="0"/>
</table>
</file>

<file path=xl/tables/table15.xml><?xml version="1.0" encoding="utf-8"?>
<table xmlns="http://schemas.openxmlformats.org/spreadsheetml/2006/main" id="15" name="RobotDesignDelib" displayName="RobotDesignDelib" ref="G21:J36" headerRowCount="1" totalsRowShown="0" headerRowDxfId="40" dataDxfId="39">
  <autoFilter ref="G21:J36"/>
  <tableColumns count="4">
    <tableColumn id="1" name="Team Number" dataDxfId="38"/>
    <tableColumn id="2" name="Team Name" dataDxfId="37">
      <calculatedColumnFormula>IF(ISNA(INDEX(OfficialTeamList[Team Name],MATCH(RobotDesignDelib[[#This Row],[Team Number]], OfficialTeamList[Team '#],0))),"",INDEX(OfficialTeamList[Team Name],MATCH(RobotDesignDelib[[#This Row],[Team Number]], OfficialTeamList[Team '#],0)))</calculatedColumnFormula>
    </tableColumn>
    <tableColumn id="3" name="Robot Design Rank" dataDxfId="36">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name="Deliberated Rank" dataDxfId="35"/>
  </tableColumns>
  <tableStyleInfo name="TableStyleMedium4" showFirstColumn="0" showLastColumn="0" showRowStripes="1" showColumnStripes="0"/>
</table>
</file>

<file path=xl/tables/table16.xml><?xml version="1.0" encoding="utf-8"?>
<table xmlns="http://schemas.openxmlformats.org/spreadsheetml/2006/main" id="16" name="InnovationProjectDelib" displayName="InnovationProjectDelib" ref="L21:O36" headerRowCount="1" totalsRowShown="0" headerRowDxfId="34" dataDxfId="33">
  <autoFilter ref="L21:O36"/>
  <tableColumns count="4">
    <tableColumn id="1" name="Team Number" dataDxfId="32"/>
    <tableColumn id="2" name="Team Name" dataDxfId="31">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name="Innovation Project Rank" dataDxfId="30">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name="Deliberated Rank" dataDxfId="29"/>
  </tableColumns>
  <tableStyleInfo name="TableStyleMedium4" showFirstColumn="0" showLastColumn="0" showRowStripes="1" showColumnStripes="0"/>
</table>
</file>

<file path=xl/tables/table17.xml><?xml version="1.0" encoding="utf-8"?>
<table xmlns="http://schemas.openxmlformats.org/spreadsheetml/2006/main" id="17" name="BreakthroughDelib" displayName="BreakthroughDelib" ref="B39:E54" headerRowCount="1" totalsRowShown="0" headerRowDxfId="28" dataDxfId="27">
  <autoFilter ref="B39:E54"/>
  <tableColumns count="4">
    <tableColumn id="1" name="Team Number" dataDxfId="26"/>
    <tableColumn id="2" name="Team Name" dataDxfId="25">
      <calculatedColumnFormula>IF(ISNA(INDEX(OfficialTeamList[Team Name],MATCH(BreakthroughDelib[[#This Row],[Team Number]], OfficialTeamList[Team '#],0))),"",INDEX(OfficialTeamList[Team Name],MATCH(BreakthroughDelib[[#This Row],[Team Number]], OfficialTeamList[Team '#],0)))</calculatedColumnFormula>
    </tableColumn>
    <tableColumn id="3" name="Champion's Rank" dataDxfId="24">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name="Deliberated Rank" dataDxfId="23"/>
  </tableColumns>
  <tableStyleInfo name="TableStyleMedium4" showFirstColumn="0" showLastColumn="0" showRowStripes="1" showColumnStripes="0"/>
</table>
</file>

<file path=xl/tables/table18.xml><?xml version="1.0" encoding="utf-8"?>
<table xmlns="http://schemas.openxmlformats.org/spreadsheetml/2006/main" id="18" name="RookiAllStarDelib" displayName="RookiAllStarDelib" ref="G39:J54" headerRowCount="1" totalsRowShown="0" headerRowDxfId="22" dataDxfId="21">
  <autoFilter ref="G39:J54"/>
  <tableColumns count="4">
    <tableColumn id="1" name="Team Number" dataDxfId="20"/>
    <tableColumn id="2" name="Team Name" dataDxfId="19">
      <calculatedColumnFormula>IF(ISNA(INDEX(OfficialTeamList[Team Name],MATCH(RookiAllStarDelib[[#This Row],[Team Number]], OfficialTeamList[Team '#],0))),"",INDEX(OfficialTeamList[Team Name],MATCH(RookiAllStarDelib[[#This Row],[Team Number]], OfficialTeamList[Team '#],0)))</calculatedColumnFormula>
    </tableColumn>
    <tableColumn id="3" name="Champion's Rank" dataDxfId="18">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name="Deliberated Rank" dataDxfId="17"/>
  </tableColumns>
  <tableStyleInfo name="TableStyleMedium4" showFirstColumn="0" showLastColumn="0" showRowStripes="1" showColumnStripes="0"/>
</table>
</file>

<file path=xl/tables/table19.xml><?xml version="1.0" encoding="utf-8"?>
<table xmlns="http://schemas.openxmlformats.org/spreadsheetml/2006/main" id="19" name="MotivateDelib" displayName="MotivateDelib" ref="L39:O54" headerRowCount="1" totalsRowShown="0" headerRowDxfId="16" dataDxfId="15">
  <autoFilter ref="L39:O54"/>
  <tableColumns count="4">
    <tableColumn id="1" name="Team Number" dataDxfId="14"/>
    <tableColumn id="2" name="Team Name" dataDxfId="13">
      <calculatedColumnFormula>IF(ISNA(INDEX(OfficialTeamList[Team Name],MATCH(MotivateDelib[[#This Row],[Team Number]], OfficialTeamList[Team '#],0))),"",INDEX(OfficialTeamList[Team Name],MATCH(MotivateDelib[[#This Row],[Team Number]], OfficialTeamList[Team '#],0)))</calculatedColumnFormula>
    </tableColumn>
    <tableColumn id="3" name="Champion's Rank" dataDxfId="12">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name="Deliberated Rank" dataDxfId="11"/>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 Type="http://schemas.openxmlformats.org/officeDocument/2006/relationships/table" Target="/xl/tables/table5.xml" Id="rId2" /></Relationships>
</file>

<file path=xl/worksheets/_rels/sheet6.xml.rels><Relationships xmlns="http://schemas.openxmlformats.org/package/2006/relationships"><Relationship Type="http://schemas.openxmlformats.org/officeDocument/2006/relationships/table" Target="/xl/tables/table6.xml" Id="rId1" /></Relationships>
</file>

<file path=xl/worksheets/_rels/sheet8.xml.rels><Relationships xmlns="http://schemas.openxmlformats.org/package/2006/relationships"><Relationship Type="http://schemas.openxmlformats.org/officeDocument/2006/relationships/table" Target="/xl/tables/table7.xml" Id="rId1" /></Relationships>
</file>

<file path=xl/worksheets/_rels/sheet9.xml.rels><Relationships xmlns="http://schemas.openxmlformats.org/package/2006/relationships"><Relationship Type="http://schemas.openxmlformats.org/officeDocument/2006/relationships/table" Target="/xl/tables/table8.xml" Id="rId1" /></Relationships>
</file>

<file path=xl/worksheets/_rels/sheet10.xml.rels><Relationships xmlns="http://schemas.openxmlformats.org/package/2006/relationships"><Relationship Type="http://schemas.openxmlformats.org/officeDocument/2006/relationships/table" Target="/xl/tables/table9.xml" Id="rId1" /></Relationships>
</file>

<file path=xl/worksheets/_rels/sheet11.xml.rels><Relationships xmlns="http://schemas.openxmlformats.org/package/2006/relationships"><Relationship Type="http://schemas.openxmlformats.org/officeDocument/2006/relationships/table" Target="/xl/tables/table10.xml" Id="rId1" /></Relationships>
</file>

<file path=xl/worksheets/_rels/sheet12.xml.rels><Relationships xmlns="http://schemas.openxmlformats.org/package/2006/relationships"><Relationship Type="http://schemas.openxmlformats.org/officeDocument/2006/relationships/table" Target="/xl/tables/table11.xml" Id="rId1" /></Relationships>
</file>

<file path=xl/worksheets/_rels/sheet14.xml.rels><Relationships xmlns="http://schemas.openxmlformats.org/package/2006/relationships"><Relationship Type="http://schemas.openxmlformats.org/officeDocument/2006/relationships/table" Target="/xl/tables/table12.xml" Id="rId1" /><Relationship Type="http://schemas.openxmlformats.org/officeDocument/2006/relationships/table" Target="/xl/tables/table13.xml" Id="rId2" /><Relationship Type="http://schemas.openxmlformats.org/officeDocument/2006/relationships/table" Target="/xl/tables/table14.xml" Id="rId3" /><Relationship Type="http://schemas.openxmlformats.org/officeDocument/2006/relationships/table" Target="/xl/tables/table15.xml" Id="rId4" /><Relationship Type="http://schemas.openxmlformats.org/officeDocument/2006/relationships/table" Target="/xl/tables/table16.xml" Id="rId5" /><Relationship Type="http://schemas.openxmlformats.org/officeDocument/2006/relationships/table" Target="/xl/tables/table17.xml" Id="rId6" /><Relationship Type="http://schemas.openxmlformats.org/officeDocument/2006/relationships/table" Target="/xl/tables/table18.xml" Id="rId7" /><Relationship Type="http://schemas.openxmlformats.org/officeDocument/2006/relationships/table" Target="/xl/tables/table19.xml" Id="rId8" /></Relationships>
</file>

<file path=xl/worksheets/sheet1.xml><?xml version="1.0" encoding="utf-8"?>
<worksheet xmlns="http://schemas.openxmlformats.org/spreadsheetml/2006/main">
  <sheetPr codeName="Sheet1">
    <tabColor theme="0"/>
    <outlinePr summaryBelow="1" summaryRight="1"/>
    <pageSetUpPr fitToPage="1"/>
  </sheetPr>
  <dimension ref="B1:C23"/>
  <sheetViews>
    <sheetView zoomScale="70" zoomScaleNormal="70" workbookViewId="0">
      <selection activeCell="C1" sqref="C1"/>
    </sheetView>
  </sheetViews>
  <sheetFormatPr baseColWidth="8" defaultColWidth="9.140625" defaultRowHeight="39.95" customHeight="1"/>
  <cols>
    <col width="9.140625" customWidth="1" style="33" min="1" max="2"/>
    <col width="210.28515625" customWidth="1" style="33" min="3" max="3"/>
    <col width="9.140625" customWidth="1" style="33" min="4" max="16384"/>
  </cols>
  <sheetData>
    <row r="1" ht="115.5" customHeight="1">
      <c r="C1" s="83" t="inlineStr">
        <is>
          <t>Judge Advisor Instructions</t>
        </is>
      </c>
    </row>
    <row r="2" ht="102.75" customHeight="1">
      <c r="C2" s="82" t="inlineStr">
        <is>
          <t>DESIGNED FOR USE IN MICROSOFT EXCEL (DESKTOP APP).
SOME FUNCTIONALITY WILL BE LOST IN WEB OR OTHER APPLICATIONS.</t>
        </is>
      </c>
    </row>
    <row r="3" ht="39.75" customHeight="1">
      <c r="C3" s="92" t="inlineStr">
        <is>
          <t>See the instructions.pdf file for instructions with screenshots</t>
        </is>
      </c>
    </row>
    <row r="4" ht="110.25" customHeight="1">
      <c r="B4" s="90" t="inlineStr">
        <is>
          <t>1.</t>
        </is>
      </c>
      <c r="C4" s="84" t="inlineStr">
        <is>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is>
      </c>
    </row>
    <row r="5" ht="36" customHeight="1">
      <c r="B5" s="89" t="n"/>
      <c r="C5" s="36" t="n"/>
    </row>
    <row r="6" ht="121.5" customHeight="1">
      <c r="B6" s="90" t="inlineStr">
        <is>
          <t>2.</t>
        </is>
      </c>
      <c r="C6" s="84" t="inlineStr">
        <is>
          <t>If you have enabled macros, there are two actions in the FLL OJS menu button that you can use. Note that some of the actions are password protected, but those actions would rarely, if ever, be needed by a judge advisor</t>
        </is>
      </c>
    </row>
    <row r="7" ht="31.5" customHeight="1">
      <c r="B7" s="91" t="n"/>
    </row>
    <row r="8" ht="138" customHeight="1">
      <c r="B8" s="91" t="n"/>
      <c r="C8" s="85" t="inlineStr">
        <is>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is>
      </c>
    </row>
    <row r="9" ht="117" customHeight="1">
      <c r="B9" s="90" t="inlineStr">
        <is>
          <t>3.</t>
        </is>
      </c>
      <c r="C9" s="84" t="inlineStr">
        <is>
          <t>On tournament day, collect the rubric scores from the judges and the robot game scores (including Gracious Professionalism® scores) from the referees throughout the event and enter the data into the corresponding pages of this spreadsheet.</t>
        </is>
      </c>
    </row>
    <row r="10" ht="52.9" customHeight="1">
      <c r="B10" s="91" t="n"/>
      <c r="C10" s="85" t="inlineStr">
        <is>
          <t>Core Values scores, except Gracious Professionalism scores from the robot game, are populated automatically from the other rubric scores - no score information should be added to columns D-M on the 'Core Values Input' page. But you will enter the GP scores in columns N-P.</t>
        </is>
      </c>
    </row>
    <row r="11" ht="1.9" customHeight="1">
      <c r="B11" s="91" t="n"/>
    </row>
    <row r="12" ht="20.45" customHeight="1">
      <c r="B12" s="91" t="n"/>
    </row>
    <row r="13" ht="73.5" customHeight="1">
      <c r="B13" s="90" t="inlineStr">
        <is>
          <t>4.</t>
        </is>
      </c>
      <c r="C13" s="84" t="inlineStr">
        <is>
          <t>When all the data has been entered, go the 'Results and Rankings' page to view all of the information in one place.</t>
        </is>
      </c>
    </row>
    <row r="14" ht="95.25" customHeight="1">
      <c r="B14" s="90" t="inlineStr">
        <is>
          <t>5.</t>
        </is>
      </c>
      <c r="C14" s="89" t="inlineStr">
        <is>
          <t>You are now ready to allocate your awards based on your rankings using the 'Awards and Allocations' document in the judging toolkit.</t>
        </is>
      </c>
    </row>
    <row r="15" ht="105" customHeight="1">
      <c r="B15" s="90" t="inlineStr">
        <is>
          <t>6.</t>
        </is>
      </c>
      <c r="C15" s="89" t="inlineStr">
        <is>
          <t>When you have entered all scores and selected the awards and advancing teams, you can run the script_maker.exe program to generate a closing script. While this program works pretty good for most tournaments, it is always a good idea to have a backup with paper scripts.</t>
        </is>
      </c>
    </row>
    <row r="16" ht="30" customHeight="1">
      <c r="B16" s="37" t="n"/>
      <c r="C16" s="34" t="n"/>
    </row>
    <row r="17" ht="39.95" customHeight="1" thickBot="1">
      <c r="C17" s="35" t="inlineStr">
        <is>
          <t>Useful Tips:</t>
        </is>
      </c>
    </row>
    <row r="18" ht="63.75" customHeight="1" thickBot="1">
      <c r="B18" s="34" t="n"/>
      <c r="C18" s="86" t="inlineStr">
        <is>
          <t>If you are copying data into the Input pages please remember to use the 'Paste Values' or 'Use Destination Formatting' option (This stops the formatting and formulae being overwritten)</t>
        </is>
      </c>
    </row>
    <row r="19" ht="39.95" customHeight="1" thickBot="1">
      <c r="C19" s="88" t="inlineStr">
        <is>
          <t>As you work with the OJS you should save your spreadsheet regularly in case of IT issues.</t>
        </is>
      </c>
    </row>
    <row r="20" ht="63" customHeight="1" thickBot="1">
      <c r="C20" s="88" t="inlineStr">
        <is>
          <t>If your event uses more than 3 official robot game matches, you can unhide columns F-G in 'Robot Game Scores' and columns P-Q in 'Core Values Input' for Gracious Professionalism scores.</t>
        </is>
      </c>
    </row>
    <row r="21" ht="60" customHeight="1" thickBot="1">
      <c r="C21" s="87" t="inlineStr">
        <is>
          <t>If referees hand in printed scoresheets, robot game scores will need to be calclulated using the 'Official Scoring Calculator' tool (online).</t>
        </is>
      </c>
    </row>
    <row r="22" ht="39.95" customHeight="1" thickBot="1">
      <c r="C22" s="87" t="inlineStr">
        <is>
          <t>You may use the excel filter option to adjust the rows that are seen, but the sort function is disabled.</t>
        </is>
      </c>
    </row>
    <row r="23" ht="39.95" customHeight="1" thickBot="1">
      <c r="C23" s="88" t="inlineStr">
        <is>
          <t>If you need to delete an award from a team, just select the cell and tap the delete key</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scale="39" fitToHeight="0" horizontalDpi="1200" verticalDpi="1200"/>
</worksheet>
</file>

<file path=xl/worksheets/sheet2.xml><?xml version="1.0" encoding="utf-8"?>
<worksheet xmlns="http://schemas.openxmlformats.org/spreadsheetml/2006/main">
  <sheetPr codeName="Sheet2">
    <tabColor theme="0"/>
    <outlinePr summaryBelow="1" summaryRight="1"/>
    <pageSetUpPr/>
  </sheetPr>
  <dimension ref="A1:I7"/>
  <sheetViews>
    <sheetView zoomScaleNormal="100" workbookViewId="0">
      <selection activeCell="A3" sqref="A3"/>
    </sheetView>
  </sheetViews>
  <sheetFormatPr baseColWidth="8" defaultColWidth="9.140625" defaultRowHeight="39.95" customHeight="1"/>
  <cols>
    <col width="23.85546875" bestFit="1" customWidth="1" style="5" min="1" max="1"/>
    <col width="69" customWidth="1" style="5" min="2" max="2"/>
    <col width="21.85546875" customWidth="1" style="5" min="3" max="3"/>
    <col width="21.5703125" bestFit="1" customWidth="1" style="5" min="4" max="4"/>
    <col width="15.28515625" customWidth="1" style="5" min="5" max="5"/>
    <col width="9.140625" customWidth="1" style="5" min="6" max="8"/>
    <col width="9.140625" customWidth="1" style="5" min="9" max="16384"/>
  </cols>
  <sheetData>
    <row r="1" ht="61.5" customFormat="1" customHeight="1" s="1" thickBot="1">
      <c r="A1" s="101" t="inlineStr">
        <is>
          <t>FIRST® LEGO® League Challenge Official Judging Spreadsheet</t>
        </is>
      </c>
      <c r="E1" s="7" t="inlineStr">
        <is>
          <t>Teams</t>
        </is>
      </c>
      <c r="F1" s="80">
        <f>COUNT(OfficialTeamList[Team '#])</f>
        <v/>
      </c>
      <c r="G1" s="80" t="inlineStr">
        <is>
          <t>Pods</t>
        </is>
      </c>
      <c r="H1" s="81">
        <f>MAX(OfficialTeamList[Pod Number])</f>
        <v/>
      </c>
      <c r="I1" s="79" t="n"/>
    </row>
    <row r="2" ht="21" customFormat="1" customHeight="1" s="2" thickBot="1">
      <c r="A2" s="7" t="inlineStr">
        <is>
          <t>Team #</t>
        </is>
      </c>
      <c r="B2" s="7" t="inlineStr">
        <is>
          <t>Team Name</t>
        </is>
      </c>
      <c r="C2" s="6" t="inlineStr">
        <is>
          <t>Coach Name</t>
        </is>
      </c>
      <c r="D2" s="6" t="inlineStr">
        <is>
          <t>Pod Number</t>
        </is>
      </c>
      <c r="E2" s="99" t="inlineStr">
        <is>
          <t>Two emcees:</t>
        </is>
      </c>
      <c r="F2" s="100" t="b">
        <v>0</v>
      </c>
      <c r="G2" s="3" t="inlineStr">
        <is>
          <t>Setting this to TRUE will alternate shading in the closing ceremony script to make it easier to read</t>
        </is>
      </c>
    </row>
    <row r="3" ht="21" customFormat="1" customHeight="1" s="2">
      <c r="A3" s="68" t="n">
        <v>9021</v>
      </c>
      <c r="B3" s="68" t="inlineStr">
        <is>
          <t>Greenbrier Panthers</t>
        </is>
      </c>
      <c r="C3" s="68" t="inlineStr">
        <is>
          <t>John Sammons</t>
        </is>
      </c>
      <c r="D3" s="69" t="n">
        <v>0</v>
      </c>
      <c r="H3" s="3" t="n"/>
    </row>
    <row r="4">
      <c r="A4" t="n">
        <v>62149</v>
      </c>
      <c r="B4" t="inlineStr">
        <is>
          <t>Dynamite Dolphins</t>
        </is>
      </c>
      <c r="C4" t="inlineStr">
        <is>
          <t>Jonathan Torch</t>
        </is>
      </c>
      <c r="D4" t="n">
        <v>0</v>
      </c>
    </row>
    <row r="5">
      <c r="A5" t="n">
        <v>62706</v>
      </c>
      <c r="B5" t="inlineStr">
        <is>
          <t>OLMC Aquinas</t>
        </is>
      </c>
      <c r="C5" t="inlineStr">
        <is>
          <t>Patrick McFadden</t>
        </is>
      </c>
      <c r="D5" t="n">
        <v>0</v>
      </c>
    </row>
    <row r="6">
      <c r="A6" t="n">
        <v>73002</v>
      </c>
      <c r="B6" t="inlineStr">
        <is>
          <t>MCH Monarchs</t>
        </is>
      </c>
      <c r="C6" t="inlineStr">
        <is>
          <t>Kathy Hendrickson</t>
        </is>
      </c>
      <c r="D6" t="n">
        <v>0</v>
      </c>
    </row>
    <row r="7">
      <c r="A7" t="n">
        <v>73106</v>
      </c>
      <c r="B7" t="inlineStr">
        <is>
          <t>Kempsville Dino-Nuggets</t>
        </is>
      </c>
      <c r="C7" t="inlineStr">
        <is>
          <t>Kiel Phillips</t>
        </is>
      </c>
      <c r="D7" t="n">
        <v>0</v>
      </c>
    </row>
  </sheetData>
  <sheetProtection selectLockedCells="1" selectUnlockedCells="0" sheet="1" objects="0" insertRows="1" insertHyperlinks="1" autoFilter="0" scenarios="0" formatColumns="0" deleteColumns="1" insertColumns="1" pivotTables="1" deleteRows="1" formatCells="0" formatRows="0" sort="0" password="CB4D"/>
  <mergeCells count="1">
    <mergeCell ref="A1:D1"/>
  </mergeCells>
  <dataValidations count="1">
    <dataValidation sqref="F2" showDropDown="0" showInputMessage="1" showErrorMessage="1" allowBlank="1" type="list">
      <formula1>"TRUE,FALSE"</formula1>
    </dataValidation>
  </dataValidations>
  <pageMargins left="0.7" right="0.7" top="0.75" bottom="0.75" header="0.3" footer="0.3"/>
  <pageSetup orientation="portrait" horizontalDpi="1200" verticalDpi="1200"/>
  <tableParts count="1">
    <tablePart xmlns:r="http://schemas.openxmlformats.org/officeDocument/2006/relationships" r:id="rId1"/>
  </tableParts>
</worksheet>
</file>

<file path=xl/worksheets/sheet3.xml><?xml version="1.0" encoding="utf-8"?>
<worksheet xmlns="http://schemas.openxmlformats.org/spreadsheetml/2006/main">
  <sheetPr codeName="Sheet12">
    <outlinePr summaryBelow="1" summaryRight="1"/>
    <pageSetUpPr/>
  </sheetPr>
  <dimension ref="A1:A4"/>
  <sheetViews>
    <sheetView workbookViewId="0">
      <selection activeCell="E3" sqref="E3"/>
    </sheetView>
  </sheetViews>
  <sheetFormatPr baseColWidth="8" defaultRowHeight="15"/>
  <cols>
    <col width="10.7109375" customWidth="1" min="1" max="1"/>
  </cols>
  <sheetData>
    <row r="1">
      <c r="A1" t="inlineStr">
        <is>
          <t>Advance</t>
        </is>
      </c>
    </row>
    <row r="2">
      <c r="A2" t="inlineStr">
        <is>
          <t>Yes</t>
        </is>
      </c>
    </row>
    <row r="3">
      <c r="A3" t="inlineStr">
        <is>
          <t>No</t>
        </is>
      </c>
    </row>
    <row r="4">
      <c r="A4" t="inlineStr">
        <is>
          <t>Alt</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10">
    <outlinePr summaryBelow="1" summaryRight="1"/>
    <pageSetUpPr/>
  </sheetPr>
  <dimension ref="A1:B9"/>
  <sheetViews>
    <sheetView tabSelected="1" workbookViewId="0">
      <selection activeCell="A2" sqref="A2"/>
    </sheetView>
  </sheetViews>
  <sheetFormatPr baseColWidth="8" defaultRowHeight="15"/>
  <cols>
    <col width="29.42578125" customWidth="1" min="1" max="1"/>
    <col width="75.85546875" customWidth="1" min="2" max="2"/>
  </cols>
  <sheetData>
    <row r="1">
      <c r="A1" t="inlineStr">
        <is>
          <t>Key</t>
        </is>
      </c>
      <c r="B1" t="inlineStr">
        <is>
          <t>Value</t>
        </is>
      </c>
    </row>
    <row r="2">
      <c r="A2" t="inlineStr">
        <is>
          <t>Tournament Year</t>
        </is>
      </c>
      <c r="B2" t="inlineStr">
        <is>
          <t>2025</t>
        </is>
      </c>
    </row>
    <row r="3">
      <c r="A3" t="inlineStr">
        <is>
          <t>FLL Season Title</t>
        </is>
      </c>
      <c r="B3" t="inlineStr">
        <is>
          <t>Unearthed</t>
        </is>
      </c>
    </row>
    <row r="4">
      <c r="A4" t="inlineStr">
        <is>
          <t>Tournament Short Name</t>
        </is>
      </c>
      <c r="B4" t="inlineStr">
        <is>
          <t>Norfolk</t>
        </is>
      </c>
    </row>
    <row r="5">
      <c r="A5" t="inlineStr">
        <is>
          <t>Tournament Long Name</t>
        </is>
      </c>
      <c r="B5" t="inlineStr">
        <is>
          <t>Norfolk 2025 Unearthed Qualifier Tournament</t>
        </is>
      </c>
    </row>
    <row r="6">
      <c r="A6" t="inlineStr">
        <is>
          <t>Completed Script File</t>
        </is>
      </c>
      <c r="B6" t="inlineStr">
        <is>
          <t>c:\github-projects\OJS_Script_maker_NG\2025-all\tournaments\Norfolk\closing_ceremony.html</t>
        </is>
      </c>
    </row>
    <row r="7">
      <c r="A7" t="inlineStr">
        <is>
          <t>Using Divisions</t>
        </is>
      </c>
      <c r="B7" t="b">
        <v>1</v>
      </c>
    </row>
    <row r="8">
      <c r="A8" t="inlineStr">
        <is>
          <t>Division</t>
        </is>
      </c>
      <c r="B8" t="inlineStr">
        <is>
          <t>D1</t>
        </is>
      </c>
    </row>
    <row r="9">
      <c r="A9" t="inlineStr">
        <is>
          <t>Advancing</t>
        </is>
      </c>
      <c r="B9" t="n">
        <v>1</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5.xml><?xml version="1.0" encoding="utf-8"?>
<worksheet xmlns="http://schemas.openxmlformats.org/spreadsheetml/2006/main">
  <sheetPr codeName="Sheet11">
    <outlinePr summaryBelow="1" summaryRight="1"/>
    <pageSetUpPr/>
  </sheetPr>
  <dimension ref="A1:C25"/>
  <sheetViews>
    <sheetView workbookViewId="0">
      <selection activeCell="A2" sqref="A2"/>
    </sheetView>
  </sheetViews>
  <sheetFormatPr baseColWidth="8" defaultRowHeight="15"/>
  <cols>
    <col width="34.5703125" customWidth="1" min="1" max="1"/>
    <col width="30.28515625" customWidth="1" min="3" max="3"/>
  </cols>
  <sheetData>
    <row r="1">
      <c r="A1" t="inlineStr">
        <is>
          <t>Award</t>
        </is>
      </c>
      <c r="C1" t="inlineStr">
        <is>
          <t>Robot Game Awards</t>
        </is>
      </c>
    </row>
    <row r="2">
      <c r="A2" t="inlineStr">
        <is>
          <t>Champions 1st Place</t>
        </is>
      </c>
      <c r="C2" t="inlineStr">
        <is>
          <t>Robot Game 1st Place</t>
        </is>
      </c>
    </row>
    <row r="3">
      <c r="A3" t="inlineStr">
        <is>
          <t>Champions 2nd Place</t>
        </is>
      </c>
      <c r="C3" t="inlineStr">
        <is>
          <t>Robot Game 2nd Place</t>
        </is>
      </c>
    </row>
    <row r="4">
      <c r="A4" t="inlineStr">
        <is>
          <t>Champions 3rd Place</t>
        </is>
      </c>
      <c r="C4" t="inlineStr">
        <is>
          <t>Robot Game 3rd Place</t>
        </is>
      </c>
    </row>
    <row r="5">
      <c r="A5" t="inlineStr">
        <is>
          <t>Robot Design 1st Place</t>
        </is>
      </c>
    </row>
    <row r="6">
      <c r="A6" t="inlineStr">
        <is>
          <t>Robot Design 2nd Place</t>
        </is>
      </c>
    </row>
    <row r="7">
      <c r="A7" t="inlineStr">
        <is>
          <t>Robot Design 3rd Place</t>
        </is>
      </c>
    </row>
    <row r="8">
      <c r="A8" t="inlineStr">
        <is>
          <t>Innovation Project 1st Place</t>
        </is>
      </c>
    </row>
    <row r="9">
      <c r="A9" t="inlineStr">
        <is>
          <t>Innovation Project 2nd Place</t>
        </is>
      </c>
    </row>
    <row r="10">
      <c r="A10" t="inlineStr">
        <is>
          <t>Innovation Project 3rd Place</t>
        </is>
      </c>
    </row>
    <row r="11">
      <c r="A11" t="inlineStr">
        <is>
          <t>Core Values 1st Place</t>
        </is>
      </c>
    </row>
    <row r="12">
      <c r="A12" t="inlineStr">
        <is>
          <t>Core Values 2nd Place</t>
        </is>
      </c>
    </row>
    <row r="13">
      <c r="A13" t="inlineStr">
        <is>
          <t>Core Values 3rd Place</t>
        </is>
      </c>
    </row>
    <row r="14">
      <c r="A14" t="inlineStr">
        <is>
          <t>Judges 1</t>
        </is>
      </c>
    </row>
    <row r="15">
      <c r="A15" t="inlineStr">
        <is>
          <t>Judges 2</t>
        </is>
      </c>
    </row>
    <row r="16">
      <c r="A16" t="inlineStr">
        <is>
          <t>Judges 3</t>
        </is>
      </c>
    </row>
    <row r="17">
      <c r="A17" t="inlineStr">
        <is>
          <t>Judges 4</t>
        </is>
      </c>
    </row>
    <row r="18">
      <c r="A18" t="inlineStr">
        <is>
          <t>Judges 5</t>
        </is>
      </c>
    </row>
    <row r="19">
      <c r="A19" t="inlineStr">
        <is>
          <t>Judges 6</t>
        </is>
      </c>
    </row>
    <row r="20">
      <c r="A20" t="inlineStr">
        <is>
          <t>Judges 7</t>
        </is>
      </c>
    </row>
    <row r="21">
      <c r="A21" t="inlineStr">
        <is>
          <t>Judges 8</t>
        </is>
      </c>
    </row>
    <row r="22">
      <c r="A22" t="inlineStr">
        <is>
          <t>Judges 9</t>
        </is>
      </c>
    </row>
    <row r="23">
      <c r="A23" t="inlineStr">
        <is>
          <t>Judges 10</t>
        </is>
      </c>
    </row>
    <row r="24">
      <c r="A24" t="inlineStr">
        <is>
          <t>Judges 11</t>
        </is>
      </c>
    </row>
    <row r="25">
      <c r="A25" t="inlineStr">
        <is>
          <t>Judges 12</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2">
    <tablePart xmlns:r="http://schemas.openxmlformats.org/officeDocument/2006/relationships" r:id="rId1"/>
    <tablePart xmlns:r="http://schemas.openxmlformats.org/officeDocument/2006/relationships" r:id="rId2"/>
  </tableParts>
</worksheet>
</file>

<file path=xl/worksheets/sheet6.xml><?xml version="1.0" encoding="utf-8"?>
<worksheet xmlns="http://schemas.openxmlformats.org/spreadsheetml/2006/main">
  <sheetPr codeName="Sheet14">
    <outlinePr summaryBelow="1" summaryRight="1"/>
    <pageSetUpPr/>
  </sheetPr>
  <dimension ref="A1:S11"/>
  <sheetViews>
    <sheetView workbookViewId="0">
      <selection activeCell="A1" sqref="A1:S1"/>
    </sheetView>
  </sheetViews>
  <sheetFormatPr baseColWidth="8" defaultRowHeight="15"/>
  <cols>
    <col width="17.5703125" bestFit="1" customWidth="1" min="1" max="1"/>
    <col width="8" bestFit="1" customWidth="1" min="2" max="2"/>
    <col width="13.7109375" bestFit="1" customWidth="1" min="3" max="3"/>
    <col width="10.85546875" bestFit="1" customWidth="1" min="4" max="5"/>
    <col width="26" bestFit="1" customWidth="1" min="6" max="6"/>
    <col width="26.7109375" bestFit="1" customWidth="1" min="7" max="7"/>
    <col width="26.28515625" bestFit="1" customWidth="1" min="8" max="8"/>
    <col width="19.5703125" bestFit="1" customWidth="1" min="9" max="9"/>
  </cols>
  <sheetData>
    <row r="1">
      <c r="A1" t="inlineStr">
        <is>
          <t>ColumnName</t>
        </is>
      </c>
      <c r="B1" t="inlineStr">
        <is>
          <t>Name</t>
        </is>
      </c>
      <c r="C1" t="inlineStr">
        <is>
          <t>DivAward</t>
        </is>
      </c>
      <c r="D1" t="inlineStr">
        <is>
          <t>TournCount</t>
        </is>
      </c>
      <c r="E1" t="inlineStr">
        <is>
          <t>D1Count</t>
        </is>
      </c>
      <c r="F1" t="inlineStr">
        <is>
          <t>D2Count</t>
        </is>
      </c>
      <c r="G1" t="inlineStr">
        <is>
          <t>Label1</t>
        </is>
      </c>
      <c r="H1" t="inlineStr">
        <is>
          <t>Label2</t>
        </is>
      </c>
      <c r="I1" t="inlineStr">
        <is>
          <t>Label3</t>
        </is>
      </c>
      <c r="J1" t="inlineStr">
        <is>
          <t>Label4</t>
        </is>
      </c>
      <c r="K1" t="inlineStr">
        <is>
          <t>Label5</t>
        </is>
      </c>
      <c r="L1" t="inlineStr">
        <is>
          <t>Label6</t>
        </is>
      </c>
      <c r="M1" t="inlineStr">
        <is>
          <t>Label7</t>
        </is>
      </c>
      <c r="N1" t="inlineStr">
        <is>
          <t>Label8</t>
        </is>
      </c>
      <c r="O1" t="inlineStr">
        <is>
          <t>Label9</t>
        </is>
      </c>
      <c r="P1" t="inlineStr">
        <is>
          <t>Label10</t>
        </is>
      </c>
      <c r="Q1" t="inlineStr">
        <is>
          <t>Label11</t>
        </is>
      </c>
      <c r="R1" t="inlineStr">
        <is>
          <t>Label12</t>
        </is>
      </c>
      <c r="S1" t="inlineStr">
        <is>
          <t>OnAwdDropDown</t>
        </is>
      </c>
    </row>
    <row r="2">
      <c r="A2" t="inlineStr">
        <is>
          <t>J_AWD_CHAMP</t>
        </is>
      </c>
      <c r="B2" t="inlineStr">
        <is>
          <t>Champions</t>
        </is>
      </c>
      <c r="C2" t="n">
        <v>1</v>
      </c>
      <c r="D2" t="n">
        <v>0</v>
      </c>
      <c r="E2" t="n">
        <v>0</v>
      </c>
      <c r="F2" t="n">
        <v>0</v>
      </c>
      <c r="G2" t="inlineStr">
        <is>
          <t>Champions 1st Place</t>
        </is>
      </c>
      <c r="H2" t="inlineStr">
        <is>
          <t>Champions 2nd Place</t>
        </is>
      </c>
      <c r="I2" t="inlineStr">
        <is>
          <t>Champions 3rd Place</t>
        </is>
      </c>
      <c r="J2" t="n">
        <v>0</v>
      </c>
      <c r="K2" t="n">
        <v>0</v>
      </c>
      <c r="L2" t="n">
        <v>0</v>
      </c>
      <c r="M2" t="n">
        <v>0</v>
      </c>
      <c r="N2" t="n">
        <v>0</v>
      </c>
      <c r="O2" t="n">
        <v>0</v>
      </c>
      <c r="P2" t="n">
        <v>0</v>
      </c>
      <c r="Q2" t="n">
        <v>0</v>
      </c>
      <c r="R2" t="n">
        <v>0</v>
      </c>
      <c r="S2" t="n">
        <v>1</v>
      </c>
    </row>
    <row r="3">
      <c r="A3" t="inlineStr">
        <is>
          <t>J_AWD_RD</t>
        </is>
      </c>
      <c r="B3" t="inlineStr">
        <is>
          <t>Robot Design</t>
        </is>
      </c>
      <c r="C3" t="n">
        <v>1</v>
      </c>
      <c r="D3" t="n">
        <v>0</v>
      </c>
      <c r="E3" t="n">
        <v>0</v>
      </c>
      <c r="F3" t="n">
        <v>0</v>
      </c>
      <c r="G3" t="inlineStr">
        <is>
          <t>Robot Design 1st Place</t>
        </is>
      </c>
      <c r="H3" t="inlineStr">
        <is>
          <t>Robot Design 2nd Place</t>
        </is>
      </c>
      <c r="I3" t="inlineStr">
        <is>
          <t>Robot Design 3rd Place</t>
        </is>
      </c>
      <c r="J3" t="n">
        <v>0</v>
      </c>
      <c r="K3" t="n">
        <v>0</v>
      </c>
      <c r="L3" t="n">
        <v>0</v>
      </c>
      <c r="M3" t="n">
        <v>0</v>
      </c>
      <c r="N3" t="n">
        <v>0</v>
      </c>
      <c r="O3" t="n">
        <v>0</v>
      </c>
      <c r="P3" t="n">
        <v>0</v>
      </c>
      <c r="Q3" t="n">
        <v>0</v>
      </c>
      <c r="R3" t="n">
        <v>0</v>
      </c>
      <c r="S3" t="n">
        <v>1</v>
      </c>
    </row>
    <row r="4">
      <c r="A4" t="inlineStr">
        <is>
          <t>J_AWD_IP</t>
        </is>
      </c>
      <c r="B4" t="inlineStr">
        <is>
          <t>Innovation Project</t>
        </is>
      </c>
      <c r="C4" t="n">
        <v>1</v>
      </c>
      <c r="D4" t="n">
        <v>0</v>
      </c>
      <c r="E4" t="n">
        <v>0</v>
      </c>
      <c r="F4" t="n">
        <v>0</v>
      </c>
      <c r="G4" t="inlineStr">
        <is>
          <t>Innovation Project 1st Place</t>
        </is>
      </c>
      <c r="H4" t="inlineStr">
        <is>
          <t>Innovation Project 2nd Place</t>
        </is>
      </c>
      <c r="I4" t="inlineStr">
        <is>
          <t>Innovation Project 3rd Place</t>
        </is>
      </c>
      <c r="J4" t="n">
        <v>0</v>
      </c>
      <c r="K4" t="n">
        <v>0</v>
      </c>
      <c r="L4" t="n">
        <v>0</v>
      </c>
      <c r="M4" t="n">
        <v>0</v>
      </c>
      <c r="N4" t="n">
        <v>0</v>
      </c>
      <c r="O4" t="n">
        <v>0</v>
      </c>
      <c r="P4" t="n">
        <v>0</v>
      </c>
      <c r="Q4" t="n">
        <v>0</v>
      </c>
      <c r="R4" t="n">
        <v>0</v>
      </c>
      <c r="S4" t="n">
        <v>1</v>
      </c>
    </row>
    <row r="5">
      <c r="A5" t="inlineStr">
        <is>
          <t>J_AWD_CV</t>
        </is>
      </c>
      <c r="B5" t="inlineStr">
        <is>
          <t>Core Values</t>
        </is>
      </c>
      <c r="C5" t="n">
        <v>1</v>
      </c>
      <c r="D5" t="n">
        <v>0</v>
      </c>
      <c r="E5" t="n">
        <v>0</v>
      </c>
      <c r="F5" t="n">
        <v>0</v>
      </c>
      <c r="G5" t="inlineStr">
        <is>
          <t>Core Values 1st Place</t>
        </is>
      </c>
      <c r="H5" t="inlineStr">
        <is>
          <t>Core Values 2nd Place</t>
        </is>
      </c>
      <c r="I5" t="inlineStr">
        <is>
          <t>Core Values 3rd Place</t>
        </is>
      </c>
      <c r="J5" t="n">
        <v>0</v>
      </c>
      <c r="K5" t="n">
        <v>0</v>
      </c>
      <c r="L5" t="n">
        <v>0</v>
      </c>
      <c r="M5" t="n">
        <v>0</v>
      </c>
      <c r="N5" t="n">
        <v>0</v>
      </c>
      <c r="O5" t="n">
        <v>0</v>
      </c>
      <c r="P5" t="n">
        <v>0</v>
      </c>
      <c r="Q5" t="n">
        <v>0</v>
      </c>
      <c r="R5" t="n">
        <v>0</v>
      </c>
      <c r="S5" t="n">
        <v>1</v>
      </c>
    </row>
    <row r="6">
      <c r="A6" t="inlineStr">
        <is>
          <t>J_AWD_Judges</t>
        </is>
      </c>
      <c r="B6" t="inlineStr">
        <is>
          <t>Judges</t>
        </is>
      </c>
      <c r="C6" t="n">
        <v>0</v>
      </c>
      <c r="D6" t="n">
        <v>0</v>
      </c>
      <c r="E6" t="n">
        <v>0</v>
      </c>
      <c r="F6" t="n">
        <v>0</v>
      </c>
      <c r="G6" t="inlineStr">
        <is>
          <t>Judges 1</t>
        </is>
      </c>
      <c r="H6" t="inlineStr">
        <is>
          <t>Judges 2</t>
        </is>
      </c>
      <c r="I6" t="inlineStr">
        <is>
          <t>Judges 3</t>
        </is>
      </c>
      <c r="J6" t="inlineStr">
        <is>
          <t>Judges 4</t>
        </is>
      </c>
      <c r="K6" t="inlineStr">
        <is>
          <t>Judges 5</t>
        </is>
      </c>
      <c r="L6" t="inlineStr">
        <is>
          <t>Judges 6</t>
        </is>
      </c>
      <c r="M6" t="inlineStr">
        <is>
          <t>Judges 7</t>
        </is>
      </c>
      <c r="N6" t="inlineStr">
        <is>
          <t>Judges 8</t>
        </is>
      </c>
      <c r="O6" t="inlineStr">
        <is>
          <t>Judges 9</t>
        </is>
      </c>
      <c r="P6" t="inlineStr">
        <is>
          <t>Judges 10</t>
        </is>
      </c>
      <c r="Q6" t="inlineStr">
        <is>
          <t>Judges 11</t>
        </is>
      </c>
      <c r="R6" t="inlineStr">
        <is>
          <t>Judges 12</t>
        </is>
      </c>
      <c r="S6" t="n">
        <v>1</v>
      </c>
    </row>
    <row r="7">
      <c r="A7" t="inlineStr">
        <is>
          <t>P_AWD_RG</t>
        </is>
      </c>
      <c r="B7" t="inlineStr">
        <is>
          <t>Robot Game</t>
        </is>
      </c>
      <c r="C7" t="n">
        <v>1</v>
      </c>
      <c r="D7" t="n">
        <v>0</v>
      </c>
      <c r="E7" t="n">
        <v>0</v>
      </c>
      <c r="F7" t="n">
        <v>0</v>
      </c>
      <c r="G7" t="inlineStr">
        <is>
          <t>Robot Game 1st Place</t>
        </is>
      </c>
      <c r="H7" t="inlineStr">
        <is>
          <t>Robot Game 2nd Place</t>
        </is>
      </c>
      <c r="I7" t="inlineStr">
        <is>
          <t>Robot Game 3rd Place</t>
        </is>
      </c>
      <c r="J7" t="n">
        <v>0</v>
      </c>
      <c r="K7" t="n">
        <v>0</v>
      </c>
      <c r="L7" t="n">
        <v>0</v>
      </c>
      <c r="M7" t="n">
        <v>0</v>
      </c>
      <c r="N7" t="n">
        <v>0</v>
      </c>
      <c r="O7" t="n">
        <v>0</v>
      </c>
      <c r="P7" t="n">
        <v>0</v>
      </c>
      <c r="Q7" t="n">
        <v>0</v>
      </c>
      <c r="R7" t="n">
        <v>0</v>
      </c>
      <c r="S7" t="n">
        <v>0</v>
      </c>
    </row>
    <row r="8">
      <c r="A8" t="inlineStr">
        <is>
          <t>J_AWD_BT</t>
        </is>
      </c>
      <c r="B8" t="inlineStr">
        <is>
          <t>Breakthrough</t>
        </is>
      </c>
      <c r="C8" t="n">
        <v>0</v>
      </c>
      <c r="D8" t="n">
        <v>0</v>
      </c>
      <c r="E8" t="n">
        <v>0</v>
      </c>
      <c r="F8" t="n">
        <v>0</v>
      </c>
      <c r="G8" t="inlineStr">
        <is>
          <t>Breakthrough 1st Place</t>
        </is>
      </c>
      <c r="H8" t="inlineStr">
        <is>
          <t>Breakthrough 2nd Place</t>
        </is>
      </c>
      <c r="I8" t="inlineStr">
        <is>
          <t>Breakthrough 3rd Place</t>
        </is>
      </c>
      <c r="J8" t="n">
        <v>0</v>
      </c>
      <c r="K8" t="n">
        <v>0</v>
      </c>
      <c r="L8" t="n">
        <v>0</v>
      </c>
      <c r="M8" t="n">
        <v>0</v>
      </c>
      <c r="N8" t="n">
        <v>0</v>
      </c>
      <c r="O8" t="n">
        <v>0</v>
      </c>
      <c r="P8" t="n">
        <v>0</v>
      </c>
      <c r="Q8" t="n">
        <v>0</v>
      </c>
      <c r="R8" t="n">
        <v>0</v>
      </c>
      <c r="S8" t="n">
        <v>1</v>
      </c>
    </row>
    <row r="9">
      <c r="A9" t="inlineStr">
        <is>
          <t>J_AWD_RisAll</t>
        </is>
      </c>
      <c r="B9" t="inlineStr">
        <is>
          <t>Rising Allstar</t>
        </is>
      </c>
      <c r="C9" t="n">
        <v>0</v>
      </c>
      <c r="D9" t="n">
        <v>0</v>
      </c>
      <c r="E9" t="n">
        <v>0</v>
      </c>
      <c r="F9" t="n">
        <v>0</v>
      </c>
      <c r="G9" t="inlineStr">
        <is>
          <t>Rising Allstar 1st Place</t>
        </is>
      </c>
      <c r="H9" t="inlineStr">
        <is>
          <t>Rising Allstar 2nd Place</t>
        </is>
      </c>
      <c r="I9" t="inlineStr">
        <is>
          <t>Rising Allstar 3rd Place</t>
        </is>
      </c>
      <c r="J9" t="n">
        <v>0</v>
      </c>
      <c r="K9" t="n">
        <v>0</v>
      </c>
      <c r="L9" t="n">
        <v>0</v>
      </c>
      <c r="M9" t="n">
        <v>0</v>
      </c>
      <c r="N9" t="n">
        <v>0</v>
      </c>
      <c r="O9" t="n">
        <v>0</v>
      </c>
      <c r="P9" t="n">
        <v>0</v>
      </c>
      <c r="Q9" t="n">
        <v>0</v>
      </c>
      <c r="R9" t="n">
        <v>0</v>
      </c>
      <c r="S9" t="n">
        <v>1</v>
      </c>
    </row>
    <row r="10">
      <c r="A10" t="inlineStr">
        <is>
          <t>J_AWD_CL</t>
        </is>
      </c>
      <c r="B10" t="inlineStr">
        <is>
          <t>Community Leader</t>
        </is>
      </c>
      <c r="C10" t="n">
        <v>0</v>
      </c>
      <c r="D10" t="n">
        <v>0</v>
      </c>
      <c r="E10" t="n">
        <v>0</v>
      </c>
      <c r="F10" t="n">
        <v>0</v>
      </c>
      <c r="G10" t="inlineStr">
        <is>
          <t>Community Leader 1st Place</t>
        </is>
      </c>
      <c r="H10" t="inlineStr">
        <is>
          <t>Community Leader 2nd Place</t>
        </is>
      </c>
      <c r="I10" t="inlineStr">
        <is>
          <t>Community Leader 3rd Place</t>
        </is>
      </c>
      <c r="J10" t="n">
        <v>0</v>
      </c>
      <c r="K10" t="n">
        <v>0</v>
      </c>
      <c r="L10" t="n">
        <v>0</v>
      </c>
      <c r="M10" t="n">
        <v>0</v>
      </c>
      <c r="N10" t="n">
        <v>0</v>
      </c>
      <c r="O10" t="n">
        <v>0</v>
      </c>
      <c r="P10" t="n">
        <v>0</v>
      </c>
      <c r="Q10" t="n">
        <v>0</v>
      </c>
      <c r="R10" t="n">
        <v>0</v>
      </c>
      <c r="S10" t="n">
        <v>1</v>
      </c>
    </row>
    <row r="11">
      <c r="A11" t="inlineStr">
        <is>
          <t>ADV</t>
        </is>
      </c>
      <c r="B11" t="inlineStr">
        <is>
          <t>Advancing</t>
        </is>
      </c>
      <c r="C11" t="n">
        <v>1</v>
      </c>
      <c r="D11" t="n">
        <v>0</v>
      </c>
      <c r="E11" t="n">
        <v>0</v>
      </c>
      <c r="F11" t="n">
        <v>0</v>
      </c>
      <c r="G11" t="inlineStr">
        <is>
          <t>Advancing 1</t>
        </is>
      </c>
      <c r="H11" t="inlineStr">
        <is>
          <t>Advancing 2</t>
        </is>
      </c>
      <c r="I11" t="inlineStr">
        <is>
          <t>Advancing 3</t>
        </is>
      </c>
      <c r="J11" t="n">
        <v>0</v>
      </c>
      <c r="K11" t="n">
        <v>0</v>
      </c>
      <c r="L11" t="n">
        <v>0</v>
      </c>
      <c r="M11" t="n">
        <v>0</v>
      </c>
      <c r="N11" t="n">
        <v>0</v>
      </c>
      <c r="O11" t="n">
        <v>0</v>
      </c>
      <c r="P11" t="n">
        <v>0</v>
      </c>
      <c r="Q11" t="n">
        <v>0</v>
      </c>
      <c r="R11" t="n">
        <v>0</v>
      </c>
      <c r="S11" t="n">
        <v>0</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13">
    <tabColor rgb="FF7030A0"/>
    <outlinePr summaryBelow="1" summaryRight="1"/>
    <pageSetUpPr/>
  </sheetPr>
  <dimension ref="B1:F40"/>
  <sheetViews>
    <sheetView workbookViewId="0">
      <selection activeCell="C1" sqref="C1"/>
    </sheetView>
  </sheetViews>
  <sheetFormatPr baseColWidth="8" defaultRowHeight="15"/>
  <cols>
    <col width="10" bestFit="1" customWidth="1" min="3" max="3"/>
  </cols>
  <sheetData>
    <row r="1">
      <c r="B1" t="inlineStr">
        <is>
          <t>POD</t>
        </is>
      </c>
      <c r="C1" s="59" t="inlineStr">
        <is>
          <t>Champion</t>
        </is>
      </c>
      <c r="D1" t="inlineStr">
        <is>
          <t>IP</t>
        </is>
      </c>
      <c r="E1" t="inlineStr">
        <is>
          <t>RD</t>
        </is>
      </c>
      <c r="F1" t="inlineStr">
        <is>
          <t>CV</t>
        </is>
      </c>
    </row>
    <row r="2">
      <c r="B2" t="n">
        <v>1</v>
      </c>
      <c r="C2">
        <f>IF(ISERR(AVERAGEIF(TournamentData[POD],'Pod Analysis'!B2,TournamentData[Champion''s Score])),"",AVERAGEIF(TournamentData[POD],'Pod Analysis'!B2,TournamentData[Champion''s Score]))</f>
        <v/>
      </c>
      <c r="D2">
        <f>IF(ISERR(AVERAGEIF(InnovationProjectResults[POD],'Pod Analysis'!B2,InnovationProjectResults[Innovation Project Score])),"",AVERAGEIF(InnovationProjectResults[POD],'Pod Analysis'!B2,InnovationProjectResults[Innovation Project Score]))</f>
        <v/>
      </c>
      <c r="E2">
        <f>IF(ISERR(AVERAGEIF(RobotDesignResults[POD],'Pod Analysis'!B2,RobotDesignResults[Robot Design Score])),"",AVERAGEIF(RobotDesignResults[POD],'Pod Analysis'!B2,RobotDesignResults[Robot Design Score]))</f>
        <v/>
      </c>
      <c r="F2">
        <f>IF(ISERR(AVERAGEIF(CoreValuesResults[POD],'Pod Analysis'!B2,CoreValuesResults[Core Values Score])),"",AVERAGEIF(CoreValuesResults[POD],'Pod Analysis'!B2,CoreValuesResults[Core Values Score]))</f>
        <v/>
      </c>
    </row>
    <row r="3">
      <c r="B3" t="n">
        <v>2</v>
      </c>
      <c r="C3">
        <f>IF(ISERR(AVERAGEIF(TournamentData[POD],'Pod Analysis'!B3,TournamentData[Champion''s Score])),"",AVERAGEIF(TournamentData[POD],'Pod Analysis'!B3,TournamentData[Champion''s Score]))</f>
        <v/>
      </c>
      <c r="D3">
        <f>IF(ISERR(AVERAGEIF(InnovationProjectResults[POD],'Pod Analysis'!B3,InnovationProjectResults[Innovation Project Score])),"",AVERAGEIF(InnovationProjectResults[POD],'Pod Analysis'!B3,InnovationProjectResults[Innovation Project Score]))</f>
        <v/>
      </c>
      <c r="E3">
        <f>IF(ISERR(AVERAGEIF(RobotDesignResults[POD],'Pod Analysis'!B3,RobotDesignResults[Robot Design Score])),"",AVERAGEIF(RobotDesignResults[POD],'Pod Analysis'!B3,RobotDesignResults[Robot Design Score]))</f>
        <v/>
      </c>
      <c r="F3">
        <f>IF(ISERR(AVERAGEIF(CoreValuesResults[POD],'Pod Analysis'!B3,CoreValuesResults[Core Values Score])),"",AVERAGEIF(CoreValuesResults[POD],'Pod Analysis'!B3,CoreValuesResults[Core Values Score]))</f>
        <v/>
      </c>
    </row>
    <row r="4">
      <c r="B4" t="n">
        <v>3</v>
      </c>
      <c r="C4">
        <f>IF(ISERR(AVERAGEIF(TournamentData[POD],'Pod Analysis'!B4,TournamentData[Champion''s Score])),"",AVERAGEIF(TournamentData[POD],'Pod Analysis'!B4,TournamentData[Champion''s Score]))</f>
        <v/>
      </c>
      <c r="D4">
        <f>IF(ISERR(AVERAGEIF(InnovationProjectResults[POD],'Pod Analysis'!B4,InnovationProjectResults[Innovation Project Score])),"",AVERAGEIF(InnovationProjectResults[POD],'Pod Analysis'!B4,InnovationProjectResults[Innovation Project Score]))</f>
        <v/>
      </c>
      <c r="E4">
        <f>IF(ISERR(AVERAGEIF(RobotDesignResults[POD],'Pod Analysis'!B4,RobotDesignResults[Robot Design Score])),"",AVERAGEIF(RobotDesignResults[POD],'Pod Analysis'!B4,RobotDesignResults[Robot Design Score]))</f>
        <v/>
      </c>
      <c r="F4">
        <f>IF(ISERR(AVERAGEIF(CoreValuesResults[POD],'Pod Analysis'!B4,CoreValuesResults[Core Values Score])),"",AVERAGEIF(CoreValuesResults[POD],'Pod Analysis'!B4,CoreValuesResults[Core Values Score]))</f>
        <v/>
      </c>
    </row>
    <row r="5">
      <c r="B5" t="n">
        <v>4</v>
      </c>
      <c r="C5">
        <f>IF(ISERR(AVERAGEIF(TournamentData[POD],'Pod Analysis'!B5,TournamentData[Champion''s Score])),"",AVERAGEIF(TournamentData[POD],'Pod Analysis'!B5,TournamentData[Champion''s Score]))</f>
        <v/>
      </c>
      <c r="D5">
        <f>IF(ISERR(AVERAGEIF(InnovationProjectResults[POD],'Pod Analysis'!B5,InnovationProjectResults[Innovation Project Score])),"",AVERAGEIF(InnovationProjectResults[POD],'Pod Analysis'!B5,InnovationProjectResults[Innovation Project Score]))</f>
        <v/>
      </c>
      <c r="E5">
        <f>IF(ISERR(AVERAGEIF(RobotDesignResults[POD],'Pod Analysis'!B5,RobotDesignResults[Robot Design Score])),"",AVERAGEIF(RobotDesignResults[POD],'Pod Analysis'!B5,RobotDesignResults[Robot Design Score]))</f>
        <v/>
      </c>
      <c r="F5">
        <f>IF(ISERR(AVERAGEIF(CoreValuesResults[POD],'Pod Analysis'!B5,CoreValuesResults[Core Values Score])),"",AVERAGEIF(CoreValuesResults[POD],'Pod Analysis'!B5,CoreValuesResults[Core Values Score]))</f>
        <v/>
      </c>
    </row>
    <row r="6">
      <c r="B6" t="n">
        <v>5</v>
      </c>
      <c r="C6">
        <f>IF(ISERR(AVERAGEIF(TournamentData[POD],'Pod Analysis'!B6,TournamentData[Champion''s Score])),"",AVERAGEIF(TournamentData[POD],'Pod Analysis'!B6,TournamentData[Champion''s Score]))</f>
        <v/>
      </c>
      <c r="D6">
        <f>IF(ISERR(AVERAGEIF(InnovationProjectResults[POD],'Pod Analysis'!B6,InnovationProjectResults[Innovation Project Score])),"",AVERAGEIF(InnovationProjectResults[POD],'Pod Analysis'!B6,InnovationProjectResults[Innovation Project Score]))</f>
        <v/>
      </c>
      <c r="E6">
        <f>IF(ISERR(AVERAGEIF(RobotDesignResults[POD],'Pod Analysis'!B6,RobotDesignResults[Robot Design Score])),"",AVERAGEIF(RobotDesignResults[POD],'Pod Analysis'!B6,RobotDesignResults[Robot Design Score]))</f>
        <v/>
      </c>
      <c r="F6">
        <f>IF(ISERR(AVERAGEIF(CoreValuesResults[POD],'Pod Analysis'!B6,CoreValuesResults[Core Values Score])),"",AVERAGEIF(CoreValuesResults[POD],'Pod Analysis'!B6,CoreValuesResults[Core Values Score]))</f>
        <v/>
      </c>
    </row>
    <row r="7">
      <c r="B7" t="n">
        <v>6</v>
      </c>
      <c r="C7">
        <f>IF(ISERR(AVERAGEIF(TournamentData[POD],'Pod Analysis'!B7,TournamentData[Champion''s Score])),"",AVERAGEIF(TournamentData[POD],'Pod Analysis'!B7,TournamentData[Champion''s Score]))</f>
        <v/>
      </c>
      <c r="D7">
        <f>IF(ISERR(AVERAGEIF(InnovationProjectResults[POD],'Pod Analysis'!B7,InnovationProjectResults[Innovation Project Score])),"",AVERAGEIF(InnovationProjectResults[POD],'Pod Analysis'!B7,InnovationProjectResults[Innovation Project Score]))</f>
        <v/>
      </c>
      <c r="E7">
        <f>IF(ISERR(AVERAGEIF(RobotDesignResults[POD],'Pod Analysis'!B7,RobotDesignResults[Robot Design Score])),"",AVERAGEIF(RobotDesignResults[POD],'Pod Analysis'!B7,RobotDesignResults[Robot Design Score]))</f>
        <v/>
      </c>
      <c r="F7">
        <f>IF(ISERR(AVERAGEIF(CoreValuesResults[POD],'Pod Analysis'!B7,CoreValuesResults[Core Values Score])),"",AVERAGEIF(CoreValuesResults[POD],'Pod Analysis'!B7,CoreValuesResults[Core Values Score]))</f>
        <v/>
      </c>
    </row>
    <row r="8">
      <c r="B8" t="n">
        <v>7</v>
      </c>
      <c r="C8">
        <f>IF(ISERR(AVERAGEIF(TournamentData[POD],'Pod Analysis'!B8,TournamentData[Champion''s Score])),"",AVERAGEIF(TournamentData[POD],'Pod Analysis'!B8,TournamentData[Champion''s Score]))</f>
        <v/>
      </c>
      <c r="D8">
        <f>IF(ISERR(AVERAGEIF(InnovationProjectResults[POD],'Pod Analysis'!B8,InnovationProjectResults[Innovation Project Score])),"",AVERAGEIF(InnovationProjectResults[POD],'Pod Analysis'!B8,InnovationProjectResults[Innovation Project Score]))</f>
        <v/>
      </c>
      <c r="E8">
        <f>IF(ISERR(AVERAGEIF(RobotDesignResults[POD],'Pod Analysis'!B8,RobotDesignResults[Robot Design Score])),"",AVERAGEIF(RobotDesignResults[POD],'Pod Analysis'!B8,RobotDesignResults[Robot Design Score]))</f>
        <v/>
      </c>
      <c r="F8">
        <f>IF(ISERR(AVERAGEIF(CoreValuesResults[POD],'Pod Analysis'!B8,CoreValuesResults[Core Values Score])),"",AVERAGEIF(CoreValuesResults[POD],'Pod Analysis'!B8,CoreValuesResults[Core Values Score]))</f>
        <v/>
      </c>
    </row>
    <row r="9">
      <c r="B9" t="n">
        <v>8</v>
      </c>
      <c r="C9">
        <f>IF(ISERR(AVERAGEIF(TournamentData[POD],'Pod Analysis'!B9,TournamentData[Champion''s Score])),"",AVERAGEIF(TournamentData[POD],'Pod Analysis'!B9,TournamentData[Champion''s Score]))</f>
        <v/>
      </c>
      <c r="D9">
        <f>IF(ISERR(AVERAGEIF(InnovationProjectResults[POD],'Pod Analysis'!B9,InnovationProjectResults[Innovation Project Score])),"",AVERAGEIF(InnovationProjectResults[POD],'Pod Analysis'!B9,InnovationProjectResults[Innovation Project Score]))</f>
        <v/>
      </c>
      <c r="E9">
        <f>IF(ISERR(AVERAGEIF(RobotDesignResults[POD],'Pod Analysis'!B9,RobotDesignResults[Robot Design Score])),"",AVERAGEIF(RobotDesignResults[POD],'Pod Analysis'!B9,RobotDesignResults[Robot Design Score]))</f>
        <v/>
      </c>
      <c r="F9">
        <f>IF(ISERR(AVERAGEIF(CoreValuesResults[POD],'Pod Analysis'!B9,CoreValuesResults[Core Values Score])),"",AVERAGEIF(CoreValuesResults[POD],'Pod Analysis'!B9,CoreValuesResults[Core Values Score]))</f>
        <v/>
      </c>
    </row>
    <row r="10">
      <c r="B10" t="n">
        <v>9</v>
      </c>
      <c r="C10">
        <f>IF(ISERR(AVERAGEIF(TournamentData[POD],'Pod Analysis'!B10,TournamentData[Champion''s Score])),"",AVERAGEIF(TournamentData[POD],'Pod Analysis'!B10,TournamentData[Champion''s Score]))</f>
        <v/>
      </c>
      <c r="D10">
        <f>IF(ISERR(AVERAGEIF(InnovationProjectResults[POD],'Pod Analysis'!B10,InnovationProjectResults[Innovation Project Score])),"",AVERAGEIF(InnovationProjectResults[POD],'Pod Analysis'!B10,InnovationProjectResults[Innovation Project Score]))</f>
        <v/>
      </c>
      <c r="E10">
        <f>IF(ISERR(AVERAGEIF(RobotDesignResults[POD],'Pod Analysis'!B10,RobotDesignResults[Robot Design Score])),"",AVERAGEIF(RobotDesignResults[POD],'Pod Analysis'!B10,RobotDesignResults[Robot Design Score]))</f>
        <v/>
      </c>
      <c r="F10">
        <f>IF(ISERR(AVERAGEIF(CoreValuesResults[POD],'Pod Analysis'!B10,CoreValuesResults[Core Values Score])),"",AVERAGEIF(CoreValuesResults[POD],'Pod Analysis'!B10,CoreValuesResults[Core Values Score]))</f>
        <v/>
      </c>
    </row>
    <row r="11">
      <c r="B11" t="n">
        <v>10</v>
      </c>
      <c r="C11">
        <f>IF(ISERR(AVERAGEIF(TournamentData[POD],'Pod Analysis'!B11,TournamentData[Champion''s Score])),"",AVERAGEIF(TournamentData[POD],'Pod Analysis'!B11,TournamentData[Champion''s Score]))</f>
        <v/>
      </c>
      <c r="D11">
        <f>IF(ISERR(AVERAGEIF(InnovationProjectResults[POD],'Pod Analysis'!B11,InnovationProjectResults[Innovation Project Score])),"",AVERAGEIF(InnovationProjectResults[POD],'Pod Analysis'!B11,InnovationProjectResults[Innovation Project Score]))</f>
        <v/>
      </c>
      <c r="E11">
        <f>IF(ISERR(AVERAGEIF(RobotDesignResults[POD],'Pod Analysis'!B11,RobotDesignResults[Robot Design Score])),"",AVERAGEIF(RobotDesignResults[POD],'Pod Analysis'!B11,RobotDesignResults[Robot Design Score]))</f>
        <v/>
      </c>
      <c r="F11">
        <f>IF(ISERR(AVERAGEIF(CoreValuesResults[POD],'Pod Analysis'!B11,CoreValuesResults[Core Values Score])),"",AVERAGEIF(CoreValuesResults[POD],'Pod Analysis'!B11,CoreValuesResults[Core Values Score]))</f>
        <v/>
      </c>
    </row>
    <row r="12">
      <c r="B12" t="n">
        <v>11</v>
      </c>
      <c r="C12">
        <f>IF(ISERR(AVERAGEIF(TournamentData[POD],'Pod Analysis'!B12,TournamentData[Champion''s Score])),"",AVERAGEIF(TournamentData[POD],'Pod Analysis'!B12,TournamentData[Champion''s Score]))</f>
        <v/>
      </c>
      <c r="D12">
        <f>IF(ISERR(AVERAGEIF(InnovationProjectResults[POD],'Pod Analysis'!B12,InnovationProjectResults[Innovation Project Score])),"",AVERAGEIF(InnovationProjectResults[POD],'Pod Analysis'!B12,InnovationProjectResults[Innovation Project Score]))</f>
        <v/>
      </c>
      <c r="E12">
        <f>IF(ISERR(AVERAGEIF(RobotDesignResults[POD],'Pod Analysis'!B12,RobotDesignResults[Robot Design Score])),"",AVERAGEIF(RobotDesignResults[POD],'Pod Analysis'!B12,RobotDesignResults[Robot Design Score]))</f>
        <v/>
      </c>
      <c r="F12">
        <f>IF(ISERR(AVERAGEIF(CoreValuesResults[POD],'Pod Analysis'!B12,CoreValuesResults[Core Values Score])),"",AVERAGEIF(CoreValuesResults[POD],'Pod Analysis'!B12,CoreValuesResults[Core Values Score]))</f>
        <v/>
      </c>
    </row>
    <row r="13">
      <c r="B13" t="n">
        <v>12</v>
      </c>
      <c r="C13">
        <f>IF(ISERR(AVERAGEIF(TournamentData[POD],'Pod Analysis'!B13,TournamentData[Champion''s Score])),"",AVERAGEIF(TournamentData[POD],'Pod Analysis'!B13,TournamentData[Champion''s Score]))</f>
        <v/>
      </c>
      <c r="D13">
        <f>IF(ISERR(AVERAGEIF(InnovationProjectResults[POD],'Pod Analysis'!B13,InnovationProjectResults[Innovation Project Score])),"",AVERAGEIF(InnovationProjectResults[POD],'Pod Analysis'!B13,InnovationProjectResults[Innovation Project Score]))</f>
        <v/>
      </c>
      <c r="E13">
        <f>IF(ISERR(AVERAGEIF(RobotDesignResults[POD],'Pod Analysis'!B13,RobotDesignResults[Robot Design Score])),"",AVERAGEIF(RobotDesignResults[POD],'Pod Analysis'!B13,RobotDesignResults[Robot Design Score]))</f>
        <v/>
      </c>
      <c r="F13">
        <f>IF(ISERR(AVERAGEIF(CoreValuesResults[POD],'Pod Analysis'!B13,CoreValuesResults[Core Values Score])),"",AVERAGEIF(CoreValuesResults[POD],'Pod Analysis'!B13,CoreValuesResults[Core Values Score]))</f>
        <v/>
      </c>
    </row>
    <row r="14">
      <c r="B14" t="n">
        <v>13</v>
      </c>
      <c r="C14">
        <f>IF(ISERR(AVERAGEIF(TournamentData[POD],'Pod Analysis'!B14,TournamentData[Champion''s Score])),"",AVERAGEIF(TournamentData[POD],'Pod Analysis'!B14,TournamentData[Champion''s Score]))</f>
        <v/>
      </c>
      <c r="D14">
        <f>IF(ISERR(AVERAGEIF(InnovationProjectResults[POD],'Pod Analysis'!B14,InnovationProjectResults[Innovation Project Score])),"",AVERAGEIF(InnovationProjectResults[POD],'Pod Analysis'!B14,InnovationProjectResults[Innovation Project Score]))</f>
        <v/>
      </c>
      <c r="E14">
        <f>IF(ISERR(AVERAGEIF(RobotDesignResults[POD],'Pod Analysis'!B14,RobotDesignResults[Robot Design Score])),"",AVERAGEIF(RobotDesignResults[POD],'Pod Analysis'!B14,RobotDesignResults[Robot Design Score]))</f>
        <v/>
      </c>
      <c r="F14">
        <f>IF(ISERR(AVERAGEIF(CoreValuesResults[POD],'Pod Analysis'!B14,CoreValuesResults[Core Values Score])),"",AVERAGEIF(CoreValuesResults[POD],'Pod Analysis'!B14,CoreValuesResults[Core Values Score]))</f>
        <v/>
      </c>
    </row>
    <row r="15">
      <c r="B15" t="n">
        <v>14</v>
      </c>
      <c r="C15">
        <f>IF(ISERR(AVERAGEIF(TournamentData[POD],'Pod Analysis'!B15,TournamentData[Champion''s Score])),"",AVERAGEIF(TournamentData[POD],'Pod Analysis'!B15,TournamentData[Champion''s Score]))</f>
        <v/>
      </c>
      <c r="D15">
        <f>IF(ISERR(AVERAGEIF(InnovationProjectResults[POD],'Pod Analysis'!B15,InnovationProjectResults[Innovation Project Score])),"",AVERAGEIF(InnovationProjectResults[POD],'Pod Analysis'!B15,InnovationProjectResults[Innovation Project Score]))</f>
        <v/>
      </c>
      <c r="E15">
        <f>IF(ISERR(AVERAGEIF(RobotDesignResults[POD],'Pod Analysis'!B15,RobotDesignResults[Robot Design Score])),"",AVERAGEIF(RobotDesignResults[POD],'Pod Analysis'!B15,RobotDesignResults[Robot Design Score]))</f>
        <v/>
      </c>
      <c r="F15">
        <f>IF(ISERR(AVERAGEIF(CoreValuesResults[POD],'Pod Analysis'!B15,CoreValuesResults[Core Values Score])),"",AVERAGEIF(CoreValuesResults[POD],'Pod Analysis'!B15,CoreValuesResults[Core Values Score]))</f>
        <v/>
      </c>
    </row>
    <row r="16">
      <c r="B16" t="n">
        <v>15</v>
      </c>
      <c r="C16">
        <f>IF(ISERR(AVERAGEIF(TournamentData[POD],'Pod Analysis'!B16,TournamentData[Champion''s Score])),"",AVERAGEIF(TournamentData[POD],'Pod Analysis'!B16,TournamentData[Champion''s Score]))</f>
        <v/>
      </c>
      <c r="D16">
        <f>IF(ISERR(AVERAGEIF(InnovationProjectResults[POD],'Pod Analysis'!B16,InnovationProjectResults[Innovation Project Score])),"",AVERAGEIF(InnovationProjectResults[POD],'Pod Analysis'!B16,InnovationProjectResults[Innovation Project Score]))</f>
        <v/>
      </c>
      <c r="E16">
        <f>IF(ISERR(AVERAGEIF(RobotDesignResults[POD],'Pod Analysis'!B16,RobotDesignResults[Robot Design Score])),"",AVERAGEIF(RobotDesignResults[POD],'Pod Analysis'!B16,RobotDesignResults[Robot Design Score]))</f>
        <v/>
      </c>
      <c r="F16">
        <f>IF(ISERR(AVERAGEIF(CoreValuesResults[POD],'Pod Analysis'!B16,CoreValuesResults[Core Values Score])),"",AVERAGEIF(CoreValuesResults[POD],'Pod Analysis'!B16,CoreValuesResults[Core Values Score]))</f>
        <v/>
      </c>
    </row>
    <row r="17">
      <c r="B17" t="n">
        <v>16</v>
      </c>
      <c r="C17">
        <f>IF(ISERR(AVERAGEIF(TournamentData[POD],'Pod Analysis'!B17,TournamentData[Champion''s Score])),"",AVERAGEIF(TournamentData[POD],'Pod Analysis'!B17,TournamentData[Champion''s Score]))</f>
        <v/>
      </c>
      <c r="D17">
        <f>IF(ISERR(AVERAGEIF(InnovationProjectResults[POD],'Pod Analysis'!B17,InnovationProjectResults[Innovation Project Score])),"",AVERAGEIF(InnovationProjectResults[POD],'Pod Analysis'!B17,InnovationProjectResults[Innovation Project Score]))</f>
        <v/>
      </c>
      <c r="E17">
        <f>IF(ISERR(AVERAGEIF(RobotDesignResults[POD],'Pod Analysis'!B17,RobotDesignResults[Robot Design Score])),"",AVERAGEIF(RobotDesignResults[POD],'Pod Analysis'!B17,RobotDesignResults[Robot Design Score]))</f>
        <v/>
      </c>
      <c r="F17">
        <f>IF(ISERR(AVERAGEIF(CoreValuesResults[POD],'Pod Analysis'!B17,CoreValuesResults[Core Values Score])),"",AVERAGEIF(CoreValuesResults[POD],'Pod Analysis'!B17,CoreValuesResults[Core Values Score]))</f>
        <v/>
      </c>
    </row>
    <row r="18">
      <c r="B18" t="n">
        <v>17</v>
      </c>
      <c r="C18">
        <f>IF(ISERR(AVERAGEIF(TournamentData[POD],'Pod Analysis'!B18,TournamentData[Champion''s Score])),"",AVERAGEIF(TournamentData[POD],'Pod Analysis'!B18,TournamentData[Champion''s Score]))</f>
        <v/>
      </c>
      <c r="D18">
        <f>IF(ISERR(AVERAGEIF(InnovationProjectResults[POD],'Pod Analysis'!B18,InnovationProjectResults[Innovation Project Score])),"",AVERAGEIF(InnovationProjectResults[POD],'Pod Analysis'!B18,InnovationProjectResults[Innovation Project Score]))</f>
        <v/>
      </c>
      <c r="E18">
        <f>IF(ISERR(AVERAGEIF(RobotDesignResults[POD],'Pod Analysis'!B18,RobotDesignResults[Robot Design Score])),"",AVERAGEIF(RobotDesignResults[POD],'Pod Analysis'!B18,RobotDesignResults[Robot Design Score]))</f>
        <v/>
      </c>
      <c r="F18">
        <f>IF(ISERR(AVERAGEIF(CoreValuesResults[POD],'Pod Analysis'!B18,CoreValuesResults[Core Values Score])),"",AVERAGEIF(CoreValuesResults[POD],'Pod Analysis'!B18,CoreValuesResults[Core Values Score]))</f>
        <v/>
      </c>
    </row>
    <row r="19">
      <c r="B19" t="n">
        <v>18</v>
      </c>
      <c r="C19">
        <f>IF(ISERR(AVERAGEIF(TournamentData[POD],'Pod Analysis'!B19,TournamentData[Champion''s Score])),"",AVERAGEIF(TournamentData[POD],'Pod Analysis'!B19,TournamentData[Champion''s Score]))</f>
        <v/>
      </c>
      <c r="D19">
        <f>IF(ISERR(AVERAGEIF(InnovationProjectResults[POD],'Pod Analysis'!B19,InnovationProjectResults[Innovation Project Score])),"",AVERAGEIF(InnovationProjectResults[POD],'Pod Analysis'!B19,InnovationProjectResults[Innovation Project Score]))</f>
        <v/>
      </c>
      <c r="E19">
        <f>IF(ISERR(AVERAGEIF(RobotDesignResults[POD],'Pod Analysis'!B19,RobotDesignResults[Robot Design Score])),"",AVERAGEIF(RobotDesignResults[POD],'Pod Analysis'!B19,RobotDesignResults[Robot Design Score]))</f>
        <v/>
      </c>
      <c r="F19">
        <f>IF(ISERR(AVERAGEIF(CoreValuesResults[POD],'Pod Analysis'!B19,CoreValuesResults[Core Values Score])),"",AVERAGEIF(CoreValuesResults[POD],'Pod Analysis'!B19,CoreValuesResults[Core Values Score]))</f>
        <v/>
      </c>
    </row>
    <row r="20">
      <c r="B20" t="n">
        <v>19</v>
      </c>
      <c r="C20">
        <f>IF(ISERR(AVERAGEIF(TournamentData[POD],'Pod Analysis'!B20,TournamentData[Champion''s Score])),"",AVERAGEIF(TournamentData[POD],'Pod Analysis'!B20,TournamentData[Champion''s Score]))</f>
        <v/>
      </c>
      <c r="D20">
        <f>IF(ISERR(AVERAGEIF(InnovationProjectResults[POD],'Pod Analysis'!B20,InnovationProjectResults[Innovation Project Score])),"",AVERAGEIF(InnovationProjectResults[POD],'Pod Analysis'!B20,InnovationProjectResults[Innovation Project Score]))</f>
        <v/>
      </c>
      <c r="E20">
        <f>IF(ISERR(AVERAGEIF(RobotDesignResults[POD],'Pod Analysis'!B20,RobotDesignResults[Robot Design Score])),"",AVERAGEIF(RobotDesignResults[POD],'Pod Analysis'!B20,RobotDesignResults[Robot Design Score]))</f>
        <v/>
      </c>
      <c r="F20">
        <f>IF(ISERR(AVERAGEIF(CoreValuesResults[POD],'Pod Analysis'!B20,CoreValuesResults[Core Values Score])),"",AVERAGEIF(CoreValuesResults[POD],'Pod Analysis'!B20,CoreValuesResults[Core Values Score]))</f>
        <v/>
      </c>
    </row>
    <row r="21">
      <c r="B21" t="n">
        <v>20</v>
      </c>
      <c r="C21">
        <f>IF(ISERR(AVERAGEIF(TournamentData[POD],'Pod Analysis'!B21,TournamentData[Champion''s Score])),"",AVERAGEIF(TournamentData[POD],'Pod Analysis'!B21,TournamentData[Champion''s Score]))</f>
        <v/>
      </c>
      <c r="D21">
        <f>IF(ISERR(AVERAGEIF(InnovationProjectResults[POD],'Pod Analysis'!B21,InnovationProjectResults[Innovation Project Score])),"",AVERAGEIF(InnovationProjectResults[POD],'Pod Analysis'!B21,InnovationProjectResults[Innovation Project Score]))</f>
        <v/>
      </c>
      <c r="E21">
        <f>IF(ISERR(AVERAGEIF(RobotDesignResults[POD],'Pod Analysis'!B21,RobotDesignResults[Robot Design Score])),"",AVERAGEIF(RobotDesignResults[POD],'Pod Analysis'!B21,RobotDesignResults[Robot Design Score]))</f>
        <v/>
      </c>
      <c r="F21">
        <f>IF(ISERR(AVERAGEIF(CoreValuesResults[POD],'Pod Analysis'!B21,CoreValuesResults[Core Values Score])),"",AVERAGEIF(CoreValuesResults[POD],'Pod Analysis'!B21,CoreValuesResults[Core Values Score]))</f>
        <v/>
      </c>
    </row>
    <row r="22">
      <c r="B22" t="n">
        <v>21</v>
      </c>
      <c r="C22">
        <f>IF(ISERR(AVERAGEIF(TournamentData[POD],'Pod Analysis'!B22,TournamentData[Champion''s Score])),"",AVERAGEIF(TournamentData[POD],'Pod Analysis'!B22,TournamentData[Champion''s Score]))</f>
        <v/>
      </c>
      <c r="D22">
        <f>IF(ISERR(AVERAGEIF(InnovationProjectResults[POD],'Pod Analysis'!B22,InnovationProjectResults[Innovation Project Score])),"",AVERAGEIF(InnovationProjectResults[POD],'Pod Analysis'!B22,InnovationProjectResults[Innovation Project Score]))</f>
        <v/>
      </c>
      <c r="E22">
        <f>IF(ISERR(AVERAGEIF(RobotDesignResults[POD],'Pod Analysis'!B22,RobotDesignResults[Robot Design Score])),"",AVERAGEIF(RobotDesignResults[POD],'Pod Analysis'!B22,RobotDesignResults[Robot Design Score]))</f>
        <v/>
      </c>
      <c r="F22">
        <f>IF(ISERR(AVERAGEIF(CoreValuesResults[POD],'Pod Analysis'!B22,CoreValuesResults[Core Values Score])),"",AVERAGEIF(CoreValuesResults[POD],'Pod Analysis'!B22,CoreValuesResults[Core Values Score]))</f>
        <v/>
      </c>
    </row>
    <row r="23">
      <c r="B23" t="n">
        <v>22</v>
      </c>
      <c r="C23">
        <f>IF(ISERR(AVERAGEIF(TournamentData[POD],'Pod Analysis'!B23,TournamentData[Champion''s Score])),"",AVERAGEIF(TournamentData[POD],'Pod Analysis'!B23,TournamentData[Champion''s Score]))</f>
        <v/>
      </c>
      <c r="D23">
        <f>IF(ISERR(AVERAGEIF(InnovationProjectResults[POD],'Pod Analysis'!B23,InnovationProjectResults[Innovation Project Score])),"",AVERAGEIF(InnovationProjectResults[POD],'Pod Analysis'!B23,InnovationProjectResults[Innovation Project Score]))</f>
        <v/>
      </c>
      <c r="E23">
        <f>IF(ISERR(AVERAGEIF(RobotDesignResults[POD],'Pod Analysis'!B23,RobotDesignResults[Robot Design Score])),"",AVERAGEIF(RobotDesignResults[POD],'Pod Analysis'!B23,RobotDesignResults[Robot Design Score]))</f>
        <v/>
      </c>
      <c r="F23">
        <f>IF(ISERR(AVERAGEIF(CoreValuesResults[POD],'Pod Analysis'!B23,CoreValuesResults[Core Values Score])),"",AVERAGEIF(CoreValuesResults[POD],'Pod Analysis'!B23,CoreValuesResults[Core Values Score]))</f>
        <v/>
      </c>
    </row>
    <row r="24">
      <c r="B24" t="n">
        <v>23</v>
      </c>
      <c r="C24">
        <f>IF(ISERR(AVERAGEIF(TournamentData[POD],'Pod Analysis'!B24,TournamentData[Champion''s Score])),"",AVERAGEIF(TournamentData[POD],'Pod Analysis'!B24,TournamentData[Champion''s Score]))</f>
        <v/>
      </c>
      <c r="D24">
        <f>IF(ISERR(AVERAGEIF(InnovationProjectResults[POD],'Pod Analysis'!B24,InnovationProjectResults[Innovation Project Score])),"",AVERAGEIF(InnovationProjectResults[POD],'Pod Analysis'!B24,InnovationProjectResults[Innovation Project Score]))</f>
        <v/>
      </c>
      <c r="E24">
        <f>IF(ISERR(AVERAGEIF(RobotDesignResults[POD],'Pod Analysis'!B24,RobotDesignResults[Robot Design Score])),"",AVERAGEIF(RobotDesignResults[POD],'Pod Analysis'!B24,RobotDesignResults[Robot Design Score]))</f>
        <v/>
      </c>
      <c r="F24">
        <f>IF(ISERR(AVERAGEIF(CoreValuesResults[POD],'Pod Analysis'!B24,CoreValuesResults[Core Values Score])),"",AVERAGEIF(CoreValuesResults[POD],'Pod Analysis'!B24,CoreValuesResults[Core Values Score]))</f>
        <v/>
      </c>
    </row>
    <row r="25">
      <c r="B25" t="n">
        <v>24</v>
      </c>
      <c r="C25">
        <f>IF(ISERR(AVERAGEIF(TournamentData[POD],'Pod Analysis'!B25,TournamentData[Champion''s Score])),"",AVERAGEIF(TournamentData[POD],'Pod Analysis'!B25,TournamentData[Champion''s Score]))</f>
        <v/>
      </c>
      <c r="D25">
        <f>IF(ISERR(AVERAGEIF(InnovationProjectResults[POD],'Pod Analysis'!B25,InnovationProjectResults[Innovation Project Score])),"",AVERAGEIF(InnovationProjectResults[POD],'Pod Analysis'!B25,InnovationProjectResults[Innovation Project Score]))</f>
        <v/>
      </c>
      <c r="E25">
        <f>IF(ISERR(AVERAGEIF(RobotDesignResults[POD],'Pod Analysis'!B25,RobotDesignResults[Robot Design Score])),"",AVERAGEIF(RobotDesignResults[POD],'Pod Analysis'!B25,RobotDesignResults[Robot Design Score]))</f>
        <v/>
      </c>
      <c r="F25">
        <f>IF(ISERR(AVERAGEIF(CoreValuesResults[POD],'Pod Analysis'!B25,CoreValuesResults[Core Values Score])),"",AVERAGEIF(CoreValuesResults[POD],'Pod Analysis'!B25,CoreValuesResults[Core Values Score]))</f>
        <v/>
      </c>
    </row>
    <row r="26">
      <c r="B26" t="n">
        <v>25</v>
      </c>
      <c r="C26">
        <f>IF(ISERR(AVERAGEIF(TournamentData[POD],'Pod Analysis'!B26,TournamentData[Champion''s Score])),"",AVERAGEIF(TournamentData[POD],'Pod Analysis'!B26,TournamentData[Champion''s Score]))</f>
        <v/>
      </c>
      <c r="D26">
        <f>IF(ISERR(AVERAGEIF(InnovationProjectResults[POD],'Pod Analysis'!B26,InnovationProjectResults[Innovation Project Score])),"",AVERAGEIF(InnovationProjectResults[POD],'Pod Analysis'!B26,InnovationProjectResults[Innovation Project Score]))</f>
        <v/>
      </c>
      <c r="E26">
        <f>IF(ISERR(AVERAGEIF(RobotDesignResults[POD],'Pod Analysis'!B26,RobotDesignResults[Robot Design Score])),"",AVERAGEIF(RobotDesignResults[POD],'Pod Analysis'!B26,RobotDesignResults[Robot Design Score]))</f>
        <v/>
      </c>
      <c r="F26">
        <f>IF(ISERR(AVERAGEIF(CoreValuesResults[POD],'Pod Analysis'!B26,CoreValuesResults[Core Values Score])),"",AVERAGEIF(CoreValuesResults[POD],'Pod Analysis'!B26,CoreValuesResults[Core Values Score]))</f>
        <v/>
      </c>
    </row>
    <row r="27">
      <c r="B27" t="n">
        <v>26</v>
      </c>
      <c r="C27">
        <f>IF(ISERR(AVERAGEIF(TournamentData[POD],'Pod Analysis'!B27,TournamentData[Champion''s Score])),"",AVERAGEIF(TournamentData[POD],'Pod Analysis'!B27,TournamentData[Champion''s Score]))</f>
        <v/>
      </c>
      <c r="D27">
        <f>IF(ISERR(AVERAGEIF(InnovationProjectResults[POD],'Pod Analysis'!B27,InnovationProjectResults[Innovation Project Score])),"",AVERAGEIF(InnovationProjectResults[POD],'Pod Analysis'!B27,InnovationProjectResults[Innovation Project Score]))</f>
        <v/>
      </c>
      <c r="E27">
        <f>IF(ISERR(AVERAGEIF(RobotDesignResults[POD],'Pod Analysis'!B27,RobotDesignResults[Robot Design Score])),"",AVERAGEIF(RobotDesignResults[POD],'Pod Analysis'!B27,RobotDesignResults[Robot Design Score]))</f>
        <v/>
      </c>
      <c r="F27">
        <f>IF(ISERR(AVERAGEIF(CoreValuesResults[POD],'Pod Analysis'!B27,CoreValuesResults[Core Values Score])),"",AVERAGEIF(CoreValuesResults[POD],'Pod Analysis'!B27,CoreValuesResults[Core Values Score]))</f>
        <v/>
      </c>
    </row>
    <row r="28">
      <c r="B28" t="n">
        <v>27</v>
      </c>
      <c r="C28">
        <f>IF(ISERR(AVERAGEIF(TournamentData[POD],'Pod Analysis'!B28,TournamentData[Champion''s Score])),"",AVERAGEIF(TournamentData[POD],'Pod Analysis'!B28,TournamentData[Champion''s Score]))</f>
        <v/>
      </c>
      <c r="D28">
        <f>IF(ISERR(AVERAGEIF(InnovationProjectResults[POD],'Pod Analysis'!B28,InnovationProjectResults[Innovation Project Score])),"",AVERAGEIF(InnovationProjectResults[POD],'Pod Analysis'!B28,InnovationProjectResults[Innovation Project Score]))</f>
        <v/>
      </c>
      <c r="E28">
        <f>IF(ISERR(AVERAGEIF(RobotDesignResults[POD],'Pod Analysis'!B28,RobotDesignResults[Robot Design Score])),"",AVERAGEIF(RobotDesignResults[POD],'Pod Analysis'!B28,RobotDesignResults[Robot Design Score]))</f>
        <v/>
      </c>
      <c r="F28">
        <f>IF(ISERR(AVERAGEIF(CoreValuesResults[POD],'Pod Analysis'!B28,CoreValuesResults[Core Values Score])),"",AVERAGEIF(CoreValuesResults[POD],'Pod Analysis'!B28,CoreValuesResults[Core Values Score]))</f>
        <v/>
      </c>
    </row>
    <row r="29">
      <c r="B29" t="n">
        <v>28</v>
      </c>
      <c r="C29">
        <f>IF(ISERR(AVERAGEIF(TournamentData[POD],'Pod Analysis'!B29,TournamentData[Champion''s Score])),"",AVERAGEIF(TournamentData[POD],'Pod Analysis'!B29,TournamentData[Champion''s Score]))</f>
        <v/>
      </c>
      <c r="D29">
        <f>IF(ISERR(AVERAGEIF(InnovationProjectResults[POD],'Pod Analysis'!B29,InnovationProjectResults[Innovation Project Score])),"",AVERAGEIF(InnovationProjectResults[POD],'Pod Analysis'!B29,InnovationProjectResults[Innovation Project Score]))</f>
        <v/>
      </c>
      <c r="E29">
        <f>IF(ISERR(AVERAGEIF(RobotDesignResults[POD],'Pod Analysis'!B29,RobotDesignResults[Robot Design Score])),"",AVERAGEIF(RobotDesignResults[POD],'Pod Analysis'!B29,RobotDesignResults[Robot Design Score]))</f>
        <v/>
      </c>
      <c r="F29">
        <f>IF(ISERR(AVERAGEIF(CoreValuesResults[POD],'Pod Analysis'!B29,CoreValuesResults[Core Values Score])),"",AVERAGEIF(CoreValuesResults[POD],'Pod Analysis'!B29,CoreValuesResults[Core Values Score]))</f>
        <v/>
      </c>
    </row>
    <row r="30">
      <c r="B30" t="n">
        <v>29</v>
      </c>
      <c r="C30">
        <f>IF(ISERR(AVERAGEIF(TournamentData[POD],'Pod Analysis'!B30,TournamentData[Champion''s Score])),"",AVERAGEIF(TournamentData[POD],'Pod Analysis'!B30,TournamentData[Champion''s Score]))</f>
        <v/>
      </c>
      <c r="D30">
        <f>IF(ISERR(AVERAGEIF(InnovationProjectResults[POD],'Pod Analysis'!B30,InnovationProjectResults[Innovation Project Score])),"",AVERAGEIF(InnovationProjectResults[POD],'Pod Analysis'!B30,InnovationProjectResults[Innovation Project Score]))</f>
        <v/>
      </c>
      <c r="E30">
        <f>IF(ISERR(AVERAGEIF(RobotDesignResults[POD],'Pod Analysis'!B30,RobotDesignResults[Robot Design Score])),"",AVERAGEIF(RobotDesignResults[POD],'Pod Analysis'!B30,RobotDesignResults[Robot Design Score]))</f>
        <v/>
      </c>
      <c r="F30">
        <f>IF(ISERR(AVERAGEIF(CoreValuesResults[POD],'Pod Analysis'!B30,CoreValuesResults[Core Values Score])),"",AVERAGEIF(CoreValuesResults[POD],'Pod Analysis'!B30,CoreValuesResults[Core Values Score]))</f>
        <v/>
      </c>
    </row>
    <row r="31">
      <c r="B31" t="n">
        <v>30</v>
      </c>
      <c r="C31">
        <f>IF(ISERR(AVERAGEIF(TournamentData[POD],'Pod Analysis'!B31,TournamentData[Champion''s Score])),"",AVERAGEIF(TournamentData[POD],'Pod Analysis'!B31,TournamentData[Champion''s Score]))</f>
        <v/>
      </c>
      <c r="D31">
        <f>IF(ISERR(AVERAGEIF(InnovationProjectResults[POD],'Pod Analysis'!B31,InnovationProjectResults[Innovation Project Score])),"",AVERAGEIF(InnovationProjectResults[POD],'Pod Analysis'!B31,InnovationProjectResults[Innovation Project Score]))</f>
        <v/>
      </c>
      <c r="E31">
        <f>IF(ISERR(AVERAGEIF(RobotDesignResults[POD],'Pod Analysis'!B31,RobotDesignResults[Robot Design Score])),"",AVERAGEIF(RobotDesignResults[POD],'Pod Analysis'!B31,RobotDesignResults[Robot Design Score]))</f>
        <v/>
      </c>
      <c r="F31">
        <f>IF(ISERR(AVERAGEIF(CoreValuesResults[POD],'Pod Analysis'!B31,CoreValuesResults[Core Values Score])),"",AVERAGEIF(CoreValuesResults[POD],'Pod Analysis'!B31,CoreValuesResults[Core Values Score]))</f>
        <v/>
      </c>
    </row>
    <row r="32">
      <c r="B32" t="n">
        <v>31</v>
      </c>
      <c r="C32">
        <f>IF(ISERR(AVERAGEIF(TournamentData[POD],'Pod Analysis'!B32,TournamentData[Champion''s Score])),"",AVERAGEIF(TournamentData[POD],'Pod Analysis'!B32,TournamentData[Champion''s Score]))</f>
        <v/>
      </c>
      <c r="D32">
        <f>IF(ISERR(AVERAGEIF(InnovationProjectResults[POD],'Pod Analysis'!B32,InnovationProjectResults[Innovation Project Score])),"",AVERAGEIF(InnovationProjectResults[POD],'Pod Analysis'!B32,InnovationProjectResults[Innovation Project Score]))</f>
        <v/>
      </c>
      <c r="E32">
        <f>IF(ISERR(AVERAGEIF(RobotDesignResults[POD],'Pod Analysis'!B32,RobotDesignResults[Robot Design Score])),"",AVERAGEIF(RobotDesignResults[POD],'Pod Analysis'!B32,RobotDesignResults[Robot Design Score]))</f>
        <v/>
      </c>
      <c r="F32">
        <f>IF(ISERR(AVERAGEIF(CoreValuesResults[POD],'Pod Analysis'!B32,CoreValuesResults[Core Values Score])),"",AVERAGEIF(CoreValuesResults[POD],'Pod Analysis'!B32,CoreValuesResults[Core Values Score]))</f>
        <v/>
      </c>
    </row>
    <row r="33">
      <c r="B33" t="n">
        <v>32</v>
      </c>
      <c r="C33">
        <f>IF(ISERR(AVERAGEIF(TournamentData[POD],'Pod Analysis'!B33,TournamentData[Champion''s Score])),"",AVERAGEIF(TournamentData[POD],'Pod Analysis'!B33,TournamentData[Champion''s Score]))</f>
        <v/>
      </c>
      <c r="D33">
        <f>IF(ISERR(AVERAGEIF(InnovationProjectResults[POD],'Pod Analysis'!B33,InnovationProjectResults[Innovation Project Score])),"",AVERAGEIF(InnovationProjectResults[POD],'Pod Analysis'!B33,InnovationProjectResults[Innovation Project Score]))</f>
        <v/>
      </c>
      <c r="E33">
        <f>IF(ISERR(AVERAGEIF(RobotDesignResults[POD],'Pod Analysis'!B33,RobotDesignResults[Robot Design Score])),"",AVERAGEIF(RobotDesignResults[POD],'Pod Analysis'!B33,RobotDesignResults[Robot Design Score]))</f>
        <v/>
      </c>
      <c r="F33">
        <f>IF(ISERR(AVERAGEIF(CoreValuesResults[POD],'Pod Analysis'!B33,CoreValuesResults[Core Values Score])),"",AVERAGEIF(CoreValuesResults[POD],'Pod Analysis'!B33,CoreValuesResults[Core Values Score]))</f>
        <v/>
      </c>
    </row>
    <row r="34">
      <c r="B34" t="n">
        <v>33</v>
      </c>
      <c r="C34">
        <f>IF(ISERR(AVERAGEIF(TournamentData[POD],'Pod Analysis'!B34,TournamentData[Champion''s Score])),"",AVERAGEIF(TournamentData[POD],'Pod Analysis'!B34,TournamentData[Champion''s Score]))</f>
        <v/>
      </c>
      <c r="D34">
        <f>IF(ISERR(AVERAGEIF(InnovationProjectResults[POD],'Pod Analysis'!B34,InnovationProjectResults[Innovation Project Score])),"",AVERAGEIF(InnovationProjectResults[POD],'Pod Analysis'!B34,InnovationProjectResults[Innovation Project Score]))</f>
        <v/>
      </c>
      <c r="E34">
        <f>IF(ISERR(AVERAGEIF(RobotDesignResults[POD],'Pod Analysis'!B34,RobotDesignResults[Robot Design Score])),"",AVERAGEIF(RobotDesignResults[POD],'Pod Analysis'!B34,RobotDesignResults[Robot Design Score]))</f>
        <v/>
      </c>
      <c r="F34">
        <f>IF(ISERR(AVERAGEIF(CoreValuesResults[POD],'Pod Analysis'!B34,CoreValuesResults[Core Values Score])),"",AVERAGEIF(CoreValuesResults[POD],'Pod Analysis'!B34,CoreValuesResults[Core Values Score]))</f>
        <v/>
      </c>
    </row>
    <row r="35">
      <c r="B35" t="n">
        <v>34</v>
      </c>
      <c r="C35">
        <f>IF(ISERR(AVERAGEIF(TournamentData[POD],'Pod Analysis'!B35,TournamentData[Champion''s Score])),"",AVERAGEIF(TournamentData[POD],'Pod Analysis'!B35,TournamentData[Champion''s Score]))</f>
        <v/>
      </c>
      <c r="D35">
        <f>IF(ISERR(AVERAGEIF(InnovationProjectResults[POD],'Pod Analysis'!B35,InnovationProjectResults[Innovation Project Score])),"",AVERAGEIF(InnovationProjectResults[POD],'Pod Analysis'!B35,InnovationProjectResults[Innovation Project Score]))</f>
        <v/>
      </c>
      <c r="E35">
        <f>IF(ISERR(AVERAGEIF(RobotDesignResults[POD],'Pod Analysis'!B35,RobotDesignResults[Robot Design Score])),"",AVERAGEIF(RobotDesignResults[POD],'Pod Analysis'!B35,RobotDesignResults[Robot Design Score]))</f>
        <v/>
      </c>
      <c r="F35">
        <f>IF(ISERR(AVERAGEIF(CoreValuesResults[POD],'Pod Analysis'!B35,CoreValuesResults[Core Values Score])),"",AVERAGEIF(CoreValuesResults[POD],'Pod Analysis'!B35,CoreValuesResults[Core Values Score]))</f>
        <v/>
      </c>
    </row>
    <row r="36">
      <c r="B36" t="n">
        <v>35</v>
      </c>
      <c r="C36">
        <f>IF(ISERR(AVERAGEIF(TournamentData[POD],'Pod Analysis'!B36,TournamentData[Champion''s Score])),"",AVERAGEIF(TournamentData[POD],'Pod Analysis'!B36,TournamentData[Champion''s Score]))</f>
        <v/>
      </c>
      <c r="D36">
        <f>IF(ISERR(AVERAGEIF(InnovationProjectResults[POD],'Pod Analysis'!B36,InnovationProjectResults[Innovation Project Score])),"",AVERAGEIF(InnovationProjectResults[POD],'Pod Analysis'!B36,InnovationProjectResults[Innovation Project Score]))</f>
        <v/>
      </c>
      <c r="E36">
        <f>IF(ISERR(AVERAGEIF(RobotDesignResults[POD],'Pod Analysis'!B36,RobotDesignResults[Robot Design Score])),"",AVERAGEIF(RobotDesignResults[POD],'Pod Analysis'!B36,RobotDesignResults[Robot Design Score]))</f>
        <v/>
      </c>
      <c r="F36">
        <f>IF(ISERR(AVERAGEIF(CoreValuesResults[POD],'Pod Analysis'!B36,CoreValuesResults[Core Values Score])),"",AVERAGEIF(CoreValuesResults[POD],'Pod Analysis'!B36,CoreValuesResults[Core Values Score]))</f>
        <v/>
      </c>
    </row>
    <row r="37">
      <c r="B37" t="n">
        <v>36</v>
      </c>
      <c r="C37">
        <f>IF(ISERR(AVERAGEIF(TournamentData[POD],'Pod Analysis'!B37,TournamentData[Champion''s Score])),"",AVERAGEIF(TournamentData[POD],'Pod Analysis'!B37,TournamentData[Champion''s Score]))</f>
        <v/>
      </c>
      <c r="D37">
        <f>IF(ISERR(AVERAGEIF(InnovationProjectResults[POD],'Pod Analysis'!B37,InnovationProjectResults[Innovation Project Score])),"",AVERAGEIF(InnovationProjectResults[POD],'Pod Analysis'!B37,InnovationProjectResults[Innovation Project Score]))</f>
        <v/>
      </c>
      <c r="E37">
        <f>IF(ISERR(AVERAGEIF(RobotDesignResults[POD],'Pod Analysis'!B37,RobotDesignResults[Robot Design Score])),"",AVERAGEIF(RobotDesignResults[POD],'Pod Analysis'!B37,RobotDesignResults[Robot Design Score]))</f>
        <v/>
      </c>
      <c r="F37">
        <f>IF(ISERR(AVERAGEIF(CoreValuesResults[POD],'Pod Analysis'!B37,CoreValuesResults[Core Values Score])),"",AVERAGEIF(CoreValuesResults[POD],'Pod Analysis'!B37,CoreValuesResults[Core Values Score]))</f>
        <v/>
      </c>
    </row>
    <row r="38">
      <c r="B38" t="n">
        <v>37</v>
      </c>
      <c r="C38">
        <f>IF(ISERR(AVERAGEIF(TournamentData[POD],'Pod Analysis'!B38,TournamentData[Champion''s Score])),"",AVERAGEIF(TournamentData[POD],'Pod Analysis'!B38,TournamentData[Champion''s Score]))</f>
        <v/>
      </c>
      <c r="D38">
        <f>IF(ISERR(AVERAGEIF(InnovationProjectResults[POD],'Pod Analysis'!B38,InnovationProjectResults[Innovation Project Score])),"",AVERAGEIF(InnovationProjectResults[POD],'Pod Analysis'!B38,InnovationProjectResults[Innovation Project Score]))</f>
        <v/>
      </c>
      <c r="E38">
        <f>IF(ISERR(AVERAGEIF(RobotDesignResults[POD],'Pod Analysis'!B38,RobotDesignResults[Robot Design Score])),"",AVERAGEIF(RobotDesignResults[POD],'Pod Analysis'!B38,RobotDesignResults[Robot Design Score]))</f>
        <v/>
      </c>
      <c r="F38">
        <f>IF(ISERR(AVERAGEIF(CoreValuesResults[POD],'Pod Analysis'!B38,CoreValuesResults[Core Values Score])),"",AVERAGEIF(CoreValuesResults[POD],'Pod Analysis'!B38,CoreValuesResults[Core Values Score]))</f>
        <v/>
      </c>
    </row>
    <row r="39">
      <c r="B39" t="n">
        <v>38</v>
      </c>
      <c r="C39">
        <f>IF(ISERR(AVERAGEIF(TournamentData[POD],'Pod Analysis'!B39,TournamentData[Champion''s Score])),"",AVERAGEIF(TournamentData[POD],'Pod Analysis'!B39,TournamentData[Champion''s Score]))</f>
        <v/>
      </c>
      <c r="D39">
        <f>IF(ISERR(AVERAGEIF(InnovationProjectResults[POD],'Pod Analysis'!B39,InnovationProjectResults[Innovation Project Score])),"",AVERAGEIF(InnovationProjectResults[POD],'Pod Analysis'!B39,InnovationProjectResults[Innovation Project Score]))</f>
        <v/>
      </c>
      <c r="E39">
        <f>IF(ISERR(AVERAGEIF(RobotDesignResults[POD],'Pod Analysis'!B39,RobotDesignResults[Robot Design Score])),"",AVERAGEIF(RobotDesignResults[POD],'Pod Analysis'!B39,RobotDesignResults[Robot Design Score]))</f>
        <v/>
      </c>
      <c r="F39">
        <f>IF(ISERR(AVERAGEIF(CoreValuesResults[POD],'Pod Analysis'!B39,CoreValuesResults[Core Values Score])),"",AVERAGEIF(CoreValuesResults[POD],'Pod Analysis'!B39,CoreValuesResults[Core Values Score]))</f>
        <v/>
      </c>
    </row>
    <row r="40">
      <c r="B40" t="n">
        <v>39</v>
      </c>
      <c r="C40">
        <f>IF(ISERR(AVERAGEIF(TournamentData[POD],'Pod Analysis'!B40,TournamentData[Champion''s Score])),"",AVERAGEIF(TournamentData[POD],'Pod Analysis'!B40,TournamentData[Champion''s Score]))</f>
        <v/>
      </c>
      <c r="D40">
        <f>IF(ISERR(AVERAGEIF(InnovationProjectResults[POD],'Pod Analysis'!B40,InnovationProjectResults[Innovation Project Score])),"",AVERAGEIF(InnovationProjectResults[POD],'Pod Analysis'!B40,InnovationProjectResults[Innovation Project Score]))</f>
        <v/>
      </c>
      <c r="E40">
        <f>IF(ISERR(AVERAGEIF(RobotDesignResults[POD],'Pod Analysis'!B40,RobotDesignResults[Robot Design Score])),"",AVERAGEIF(RobotDesignResults[POD],'Pod Analysis'!B40,RobotDesignResults[Robot Design Score]))</f>
        <v/>
      </c>
      <c r="F40">
        <f>IF(ISERR(AVERAGEIF(CoreValuesResults[POD],'Pod Analysis'!B40,CoreValuesResults[Core Values Score])),"",AVERAGEIF(CoreValuesResults[POD],'Pod Analysis'!B40,CoreValuesResults[Core Values Score]))</f>
        <v/>
      </c>
    </row>
  </sheetData>
  <sheetProtection selectLockedCells="1" selectUnlockedCells="0" sheet="1" objects="0" insertRows="1" insertHyperlinks="1" autoFilter="0" scenarios="0" formatColumns="0" deleteColumns="1" insertColumns="1" pivotTables="1" deleteRows="1" formatCells="0" formatRows="0" sort="0" password="CB4D"/>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sheetPr codeName="Sheet3">
    <tabColor rgb="FFFFFF00"/>
    <outlinePr summaryBelow="1" summaryRight="1"/>
    <pageSetUpPr fitToPage="1"/>
  </sheetPr>
  <dimension ref="A1:Z7"/>
  <sheetViews>
    <sheetView zoomScaleNormal="100" workbookViewId="0">
      <pane xSplit="3" ySplit="2" topLeftCell="D3" activePane="bottomRight" state="frozen"/>
      <selection pane="topRight" activeCell="C1" sqref="C1"/>
      <selection pane="bottomLeft" activeCell="A3" sqref="A3"/>
      <selection pane="bottomRight" activeCell="A3" sqref="A3"/>
    </sheetView>
  </sheetViews>
  <sheetFormatPr baseColWidth="8" defaultColWidth="9.140625" defaultRowHeight="20.25" customHeight="1"/>
  <cols>
    <col width="16.7109375" customWidth="1" style="8" min="1" max="1"/>
    <col width="8.7109375" customWidth="1" style="8" min="2" max="2"/>
    <col width="32.7109375" customWidth="1" style="1" min="3" max="3"/>
    <col width="6.42578125" customWidth="1" min="4" max="6"/>
    <col hidden="1" width="6.42578125" customWidth="1" style="1" min="7" max="8"/>
    <col width="6.42578125" customWidth="1" style="1" min="9" max="9"/>
    <col width="10.42578125" customWidth="1" style="1" min="10" max="13"/>
    <col width="15.42578125" customWidth="1" style="1" min="14" max="15"/>
    <col width="26.140625" customWidth="1" style="1" min="16" max="16"/>
    <col width="14.140625" customWidth="1" min="17" max="17"/>
    <col hidden="1" width="8.42578125" customWidth="1" style="23" min="18" max="20"/>
    <col hidden="1" width="8.42578125" customWidth="1" style="22" min="21" max="21"/>
    <col hidden="1" width="8.42578125" customWidth="1" min="22" max="22"/>
    <col width="80.42578125" customWidth="1" style="8" min="23" max="23"/>
    <col width="9.140625" customWidth="1" style="8" min="24" max="24"/>
    <col width="13" bestFit="1" customWidth="1" style="24" min="25" max="25"/>
    <col width="13" bestFit="1" customWidth="1" style="46" min="26" max="26"/>
    <col width="9.140625" customWidth="1" style="25" min="27" max="29"/>
    <col width="9.140625" customWidth="1" style="24" min="30" max="33"/>
    <col width="9.140625" customWidth="1" style="24" min="34" max="16384"/>
  </cols>
  <sheetData>
    <row r="1" ht="54.75" customFormat="1" customHeight="1" s="103">
      <c r="A1" s="102" t="inlineStr">
        <is>
          <t>Team Information</t>
        </is>
      </c>
      <c r="D1" s="102" t="inlineStr">
        <is>
          <t>Robot Game</t>
        </is>
      </c>
      <c r="K1" s="102" t="inlineStr">
        <is>
          <t>Judging</t>
        </is>
      </c>
      <c r="N1" s="102" t="inlineStr">
        <is>
          <t>Overall</t>
        </is>
      </c>
      <c r="P1" s="102" t="inlineStr">
        <is>
          <t>Awards</t>
        </is>
      </c>
      <c r="Q1" s="97">
        <f>VLOOKUP("ADV", AwardDef[], 5,0)</f>
        <v/>
      </c>
      <c r="R1" s="102" t="inlineStr">
        <is>
          <t>Testing Items (Info Only)</t>
        </is>
      </c>
      <c r="W1" s="98">
        <f>"You have selected " &amp; COUNTIF(TournamentData[Advance?],"Yes") &amp; " of " &amp; Q1 &amp; " permitted advancing teams" &amp; CHAR(10) &amp; IF(COUNTIF(TournamentData[Advance?],"Alt")&gt;0,"You have selected an alternative advancing team", "You have NOT selected an alternative advancing team")</f>
        <v/>
      </c>
      <c r="X1" s="102" t="n"/>
      <c r="Z1" s="45" t="n"/>
    </row>
    <row r="2" ht="118.5" customFormat="1" customHeight="1" s="9">
      <c r="A2" s="47" t="inlineStr">
        <is>
          <t>Team Number</t>
        </is>
      </c>
      <c r="B2" s="47" t="inlineStr">
        <is>
          <t>POD</t>
        </is>
      </c>
      <c r="C2" s="47" t="inlineStr">
        <is>
          <t>Team Name</t>
        </is>
      </c>
      <c r="D2" s="48" t="inlineStr">
        <is>
          <t>Robot Game Score 1</t>
        </is>
      </c>
      <c r="E2" s="48" t="inlineStr">
        <is>
          <t>Robot Game Score 2</t>
        </is>
      </c>
      <c r="F2" s="48" t="inlineStr">
        <is>
          <t>Robot Game Score 3</t>
        </is>
      </c>
      <c r="G2" s="48" t="inlineStr">
        <is>
          <t>Robot Game Score 4</t>
        </is>
      </c>
      <c r="H2" s="48" t="inlineStr">
        <is>
          <t>Robot Game Score 5</t>
        </is>
      </c>
      <c r="I2" s="48" t="inlineStr">
        <is>
          <t>Max Robot Game Score</t>
        </is>
      </c>
      <c r="J2" s="49" t="inlineStr">
        <is>
          <t>Robot Game Rank</t>
        </is>
      </c>
      <c r="K2" s="50" t="inlineStr">
        <is>
          <t>Core Values Rank</t>
        </is>
      </c>
      <c r="L2" s="51" t="inlineStr">
        <is>
          <t>Innovation Project Rank</t>
        </is>
      </c>
      <c r="M2" s="52" t="inlineStr">
        <is>
          <t>Robot Design Rank</t>
        </is>
      </c>
      <c r="N2" s="53" t="inlineStr">
        <is>
          <t>Champion's Score</t>
        </is>
      </c>
      <c r="O2" s="54" t="inlineStr">
        <is>
          <t>Champion's Rank</t>
        </is>
      </c>
      <c r="P2" s="47" t="inlineStr">
        <is>
          <t>Award</t>
        </is>
      </c>
      <c r="Q2" s="47" t="inlineStr">
        <is>
          <t>Advance?</t>
        </is>
      </c>
      <c r="R2" s="27" t="inlineStr">
        <is>
          <t>Core Values Score</t>
        </is>
      </c>
      <c r="S2" s="28" t="inlineStr">
        <is>
          <t>Innovattion Project Score</t>
        </is>
      </c>
      <c r="T2" s="29" t="inlineStr">
        <is>
          <t>Robot Design Score</t>
        </is>
      </c>
      <c r="U2" s="30" t="inlineStr">
        <is>
          <t>Overall Score - Geometric Mean</t>
        </is>
      </c>
      <c r="V2" s="31" t="inlineStr">
        <is>
          <t>Overall Ranking - Geometric Mean</t>
        </is>
      </c>
      <c r="W2" s="32" t="inlineStr">
        <is>
          <t>Comments</t>
        </is>
      </c>
      <c r="Z2" s="44" t="n"/>
    </row>
    <row r="3" ht="21" customHeight="1">
      <c r="A3" s="104" t="n">
        <v>9021</v>
      </c>
      <c r="B3" s="104">
        <f>INDEX(OfficialTeamList[Pod Number],MATCH(TournamentData[[#This Row],[Team Number]], OfficialTeamList[Team '#],0))</f>
        <v/>
      </c>
      <c r="C3" s="95">
        <f>INDEX(OfficialTeamList[Team Name],MATCH(TournamentData[[#This Row],[Team Number]], OfficialTeamList[Team '#],0))</f>
        <v/>
      </c>
      <c r="D3" s="73">
        <f>IF(TournamentData[[#This Row],[Team Number]]="","",IF(ISNA(INDEX('Robot Game Scores'!C:C,MATCH(TournamentData[[#This Row],[Team Number]], 'Robot Game Scores'!$A:$A,0))),0,INDEX('Robot Game Scores'!C:C,MATCH(TournamentData[[#This Row],[Team Number]], 'Robot Game Scores'!$A:$A,0))))</f>
        <v/>
      </c>
      <c r="E3" s="73">
        <f>IF(TournamentData[[#This Row],[Team Number]]="","",IF(ISNA(INDEX('Robot Game Scores'!D:D,MATCH(TournamentData[[#This Row],[Team Number]], 'Robot Game Scores'!$A:$A,0))),0,INDEX('Robot Game Scores'!D:D,MATCH(TournamentData[[#This Row],[Team Number]], 'Robot Game Scores'!$A:$A,0))))</f>
        <v/>
      </c>
      <c r="F3" s="73">
        <f>IF(TournamentData[[#This Row],[Team Number]]="","",IF(ISNA(INDEX('Robot Game Scores'!E:E,MATCH(TournamentData[[#This Row],[Team Number]], 'Robot Game Scores'!$A:$A,0))),0,INDEX('Robot Game Scores'!E:E,MATCH(TournamentData[[#This Row],[Team Number]], 'Robot Game Scores'!$A:$A,0))))</f>
        <v/>
      </c>
      <c r="G3" s="73">
        <f>IF(TournamentData[[#This Row],[Team Number]]="","",IF(ISNA(INDEX('Robot Game Scores'!#REF!,MATCH(TournamentData[[#This Row],[Team Number]], 'Robot Game Scores'!$A:$A,0))),0,INDEX('Robot Game Scores'!#REF!,MATCH(TournamentData[[#This Row],[Team Number]], 'Robot Game Scores'!$A:$A,0))))</f>
        <v/>
      </c>
      <c r="H3" s="73">
        <f>IF(TournamentData[[#This Row],[Team Number]]="","",IF(ISNA(INDEX('Robot Game Scores'!#REF!,MATCH(TournamentData[[#This Row],[Team Number]], 'Robot Game Scores'!$A:$A,0))),0,INDEX('Robot Game Scores'!#REF!,MATCH(TournamentData[[#This Row],[Team Number]], 'Robot Game Scores'!$A:$A,0))))</f>
        <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 s="73">
        <f>_xlfn.RANK.EQ(TournamentData[[#This Row],[Max Robot Game Score]],TournamentData[Max Robot Game Score])</f>
        <v/>
      </c>
      <c r="K3" s="73">
        <f>INDEX(CoreValuesResults[Core Values Rank],MATCH(TournamentData[[#This Row],[Team Number]],CoreValuesResults[Team Number],0))</f>
        <v/>
      </c>
      <c r="L3" s="73">
        <f>INDEX(InnovationProjectResults[Innovation Project Rank],MATCH(TournamentData[[#This Row],[Team Number]],InnovationProjectResults[Team Number],0))</f>
        <v/>
      </c>
      <c r="M3" s="73">
        <f>INDEX(RobotDesignResults[Robot Design Rank],MATCH(TournamentData[[#This Row],[Team Number]],RobotDesignResults[Team Number],0))</f>
        <v/>
      </c>
      <c r="N3" s="73">
        <f>SUM(TournamentData[[#This Row],[Robot Game Rank]:[Robot Design Rank]])</f>
        <v/>
      </c>
      <c r="O3" s="105">
        <f>RANK(TournamentData[[#This Row],[Champion''s Score]],TournamentData[Champion''s Score],1)</f>
        <v/>
      </c>
      <c r="P3" s="74" t="n"/>
      <c r="Q3" s="78" t="inlineStr">
        <is>
          <t>No</t>
        </is>
      </c>
      <c r="R3" s="75">
        <f>IF(ISNA(INDEX(CoreValuesResults[Core Values Score],MATCH(TournamentData[[#This Row],[Team Number]],CoreValuesResults[Team Number],0))),0,INDEX(CoreValuesResults[Core Values Score],MATCH(TournamentData[[#This Row],[Team Number]],CoreValuesResults[Team Number],0)))</f>
        <v/>
      </c>
      <c r="S3" s="75">
        <f>IF(ISNA(INDEX(InnovationProjectResults[Innovation Project Score],MATCH(TournamentData[[#This Row],[Team Number]],InnovationProjectResults[Team Number],0))),0,INDEX(InnovationProjectResults[Innovation Project Score],MATCH(TournamentData[[#This Row],[Team Number]],InnovationProjectResults[Team Number],0)))</f>
        <v/>
      </c>
      <c r="T3" s="75">
        <f>IF(ISNA(INDEX(RobotDesignResults[Robot Design Score],MATCH(TournamentData[[#This Row],[Team Number]],RobotDesignResults[Team Number],0))),0,INDEX(RobotDesignResults[Robot Design Score],MATCH(TournamentData[[#This Row],[Team Number]],RobotDesignResults[Team Number],0)))</f>
        <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 s="74">
        <f>IF(U3,_xlfn.RANK.EQ(U3,U$3:U$3,0),NumberOfTeams)</f>
        <v/>
      </c>
      <c r="W3" s="74" t="n"/>
    </row>
    <row r="4" ht="21" customHeight="1">
      <c r="A4" s="104" t="n">
        <v>62149</v>
      </c>
      <c r="B4" s="104">
        <f>INDEX(OfficialTeamList[Pod Number],MATCH(TournamentData[[#This Row],[Team Number]], OfficialTeamList[Team '#],0))</f>
        <v/>
      </c>
      <c r="C4" s="95">
        <f>INDEX(OfficialTeamList[Team Name],MATCH(TournamentData[[#This Row],[Team Number]], OfficialTeamList[Team '#],0))</f>
        <v/>
      </c>
      <c r="D4" s="73">
        <f>IF(TournamentData[[#This Row],[Team Number]]="","",IF(ISNA(INDEX('Robot Game Scores'!C:C,MATCH(TournamentData[[#This Row],[Team Number]], 'Robot Game Scores'!$A:$A,0))),0,INDEX('Robot Game Scores'!C:C,MATCH(TournamentData[[#This Row],[Team Number]], 'Robot Game Scores'!$A:$A,0))))</f>
        <v/>
      </c>
      <c r="E4" s="73">
        <f>IF(TournamentData[[#This Row],[Team Number]]="","",IF(ISNA(INDEX('Robot Game Scores'!D:D,MATCH(TournamentData[[#This Row],[Team Number]], 'Robot Game Scores'!$A:$A,0))),0,INDEX('Robot Game Scores'!D:D,MATCH(TournamentData[[#This Row],[Team Number]], 'Robot Game Scores'!$A:$A,0))))</f>
        <v/>
      </c>
      <c r="F4" s="73">
        <f>IF(TournamentData[[#This Row],[Team Number]]="","",IF(ISNA(INDEX('Robot Game Scores'!E:E,MATCH(TournamentData[[#This Row],[Team Number]], 'Robot Game Scores'!$A:$A,0))),0,INDEX('Robot Game Scores'!E:E,MATCH(TournamentData[[#This Row],[Team Number]], 'Robot Game Scores'!$A:$A,0))))</f>
        <v/>
      </c>
      <c r="G4" s="73">
        <f>IF(TournamentData[[#This Row],[Team Number]]="","",IF(ISNA(INDEX('Robot Game Scores'!#REF!,MATCH(TournamentData[[#This Row],[Team Number]], 'Robot Game Scores'!$A:$A,0))),0,INDEX('Robot Game Scores'!#REF!,MATCH(TournamentData[[#This Row],[Team Number]], 'Robot Game Scores'!$A:$A,0))))</f>
        <v/>
      </c>
      <c r="H4" s="73">
        <f>IF(TournamentData[[#This Row],[Team Number]]="","",IF(ISNA(INDEX('Robot Game Scores'!#REF!,MATCH(TournamentData[[#This Row],[Team Number]], 'Robot Game Scores'!$A:$A,0))),0,INDEX('Robot Game Scores'!#REF!,MATCH(TournamentData[[#This Row],[Team Number]], 'Robot Game Scores'!$A:$A,0))))</f>
        <v/>
      </c>
      <c r="I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 s="73">
        <f>_xlfn.RANK.EQ(TournamentData[[#This Row],[Max Robot Game Score]],TournamentData[Max Robot Game Score])</f>
        <v/>
      </c>
      <c r="K4" s="73">
        <f>INDEX(CoreValuesResults[Core Values Rank],MATCH(TournamentData[[#This Row],[Team Number]],CoreValuesResults[Team Number],0))</f>
        <v/>
      </c>
      <c r="L4" s="73">
        <f>INDEX(InnovationProjectResults[Innovation Project Rank],MATCH(TournamentData[[#This Row],[Team Number]],InnovationProjectResults[Team Number],0))</f>
        <v/>
      </c>
      <c r="M4" s="73">
        <f>INDEX(RobotDesignResults[Robot Design Rank],MATCH(TournamentData[[#This Row],[Team Number]],RobotDesignResults[Team Number],0))</f>
        <v/>
      </c>
      <c r="N4" s="73">
        <f>SUM(TournamentData[[#This Row],[Robot Game Rank]:[Robot Design Rank]])</f>
        <v/>
      </c>
      <c r="O4" s="105">
        <f>RANK(TournamentData[[#This Row],[Champion''s Score]],TournamentData[Champion''s Score],1)</f>
        <v/>
      </c>
      <c r="P4" s="74" t="n"/>
      <c r="Q4" s="78" t="n"/>
      <c r="R4" s="75">
        <f>IF(ISNA(INDEX(CoreValuesResults[Core Values Score],MATCH(TournamentData[[#This Row],[Team Number]],CoreValuesResults[Team Number],0))),0,INDEX(CoreValuesResults[Core Values Score],MATCH(TournamentData[[#This Row],[Team Number]],CoreValuesResults[Team Number],0)))</f>
        <v/>
      </c>
      <c r="S4" s="75">
        <f>IF(ISNA(INDEX(InnovationProjectResults[Innovation Project Score],MATCH(TournamentData[[#This Row],[Team Number]],InnovationProjectResults[Team Number],0))),0,INDEX(InnovationProjectResults[Innovation Project Score],MATCH(TournamentData[[#This Row],[Team Number]],InnovationProjectResults[Team Number],0)))</f>
        <v/>
      </c>
      <c r="T4" s="75">
        <f>IF(ISNA(INDEX(RobotDesignResults[Robot Design Score],MATCH(TournamentData[[#This Row],[Team Number]],RobotDesignResults[Team Number],0))),0,INDEX(RobotDesignResults[Robot Design Score],MATCH(TournamentData[[#This Row],[Team Number]],RobotDesignResults[Team Number],0)))</f>
        <v/>
      </c>
      <c r="U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 s="74">
        <f>IF(U3,_xlfn.RANK.EQ(U3,U$3:U$3,0),NumberOfTeams)</f>
        <v/>
      </c>
      <c r="W4" s="74" t="n"/>
    </row>
    <row r="5" ht="21" customHeight="1">
      <c r="A5" s="104" t="n">
        <v>62706</v>
      </c>
      <c r="B5" s="104">
        <f>INDEX(OfficialTeamList[Pod Number],MATCH(TournamentData[[#This Row],[Team Number]], OfficialTeamList[Team '#],0))</f>
        <v/>
      </c>
      <c r="C5" s="95">
        <f>INDEX(OfficialTeamList[Team Name],MATCH(TournamentData[[#This Row],[Team Number]], OfficialTeamList[Team '#],0))</f>
        <v/>
      </c>
      <c r="D5" s="73">
        <f>IF(TournamentData[[#This Row],[Team Number]]="","",IF(ISNA(INDEX('Robot Game Scores'!C:C,MATCH(TournamentData[[#This Row],[Team Number]], 'Robot Game Scores'!$A:$A,0))),0,INDEX('Robot Game Scores'!C:C,MATCH(TournamentData[[#This Row],[Team Number]], 'Robot Game Scores'!$A:$A,0))))</f>
        <v/>
      </c>
      <c r="E5" s="73">
        <f>IF(TournamentData[[#This Row],[Team Number]]="","",IF(ISNA(INDEX('Robot Game Scores'!D:D,MATCH(TournamentData[[#This Row],[Team Number]], 'Robot Game Scores'!$A:$A,0))),0,INDEX('Robot Game Scores'!D:D,MATCH(TournamentData[[#This Row],[Team Number]], 'Robot Game Scores'!$A:$A,0))))</f>
        <v/>
      </c>
      <c r="F5" s="73">
        <f>IF(TournamentData[[#This Row],[Team Number]]="","",IF(ISNA(INDEX('Robot Game Scores'!E:E,MATCH(TournamentData[[#This Row],[Team Number]], 'Robot Game Scores'!$A:$A,0))),0,INDEX('Robot Game Scores'!E:E,MATCH(TournamentData[[#This Row],[Team Number]], 'Robot Game Scores'!$A:$A,0))))</f>
        <v/>
      </c>
      <c r="G5" s="73">
        <f>IF(TournamentData[[#This Row],[Team Number]]="","",IF(ISNA(INDEX('Robot Game Scores'!#REF!,MATCH(TournamentData[[#This Row],[Team Number]], 'Robot Game Scores'!$A:$A,0))),0,INDEX('Robot Game Scores'!#REF!,MATCH(TournamentData[[#This Row],[Team Number]], 'Robot Game Scores'!$A:$A,0))))</f>
        <v/>
      </c>
      <c r="H5" s="73">
        <f>IF(TournamentData[[#This Row],[Team Number]]="","",IF(ISNA(INDEX('Robot Game Scores'!#REF!,MATCH(TournamentData[[#This Row],[Team Number]], 'Robot Game Scores'!$A:$A,0))),0,INDEX('Robot Game Scores'!#REF!,MATCH(TournamentData[[#This Row],[Team Number]], 'Robot Game Scores'!$A:$A,0))))</f>
        <v/>
      </c>
      <c r="I5"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 s="73">
        <f>_xlfn.RANK.EQ(TournamentData[[#This Row],[Max Robot Game Score]],TournamentData[Max Robot Game Score])</f>
        <v/>
      </c>
      <c r="K5" s="73">
        <f>INDEX(CoreValuesResults[Core Values Rank],MATCH(TournamentData[[#This Row],[Team Number]],CoreValuesResults[Team Number],0))</f>
        <v/>
      </c>
      <c r="L5" s="73">
        <f>INDEX(InnovationProjectResults[Innovation Project Rank],MATCH(TournamentData[[#This Row],[Team Number]],InnovationProjectResults[Team Number],0))</f>
        <v/>
      </c>
      <c r="M5" s="73">
        <f>INDEX(RobotDesignResults[Robot Design Rank],MATCH(TournamentData[[#This Row],[Team Number]],RobotDesignResults[Team Number],0))</f>
        <v/>
      </c>
      <c r="N5" s="73">
        <f>SUM(TournamentData[[#This Row],[Robot Game Rank]:[Robot Design Rank]])</f>
        <v/>
      </c>
      <c r="O5" s="105">
        <f>RANK(TournamentData[[#This Row],[Champion''s Score]],TournamentData[Champion''s Score],1)</f>
        <v/>
      </c>
      <c r="P5" s="74" t="n"/>
      <c r="Q5" s="78" t="n"/>
      <c r="R5" s="75">
        <f>IF(ISNA(INDEX(CoreValuesResults[Core Values Score],MATCH(TournamentData[[#This Row],[Team Number]],CoreValuesResults[Team Number],0))),0,INDEX(CoreValuesResults[Core Values Score],MATCH(TournamentData[[#This Row],[Team Number]],CoreValuesResults[Team Number],0)))</f>
        <v/>
      </c>
      <c r="S5" s="75">
        <f>IF(ISNA(INDEX(InnovationProjectResults[Innovation Project Score],MATCH(TournamentData[[#This Row],[Team Number]],InnovationProjectResults[Team Number],0))),0,INDEX(InnovationProjectResults[Innovation Project Score],MATCH(TournamentData[[#This Row],[Team Number]],InnovationProjectResults[Team Number],0)))</f>
        <v/>
      </c>
      <c r="T5" s="75">
        <f>IF(ISNA(INDEX(RobotDesignResults[Robot Design Score],MATCH(TournamentData[[#This Row],[Team Number]],RobotDesignResults[Team Number],0))),0,INDEX(RobotDesignResults[Robot Design Score],MATCH(TournamentData[[#This Row],[Team Number]],RobotDesignResults[Team Number],0)))</f>
        <v/>
      </c>
      <c r="U5"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 s="74">
        <f>IF(U3,_xlfn.RANK.EQ(U3,U$3:U$3,0),NumberOfTeams)</f>
        <v/>
      </c>
      <c r="W5" s="74" t="n"/>
    </row>
    <row r="6" ht="21" customHeight="1">
      <c r="A6" s="104" t="n">
        <v>73002</v>
      </c>
      <c r="B6" s="104">
        <f>INDEX(OfficialTeamList[Pod Number],MATCH(TournamentData[[#This Row],[Team Number]], OfficialTeamList[Team '#],0))</f>
        <v/>
      </c>
      <c r="C6" s="95">
        <f>INDEX(OfficialTeamList[Team Name],MATCH(TournamentData[[#This Row],[Team Number]], OfficialTeamList[Team '#],0))</f>
        <v/>
      </c>
      <c r="D6" s="73">
        <f>IF(TournamentData[[#This Row],[Team Number]]="","",IF(ISNA(INDEX('Robot Game Scores'!C:C,MATCH(TournamentData[[#This Row],[Team Number]], 'Robot Game Scores'!$A:$A,0))),0,INDEX('Robot Game Scores'!C:C,MATCH(TournamentData[[#This Row],[Team Number]], 'Robot Game Scores'!$A:$A,0))))</f>
        <v/>
      </c>
      <c r="E6" s="73">
        <f>IF(TournamentData[[#This Row],[Team Number]]="","",IF(ISNA(INDEX('Robot Game Scores'!D:D,MATCH(TournamentData[[#This Row],[Team Number]], 'Robot Game Scores'!$A:$A,0))),0,INDEX('Robot Game Scores'!D:D,MATCH(TournamentData[[#This Row],[Team Number]], 'Robot Game Scores'!$A:$A,0))))</f>
        <v/>
      </c>
      <c r="F6" s="73">
        <f>IF(TournamentData[[#This Row],[Team Number]]="","",IF(ISNA(INDEX('Robot Game Scores'!E:E,MATCH(TournamentData[[#This Row],[Team Number]], 'Robot Game Scores'!$A:$A,0))),0,INDEX('Robot Game Scores'!E:E,MATCH(TournamentData[[#This Row],[Team Number]], 'Robot Game Scores'!$A:$A,0))))</f>
        <v/>
      </c>
      <c r="G6" s="73">
        <f>IF(TournamentData[[#This Row],[Team Number]]="","",IF(ISNA(INDEX('Robot Game Scores'!#REF!,MATCH(TournamentData[[#This Row],[Team Number]], 'Robot Game Scores'!$A:$A,0))),0,INDEX('Robot Game Scores'!#REF!,MATCH(TournamentData[[#This Row],[Team Number]], 'Robot Game Scores'!$A:$A,0))))</f>
        <v/>
      </c>
      <c r="H6" s="73">
        <f>IF(TournamentData[[#This Row],[Team Number]]="","",IF(ISNA(INDEX('Robot Game Scores'!#REF!,MATCH(TournamentData[[#This Row],[Team Number]], 'Robot Game Scores'!$A:$A,0))),0,INDEX('Robot Game Scores'!#REF!,MATCH(TournamentData[[#This Row],[Team Number]], 'Robot Game Scores'!$A:$A,0))))</f>
        <v/>
      </c>
      <c r="I6"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 s="73">
        <f>_xlfn.RANK.EQ(TournamentData[[#This Row],[Max Robot Game Score]],TournamentData[Max Robot Game Score])</f>
        <v/>
      </c>
      <c r="K6" s="73">
        <f>INDEX(CoreValuesResults[Core Values Rank],MATCH(TournamentData[[#This Row],[Team Number]],CoreValuesResults[Team Number],0))</f>
        <v/>
      </c>
      <c r="L6" s="73">
        <f>INDEX(InnovationProjectResults[Innovation Project Rank],MATCH(TournamentData[[#This Row],[Team Number]],InnovationProjectResults[Team Number],0))</f>
        <v/>
      </c>
      <c r="M6" s="73">
        <f>INDEX(RobotDesignResults[Robot Design Rank],MATCH(TournamentData[[#This Row],[Team Number]],RobotDesignResults[Team Number],0))</f>
        <v/>
      </c>
      <c r="N6" s="73">
        <f>SUM(TournamentData[[#This Row],[Robot Game Rank]:[Robot Design Rank]])</f>
        <v/>
      </c>
      <c r="O6" s="105">
        <f>RANK(TournamentData[[#This Row],[Champion''s Score]],TournamentData[Champion''s Score],1)</f>
        <v/>
      </c>
      <c r="P6" s="74" t="n"/>
      <c r="Q6" s="78" t="n"/>
      <c r="R6" s="75">
        <f>IF(ISNA(INDEX(CoreValuesResults[Core Values Score],MATCH(TournamentData[[#This Row],[Team Number]],CoreValuesResults[Team Number],0))),0,INDEX(CoreValuesResults[Core Values Score],MATCH(TournamentData[[#This Row],[Team Number]],CoreValuesResults[Team Number],0)))</f>
        <v/>
      </c>
      <c r="S6" s="75">
        <f>IF(ISNA(INDEX(InnovationProjectResults[Innovation Project Score],MATCH(TournamentData[[#This Row],[Team Number]],InnovationProjectResults[Team Number],0))),0,INDEX(InnovationProjectResults[Innovation Project Score],MATCH(TournamentData[[#This Row],[Team Number]],InnovationProjectResults[Team Number],0)))</f>
        <v/>
      </c>
      <c r="T6" s="75">
        <f>IF(ISNA(INDEX(RobotDesignResults[Robot Design Score],MATCH(TournamentData[[#This Row],[Team Number]],RobotDesignResults[Team Number],0))),0,INDEX(RobotDesignResults[Robot Design Score],MATCH(TournamentData[[#This Row],[Team Number]],RobotDesignResults[Team Number],0)))</f>
        <v/>
      </c>
      <c r="U6"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 s="74">
        <f>IF(U3,_xlfn.RANK.EQ(U3,U$3:U$3,0),NumberOfTeams)</f>
        <v/>
      </c>
      <c r="W6" s="74" t="n"/>
    </row>
    <row r="7" ht="21" customHeight="1">
      <c r="A7" s="104" t="n">
        <v>73106</v>
      </c>
      <c r="B7" s="104">
        <f>INDEX(OfficialTeamList[Pod Number],MATCH(TournamentData[[#This Row],[Team Number]], OfficialTeamList[Team '#],0))</f>
        <v/>
      </c>
      <c r="C7" s="95">
        <f>INDEX(OfficialTeamList[Team Name],MATCH(TournamentData[[#This Row],[Team Number]], OfficialTeamList[Team '#],0))</f>
        <v/>
      </c>
      <c r="D7" s="73">
        <f>IF(TournamentData[[#This Row],[Team Number]]="","",IF(ISNA(INDEX('Robot Game Scores'!C:C,MATCH(TournamentData[[#This Row],[Team Number]], 'Robot Game Scores'!$A:$A,0))),0,INDEX('Robot Game Scores'!C:C,MATCH(TournamentData[[#This Row],[Team Number]], 'Robot Game Scores'!$A:$A,0))))</f>
        <v/>
      </c>
      <c r="E7" s="73">
        <f>IF(TournamentData[[#This Row],[Team Number]]="","",IF(ISNA(INDEX('Robot Game Scores'!D:D,MATCH(TournamentData[[#This Row],[Team Number]], 'Robot Game Scores'!$A:$A,0))),0,INDEX('Robot Game Scores'!D:D,MATCH(TournamentData[[#This Row],[Team Number]], 'Robot Game Scores'!$A:$A,0))))</f>
        <v/>
      </c>
      <c r="F7" s="73">
        <f>IF(TournamentData[[#This Row],[Team Number]]="","",IF(ISNA(INDEX('Robot Game Scores'!E:E,MATCH(TournamentData[[#This Row],[Team Number]], 'Robot Game Scores'!$A:$A,0))),0,INDEX('Robot Game Scores'!E:E,MATCH(TournamentData[[#This Row],[Team Number]], 'Robot Game Scores'!$A:$A,0))))</f>
        <v/>
      </c>
      <c r="G7" s="73">
        <f>IF(TournamentData[[#This Row],[Team Number]]="","",IF(ISNA(INDEX('Robot Game Scores'!#REF!,MATCH(TournamentData[[#This Row],[Team Number]], 'Robot Game Scores'!$A:$A,0))),0,INDEX('Robot Game Scores'!#REF!,MATCH(TournamentData[[#This Row],[Team Number]], 'Robot Game Scores'!$A:$A,0))))</f>
        <v/>
      </c>
      <c r="H7" s="73">
        <f>IF(TournamentData[[#This Row],[Team Number]]="","",IF(ISNA(INDEX('Robot Game Scores'!#REF!,MATCH(TournamentData[[#This Row],[Team Number]], 'Robot Game Scores'!$A:$A,0))),0,INDEX('Robot Game Scores'!#REF!,MATCH(TournamentData[[#This Row],[Team Number]], 'Robot Game Scores'!$A:$A,0))))</f>
        <v/>
      </c>
      <c r="I7"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 s="73">
        <f>_xlfn.RANK.EQ(TournamentData[[#This Row],[Max Robot Game Score]],TournamentData[Max Robot Game Score])</f>
        <v/>
      </c>
      <c r="K7" s="73">
        <f>INDEX(CoreValuesResults[Core Values Rank],MATCH(TournamentData[[#This Row],[Team Number]],CoreValuesResults[Team Number],0))</f>
        <v/>
      </c>
      <c r="L7" s="73">
        <f>INDEX(InnovationProjectResults[Innovation Project Rank],MATCH(TournamentData[[#This Row],[Team Number]],InnovationProjectResults[Team Number],0))</f>
        <v/>
      </c>
      <c r="M7" s="73">
        <f>INDEX(RobotDesignResults[Robot Design Rank],MATCH(TournamentData[[#This Row],[Team Number]],RobotDesignResults[Team Number],0))</f>
        <v/>
      </c>
      <c r="N7" s="73">
        <f>SUM(TournamentData[[#This Row],[Robot Game Rank]:[Robot Design Rank]])</f>
        <v/>
      </c>
      <c r="O7" s="105">
        <f>RANK(TournamentData[[#This Row],[Champion''s Score]],TournamentData[Champion''s Score],1)</f>
        <v/>
      </c>
      <c r="P7" s="74" t="n"/>
      <c r="Q7" s="78" t="n"/>
      <c r="R7" s="75">
        <f>IF(ISNA(INDEX(CoreValuesResults[Core Values Score],MATCH(TournamentData[[#This Row],[Team Number]],CoreValuesResults[Team Number],0))),0,INDEX(CoreValuesResults[Core Values Score],MATCH(TournamentData[[#This Row],[Team Number]],CoreValuesResults[Team Number],0)))</f>
        <v/>
      </c>
      <c r="S7" s="75">
        <f>IF(ISNA(INDEX(InnovationProjectResults[Innovation Project Score],MATCH(TournamentData[[#This Row],[Team Number]],InnovationProjectResults[Team Number],0))),0,INDEX(InnovationProjectResults[Innovation Project Score],MATCH(TournamentData[[#This Row],[Team Number]],InnovationProjectResults[Team Number],0)))</f>
        <v/>
      </c>
      <c r="T7" s="75">
        <f>IF(ISNA(INDEX(RobotDesignResults[Robot Design Score],MATCH(TournamentData[[#This Row],[Team Number]],RobotDesignResults[Team Number],0))),0,INDEX(RobotDesignResults[Robot Design Score],MATCH(TournamentData[[#This Row],[Team Number]],RobotDesignResults[Team Number],0)))</f>
        <v/>
      </c>
      <c r="U7"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 s="74">
        <f>IF(U3,_xlfn.RANK.EQ(U3,U$3:U$3,0),NumberOfTeams)</f>
        <v/>
      </c>
      <c r="W7" s="74" t="n"/>
    </row>
  </sheetData>
  <sheetProtection selectLockedCells="1" selectUnlockedCells="0" sheet="1" objects="0" insertRows="1" insertHyperlinks="1" autoFilter="0" scenarios="0" formatColumns="0" deleteColumns="1" insertColumns="1" pivotTables="1" deleteRows="1" formatCells="0" formatRows="0" sort="0" password="CB4D"/>
  <mergeCells count="5">
    <mergeCell ref="R1:V1"/>
    <mergeCell ref="A1:C1"/>
    <mergeCell ref="D1:J1"/>
    <mergeCell ref="N1:O1"/>
    <mergeCell ref="K1:M1"/>
  </mergeCells>
  <conditionalFormatting sqref="A3:P3 R3:W3">
    <cfRule type="expression" priority="17" dxfId="10">
      <formula>ROW()-NumberOfTeams=2</formula>
    </cfRule>
  </conditionalFormatting>
  <conditionalFormatting sqref="A3:B3">
    <cfRule type="expression" priority="11" dxfId="9">
      <formula>IF($O3 &lt;= NumberofTeamsAdvancing,TRUE,FALSE)</formula>
    </cfRule>
  </conditionalFormatting>
  <conditionalFormatting sqref="C3:P3 R3:W3">
    <cfRule type="expression" priority="21" dxfId="8">
      <formula>IF($P3&lt;&gt;"",TRUE,FALSE)</formula>
    </cfRule>
  </conditionalFormatting>
  <conditionalFormatting sqref="Q3">
    <cfRule type="cellIs" priority="322" operator="equal" dxfId="7" stopIfTrue="1">
      <formula>"Yes"</formula>
    </cfRule>
    <cfRule type="cellIs" priority="323" operator="equal" dxfId="6" stopIfTrue="1">
      <formula>"Alt"</formula>
    </cfRule>
  </conditionalFormatting>
  <conditionalFormatting sqref="P3">
    <cfRule type="duplicateValues" priority="331" dxfId="5"/>
  </conditionalFormatting>
  <conditionalFormatting sqref="O2">
    <cfRule type="expression" priority="7" dxfId="160" stopIfTrue="0">
      <formula>COUNTA(AwardList!$A$2:$A$35)=COUNTA($O$3:$O$288)</formula>
    </cfRule>
  </conditionalFormatting>
  <conditionalFormatting sqref="P2">
    <cfRule type="expression" priority="8" dxfId="161" stopIfTrue="0">
      <formula>COUNTIF($P:$P,"Yes")=Meta!$B$13</formula>
    </cfRule>
  </conditionalFormatting>
  <conditionalFormatting sqref="J1:J100">
    <cfRule type="expression" priority="9" dxfId="162" stopIfTrue="0">
      <formula>AND(J1=1,IF(VLOOKUP("Robot Game 1st Place",AwardList!$C$2:$C$7,1,FALSE)="Robot Game 1st Place", TRUE, FALSE))</formula>
    </cfRule>
    <cfRule type="expression" priority="10" dxfId="163" stopIfTrue="0">
      <formula>AND(J1=2,IF(VLOOKUP("Robot Game 2nd Place",AwardList!$C$2:$C$7,1,FALSE)="Robot Game 2nd Place", TRUE, FALSE))</formula>
    </cfRule>
    <cfRule type="expression" priority="11" dxfId="164" stopIfTrue="0">
      <formula>AND(J1=3,IF(VLOOKUP("Robot Game 3rd Place",AwardList!$C$2:$C$7,1,FALSE)="Robot Game 3rd Place", TRUE, FALSE))</formula>
    </cfRule>
  </conditionalFormatting>
  <conditionalFormatting sqref="A3:W7">
    <cfRule type="expression" priority="17" dxfId="10">
      <formula>ROW()-NumberOfTeams=2</formula>
    </cfRule>
    <cfRule type="expression" priority="21" dxfId="8">
      <formula>IF($P3&lt;&gt;"",TRUE,FALSE)</formula>
    </cfRule>
  </conditionalFormatting>
  <dataValidations count="4">
    <dataValidation sqref="P3" showDropDown="0" showInputMessage="1" showErrorMessage="1" allowBlank="1" type="list">
      <formula1>Awards</formula1>
    </dataValidation>
    <dataValidation sqref="Q3" showDropDown="0" showInputMessage="1" showErrorMessage="1" allowBlank="1" type="list">
      <formula1>"Yes,No,Alt"</formula1>
    </dataValidation>
    <dataValidation sqref="P3:P7" showDropDown="0" showInputMessage="0" showErrorMessage="0" allowBlank="1" type="list">
      <formula1>Awards</formula1>
    </dataValidation>
    <dataValidation sqref="Q3:Q7" showDropDown="0" showInputMessage="0" showErrorMessage="0" allowBlank="1" type="list">
      <formula1>"Yes,No,Alt"</formula1>
    </dataValidation>
  </dataValidations>
  <pageMargins left="0.7" right="0.7" top="0.75" bottom="0.75" header="0.3" footer="0.3"/>
  <pageSetup orientation="landscape" scale="39" fitToHeight="0"/>
  <tableParts count="1">
    <tablePart xmlns:r="http://schemas.openxmlformats.org/officeDocument/2006/relationships" r:id="rId1"/>
  </tableParts>
</worksheet>
</file>

<file path=xl/worksheets/sheet9.xml><?xml version="1.0" encoding="utf-8"?>
<worksheet xmlns="http://schemas.openxmlformats.org/spreadsheetml/2006/main">
  <sheetPr codeName="Sheet4">
    <tabColor rgb="FF00B050"/>
    <outlinePr summaryBelow="1" summaryRight="1"/>
    <pageSetUpPr/>
  </sheetPr>
  <dimension ref="A1:F6"/>
  <sheetViews>
    <sheetView zoomScaleNormal="100" workbookViewId="0">
      <pane ySplit="1" topLeftCell="A2" activePane="bottomLeft" state="frozen"/>
      <selection pane="bottomLeft" activeCell="F2" sqref="F2"/>
    </sheetView>
  </sheetViews>
  <sheetFormatPr baseColWidth="8" defaultColWidth="8.85546875" defaultRowHeight="30" customHeight="1"/>
  <cols>
    <col width="16.7109375" customWidth="1" style="38" min="1" max="1"/>
    <col width="32.7109375" customWidth="1" style="38" min="2" max="2"/>
    <col width="7.42578125" customWidth="1" style="38" min="3" max="5"/>
    <col width="10.42578125" customWidth="1" style="42" min="6" max="6"/>
    <col width="8.85546875" customWidth="1" style="5" min="7" max="10"/>
    <col width="8.85546875" customWidth="1" style="5" min="11" max="16384"/>
  </cols>
  <sheetData>
    <row r="1" ht="150" customFormat="1" customHeight="1" s="40">
      <c r="A1" s="57" t="inlineStr">
        <is>
          <t>Team Number</t>
        </is>
      </c>
      <c r="B1" s="57" t="inlineStr">
        <is>
          <t>Team Name</t>
        </is>
      </c>
      <c r="C1" s="64" t="inlineStr">
        <is>
          <t>Robot Game 1 Score</t>
        </is>
      </c>
      <c r="D1" s="64" t="inlineStr">
        <is>
          <t>Robot Game 2 Score</t>
        </is>
      </c>
      <c r="E1" s="64" t="inlineStr">
        <is>
          <t>Robot Game 3 Score</t>
        </is>
      </c>
      <c r="F1" s="58" t="inlineStr">
        <is>
          <t>Highest Robot Game Score</t>
        </is>
      </c>
    </row>
    <row r="2" ht="21" customHeight="1">
      <c r="A2" s="104" t="n">
        <v>9021</v>
      </c>
      <c r="B2" s="106">
        <f>INDEX(OfficialTeamList[Team Name],MATCH(RobotGameScores[[#This Row],[Team Number]], OfficialTeamList[Team '#],0))</f>
        <v/>
      </c>
      <c r="C2" s="107" t="n"/>
      <c r="D2" s="107" t="n"/>
      <c r="E2" s="107" t="n"/>
      <c r="F2" s="77">
        <f>MAX(RobotGameScores[[#This Row],[Robot Game 1 Score]:[Robot Game 3 Score]])</f>
        <v/>
      </c>
    </row>
    <row r="3" ht="21" customHeight="1">
      <c r="A3" s="104" t="n">
        <v>62149</v>
      </c>
      <c r="B3" s="106">
        <f>INDEX(OfficialTeamList[Team Name],MATCH(RobotGameScores[[#This Row],[Team Number]], OfficialTeamList[Team '#],0))</f>
        <v/>
      </c>
      <c r="C3" s="107" t="n"/>
      <c r="D3" s="107" t="n"/>
      <c r="E3" s="107" t="n"/>
      <c r="F3" s="77">
        <f>MAX(RobotGameScores[[#This Row],[Robot Game 1 Score]:[Robot Game 3 Score]])</f>
        <v/>
      </c>
    </row>
    <row r="4" ht="21" customHeight="1">
      <c r="A4" s="104" t="n">
        <v>62706</v>
      </c>
      <c r="B4" s="106">
        <f>INDEX(OfficialTeamList[Team Name],MATCH(RobotGameScores[[#This Row],[Team Number]], OfficialTeamList[Team '#],0))</f>
        <v/>
      </c>
      <c r="C4" s="107" t="n"/>
      <c r="D4" s="107" t="n"/>
      <c r="E4" s="107" t="n"/>
      <c r="F4" s="77">
        <f>MAX(RobotGameScores[[#This Row],[Robot Game 1 Score]:[Robot Game 3 Score]])</f>
        <v/>
      </c>
    </row>
    <row r="5" ht="21" customHeight="1">
      <c r="A5" s="104" t="n">
        <v>73002</v>
      </c>
      <c r="B5" s="106">
        <f>INDEX(OfficialTeamList[Team Name],MATCH(RobotGameScores[[#This Row],[Team Number]], OfficialTeamList[Team '#],0))</f>
        <v/>
      </c>
      <c r="C5" s="107" t="n"/>
      <c r="D5" s="107" t="n"/>
      <c r="E5" s="107" t="n"/>
      <c r="F5" s="77">
        <f>MAX(RobotGameScores[[#This Row],[Robot Game 1 Score]:[Robot Game 3 Score]])</f>
        <v/>
      </c>
    </row>
    <row r="6" ht="21" customHeight="1">
      <c r="A6" s="104" t="n">
        <v>73106</v>
      </c>
      <c r="B6" s="106">
        <f>INDEX(OfficialTeamList[Team Name],MATCH(RobotGameScores[[#This Row],[Team Number]], OfficialTeamList[Team '#],0))</f>
        <v/>
      </c>
      <c r="C6" s="107" t="n"/>
      <c r="D6" s="107" t="n"/>
      <c r="E6" s="107" t="n"/>
      <c r="F6" s="77">
        <f>MAX(RobotGameScores[[#This Row],[Robot Game 1 Score]:[Robot Game 3 Score]])</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tableParts count="1">
    <tablePart xmlns:r="http://schemas.openxmlformats.org/officeDocument/2006/relationships" r:id="rId1"/>
  </tableParts>
</worksheet>
</file>

<file path=xl/worksheets/sheet10.xml><?xml version="1.0" encoding="utf-8"?>
<worksheet xmlns="http://schemas.openxmlformats.org/spreadsheetml/2006/main">
  <sheetPr codeName="Sheet7">
    <tabColor rgb="FF016DB6"/>
    <outlinePr summaryBelow="1" summaryRight="1"/>
    <pageSetUpPr fitToPage="1"/>
  </sheetPr>
  <dimension ref="A1:O6"/>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3" t="inlineStr">
        <is>
          <t>Identify - Define</t>
        </is>
      </c>
      <c r="E1" s="63" t="inlineStr">
        <is>
          <t>Identify - Research (CV)</t>
        </is>
      </c>
      <c r="F1" s="63" t="inlineStr">
        <is>
          <t>Design - Plan</t>
        </is>
      </c>
      <c r="G1" s="63" t="inlineStr">
        <is>
          <t>Design - Teamwork (CV)</t>
        </is>
      </c>
      <c r="H1" s="63" t="inlineStr">
        <is>
          <t>Create - Innovation (CV)</t>
        </is>
      </c>
      <c r="I1" s="63" t="inlineStr">
        <is>
          <t>Create - Model</t>
        </is>
      </c>
      <c r="J1" s="63" t="inlineStr">
        <is>
          <t>Iterate - Sharing</t>
        </is>
      </c>
      <c r="K1" s="63" t="inlineStr">
        <is>
          <t>Iterate - Improvement</t>
        </is>
      </c>
      <c r="L1" s="63" t="inlineStr">
        <is>
          <t>Communicate - Impact (CV)</t>
        </is>
      </c>
      <c r="M1" s="63" t="inlineStr">
        <is>
          <t>Communicate - Fun (CV)</t>
        </is>
      </c>
      <c r="N1" s="93" t="inlineStr">
        <is>
          <t>Innovation Project Score</t>
        </is>
      </c>
      <c r="O1" s="94" t="inlineStr">
        <is>
          <t>Innovation Project Rank</t>
        </is>
      </c>
    </row>
    <row r="2" ht="21" customHeight="1">
      <c r="A2" s="104" t="n">
        <v>9021</v>
      </c>
      <c r="B2" s="104">
        <f>INDEX(OfficialTeamList[Pod Number],MATCH(InnovationProjectResults[[#This Row],[Team Number]], OfficialTeamList[Team '#],0))</f>
        <v/>
      </c>
      <c r="C2" s="106">
        <f>INDEX(OfficialTeamList[Team Name],MATCH(InnovationProjectResults[[#This Row],[Team Number]], OfficialTeamList[Team '#],0))</f>
        <v/>
      </c>
      <c r="D2" s="107" t="n"/>
      <c r="E2" s="107" t="n"/>
      <c r="F2" s="107" t="n"/>
      <c r="G2" s="107" t="n"/>
      <c r="H2" s="107" t="n"/>
      <c r="I2" s="107" t="n"/>
      <c r="J2" s="107" t="n"/>
      <c r="K2" s="107" t="n"/>
      <c r="L2" s="107" t="n"/>
      <c r="M2" s="107" t="n"/>
      <c r="N2" s="77">
        <f>SUM(InnovationProjectResults[[#This Row],[Identify - Define]:[Communicate - Fun (CV)]])</f>
        <v/>
      </c>
      <c r="O2" s="70">
        <f>_xlfn.RANK.EQ(InnovationProjectResults[[#This Row],[Innovation Project Score]],InnovationProjectResults[Innovation Project Score],0)</f>
        <v/>
      </c>
    </row>
    <row r="3" ht="21" customHeight="1">
      <c r="A3" s="104" t="n">
        <v>62149</v>
      </c>
      <c r="B3" s="104">
        <f>INDEX(OfficialTeamList[Pod Number],MATCH(InnovationProjectResults[[#This Row],[Team Number]], OfficialTeamList[Team '#],0))</f>
        <v/>
      </c>
      <c r="C3" s="106">
        <f>INDEX(OfficialTeamList[Team Name],MATCH(InnovationProjectResults[[#This Row],[Team Number]], OfficialTeamList[Team '#],0))</f>
        <v/>
      </c>
      <c r="D3" s="107" t="n"/>
      <c r="E3" s="107" t="n"/>
      <c r="F3" s="107" t="n"/>
      <c r="G3" s="107" t="n"/>
      <c r="H3" s="107" t="n"/>
      <c r="I3" s="107" t="n"/>
      <c r="J3" s="107" t="n"/>
      <c r="K3" s="107" t="n"/>
      <c r="L3" s="107" t="n"/>
      <c r="M3" s="107" t="n"/>
      <c r="N3" s="77">
        <f>SUM(InnovationProjectResults[[#This Row],[Identify - Define]:[Communicate - Fun (CV)]])</f>
        <v/>
      </c>
      <c r="O3" s="70">
        <f>_xlfn.RANK.EQ(InnovationProjectResults[[#This Row],[Innovation Project Score]],InnovationProjectResults[Innovation Project Score],0)</f>
        <v/>
      </c>
    </row>
    <row r="4" ht="21" customHeight="1">
      <c r="A4" s="104" t="n">
        <v>62706</v>
      </c>
      <c r="B4" s="104">
        <f>INDEX(OfficialTeamList[Pod Number],MATCH(InnovationProjectResults[[#This Row],[Team Number]], OfficialTeamList[Team '#],0))</f>
        <v/>
      </c>
      <c r="C4" s="106">
        <f>INDEX(OfficialTeamList[Team Name],MATCH(InnovationProjectResults[[#This Row],[Team Number]], OfficialTeamList[Team '#],0))</f>
        <v/>
      </c>
      <c r="D4" s="107" t="n"/>
      <c r="E4" s="107" t="n"/>
      <c r="F4" s="107" t="n"/>
      <c r="G4" s="107" t="n"/>
      <c r="H4" s="107" t="n"/>
      <c r="I4" s="107" t="n"/>
      <c r="J4" s="107" t="n"/>
      <c r="K4" s="107" t="n"/>
      <c r="L4" s="107" t="n"/>
      <c r="M4" s="107" t="n"/>
      <c r="N4" s="77">
        <f>SUM(InnovationProjectResults[[#This Row],[Identify - Define]:[Communicate - Fun (CV)]])</f>
        <v/>
      </c>
      <c r="O4" s="70">
        <f>_xlfn.RANK.EQ(InnovationProjectResults[[#This Row],[Innovation Project Score]],InnovationProjectResults[Innovation Project Score],0)</f>
        <v/>
      </c>
    </row>
    <row r="5" ht="21" customHeight="1">
      <c r="A5" s="104" t="n">
        <v>73002</v>
      </c>
      <c r="B5" s="104">
        <f>INDEX(OfficialTeamList[Pod Number],MATCH(InnovationProjectResults[[#This Row],[Team Number]], OfficialTeamList[Team '#],0))</f>
        <v/>
      </c>
      <c r="C5" s="106">
        <f>INDEX(OfficialTeamList[Team Name],MATCH(InnovationProjectResults[[#This Row],[Team Number]], OfficialTeamList[Team '#],0))</f>
        <v/>
      </c>
      <c r="D5" s="107" t="n"/>
      <c r="E5" s="107" t="n"/>
      <c r="F5" s="107" t="n"/>
      <c r="G5" s="107" t="n"/>
      <c r="H5" s="107" t="n"/>
      <c r="I5" s="107" t="n"/>
      <c r="J5" s="107" t="n"/>
      <c r="K5" s="107" t="n"/>
      <c r="L5" s="107" t="n"/>
      <c r="M5" s="107" t="n"/>
      <c r="N5" s="77">
        <f>SUM(InnovationProjectResults[[#This Row],[Identify - Define]:[Communicate - Fun (CV)]])</f>
        <v/>
      </c>
      <c r="O5" s="70">
        <f>_xlfn.RANK.EQ(InnovationProjectResults[[#This Row],[Innovation Project Score]],InnovationProjectResults[Innovation Project Score],0)</f>
        <v/>
      </c>
    </row>
    <row r="6" ht="21" customHeight="1">
      <c r="A6" s="104" t="n">
        <v>73106</v>
      </c>
      <c r="B6" s="104">
        <f>INDEX(OfficialTeamList[Pod Number],MATCH(InnovationProjectResults[[#This Row],[Team Number]], OfficialTeamList[Team '#],0))</f>
        <v/>
      </c>
      <c r="C6" s="106">
        <f>INDEX(OfficialTeamList[Team Name],MATCH(InnovationProjectResults[[#This Row],[Team Number]], OfficialTeamList[Team '#],0))</f>
        <v/>
      </c>
      <c r="D6" s="107" t="n"/>
      <c r="E6" s="107" t="n"/>
      <c r="F6" s="107" t="n"/>
      <c r="G6" s="107" t="n"/>
      <c r="H6" s="107" t="n"/>
      <c r="I6" s="107" t="n"/>
      <c r="J6" s="107" t="n"/>
      <c r="K6" s="107" t="n"/>
      <c r="L6" s="107" t="n"/>
      <c r="M6" s="107" t="n"/>
      <c r="N6" s="77">
        <f>SUM(InnovationProjectResults[[#This Row],[Identify - Define]:[Communicate - Fun (CV)]])</f>
        <v/>
      </c>
      <c r="O6" s="70">
        <f>_xlfn.RANK.EQ(InnovationProjectResults[[#This Row],[Innovation Project Score]],InnovationProjectResults[Innovation Project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Inovation Project Input</oddHeader>
    <oddFooter/>
    <evenHeader/>
    <evenFooter/>
    <firstHeader/>
    <firstFooter/>
  </headerFooter>
  <tableParts count="1">
    <tablePart xmlns:r="http://schemas.openxmlformats.org/officeDocument/2006/relationships" r:id="rId1"/>
  </tableParts>
</worksheet>
</file>

<file path=xl/worksheets/sheet11.xml><?xml version="1.0" encoding="utf-8"?>
<worksheet xmlns="http://schemas.openxmlformats.org/spreadsheetml/2006/main">
  <sheetPr codeName="Sheet8">
    <tabColor rgb="FF92D050"/>
    <outlinePr summaryBelow="1" summaryRight="1"/>
    <pageSetUpPr fitToPage="1"/>
  </sheetPr>
  <dimension ref="A1:O6"/>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2" t="inlineStr">
        <is>
          <t>Identify - Strategy</t>
        </is>
      </c>
      <c r="E1" s="62" t="inlineStr">
        <is>
          <t>Identify - Research (CV)</t>
        </is>
      </c>
      <c r="F1" s="62" t="inlineStr">
        <is>
          <t>Design - Ideas (CV)</t>
        </is>
      </c>
      <c r="G1" s="62" t="inlineStr">
        <is>
          <t>Design - Building/Coding</t>
        </is>
      </c>
      <c r="H1" s="62" t="inlineStr">
        <is>
          <t>Create - Attachments</t>
        </is>
      </c>
      <c r="I1" s="62" t="inlineStr">
        <is>
          <t>Create - Code/ Sensors</t>
        </is>
      </c>
      <c r="J1" s="62" t="inlineStr">
        <is>
          <t>Iterate - Testing</t>
        </is>
      </c>
      <c r="K1" s="62" t="inlineStr">
        <is>
          <t>Iterate - Improvements (CV)</t>
        </is>
      </c>
      <c r="L1" s="62" t="inlineStr">
        <is>
          <t>Communicate - Impact (CV)</t>
        </is>
      </c>
      <c r="M1" s="62" t="inlineStr">
        <is>
          <t>Communicate - Fun (CV)</t>
        </is>
      </c>
      <c r="N1" s="60" t="inlineStr">
        <is>
          <t>Robot Design Score</t>
        </is>
      </c>
      <c r="O1" s="61" t="inlineStr">
        <is>
          <t>Robot Design Rank</t>
        </is>
      </c>
    </row>
    <row r="2" ht="21" customHeight="1">
      <c r="A2" s="104" t="n">
        <v>9021</v>
      </c>
      <c r="B2" s="104">
        <f>INDEX(OfficialTeamList[Pod Number],MATCH(RobotDesignResults[[#This Row],[Team Number]], OfficialTeamList[Team '#],0))</f>
        <v/>
      </c>
      <c r="C2" s="106">
        <f>INDEX(OfficialTeamList[Team Name],MATCH(RobotDesignResults[[#This Row],[Team Number]], OfficialTeamList[Team '#],0))</f>
        <v/>
      </c>
      <c r="D2" s="107" t="n"/>
      <c r="E2" s="107" t="n"/>
      <c r="F2" s="107" t="n"/>
      <c r="G2" s="107" t="n"/>
      <c r="H2" s="107" t="n"/>
      <c r="I2" s="107" t="n"/>
      <c r="J2" s="107" t="n"/>
      <c r="K2" s="107" t="n"/>
      <c r="L2" s="107" t="n"/>
      <c r="M2" s="107" t="n"/>
      <c r="N2" s="77">
        <f>SUM(RobotDesignResults[[#This Row],[Identify - Strategy]:[Communicate - Fun (CV)]])</f>
        <v/>
      </c>
      <c r="O2" s="70">
        <f>_xlfn.RANK.EQ(RobotDesignResults[[#This Row],[Robot Design Score]],RobotDesignResults[Robot Design Score],0)</f>
        <v/>
      </c>
    </row>
    <row r="3" ht="21" customHeight="1">
      <c r="A3" s="104" t="n">
        <v>62149</v>
      </c>
      <c r="B3" s="104">
        <f>INDEX(OfficialTeamList[Pod Number],MATCH(RobotDesignResults[[#This Row],[Team Number]], OfficialTeamList[Team '#],0))</f>
        <v/>
      </c>
      <c r="C3" s="106">
        <f>INDEX(OfficialTeamList[Team Name],MATCH(RobotDesignResults[[#This Row],[Team Number]], OfficialTeamList[Team '#],0))</f>
        <v/>
      </c>
      <c r="D3" s="107" t="n"/>
      <c r="E3" s="107" t="n"/>
      <c r="F3" s="107" t="n"/>
      <c r="G3" s="107" t="n"/>
      <c r="H3" s="107" t="n"/>
      <c r="I3" s="107" t="n"/>
      <c r="J3" s="107" t="n"/>
      <c r="K3" s="107" t="n"/>
      <c r="L3" s="107" t="n"/>
      <c r="M3" s="107" t="n"/>
      <c r="N3" s="77">
        <f>SUM(RobotDesignResults[[#This Row],[Identify - Strategy]:[Communicate - Fun (CV)]])</f>
        <v/>
      </c>
      <c r="O3" s="70">
        <f>_xlfn.RANK.EQ(RobotDesignResults[[#This Row],[Robot Design Score]],RobotDesignResults[Robot Design Score],0)</f>
        <v/>
      </c>
    </row>
    <row r="4" ht="21" customHeight="1">
      <c r="A4" s="104" t="n">
        <v>62706</v>
      </c>
      <c r="B4" s="104">
        <f>INDEX(OfficialTeamList[Pod Number],MATCH(RobotDesignResults[[#This Row],[Team Number]], OfficialTeamList[Team '#],0))</f>
        <v/>
      </c>
      <c r="C4" s="106">
        <f>INDEX(OfficialTeamList[Team Name],MATCH(RobotDesignResults[[#This Row],[Team Number]], OfficialTeamList[Team '#],0))</f>
        <v/>
      </c>
      <c r="D4" s="107" t="n"/>
      <c r="E4" s="107" t="n"/>
      <c r="F4" s="107" t="n"/>
      <c r="G4" s="107" t="n"/>
      <c r="H4" s="107" t="n"/>
      <c r="I4" s="107" t="n"/>
      <c r="J4" s="107" t="n"/>
      <c r="K4" s="107" t="n"/>
      <c r="L4" s="107" t="n"/>
      <c r="M4" s="107" t="n"/>
      <c r="N4" s="77">
        <f>SUM(RobotDesignResults[[#This Row],[Identify - Strategy]:[Communicate - Fun (CV)]])</f>
        <v/>
      </c>
      <c r="O4" s="70">
        <f>_xlfn.RANK.EQ(RobotDesignResults[[#This Row],[Robot Design Score]],RobotDesignResults[Robot Design Score],0)</f>
        <v/>
      </c>
    </row>
    <row r="5" ht="21" customHeight="1">
      <c r="A5" s="104" t="n">
        <v>73002</v>
      </c>
      <c r="B5" s="104">
        <f>INDEX(OfficialTeamList[Pod Number],MATCH(RobotDesignResults[[#This Row],[Team Number]], OfficialTeamList[Team '#],0))</f>
        <v/>
      </c>
      <c r="C5" s="106">
        <f>INDEX(OfficialTeamList[Team Name],MATCH(RobotDesignResults[[#This Row],[Team Number]], OfficialTeamList[Team '#],0))</f>
        <v/>
      </c>
      <c r="D5" s="107" t="n"/>
      <c r="E5" s="107" t="n"/>
      <c r="F5" s="107" t="n"/>
      <c r="G5" s="107" t="n"/>
      <c r="H5" s="107" t="n"/>
      <c r="I5" s="107" t="n"/>
      <c r="J5" s="107" t="n"/>
      <c r="K5" s="107" t="n"/>
      <c r="L5" s="107" t="n"/>
      <c r="M5" s="107" t="n"/>
      <c r="N5" s="77">
        <f>SUM(RobotDesignResults[[#This Row],[Identify - Strategy]:[Communicate - Fun (CV)]])</f>
        <v/>
      </c>
      <c r="O5" s="70">
        <f>_xlfn.RANK.EQ(RobotDesignResults[[#This Row],[Robot Design Score]],RobotDesignResults[Robot Design Score],0)</f>
        <v/>
      </c>
    </row>
    <row r="6" ht="21" customHeight="1">
      <c r="A6" s="104" t="n">
        <v>73106</v>
      </c>
      <c r="B6" s="104">
        <f>INDEX(OfficialTeamList[Pod Number],MATCH(RobotDesignResults[[#This Row],[Team Number]], OfficialTeamList[Team '#],0))</f>
        <v/>
      </c>
      <c r="C6" s="106">
        <f>INDEX(OfficialTeamList[Team Name],MATCH(RobotDesignResults[[#This Row],[Team Number]], OfficialTeamList[Team '#],0))</f>
        <v/>
      </c>
      <c r="D6" s="107" t="n"/>
      <c r="E6" s="107" t="n"/>
      <c r="F6" s="107" t="n"/>
      <c r="G6" s="107" t="n"/>
      <c r="H6" s="107" t="n"/>
      <c r="I6" s="107" t="n"/>
      <c r="J6" s="107" t="n"/>
      <c r="K6" s="107" t="n"/>
      <c r="L6" s="107" t="n"/>
      <c r="M6" s="107" t="n"/>
      <c r="N6" s="77">
        <f>SUM(RobotDesignResults[[#This Row],[Identify - Strategy]:[Communicate - Fun (CV)]])</f>
        <v/>
      </c>
      <c r="O6" s="70">
        <f>_xlfn.RANK.EQ(RobotDesignResults[[#This Row],[Robot Design Score]],RobotDesignResults[Robot Design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Robot Design Input</oddHeader>
    <oddFooter/>
    <evenHeader/>
    <evenFooter/>
    <firstHeader/>
    <firstFooter/>
  </headerFooter>
  <tableParts count="1">
    <tablePart xmlns:r="http://schemas.openxmlformats.org/officeDocument/2006/relationships" r:id="rId1"/>
  </tableParts>
</worksheet>
</file>

<file path=xl/worksheets/sheet12.xml><?xml version="1.0" encoding="utf-8"?>
<worksheet xmlns="http://schemas.openxmlformats.org/spreadsheetml/2006/main">
  <sheetPr codeName="Sheet6">
    <tabColor rgb="FFFF0000"/>
    <outlinePr summaryBelow="1" summaryRight="1"/>
    <pageSetUpPr fitToPage="1"/>
  </sheetPr>
  <dimension ref="A1:T6"/>
  <sheetViews>
    <sheetView zoomScaleNormal="100" zoomScalePageLayoutView="140" workbookViewId="0">
      <pane ySplit="1" topLeftCell="A2" activePane="bottomLeft" state="frozen"/>
      <selection pane="bottomLeft" activeCell="A2" sqref="A2"/>
    </sheetView>
  </sheetViews>
  <sheetFormatPr baseColWidth="8" defaultColWidth="8.42578125" defaultRowHeight="30" customHeight="1"/>
  <cols>
    <col width="16.7109375" customWidth="1" min="1" max="1"/>
    <col width="8.7109375" customWidth="1" min="2" max="2"/>
    <col width="32.7109375" customWidth="1" min="3" max="3"/>
    <col width="7" customWidth="1" style="41" min="4" max="4"/>
    <col width="5.85546875" customWidth="1" style="41" min="5" max="6"/>
    <col width="6.28515625" customWidth="1" style="41" min="7" max="7"/>
    <col width="5.85546875" customWidth="1" style="41" min="8" max="13"/>
    <col width="8.28515625" bestFit="1" customWidth="1" min="14" max="14"/>
    <col width="7.42578125" customWidth="1" min="15" max="18"/>
    <col width="10.42578125" customWidth="1" min="19" max="19"/>
    <col width="15.42578125" customWidth="1" min="20" max="20"/>
  </cols>
  <sheetData>
    <row r="1" ht="150" customHeight="1">
      <c r="A1" s="55" t="inlineStr">
        <is>
          <t>Team Number</t>
        </is>
      </c>
      <c r="B1" s="55" t="inlineStr">
        <is>
          <t>POD</t>
        </is>
      </c>
      <c r="C1" s="56" t="inlineStr">
        <is>
          <t>Team Name</t>
        </is>
      </c>
      <c r="D1" s="65" t="inlineStr">
        <is>
          <t>Identify - Research (CV-IP)</t>
        </is>
      </c>
      <c r="E1" s="65" t="inlineStr">
        <is>
          <t>Design - Teamwork (CV-IP)</t>
        </is>
      </c>
      <c r="F1" s="65" t="inlineStr">
        <is>
          <t>Create - Innovation (CV-IP)</t>
        </is>
      </c>
      <c r="G1" s="65" t="inlineStr">
        <is>
          <t>Communicate - Impact (CV-IP)</t>
        </is>
      </c>
      <c r="H1" s="65" t="inlineStr">
        <is>
          <t>Communicate - Fun (CV-IP)</t>
        </is>
      </c>
      <c r="I1" s="65" t="inlineStr">
        <is>
          <t>Identify - Research (CV-RD)</t>
        </is>
      </c>
      <c r="J1" s="65" t="inlineStr">
        <is>
          <t>Design - Ideas (CV-RD)</t>
        </is>
      </c>
      <c r="K1" s="65" t="inlineStr">
        <is>
          <t>Iterate - Improvements (CV-RD)</t>
        </is>
      </c>
      <c r="L1" s="65" t="inlineStr">
        <is>
          <t>Communicate - Impact (CV-RD)</t>
        </is>
      </c>
      <c r="M1" s="65" t="inlineStr">
        <is>
          <t>Communicate - Fun (CV-RD)</t>
        </is>
      </c>
      <c r="N1" s="66" t="inlineStr">
        <is>
          <t>Gracious Professionalism 1</t>
        </is>
      </c>
      <c r="O1" s="66" t="inlineStr">
        <is>
          <t>Gracious Professionalism 2</t>
        </is>
      </c>
      <c r="P1" s="66" t="inlineStr">
        <is>
          <t>Gracious Professionalism 3</t>
        </is>
      </c>
      <c r="Q1" s="66" t="inlineStr">
        <is>
          <t>Gracious Professionalism Total</t>
        </is>
      </c>
      <c r="R1" s="67" t="inlineStr">
        <is>
          <t>Gracious Professionalism Score</t>
        </is>
      </c>
      <c r="S1" s="67" t="inlineStr">
        <is>
          <t>Core Values Score</t>
        </is>
      </c>
      <c r="T1" s="67" t="inlineStr">
        <is>
          <t>Core Values Rank</t>
        </is>
      </c>
    </row>
    <row r="2" ht="21" customHeight="1">
      <c r="A2" s="104" t="n">
        <v>9021</v>
      </c>
      <c r="B2" s="104">
        <f>INDEX(OfficialTeamList[Pod Number],MATCH(CoreValuesResults[[#This Row],[Team Number]], OfficialTeamList[Team '#],0))</f>
        <v/>
      </c>
      <c r="C2" s="106">
        <f>INDEX(OfficialTeamList[Team Name],MATCH(CoreValuesResults[[#This Row],[Team Number]], OfficialTeamList[Team '#],0))</f>
        <v/>
      </c>
      <c r="D2" s="71">
        <f>INDEX(InnovationProjectResults[Identify - Research (CV)],MATCH(CoreValuesResults[[#This Row],[Team Number]],InnovationProjectResults[Team Number],0))</f>
        <v/>
      </c>
      <c r="E2" s="71">
        <f>INDEX(InnovationProjectResults[Design - Teamwork (CV)],MATCH(CoreValuesResults[[#This Row],[Team Number]],InnovationProjectResults[Team Number],0))</f>
        <v/>
      </c>
      <c r="F2" s="71">
        <f>INDEX(InnovationProjectResults[Create - Innovation (CV)],MATCH(CoreValuesResults[[#This Row],[Team Number]],InnovationProjectResults[Team Number],0))</f>
        <v/>
      </c>
      <c r="G2" s="71">
        <f>INDEX(InnovationProjectResults[Communicate - Impact (CV)],MATCH(CoreValuesResults[[#This Row],[Team Number]],InnovationProjectResults[Team Number],0))</f>
        <v/>
      </c>
      <c r="H2" s="71">
        <f>INDEX(InnovationProjectResults[Communicate - Fun (CV)],MATCH(CoreValuesResults[[#This Row],[Team Number]],InnovationProjectResults[Team Number],0))</f>
        <v/>
      </c>
      <c r="I2" s="71">
        <f>INDEX(RobotDesignResults[Identify - Research (CV)],MATCH(CoreValuesResults[[#This Row],[Team Number]],RobotDesignResults[Team Number],0))</f>
        <v/>
      </c>
      <c r="J2" s="71">
        <f>INDEX(RobotDesignResults[Design - Ideas (CV)],MATCH(CoreValuesResults[[#This Row],[Team Number]],RobotDesignResults[Team Number],0))</f>
        <v/>
      </c>
      <c r="K2" s="71">
        <f>INDEX(RobotDesignResults[Iterate - Improvements (CV)],MATCH(CoreValuesResults[[#This Row],[Team Number]],RobotDesignResults[Team Number],0))</f>
        <v/>
      </c>
      <c r="L2" s="71">
        <f>INDEX(RobotDesignResults[Communicate - Impact (CV)],MATCH(CoreValuesResults[[#This Row],[Team Number]],RobotDesignResults[Team Number],0))</f>
        <v/>
      </c>
      <c r="M2" s="71">
        <f>INDEX(RobotDesignResults[Communicate - Fun (CV)],MATCH(CoreValuesResults[[#This Row],[Team Number]],RobotDesignResults[Team Number],0))</f>
        <v/>
      </c>
      <c r="N2" s="78" t="n"/>
      <c r="O2" s="78" t="n"/>
      <c r="P2" s="78" t="n"/>
      <c r="Q2" s="104">
        <f>SUM(CoreValuesResults[[#This Row],[Gracious Professionalism 1]:[Gracious Professionalism 3]])</f>
        <v/>
      </c>
      <c r="R2" s="104">
        <f>SUM(N2:Q2)</f>
        <v/>
      </c>
      <c r="S2" s="77">
        <f>SUM(CoreValuesResults[[#This Row],[Identify - Research (CV-IP)]:[Communicate - Fun (CV-RD)]],CoreValuesResults[[#This Row],[Gracious Professionalism Score]])</f>
        <v/>
      </c>
      <c r="T2" s="70">
        <f>_xlfn.RANK.EQ(CoreValuesResults[[#This Row],[Core Values Score]],CoreValuesResults[Core Values Score],0)</f>
        <v/>
      </c>
    </row>
    <row r="3" ht="21" customHeight="1">
      <c r="A3" s="104" t="n">
        <v>62149</v>
      </c>
      <c r="B3" s="104">
        <f>INDEX(OfficialTeamList[Pod Number],MATCH(CoreValuesResults[[#This Row],[Team Number]], OfficialTeamList[Team '#],0))</f>
        <v/>
      </c>
      <c r="C3" s="106">
        <f>INDEX(OfficialTeamList[Team Name],MATCH(CoreValuesResults[[#This Row],[Team Number]], OfficialTeamList[Team '#],0))</f>
        <v/>
      </c>
      <c r="D3" s="71">
        <f>INDEX(InnovationProjectResults[Identify - Research (CV)],MATCH(CoreValuesResults[[#This Row],[Team Number]],InnovationProjectResults[Team Number],0))</f>
        <v/>
      </c>
      <c r="E3" s="71">
        <f>INDEX(InnovationProjectResults[Design - Teamwork (CV)],MATCH(CoreValuesResults[[#This Row],[Team Number]],InnovationProjectResults[Team Number],0))</f>
        <v/>
      </c>
      <c r="F3" s="71">
        <f>INDEX(InnovationProjectResults[Create - Innovation (CV)],MATCH(CoreValuesResults[[#This Row],[Team Number]],InnovationProjectResults[Team Number],0))</f>
        <v/>
      </c>
      <c r="G3" s="71">
        <f>INDEX(InnovationProjectResults[Communicate - Impact (CV)],MATCH(CoreValuesResults[[#This Row],[Team Number]],InnovationProjectResults[Team Number],0))</f>
        <v/>
      </c>
      <c r="H3" s="71">
        <f>INDEX(InnovationProjectResults[Communicate - Fun (CV)],MATCH(CoreValuesResults[[#This Row],[Team Number]],InnovationProjectResults[Team Number],0))</f>
        <v/>
      </c>
      <c r="I3" s="71">
        <f>INDEX(RobotDesignResults[Identify - Research (CV)],MATCH(CoreValuesResults[[#This Row],[Team Number]],RobotDesignResults[Team Number],0))</f>
        <v/>
      </c>
      <c r="J3" s="71">
        <f>INDEX(RobotDesignResults[Design - Ideas (CV)],MATCH(CoreValuesResults[[#This Row],[Team Number]],RobotDesignResults[Team Number],0))</f>
        <v/>
      </c>
      <c r="K3" s="71">
        <f>INDEX(RobotDesignResults[Iterate - Improvements (CV)],MATCH(CoreValuesResults[[#This Row],[Team Number]],RobotDesignResults[Team Number],0))</f>
        <v/>
      </c>
      <c r="L3" s="71">
        <f>INDEX(RobotDesignResults[Communicate - Impact (CV)],MATCH(CoreValuesResults[[#This Row],[Team Number]],RobotDesignResults[Team Number],0))</f>
        <v/>
      </c>
      <c r="M3" s="71">
        <f>INDEX(RobotDesignResults[Communicate - Fun (CV)],MATCH(CoreValuesResults[[#This Row],[Team Number]],RobotDesignResults[Team Number],0))</f>
        <v/>
      </c>
      <c r="N3" s="78" t="n"/>
      <c r="O3" s="78" t="n"/>
      <c r="P3" s="78" t="n"/>
      <c r="Q3" s="104">
        <f>SUM(CoreValuesResults[[#This Row],[Gracious Professionalism 1]:[Gracious Professionalism 3]])</f>
        <v/>
      </c>
      <c r="R3" s="104">
        <f>SUM(N2:Q2)</f>
        <v/>
      </c>
      <c r="S3" s="77">
        <f>SUM(CoreValuesResults[[#This Row],[Identify - Research (CV-IP)]:[Communicate - Fun (CV-RD)]],CoreValuesResults[[#This Row],[Gracious Professionalism Score]])</f>
        <v/>
      </c>
      <c r="T3" s="70">
        <f>_xlfn.RANK.EQ(CoreValuesResults[[#This Row],[Core Values Score]],CoreValuesResults[Core Values Score],0)</f>
        <v/>
      </c>
    </row>
    <row r="4" ht="21" customHeight="1">
      <c r="A4" s="104" t="n">
        <v>62706</v>
      </c>
      <c r="B4" s="104">
        <f>INDEX(OfficialTeamList[Pod Number],MATCH(CoreValuesResults[[#This Row],[Team Number]], OfficialTeamList[Team '#],0))</f>
        <v/>
      </c>
      <c r="C4" s="106">
        <f>INDEX(OfficialTeamList[Team Name],MATCH(CoreValuesResults[[#This Row],[Team Number]], OfficialTeamList[Team '#],0))</f>
        <v/>
      </c>
      <c r="D4" s="71">
        <f>INDEX(InnovationProjectResults[Identify - Research (CV)],MATCH(CoreValuesResults[[#This Row],[Team Number]],InnovationProjectResults[Team Number],0))</f>
        <v/>
      </c>
      <c r="E4" s="71">
        <f>INDEX(InnovationProjectResults[Design - Teamwork (CV)],MATCH(CoreValuesResults[[#This Row],[Team Number]],InnovationProjectResults[Team Number],0))</f>
        <v/>
      </c>
      <c r="F4" s="71">
        <f>INDEX(InnovationProjectResults[Create - Innovation (CV)],MATCH(CoreValuesResults[[#This Row],[Team Number]],InnovationProjectResults[Team Number],0))</f>
        <v/>
      </c>
      <c r="G4" s="71">
        <f>INDEX(InnovationProjectResults[Communicate - Impact (CV)],MATCH(CoreValuesResults[[#This Row],[Team Number]],InnovationProjectResults[Team Number],0))</f>
        <v/>
      </c>
      <c r="H4" s="71">
        <f>INDEX(InnovationProjectResults[Communicate - Fun (CV)],MATCH(CoreValuesResults[[#This Row],[Team Number]],InnovationProjectResults[Team Number],0))</f>
        <v/>
      </c>
      <c r="I4" s="71">
        <f>INDEX(RobotDesignResults[Identify - Research (CV)],MATCH(CoreValuesResults[[#This Row],[Team Number]],RobotDesignResults[Team Number],0))</f>
        <v/>
      </c>
      <c r="J4" s="71">
        <f>INDEX(RobotDesignResults[Design - Ideas (CV)],MATCH(CoreValuesResults[[#This Row],[Team Number]],RobotDesignResults[Team Number],0))</f>
        <v/>
      </c>
      <c r="K4" s="71">
        <f>INDEX(RobotDesignResults[Iterate - Improvements (CV)],MATCH(CoreValuesResults[[#This Row],[Team Number]],RobotDesignResults[Team Number],0))</f>
        <v/>
      </c>
      <c r="L4" s="71">
        <f>INDEX(RobotDesignResults[Communicate - Impact (CV)],MATCH(CoreValuesResults[[#This Row],[Team Number]],RobotDesignResults[Team Number],0))</f>
        <v/>
      </c>
      <c r="M4" s="71">
        <f>INDEX(RobotDesignResults[Communicate - Fun (CV)],MATCH(CoreValuesResults[[#This Row],[Team Number]],RobotDesignResults[Team Number],0))</f>
        <v/>
      </c>
      <c r="N4" s="78" t="n"/>
      <c r="O4" s="78" t="n"/>
      <c r="P4" s="78" t="n"/>
      <c r="Q4" s="104">
        <f>SUM(CoreValuesResults[[#This Row],[Gracious Professionalism 1]:[Gracious Professionalism 3]])</f>
        <v/>
      </c>
      <c r="R4" s="104">
        <f>SUM(N2:Q2)</f>
        <v/>
      </c>
      <c r="S4" s="77">
        <f>SUM(CoreValuesResults[[#This Row],[Identify - Research (CV-IP)]:[Communicate - Fun (CV-RD)]],CoreValuesResults[[#This Row],[Gracious Professionalism Score]])</f>
        <v/>
      </c>
      <c r="T4" s="70">
        <f>_xlfn.RANK.EQ(CoreValuesResults[[#This Row],[Core Values Score]],CoreValuesResults[Core Values Score],0)</f>
        <v/>
      </c>
    </row>
    <row r="5" ht="21" customHeight="1">
      <c r="A5" s="104" t="n">
        <v>73002</v>
      </c>
      <c r="B5" s="104">
        <f>INDEX(OfficialTeamList[Pod Number],MATCH(CoreValuesResults[[#This Row],[Team Number]], OfficialTeamList[Team '#],0))</f>
        <v/>
      </c>
      <c r="C5" s="106">
        <f>INDEX(OfficialTeamList[Team Name],MATCH(CoreValuesResults[[#This Row],[Team Number]], OfficialTeamList[Team '#],0))</f>
        <v/>
      </c>
      <c r="D5" s="71">
        <f>INDEX(InnovationProjectResults[Identify - Research (CV)],MATCH(CoreValuesResults[[#This Row],[Team Number]],InnovationProjectResults[Team Number],0))</f>
        <v/>
      </c>
      <c r="E5" s="71">
        <f>INDEX(InnovationProjectResults[Design - Teamwork (CV)],MATCH(CoreValuesResults[[#This Row],[Team Number]],InnovationProjectResults[Team Number],0))</f>
        <v/>
      </c>
      <c r="F5" s="71">
        <f>INDEX(InnovationProjectResults[Create - Innovation (CV)],MATCH(CoreValuesResults[[#This Row],[Team Number]],InnovationProjectResults[Team Number],0))</f>
        <v/>
      </c>
      <c r="G5" s="71">
        <f>INDEX(InnovationProjectResults[Communicate - Impact (CV)],MATCH(CoreValuesResults[[#This Row],[Team Number]],InnovationProjectResults[Team Number],0))</f>
        <v/>
      </c>
      <c r="H5" s="71">
        <f>INDEX(InnovationProjectResults[Communicate - Fun (CV)],MATCH(CoreValuesResults[[#This Row],[Team Number]],InnovationProjectResults[Team Number],0))</f>
        <v/>
      </c>
      <c r="I5" s="71">
        <f>INDEX(RobotDesignResults[Identify - Research (CV)],MATCH(CoreValuesResults[[#This Row],[Team Number]],RobotDesignResults[Team Number],0))</f>
        <v/>
      </c>
      <c r="J5" s="71">
        <f>INDEX(RobotDesignResults[Design - Ideas (CV)],MATCH(CoreValuesResults[[#This Row],[Team Number]],RobotDesignResults[Team Number],0))</f>
        <v/>
      </c>
      <c r="K5" s="71">
        <f>INDEX(RobotDesignResults[Iterate - Improvements (CV)],MATCH(CoreValuesResults[[#This Row],[Team Number]],RobotDesignResults[Team Number],0))</f>
        <v/>
      </c>
      <c r="L5" s="71">
        <f>INDEX(RobotDesignResults[Communicate - Impact (CV)],MATCH(CoreValuesResults[[#This Row],[Team Number]],RobotDesignResults[Team Number],0))</f>
        <v/>
      </c>
      <c r="M5" s="71">
        <f>INDEX(RobotDesignResults[Communicate - Fun (CV)],MATCH(CoreValuesResults[[#This Row],[Team Number]],RobotDesignResults[Team Number],0))</f>
        <v/>
      </c>
      <c r="N5" s="78" t="n"/>
      <c r="O5" s="78" t="n"/>
      <c r="P5" s="78" t="n"/>
      <c r="Q5" s="104">
        <f>SUM(CoreValuesResults[[#This Row],[Gracious Professionalism 1]:[Gracious Professionalism 3]])</f>
        <v/>
      </c>
      <c r="R5" s="104">
        <f>SUM(N2:Q2)</f>
        <v/>
      </c>
      <c r="S5" s="77">
        <f>SUM(CoreValuesResults[[#This Row],[Identify - Research (CV-IP)]:[Communicate - Fun (CV-RD)]],CoreValuesResults[[#This Row],[Gracious Professionalism Score]])</f>
        <v/>
      </c>
      <c r="T5" s="70">
        <f>_xlfn.RANK.EQ(CoreValuesResults[[#This Row],[Core Values Score]],CoreValuesResults[Core Values Score],0)</f>
        <v/>
      </c>
    </row>
    <row r="6" ht="21" customHeight="1">
      <c r="A6" s="104" t="n">
        <v>73106</v>
      </c>
      <c r="B6" s="104">
        <f>INDEX(OfficialTeamList[Pod Number],MATCH(CoreValuesResults[[#This Row],[Team Number]], OfficialTeamList[Team '#],0))</f>
        <v/>
      </c>
      <c r="C6" s="106">
        <f>INDEX(OfficialTeamList[Team Name],MATCH(CoreValuesResults[[#This Row],[Team Number]], OfficialTeamList[Team '#],0))</f>
        <v/>
      </c>
      <c r="D6" s="71">
        <f>INDEX(InnovationProjectResults[Identify - Research (CV)],MATCH(CoreValuesResults[[#This Row],[Team Number]],InnovationProjectResults[Team Number],0))</f>
        <v/>
      </c>
      <c r="E6" s="71">
        <f>INDEX(InnovationProjectResults[Design - Teamwork (CV)],MATCH(CoreValuesResults[[#This Row],[Team Number]],InnovationProjectResults[Team Number],0))</f>
        <v/>
      </c>
      <c r="F6" s="71">
        <f>INDEX(InnovationProjectResults[Create - Innovation (CV)],MATCH(CoreValuesResults[[#This Row],[Team Number]],InnovationProjectResults[Team Number],0))</f>
        <v/>
      </c>
      <c r="G6" s="71">
        <f>INDEX(InnovationProjectResults[Communicate - Impact (CV)],MATCH(CoreValuesResults[[#This Row],[Team Number]],InnovationProjectResults[Team Number],0))</f>
        <v/>
      </c>
      <c r="H6" s="71">
        <f>INDEX(InnovationProjectResults[Communicate - Fun (CV)],MATCH(CoreValuesResults[[#This Row],[Team Number]],InnovationProjectResults[Team Number],0))</f>
        <v/>
      </c>
      <c r="I6" s="71">
        <f>INDEX(RobotDesignResults[Identify - Research (CV)],MATCH(CoreValuesResults[[#This Row],[Team Number]],RobotDesignResults[Team Number],0))</f>
        <v/>
      </c>
      <c r="J6" s="71">
        <f>INDEX(RobotDesignResults[Design - Ideas (CV)],MATCH(CoreValuesResults[[#This Row],[Team Number]],RobotDesignResults[Team Number],0))</f>
        <v/>
      </c>
      <c r="K6" s="71">
        <f>INDEX(RobotDesignResults[Iterate - Improvements (CV)],MATCH(CoreValuesResults[[#This Row],[Team Number]],RobotDesignResults[Team Number],0))</f>
        <v/>
      </c>
      <c r="L6" s="71">
        <f>INDEX(RobotDesignResults[Communicate - Impact (CV)],MATCH(CoreValuesResults[[#This Row],[Team Number]],RobotDesignResults[Team Number],0))</f>
        <v/>
      </c>
      <c r="M6" s="71">
        <f>INDEX(RobotDesignResults[Communicate - Fun (CV)],MATCH(CoreValuesResults[[#This Row],[Team Number]],RobotDesignResults[Team Number],0))</f>
        <v/>
      </c>
      <c r="N6" s="78" t="n"/>
      <c r="O6" s="78" t="n"/>
      <c r="P6" s="78" t="n"/>
      <c r="Q6" s="104">
        <f>SUM(CoreValuesResults[[#This Row],[Gracious Professionalism 1]:[Gracious Professionalism 3]])</f>
        <v/>
      </c>
      <c r="R6" s="104">
        <f>SUM(N2:Q2)</f>
        <v/>
      </c>
      <c r="S6" s="77">
        <f>SUM(CoreValuesResults[[#This Row],[Identify - Research (CV-IP)]:[Communicate - Fun (CV-RD)]],CoreValuesResults[[#This Row],[Gracious Professionalism Score]])</f>
        <v/>
      </c>
      <c r="T6" s="70">
        <f>_xlfn.RANK.EQ(CoreValuesResults[[#This Row],[Core Values Score]],CoreValuesResults[Core Values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50" fitToHeight="0" horizontalDpi="1200" verticalDpi="1200"/>
  <headerFooter>
    <oddHeader>&amp;C&amp;"-,Bold"&amp;36 Core Values Input</oddHeader>
    <oddFooter/>
    <evenHeader/>
    <evenFooter/>
    <firstHeader/>
    <firstFooter/>
  </headerFooter>
  <tableParts count="1">
    <tablePart xmlns:r="http://schemas.openxmlformats.org/officeDocument/2006/relationships" r:id="rId1"/>
  </tableParts>
</worksheet>
</file>

<file path=xl/worksheets/sheet13.xml><?xml version="1.0" encoding="utf-8"?>
<worksheet xmlns="http://schemas.openxmlformats.org/spreadsheetml/2006/main">
  <sheetPr codeName="Sheet5">
    <outlinePr summaryBelow="1" summaryRight="1"/>
    <pageSetUpPr/>
  </sheetPr>
  <dimension ref="A1:H61"/>
  <sheetViews>
    <sheetView workbookViewId="0">
      <selection activeCell="E1" sqref="E1"/>
    </sheetView>
  </sheetViews>
  <sheetFormatPr baseColWidth="8" defaultColWidth="10.85546875" defaultRowHeight="15"/>
  <sheetData>
    <row r="1">
      <c r="A1" s="26" t="inlineStr">
        <is>
          <t>rank</t>
        </is>
      </c>
      <c r="B1" s="26" t="inlineStr">
        <is>
          <t>team</t>
        </is>
      </c>
      <c r="C1" s="26" t="inlineStr">
        <is>
          <t>total</t>
        </is>
      </c>
      <c r="D1" s="26" t="n">
        <v>1</v>
      </c>
      <c r="E1" s="26" t="n">
        <v>2</v>
      </c>
      <c r="F1" s="26" t="n">
        <v>3</v>
      </c>
      <c r="G1" s="26" t="n">
        <v>4</v>
      </c>
      <c r="H1" s="26" t="n">
        <v>5</v>
      </c>
    </row>
    <row r="2">
      <c r="A2" s="26" t="n"/>
      <c r="B2" s="26" t="n"/>
      <c r="C2" s="26" t="n"/>
      <c r="D2" s="26" t="n"/>
      <c r="E2" s="26" t="n"/>
      <c r="F2" s="26" t="n"/>
      <c r="G2" s="26" t="n"/>
      <c r="H2" s="26" t="n"/>
    </row>
    <row r="3">
      <c r="A3" s="26" t="n"/>
      <c r="B3" s="26" t="n"/>
      <c r="C3" s="26" t="n"/>
      <c r="D3" s="26" t="n"/>
      <c r="E3" s="26" t="n"/>
      <c r="F3" s="26" t="n"/>
      <c r="G3" s="26" t="n"/>
      <c r="H3" s="26" t="n"/>
    </row>
    <row r="4">
      <c r="A4" s="26" t="n"/>
      <c r="B4" s="26" t="n"/>
      <c r="C4" s="26" t="n"/>
      <c r="D4" s="26" t="n"/>
      <c r="E4" s="26" t="n"/>
      <c r="F4" s="26" t="n"/>
      <c r="G4" s="26" t="n"/>
      <c r="H4" s="26" t="n"/>
    </row>
    <row r="5">
      <c r="A5" s="26" t="n"/>
      <c r="B5" s="26" t="n"/>
      <c r="C5" s="26" t="n"/>
      <c r="D5" s="26" t="n"/>
      <c r="E5" s="26" t="n"/>
      <c r="F5" s="26" t="n"/>
      <c r="G5" s="26" t="n"/>
      <c r="H5" s="26" t="n"/>
    </row>
    <row r="6">
      <c r="A6" s="26" t="n"/>
      <c r="B6" s="26" t="n"/>
      <c r="C6" s="26" t="n"/>
      <c r="D6" s="26" t="n"/>
      <c r="E6" s="26" t="n"/>
      <c r="F6" s="26" t="n"/>
      <c r="G6" s="26" t="n"/>
      <c r="H6" s="26" t="n"/>
    </row>
    <row r="7">
      <c r="A7" s="26" t="n"/>
      <c r="B7" s="26" t="n"/>
      <c r="C7" s="26" t="n"/>
      <c r="D7" s="26" t="n"/>
      <c r="E7" s="26" t="n"/>
      <c r="F7" s="26" t="n"/>
      <c r="G7" s="26" t="n"/>
      <c r="H7" s="26" t="n"/>
    </row>
    <row r="8">
      <c r="A8" s="26" t="n"/>
      <c r="B8" s="26" t="n"/>
      <c r="C8" s="26" t="n"/>
      <c r="D8" s="26" t="n"/>
      <c r="E8" s="26" t="n"/>
      <c r="F8" s="26" t="n"/>
      <c r="G8" s="26" t="n"/>
      <c r="H8" s="26" t="n"/>
    </row>
    <row r="9">
      <c r="A9" s="26" t="n"/>
      <c r="B9" s="26" t="n"/>
      <c r="C9" s="26" t="n"/>
      <c r="D9" s="26" t="n"/>
      <c r="E9" s="26" t="n"/>
      <c r="F9" s="26" t="n"/>
      <c r="G9" s="26" t="n"/>
      <c r="H9" s="26" t="n"/>
    </row>
    <row r="10">
      <c r="A10" s="26" t="n"/>
      <c r="B10" s="26" t="n"/>
      <c r="C10" s="26" t="n"/>
      <c r="D10" s="26" t="n"/>
      <c r="E10" s="26" t="n"/>
      <c r="F10" s="26" t="n"/>
      <c r="G10" s="26" t="n"/>
      <c r="H10" s="26" t="n"/>
    </row>
    <row r="11">
      <c r="A11" s="26" t="n"/>
      <c r="B11" s="26" t="n"/>
      <c r="C11" s="26" t="n"/>
      <c r="D11" s="26" t="n"/>
      <c r="E11" s="26" t="n"/>
      <c r="F11" s="26" t="n"/>
      <c r="G11" s="26" t="n"/>
      <c r="H11" s="26" t="n"/>
    </row>
    <row r="12">
      <c r="A12" s="26" t="n"/>
      <c r="B12" s="26" t="n"/>
      <c r="C12" s="26" t="n"/>
      <c r="D12" s="26" t="n"/>
      <c r="E12" s="26" t="n"/>
      <c r="F12" s="26" t="n"/>
      <c r="G12" s="26" t="n"/>
      <c r="H12" s="26" t="n"/>
    </row>
    <row r="13">
      <c r="A13" s="26" t="n"/>
      <c r="B13" s="26" t="n"/>
      <c r="C13" s="26" t="n"/>
      <c r="D13" s="26" t="n"/>
      <c r="E13" s="26" t="n"/>
      <c r="F13" s="26" t="n"/>
      <c r="G13" s="26" t="n"/>
      <c r="H13" s="26" t="n"/>
    </row>
    <row r="14">
      <c r="A14" s="26" t="n"/>
      <c r="B14" s="26" t="n"/>
      <c r="C14" s="26" t="n"/>
      <c r="D14" s="26" t="n"/>
      <c r="E14" s="26" t="n"/>
      <c r="F14" s="26" t="n"/>
      <c r="G14" s="26" t="n"/>
      <c r="H14" s="26" t="n"/>
    </row>
    <row r="15">
      <c r="A15" s="26" t="n"/>
      <c r="B15" s="26" t="n"/>
      <c r="C15" s="26" t="n"/>
      <c r="D15" s="26" t="n"/>
      <c r="E15" s="26" t="n"/>
      <c r="F15" s="26" t="n"/>
      <c r="G15" s="26" t="n"/>
      <c r="H15" s="26" t="n"/>
    </row>
    <row r="16">
      <c r="A16" s="26" t="n"/>
      <c r="B16" s="26" t="n"/>
      <c r="C16" s="26" t="n"/>
      <c r="D16" s="26" t="n"/>
      <c r="E16" s="26" t="n"/>
      <c r="F16" s="26" t="n"/>
      <c r="G16" s="26" t="n"/>
      <c r="H16" s="26" t="n"/>
    </row>
    <row r="17">
      <c r="A17" s="26" t="n"/>
      <c r="B17" s="26" t="n"/>
      <c r="C17" s="26" t="n"/>
      <c r="D17" s="26" t="n"/>
      <c r="E17" s="26" t="n"/>
      <c r="F17" s="26" t="n"/>
      <c r="G17" s="26" t="n"/>
      <c r="H17" s="26" t="n"/>
    </row>
    <row r="18">
      <c r="A18" s="26" t="n"/>
      <c r="B18" s="26" t="n"/>
      <c r="C18" s="26" t="n"/>
      <c r="D18" s="26" t="n"/>
      <c r="E18" s="26" t="n"/>
      <c r="F18" s="26" t="n"/>
      <c r="G18" s="26" t="n"/>
      <c r="H18" s="26" t="n"/>
    </row>
    <row r="19">
      <c r="A19" s="26" t="n"/>
      <c r="B19" s="26" t="n"/>
      <c r="C19" s="26" t="n"/>
      <c r="D19" s="26" t="n"/>
      <c r="E19" s="26" t="n"/>
      <c r="F19" s="26" t="n"/>
      <c r="G19" s="26" t="n"/>
      <c r="H19" s="26" t="n"/>
    </row>
    <row r="20">
      <c r="A20" s="26" t="n"/>
      <c r="B20" s="26" t="n"/>
      <c r="C20" s="26" t="n"/>
      <c r="D20" s="26" t="n"/>
      <c r="E20" s="26" t="n"/>
      <c r="F20" s="26" t="n"/>
      <c r="G20" s="26" t="n"/>
      <c r="H20" s="26" t="n"/>
    </row>
    <row r="21">
      <c r="A21" s="26" t="n"/>
      <c r="B21" s="26" t="n"/>
      <c r="C21" s="26" t="n"/>
      <c r="D21" s="26" t="n"/>
      <c r="E21" s="26" t="n"/>
      <c r="F21" s="26" t="n"/>
      <c r="G21" s="26" t="n"/>
      <c r="H21" s="26" t="n"/>
    </row>
    <row r="22">
      <c r="A22" s="26" t="n"/>
      <c r="B22" s="26" t="n"/>
      <c r="C22" s="26" t="n"/>
      <c r="D22" s="26" t="n"/>
      <c r="E22" s="26" t="n"/>
      <c r="F22" s="26" t="n"/>
      <c r="G22" s="26" t="n"/>
      <c r="H22" s="26" t="n"/>
    </row>
    <row r="23">
      <c r="A23" s="26" t="n"/>
      <c r="B23" s="26" t="n"/>
      <c r="C23" s="26" t="n"/>
      <c r="D23" s="26" t="n"/>
      <c r="E23" s="26" t="n"/>
      <c r="F23" s="26" t="n"/>
      <c r="G23" s="26" t="n"/>
      <c r="H23" s="26" t="n"/>
    </row>
    <row r="24">
      <c r="A24" s="26" t="n"/>
      <c r="B24" s="26" t="n"/>
      <c r="C24" s="26" t="n"/>
      <c r="D24" s="26" t="n"/>
      <c r="E24" s="26" t="n"/>
      <c r="F24" s="26" t="n"/>
      <c r="G24" s="26" t="n"/>
      <c r="H24" s="26" t="n"/>
    </row>
    <row r="25">
      <c r="A25" s="26" t="n"/>
      <c r="B25" s="26" t="n"/>
      <c r="C25" s="26" t="n"/>
      <c r="D25" s="26" t="n"/>
      <c r="E25" s="26" t="n"/>
      <c r="F25" s="26" t="n"/>
      <c r="G25" s="26" t="n"/>
      <c r="H25" s="26" t="n"/>
    </row>
    <row r="26">
      <c r="A26" s="26" t="n"/>
      <c r="B26" s="26" t="n"/>
      <c r="C26" s="26" t="n"/>
      <c r="D26" s="26" t="n"/>
      <c r="E26" s="26" t="n"/>
      <c r="F26" s="26" t="n"/>
      <c r="G26" s="26" t="n"/>
      <c r="H26" s="26" t="n"/>
    </row>
    <row r="27">
      <c r="A27" s="26" t="n"/>
      <c r="B27" s="26" t="n"/>
      <c r="C27" s="26" t="n"/>
      <c r="D27" s="26" t="n"/>
      <c r="E27" s="26" t="n"/>
      <c r="F27" s="26" t="n"/>
      <c r="G27" s="26" t="n"/>
      <c r="H27" s="26" t="n"/>
    </row>
    <row r="28">
      <c r="A28" s="26" t="n"/>
      <c r="B28" s="26" t="n"/>
      <c r="C28" s="26" t="n"/>
      <c r="D28" s="26" t="n"/>
      <c r="E28" s="26" t="n"/>
      <c r="F28" s="26" t="n"/>
      <c r="G28" s="26" t="n"/>
      <c r="H28" s="26" t="n"/>
    </row>
    <row r="29">
      <c r="A29" s="26" t="n"/>
      <c r="B29" s="26" t="n"/>
      <c r="C29" s="26" t="n"/>
      <c r="D29" s="26" t="n"/>
      <c r="E29" s="26" t="n"/>
      <c r="F29" s="26" t="n"/>
      <c r="G29" s="26" t="n"/>
      <c r="H29" s="26" t="n"/>
    </row>
    <row r="30">
      <c r="A30" s="26" t="n"/>
      <c r="B30" s="26" t="n"/>
      <c r="C30" s="26" t="n"/>
      <c r="D30" s="26" t="n"/>
      <c r="E30" s="26" t="n"/>
      <c r="F30" s="26" t="n"/>
      <c r="G30" s="26" t="n"/>
      <c r="H30" s="26" t="n"/>
    </row>
    <row r="31">
      <c r="A31" s="26" t="n"/>
      <c r="B31" s="26" t="n"/>
      <c r="C31" s="26" t="n"/>
      <c r="D31" s="26" t="n"/>
      <c r="E31" s="26" t="n"/>
      <c r="F31" s="26" t="n"/>
      <c r="G31" s="26" t="n"/>
      <c r="H31" s="26" t="n"/>
    </row>
    <row r="32">
      <c r="A32" s="26" t="n"/>
      <c r="B32" s="26" t="n"/>
      <c r="C32" s="26" t="n"/>
      <c r="D32" s="26" t="n"/>
      <c r="E32" s="26" t="n"/>
      <c r="F32" s="26" t="n"/>
      <c r="G32" s="26" t="n"/>
      <c r="H32" s="26" t="n"/>
    </row>
    <row r="33">
      <c r="A33" s="26" t="n"/>
      <c r="B33" s="26" t="n"/>
      <c r="C33" s="26" t="n"/>
      <c r="D33" s="26" t="n"/>
      <c r="E33" s="26" t="n"/>
      <c r="F33" s="26" t="n"/>
      <c r="G33" s="26" t="n"/>
      <c r="H33" s="26" t="n"/>
    </row>
    <row r="34">
      <c r="A34" s="26" t="n"/>
      <c r="B34" s="26" t="n"/>
      <c r="C34" s="26" t="n"/>
      <c r="D34" s="26" t="n"/>
      <c r="E34" s="26" t="n"/>
      <c r="F34" s="26" t="n"/>
      <c r="G34" s="26" t="n"/>
      <c r="H34" s="26" t="n"/>
    </row>
    <row r="35">
      <c r="A35" s="26" t="n"/>
      <c r="B35" s="26" t="n"/>
      <c r="C35" s="26" t="n"/>
      <c r="D35" s="26" t="n"/>
      <c r="E35" s="26" t="n"/>
      <c r="F35" s="26" t="n"/>
      <c r="G35" s="26" t="n"/>
      <c r="H35" s="26" t="n"/>
    </row>
    <row r="36">
      <c r="A36" s="26" t="n"/>
      <c r="B36" s="26" t="n"/>
      <c r="C36" s="26" t="n"/>
      <c r="D36" s="26" t="n"/>
      <c r="E36" s="26" t="n"/>
      <c r="F36" s="26" t="n"/>
      <c r="G36" s="26" t="n"/>
      <c r="H36" s="26" t="n"/>
    </row>
    <row r="37">
      <c r="A37" s="26" t="n"/>
      <c r="B37" s="26" t="n"/>
      <c r="C37" s="26" t="n"/>
      <c r="D37" s="26" t="n"/>
      <c r="E37" s="26" t="n"/>
      <c r="F37" s="26" t="n"/>
      <c r="G37" s="26" t="n"/>
      <c r="H37" s="26" t="n"/>
    </row>
    <row r="38">
      <c r="A38" s="26" t="n"/>
      <c r="B38" s="26" t="n"/>
      <c r="C38" s="26" t="n"/>
      <c r="D38" s="26" t="n"/>
      <c r="E38" s="26" t="n"/>
      <c r="F38" s="26" t="n"/>
      <c r="G38" s="26" t="n"/>
      <c r="H38" s="26" t="n"/>
    </row>
    <row r="39">
      <c r="A39" s="26" t="n"/>
      <c r="B39" s="26" t="n"/>
      <c r="C39" s="26" t="n"/>
      <c r="D39" s="26" t="n"/>
      <c r="E39" s="26" t="n"/>
      <c r="F39" s="26" t="n"/>
      <c r="G39" s="26" t="n"/>
      <c r="H39" s="26" t="n"/>
    </row>
    <row r="40">
      <c r="A40" s="26" t="n"/>
      <c r="B40" s="26" t="n"/>
      <c r="C40" s="26" t="n"/>
      <c r="D40" s="26" t="n"/>
      <c r="E40" s="26" t="n"/>
      <c r="F40" s="26" t="n"/>
      <c r="G40" s="26" t="n"/>
      <c r="H40" s="26" t="n"/>
    </row>
    <row r="41">
      <c r="A41" s="26" t="n"/>
      <c r="B41" s="26" t="n"/>
      <c r="C41" s="26" t="n"/>
      <c r="D41" s="26" t="n"/>
      <c r="E41" s="26" t="n"/>
      <c r="F41" s="26" t="n"/>
      <c r="G41" s="26" t="n"/>
      <c r="H41" s="26" t="n"/>
    </row>
    <row r="42">
      <c r="A42" s="26" t="n"/>
      <c r="B42" s="26" t="n"/>
      <c r="C42" s="26" t="n"/>
      <c r="D42" s="26" t="n"/>
      <c r="E42" s="26" t="n"/>
      <c r="F42" s="26" t="n"/>
      <c r="G42" s="26" t="n"/>
      <c r="H42" s="26" t="n"/>
    </row>
    <row r="43">
      <c r="A43" s="26" t="n"/>
      <c r="B43" s="26" t="n"/>
      <c r="C43" s="26" t="n"/>
      <c r="D43" s="26" t="n"/>
      <c r="E43" s="26" t="n"/>
      <c r="F43" s="26" t="n"/>
      <c r="G43" s="26" t="n"/>
      <c r="H43" s="26" t="n"/>
    </row>
    <row r="44">
      <c r="A44" s="26" t="n"/>
      <c r="B44" s="26" t="n"/>
      <c r="C44" s="26" t="n"/>
      <c r="D44" s="26" t="n"/>
      <c r="E44" s="26" t="n"/>
      <c r="F44" s="26" t="n"/>
      <c r="G44" s="26" t="n"/>
      <c r="H44" s="26" t="n"/>
    </row>
    <row r="45">
      <c r="A45" s="26" t="n"/>
      <c r="B45" s="26" t="n"/>
      <c r="C45" s="26" t="n"/>
      <c r="D45" s="26" t="n"/>
      <c r="E45" s="26" t="n"/>
      <c r="F45" s="26" t="n"/>
      <c r="G45" s="26" t="n"/>
      <c r="H45" s="26" t="n"/>
    </row>
    <row r="46">
      <c r="A46" s="26" t="n"/>
      <c r="B46" s="26" t="n"/>
      <c r="C46" s="26" t="n"/>
      <c r="D46" s="26" t="n"/>
      <c r="E46" s="26" t="n"/>
      <c r="F46" s="26" t="n"/>
      <c r="G46" s="26" t="n"/>
      <c r="H46" s="26" t="n"/>
    </row>
    <row r="47">
      <c r="A47" s="26" t="n"/>
      <c r="B47" s="26" t="n"/>
      <c r="C47" s="26" t="n"/>
      <c r="D47" s="26" t="n"/>
      <c r="E47" s="26" t="n"/>
      <c r="F47" s="26" t="n"/>
      <c r="G47" s="26" t="n"/>
      <c r="H47" s="26" t="n"/>
    </row>
    <row r="48">
      <c r="A48" s="26" t="n"/>
      <c r="B48" s="26" t="n"/>
      <c r="C48" s="26" t="n"/>
      <c r="D48" s="26" t="n"/>
      <c r="E48" s="26" t="n"/>
      <c r="F48" s="26" t="n"/>
      <c r="G48" s="26" t="n"/>
      <c r="H48" s="26" t="n"/>
    </row>
    <row r="49">
      <c r="A49" s="26" t="n"/>
      <c r="B49" s="26" t="n"/>
      <c r="C49" s="26" t="n"/>
      <c r="D49" s="26" t="n"/>
      <c r="E49" s="26" t="n"/>
      <c r="F49" s="26" t="n"/>
      <c r="G49" s="26" t="n"/>
      <c r="H49" s="26" t="n"/>
    </row>
    <row r="50">
      <c r="A50" s="26" t="n"/>
      <c r="B50" s="26" t="n"/>
      <c r="C50" s="26" t="n"/>
      <c r="D50" s="26" t="n"/>
      <c r="E50" s="26" t="n"/>
      <c r="F50" s="26" t="n"/>
      <c r="G50" s="26" t="n"/>
      <c r="H50" s="26" t="n"/>
    </row>
    <row r="51">
      <c r="A51" s="26" t="n"/>
      <c r="B51" s="26" t="n"/>
      <c r="C51" s="26" t="n"/>
      <c r="D51" s="26" t="n"/>
      <c r="E51" s="26" t="n"/>
      <c r="F51" s="26" t="n"/>
      <c r="G51" s="26" t="n"/>
      <c r="H51" s="26" t="n"/>
    </row>
    <row r="52">
      <c r="A52" s="26" t="n"/>
      <c r="B52" s="26" t="n"/>
      <c r="C52" s="26" t="n"/>
      <c r="D52" s="26" t="n"/>
      <c r="E52" s="26" t="n"/>
      <c r="F52" s="26" t="n"/>
      <c r="G52" s="26" t="n"/>
      <c r="H52" s="26" t="n"/>
    </row>
    <row r="53">
      <c r="A53" s="26" t="n"/>
      <c r="B53" s="26" t="n"/>
      <c r="C53" s="26" t="n"/>
      <c r="D53" s="26" t="n"/>
      <c r="E53" s="26" t="n"/>
      <c r="F53" s="26" t="n"/>
      <c r="G53" s="26" t="n"/>
      <c r="H53" s="26" t="n"/>
    </row>
    <row r="54">
      <c r="A54" s="26" t="n"/>
      <c r="B54" s="26" t="n"/>
      <c r="C54" s="26" t="n"/>
      <c r="D54" s="26" t="n"/>
      <c r="E54" s="26" t="n"/>
      <c r="F54" s="26" t="n"/>
      <c r="G54" s="26" t="n"/>
      <c r="H54" s="26" t="n"/>
    </row>
    <row r="55">
      <c r="A55" s="26" t="n"/>
      <c r="B55" s="26" t="n"/>
      <c r="C55" s="26" t="n"/>
      <c r="D55" s="26" t="n"/>
      <c r="E55" s="26" t="n"/>
      <c r="F55" s="26" t="n"/>
      <c r="G55" s="26" t="n"/>
      <c r="H55" s="26" t="n"/>
    </row>
    <row r="56">
      <c r="A56" s="26" t="n"/>
      <c r="B56" s="26" t="n"/>
      <c r="C56" s="26" t="n"/>
      <c r="D56" s="26" t="n"/>
      <c r="E56" s="26" t="n"/>
      <c r="F56" s="26" t="n"/>
      <c r="G56" s="26" t="n"/>
      <c r="H56" s="26" t="n"/>
    </row>
    <row r="57">
      <c r="A57" s="26" t="n"/>
      <c r="B57" s="26" t="n"/>
      <c r="C57" s="26" t="n"/>
      <c r="D57" s="26" t="n"/>
      <c r="E57" s="26" t="n"/>
      <c r="F57" s="26" t="n"/>
      <c r="G57" s="26" t="n"/>
      <c r="H57" s="26" t="n"/>
    </row>
    <row r="58">
      <c r="A58" s="26" t="n"/>
      <c r="B58" s="26" t="n"/>
      <c r="C58" s="26" t="n"/>
      <c r="D58" s="26" t="n"/>
      <c r="E58" s="26" t="n"/>
      <c r="F58" s="26" t="n"/>
      <c r="G58" s="26" t="n"/>
      <c r="H58" s="26" t="n"/>
    </row>
    <row r="59">
      <c r="A59" s="26" t="n"/>
      <c r="B59" s="26" t="n"/>
      <c r="C59" s="26" t="n"/>
      <c r="D59" s="26" t="n"/>
      <c r="E59" s="26" t="n"/>
      <c r="F59" s="26" t="n"/>
      <c r="G59" s="26" t="n"/>
      <c r="H59" s="26" t="n"/>
    </row>
    <row r="60">
      <c r="A60" s="26" t="n"/>
      <c r="B60" s="26" t="n"/>
      <c r="C60" s="26" t="n"/>
      <c r="D60" s="26" t="n"/>
      <c r="E60" s="26" t="n"/>
      <c r="F60" s="26" t="n"/>
      <c r="G60" s="26" t="n"/>
      <c r="H60" s="26" t="n"/>
    </row>
    <row r="61">
      <c r="A61" s="26" t="n"/>
      <c r="B61" s="26" t="n"/>
      <c r="C61" s="26" t="n"/>
      <c r="D61" s="26" t="n"/>
      <c r="E61" s="26" t="n"/>
      <c r="F61" s="26" t="n"/>
      <c r="G61" s="26" t="n"/>
      <c r="H61" s="26" t="n"/>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worksheet>
</file>

<file path=xl/worksheets/sheet14.xml><?xml version="1.0" encoding="utf-8"?>
<worksheet xmlns="http://schemas.openxmlformats.org/spreadsheetml/2006/main">
  <sheetPr codeName="Sheet9">
    <tabColor theme="1"/>
    <outlinePr summaryBelow="1" summaryRight="1"/>
    <pageSetUpPr/>
  </sheetPr>
  <dimension ref="B2:O54"/>
  <sheetViews>
    <sheetView zoomScaleNormal="100" workbookViewId="0">
      <selection activeCell="F18" sqref="F18"/>
    </sheetView>
  </sheetViews>
  <sheetFormatPr baseColWidth="8" defaultColWidth="9.140625" defaultRowHeight="20.25" customHeight="1"/>
  <cols>
    <col width="9.140625" customWidth="1" style="5" min="1" max="1"/>
    <col width="15.42578125" customWidth="1" style="5" min="2" max="2"/>
    <col width="45.42578125" customWidth="1" style="5" min="3" max="3"/>
    <col width="17.140625" customWidth="1" style="5" min="4" max="4"/>
    <col width="18.42578125" customWidth="1" style="5" min="5" max="5"/>
    <col width="9.140625" customWidth="1" style="5" min="6" max="6"/>
    <col width="15.42578125" customWidth="1" style="5" min="7" max="7"/>
    <col width="45.42578125" customWidth="1" style="5" min="8" max="8"/>
    <col width="17.140625" customWidth="1" style="5" min="9" max="9"/>
    <col width="18.42578125" customWidth="1" style="5" min="10" max="10"/>
    <col width="9.140625" customWidth="1" style="5" min="11" max="11"/>
    <col width="15.42578125" customWidth="1" style="5" min="12" max="12"/>
    <col width="45.42578125" customWidth="1" style="5" min="13" max="13"/>
    <col width="17.140625" customWidth="1" style="5" min="14" max="14"/>
    <col width="18.42578125" customWidth="1" style="5" min="15" max="15"/>
    <col width="9.140625" customWidth="1" style="5" min="16" max="19"/>
    <col width="9.140625" customWidth="1" style="5" min="20" max="16384"/>
  </cols>
  <sheetData>
    <row r="2" ht="20.25" customHeight="1">
      <c r="B2" s="5" t="inlineStr">
        <is>
          <t>Champion's</t>
        </is>
      </c>
      <c r="G2" s="5" t="inlineStr">
        <is>
          <t>Advancement</t>
        </is>
      </c>
    </row>
    <row r="3" ht="39.95" customHeight="1">
      <c r="B3" s="10" t="inlineStr">
        <is>
          <t>Team Number</t>
        </is>
      </c>
      <c r="C3" s="10" t="inlineStr">
        <is>
          <t>Team Name</t>
        </is>
      </c>
      <c r="D3" s="11" t="inlineStr">
        <is>
          <t>Champion's Rank</t>
        </is>
      </c>
      <c r="E3" s="11" t="inlineStr">
        <is>
          <t>Deliberated Rank</t>
        </is>
      </c>
      <c r="G3" s="20" t="inlineStr">
        <is>
          <t>Team Number</t>
        </is>
      </c>
      <c r="H3" s="20" t="inlineStr">
        <is>
          <t>Team Name</t>
        </is>
      </c>
      <c r="I3" s="21" t="inlineStr">
        <is>
          <t>Champion's Rank</t>
        </is>
      </c>
      <c r="J3" s="21" t="inlineStr">
        <is>
          <t>Deliberated Rank</t>
        </is>
      </c>
    </row>
    <row r="4" ht="20.25" customHeight="1">
      <c r="C4" s="5">
        <f>IF(ISNA(INDEX(OfficialTeamList[Team Name],MATCH(ChampionsDelib[[#This Row],[Team Number]], OfficialTeamList[Team '#],0))),"",INDEX(OfficialTeamList[Team Name],MATCH(ChampionsDelib[[#This Row],[Team Number]], OfficialTeamList[Team '#],0)))</f>
        <v/>
      </c>
      <c r="D4" s="5">
        <f>IF(ISNA(INDEX(TournamentData[Champion''s Rank],MATCH(ChampionsDelib[[#This Row],[Team Number]],TournamentData[Team Number],0))),NumberOfTeams+1,INDEX(TournamentData[Champion''s Rank],MATCH(ChampionsDelib[[#This Row],[Team Number]],TournamentData[Team Number],0)))</f>
        <v/>
      </c>
      <c r="H4" s="5">
        <f>IF(ISNA(INDEX(OfficialTeamList[Team Name],MATCH(RobotGameDelib[[#This Row],[Team Number]], OfficialTeamList[Team '#],0))),"",INDEX(OfficialTeamList[Team Name],MATCH(RobotGameDelib[[#This Row],[Team Number]], OfficialTeamList[Team '#],0)))</f>
        <v/>
      </c>
      <c r="I4" s="5">
        <f>IF(ISNA(INDEX(TournamentData[Champion''s Rank],MATCH(RobotGameDelib[[#This Row],[Team Number]],TournamentData[Team Number],0))),NumberOfTeams+1,INDEX(TournamentData[Champion''s Rank],MATCH(RobotGameDelib[[#This Row],[Team Number]],TournamentData[Team Number],0)))</f>
        <v/>
      </c>
    </row>
    <row r="5" ht="20.25" customHeight="1">
      <c r="C5" s="5">
        <f>IF(ISNA(INDEX(OfficialTeamList[Team Name],MATCH(ChampionsDelib[[#This Row],[Team Number]], OfficialTeamList[Team '#],0))),"",INDEX(OfficialTeamList[Team Name],MATCH(ChampionsDelib[[#This Row],[Team Number]], OfficialTeamList[Team '#],0)))</f>
        <v/>
      </c>
      <c r="D5" s="5">
        <f>IF(ISNA(INDEX(TournamentData[Champion''s Rank],MATCH(ChampionsDelib[[#This Row],[Team Number]],TournamentData[Team Number],0))),NumberOfTeams+1,INDEX(TournamentData[Champion''s Rank],MATCH(ChampionsDelib[[#This Row],[Team Number]],TournamentData[Team Number],0)))</f>
        <v/>
      </c>
      <c r="H5" s="5">
        <f>IF(ISNA(INDEX(OfficialTeamList[Team Name],MATCH(RobotGameDelib[[#This Row],[Team Number]], OfficialTeamList[Team '#],0))),"",INDEX(OfficialTeamList[Team Name],MATCH(RobotGameDelib[[#This Row],[Team Number]], OfficialTeamList[Team '#],0)))</f>
        <v/>
      </c>
      <c r="I5" s="5">
        <f>IF(ISNA(INDEX(TournamentData[Champion''s Rank],MATCH(RobotGameDelib[[#This Row],[Team Number]],TournamentData[Team Number],0))),NumberOfTeams+1,INDEX(TournamentData[Champion''s Rank],MATCH(RobotGameDelib[[#This Row],[Team Number]],TournamentData[Team Number],0)))</f>
        <v/>
      </c>
    </row>
    <row r="6" ht="20.25" customHeight="1">
      <c r="C6" s="5">
        <f>IF(ISNA(INDEX(OfficialTeamList[Team Name],MATCH(ChampionsDelib[[#This Row],[Team Number]], OfficialTeamList[Team '#],0))),"",INDEX(OfficialTeamList[Team Name],MATCH(ChampionsDelib[[#This Row],[Team Number]], OfficialTeamList[Team '#],0)))</f>
        <v/>
      </c>
      <c r="D6" s="5">
        <f>IF(ISNA(INDEX(TournamentData[Champion''s Rank],MATCH(ChampionsDelib[[#This Row],[Team Number]],TournamentData[Team Number],0))),NumberOfTeams+1,INDEX(TournamentData[Champion''s Rank],MATCH(ChampionsDelib[[#This Row],[Team Number]],TournamentData[Team Number],0)))</f>
        <v/>
      </c>
      <c r="H6" s="5">
        <f>IF(ISNA(INDEX(OfficialTeamList[Team Name],MATCH(RobotGameDelib[[#This Row],[Team Number]], OfficialTeamList[Team '#],0))),"",INDEX(OfficialTeamList[Team Name],MATCH(RobotGameDelib[[#This Row],[Team Number]], OfficialTeamList[Team '#],0)))</f>
        <v/>
      </c>
      <c r="I6" s="5">
        <f>IF(ISNA(INDEX(TournamentData[Champion''s Rank],MATCH(RobotGameDelib[[#This Row],[Team Number]],TournamentData[Team Number],0))),NumberOfTeams+1,INDEX(TournamentData[Champion''s Rank],MATCH(RobotGameDelib[[#This Row],[Team Number]],TournamentData[Team Number],0)))</f>
        <v/>
      </c>
    </row>
    <row r="7" ht="20.25" customHeight="1">
      <c r="C7" s="5">
        <f>IF(ISNA(INDEX(OfficialTeamList[Team Name],MATCH(ChampionsDelib[[#This Row],[Team Number]], OfficialTeamList[Team '#],0))),"",INDEX(OfficialTeamList[Team Name],MATCH(ChampionsDelib[[#This Row],[Team Number]], OfficialTeamList[Team '#],0)))</f>
        <v/>
      </c>
      <c r="D7" s="5">
        <f>IF(ISNA(INDEX(TournamentData[Champion''s Rank],MATCH(ChampionsDelib[[#This Row],[Team Number]],TournamentData[Team Number],0))),NumberOfTeams+1,INDEX(TournamentData[Champion''s Rank],MATCH(ChampionsDelib[[#This Row],[Team Number]],TournamentData[Team Number],0)))</f>
        <v/>
      </c>
      <c r="H7" s="5">
        <f>IF(ISNA(INDEX(OfficialTeamList[Team Name],MATCH(RobotGameDelib[[#This Row],[Team Number]], OfficialTeamList[Team '#],0))),"",INDEX(OfficialTeamList[Team Name],MATCH(RobotGameDelib[[#This Row],[Team Number]], OfficialTeamList[Team '#],0)))</f>
        <v/>
      </c>
      <c r="I7" s="5">
        <f>IF(ISNA(INDEX(TournamentData[Champion''s Rank],MATCH(RobotGameDelib[[#This Row],[Team Number]],TournamentData[Team Number],0))),NumberOfTeams+1,INDEX(TournamentData[Champion''s Rank],MATCH(RobotGameDelib[[#This Row],[Team Number]],TournamentData[Team Number],0)))</f>
        <v/>
      </c>
    </row>
    <row r="8" ht="20.25" customHeight="1">
      <c r="C8" s="5">
        <f>IF(ISNA(INDEX(OfficialTeamList[Team Name],MATCH(ChampionsDelib[[#This Row],[Team Number]], OfficialTeamList[Team '#],0))),"",INDEX(OfficialTeamList[Team Name],MATCH(ChampionsDelib[[#This Row],[Team Number]], OfficialTeamList[Team '#],0)))</f>
        <v/>
      </c>
      <c r="D8" s="5">
        <f>IF(ISNA(INDEX(TournamentData[Champion''s Rank],MATCH(ChampionsDelib[[#This Row],[Team Number]],TournamentData[Team Number],0))),NumberOfTeams+1,INDEX(TournamentData[Champion''s Rank],MATCH(ChampionsDelib[[#This Row],[Team Number]],TournamentData[Team Number],0)))</f>
        <v/>
      </c>
      <c r="H8" s="5">
        <f>IF(ISNA(INDEX(OfficialTeamList[Team Name],MATCH(RobotGameDelib[[#This Row],[Team Number]], OfficialTeamList[Team '#],0))),"",INDEX(OfficialTeamList[Team Name],MATCH(RobotGameDelib[[#This Row],[Team Number]], OfficialTeamList[Team '#],0)))</f>
        <v/>
      </c>
      <c r="I8" s="5">
        <f>IF(ISNA(INDEX(TournamentData[Champion''s Rank],MATCH(RobotGameDelib[[#This Row],[Team Number]],TournamentData[Team Number],0))),NumberOfTeams+1,INDEX(TournamentData[Champion''s Rank],MATCH(RobotGameDelib[[#This Row],[Team Number]],TournamentData[Team Number],0)))</f>
        <v/>
      </c>
    </row>
    <row r="9" ht="20.25" customHeight="1">
      <c r="C9" s="5">
        <f>IF(ISNA(INDEX(OfficialTeamList[Team Name],MATCH(ChampionsDelib[[#This Row],[Team Number]], OfficialTeamList[Team '#],0))),"",INDEX(OfficialTeamList[Team Name],MATCH(ChampionsDelib[[#This Row],[Team Number]], OfficialTeamList[Team '#],0)))</f>
        <v/>
      </c>
      <c r="D9" s="5">
        <f>IF(ISNA(INDEX(TournamentData[Champion''s Rank],MATCH(ChampionsDelib[[#This Row],[Team Number]],TournamentData[Team Number],0))),NumberOfTeams+1,INDEX(TournamentData[Champion''s Rank],MATCH(ChampionsDelib[[#This Row],[Team Number]],TournamentData[Team Number],0)))</f>
        <v/>
      </c>
      <c r="H9" s="5">
        <f>IF(ISNA(INDEX(OfficialTeamList[Team Name],MATCH(RobotGameDelib[[#This Row],[Team Number]], OfficialTeamList[Team '#],0))),"",INDEX(OfficialTeamList[Team Name],MATCH(RobotGameDelib[[#This Row],[Team Number]], OfficialTeamList[Team '#],0)))</f>
        <v/>
      </c>
      <c r="I9" s="5">
        <f>IF(ISNA(INDEX(TournamentData[Champion''s Rank],MATCH(RobotGameDelib[[#This Row],[Team Number]],TournamentData[Team Number],0))),NumberOfTeams+1,INDEX(TournamentData[Champion''s Rank],MATCH(RobotGameDelib[[#This Row],[Team Number]],TournamentData[Team Number],0)))</f>
        <v/>
      </c>
    </row>
    <row r="10" ht="20.25" customHeight="1">
      <c r="C10" s="5">
        <f>IF(ISNA(INDEX(OfficialTeamList[Team Name],MATCH(ChampionsDelib[[#This Row],[Team Number]], OfficialTeamList[Team '#],0))),"",INDEX(OfficialTeamList[Team Name],MATCH(ChampionsDelib[[#This Row],[Team Number]], OfficialTeamList[Team '#],0)))</f>
        <v/>
      </c>
      <c r="D10" s="5">
        <f>IF(ISNA(INDEX(TournamentData[Champion''s Rank],MATCH(ChampionsDelib[[#This Row],[Team Number]],TournamentData[Team Number],0))),NumberOfTeams+1,INDEX(TournamentData[Champion''s Rank],MATCH(ChampionsDelib[[#This Row],[Team Number]],TournamentData[Team Number],0)))</f>
        <v/>
      </c>
      <c r="H10" s="5">
        <f>IF(ISNA(INDEX(OfficialTeamList[Team Name],MATCH(RobotGameDelib[[#This Row],[Team Number]], OfficialTeamList[Team '#],0))),"",INDEX(OfficialTeamList[Team Name],MATCH(RobotGameDelib[[#This Row],[Team Number]], OfficialTeamList[Team '#],0)))</f>
        <v/>
      </c>
      <c r="I10" s="5">
        <f>IF(ISNA(INDEX(TournamentData[Champion''s Rank],MATCH(RobotGameDelib[[#This Row],[Team Number]],TournamentData[Team Number],0))),NumberOfTeams+1,INDEX(TournamentData[Champion''s Rank],MATCH(RobotGameDelib[[#This Row],[Team Number]],TournamentData[Team Number],0)))</f>
        <v/>
      </c>
    </row>
    <row r="11" ht="20.25" customHeight="1">
      <c r="C11" s="5">
        <f>IF(ISNA(INDEX(OfficialTeamList[Team Name],MATCH(ChampionsDelib[[#This Row],[Team Number]], OfficialTeamList[Team '#],0))),"",INDEX(OfficialTeamList[Team Name],MATCH(ChampionsDelib[[#This Row],[Team Number]], OfficialTeamList[Team '#],0)))</f>
        <v/>
      </c>
      <c r="D11" s="5">
        <f>IF(ISNA(INDEX(TournamentData[Champion''s Rank],MATCH(ChampionsDelib[[#This Row],[Team Number]],TournamentData[Team Number],0))),NumberOfTeams+1,INDEX(TournamentData[Champion''s Rank],MATCH(ChampionsDelib[[#This Row],[Team Number]],TournamentData[Team Number],0)))</f>
        <v/>
      </c>
      <c r="H11" s="5">
        <f>IF(ISNA(INDEX(OfficialTeamList[Team Name],MATCH(RobotGameDelib[[#This Row],[Team Number]], OfficialTeamList[Team '#],0))),"",INDEX(OfficialTeamList[Team Name],MATCH(RobotGameDelib[[#This Row],[Team Number]], OfficialTeamList[Team '#],0)))</f>
        <v/>
      </c>
      <c r="I11" s="5">
        <f>IF(ISNA(INDEX(TournamentData[Champion''s Rank],MATCH(RobotGameDelib[[#This Row],[Team Number]],TournamentData[Team Number],0))),NumberOfTeams+1,INDEX(TournamentData[Champion''s Rank],MATCH(RobotGameDelib[[#This Row],[Team Number]],TournamentData[Team Number],0)))</f>
        <v/>
      </c>
    </row>
    <row r="12" ht="20.25" customHeight="1">
      <c r="C12" s="5">
        <f>IF(ISNA(INDEX(OfficialTeamList[Team Name],MATCH(ChampionsDelib[[#This Row],[Team Number]], OfficialTeamList[Team '#],0))),"",INDEX(OfficialTeamList[Team Name],MATCH(ChampionsDelib[[#This Row],[Team Number]], OfficialTeamList[Team '#],0)))</f>
        <v/>
      </c>
      <c r="D12" s="5">
        <f>IF(ISNA(INDEX(TournamentData[Champion''s Rank],MATCH(ChampionsDelib[[#This Row],[Team Number]],TournamentData[Team Number],0))),NumberOfTeams+1,INDEX(TournamentData[Champion''s Rank],MATCH(ChampionsDelib[[#This Row],[Team Number]],TournamentData[Team Number],0)))</f>
        <v/>
      </c>
      <c r="H12" s="5">
        <f>IF(ISNA(INDEX(OfficialTeamList[Team Name],MATCH(RobotGameDelib[[#This Row],[Team Number]], OfficialTeamList[Team '#],0))),"",INDEX(OfficialTeamList[Team Name],MATCH(RobotGameDelib[[#This Row],[Team Number]], OfficialTeamList[Team '#],0)))</f>
        <v/>
      </c>
      <c r="I12" s="5">
        <f>IF(ISNA(INDEX(TournamentData[Champion''s Rank],MATCH(RobotGameDelib[[#This Row],[Team Number]],TournamentData[Team Number],0))),NumberOfTeams+1,INDEX(TournamentData[Champion''s Rank],MATCH(RobotGameDelib[[#This Row],[Team Number]],TournamentData[Team Number],0)))</f>
        <v/>
      </c>
    </row>
    <row r="13" ht="20.25" customHeight="1">
      <c r="C13" s="5">
        <f>IF(ISNA(INDEX(OfficialTeamList[Team Name],MATCH(ChampionsDelib[[#This Row],[Team Number]], OfficialTeamList[Team '#],0))),"",INDEX(OfficialTeamList[Team Name],MATCH(ChampionsDelib[[#This Row],[Team Number]], OfficialTeamList[Team '#],0)))</f>
        <v/>
      </c>
      <c r="D13" s="5">
        <f>IF(ISNA(INDEX(TournamentData[Champion''s Rank],MATCH(ChampionsDelib[[#This Row],[Team Number]],TournamentData[Team Number],0))),NumberOfTeams+1,INDEX(TournamentData[Champion''s Rank],MATCH(ChampionsDelib[[#This Row],[Team Number]],TournamentData[Team Number],0)))</f>
        <v/>
      </c>
      <c r="H13" s="5">
        <f>IF(ISNA(INDEX(OfficialTeamList[Team Name],MATCH(RobotGameDelib[[#This Row],[Team Number]], OfficialTeamList[Team '#],0))),"",INDEX(OfficialTeamList[Team Name],MATCH(RobotGameDelib[[#This Row],[Team Number]], OfficialTeamList[Team '#],0)))</f>
        <v/>
      </c>
      <c r="I13" s="5">
        <f>IF(ISNA(INDEX(TournamentData[Champion''s Rank],MATCH(RobotGameDelib[[#This Row],[Team Number]],TournamentData[Team Number],0))),NumberOfTeams+1,INDEX(TournamentData[Champion''s Rank],MATCH(RobotGameDelib[[#This Row],[Team Number]],TournamentData[Team Number],0)))</f>
        <v/>
      </c>
    </row>
    <row r="14" ht="20.25" customHeight="1">
      <c r="C14" s="5">
        <f>IF(ISNA(INDEX(OfficialTeamList[Team Name],MATCH(ChampionsDelib[[#This Row],[Team Number]], OfficialTeamList[Team '#],0))),"",INDEX(OfficialTeamList[Team Name],MATCH(ChampionsDelib[[#This Row],[Team Number]], OfficialTeamList[Team '#],0)))</f>
        <v/>
      </c>
      <c r="D14" s="5">
        <f>IF(ISNA(INDEX(TournamentData[Champion''s Rank],MATCH(ChampionsDelib[[#This Row],[Team Number]],TournamentData[Team Number],0))),NumberOfTeams+1,INDEX(TournamentData[Champion''s Rank],MATCH(ChampionsDelib[[#This Row],[Team Number]],TournamentData[Team Number],0)))</f>
        <v/>
      </c>
      <c r="H14" s="5">
        <f>IF(ISNA(INDEX(OfficialTeamList[Team Name],MATCH(RobotGameDelib[[#This Row],[Team Number]], OfficialTeamList[Team '#],0))),"",INDEX(OfficialTeamList[Team Name],MATCH(RobotGameDelib[[#This Row],[Team Number]], OfficialTeamList[Team '#],0)))</f>
        <v/>
      </c>
      <c r="I14" s="5">
        <f>IF(ISNA(INDEX(TournamentData[Champion''s Rank],MATCH(RobotGameDelib[[#This Row],[Team Number]],TournamentData[Team Number],0))),NumberOfTeams+1,INDEX(TournamentData[Champion''s Rank],MATCH(RobotGameDelib[[#This Row],[Team Number]],TournamentData[Team Number],0)))</f>
        <v/>
      </c>
    </row>
    <row r="15" ht="20.25" customHeight="1">
      <c r="C15" s="5">
        <f>IF(ISNA(INDEX(OfficialTeamList[Team Name],MATCH(ChampionsDelib[[#This Row],[Team Number]], OfficialTeamList[Team '#],0))),"",INDEX(OfficialTeamList[Team Name],MATCH(ChampionsDelib[[#This Row],[Team Number]], OfficialTeamList[Team '#],0)))</f>
        <v/>
      </c>
      <c r="D15" s="5">
        <f>IF(ISNA(INDEX(TournamentData[Champion''s Rank],MATCH(ChampionsDelib[[#This Row],[Team Number]],TournamentData[Team Number],0))),NumberOfTeams+1,INDEX(TournamentData[Champion''s Rank],MATCH(ChampionsDelib[[#This Row],[Team Number]],TournamentData[Team Number],0)))</f>
        <v/>
      </c>
      <c r="H15" s="5">
        <f>IF(ISNA(INDEX(OfficialTeamList[Team Name],MATCH(RobotGameDelib[[#This Row],[Team Number]], OfficialTeamList[Team '#],0))),"",INDEX(OfficialTeamList[Team Name],MATCH(RobotGameDelib[[#This Row],[Team Number]], OfficialTeamList[Team '#],0)))</f>
        <v/>
      </c>
      <c r="I15" s="5">
        <f>IF(ISNA(INDEX(TournamentData[Champion''s Rank],MATCH(RobotGameDelib[[#This Row],[Team Number]],TournamentData[Team Number],0))),NumberOfTeams+1,INDEX(TournamentData[Champion''s Rank],MATCH(RobotGameDelib[[#This Row],[Team Number]],TournamentData[Team Number],0)))</f>
        <v/>
      </c>
    </row>
    <row r="16" ht="20.25" customHeight="1">
      <c r="C16" s="5">
        <f>IF(ISNA(INDEX(OfficialTeamList[Team Name],MATCH(ChampionsDelib[[#This Row],[Team Number]], OfficialTeamList[Team '#],0))),"",INDEX(OfficialTeamList[Team Name],MATCH(ChampionsDelib[[#This Row],[Team Number]], OfficialTeamList[Team '#],0)))</f>
        <v/>
      </c>
      <c r="D16" s="5">
        <f>IF(ISNA(INDEX(TournamentData[Champion''s Rank],MATCH(ChampionsDelib[[#This Row],[Team Number]],TournamentData[Team Number],0))),NumberOfTeams+1,INDEX(TournamentData[Champion''s Rank],MATCH(ChampionsDelib[[#This Row],[Team Number]],TournamentData[Team Number],0)))</f>
        <v/>
      </c>
      <c r="H16" s="5">
        <f>IF(ISNA(INDEX(OfficialTeamList[Team Name],MATCH(RobotGameDelib[[#This Row],[Team Number]], OfficialTeamList[Team '#],0))),"",INDEX(OfficialTeamList[Team Name],MATCH(RobotGameDelib[[#This Row],[Team Number]], OfficialTeamList[Team '#],0)))</f>
        <v/>
      </c>
      <c r="I16" s="5">
        <f>IF(ISNA(INDEX(TournamentData[Champion''s Rank],MATCH(RobotGameDelib[[#This Row],[Team Number]],TournamentData[Team Number],0))),NumberOfTeams+1,INDEX(TournamentData[Champion''s Rank],MATCH(RobotGameDelib[[#This Row],[Team Number]],TournamentData[Team Number],0)))</f>
        <v/>
      </c>
    </row>
    <row r="17" ht="20.25" customHeight="1">
      <c r="C17" s="5">
        <f>IF(ISNA(INDEX(OfficialTeamList[Team Name],MATCH(ChampionsDelib[[#This Row],[Team Number]], OfficialTeamList[Team '#],0))),"",INDEX(OfficialTeamList[Team Name],MATCH(ChampionsDelib[[#This Row],[Team Number]], OfficialTeamList[Team '#],0)))</f>
        <v/>
      </c>
      <c r="D17" s="5">
        <f>IF(ISNA(INDEX(TournamentData[Champion''s Rank],MATCH(ChampionsDelib[[#This Row],[Team Number]],TournamentData[Team Number],0))),NumberOfTeams+1,INDEX(TournamentData[Champion''s Rank],MATCH(ChampionsDelib[[#This Row],[Team Number]],TournamentData[Team Number],0)))</f>
        <v/>
      </c>
      <c r="H17" s="5">
        <f>IF(ISNA(INDEX(OfficialTeamList[Team Name],MATCH(RobotGameDelib[[#This Row],[Team Number]], OfficialTeamList[Team '#],0))),"",INDEX(OfficialTeamList[Team Name],MATCH(RobotGameDelib[[#This Row],[Team Number]], OfficialTeamList[Team '#],0)))</f>
        <v/>
      </c>
      <c r="I17" s="5">
        <f>IF(ISNA(INDEX(TournamentData[Champion''s Rank],MATCH(RobotGameDelib[[#This Row],[Team Number]],TournamentData[Team Number],0))),NumberOfTeams+1,INDEX(TournamentData[Champion''s Rank],MATCH(RobotGameDelib[[#This Row],[Team Number]],TournamentData[Team Number],0)))</f>
        <v/>
      </c>
    </row>
    <row r="18" ht="20.25" customHeight="1">
      <c r="C18" s="5">
        <f>IF(ISNA(INDEX(OfficialTeamList[Team Name],MATCH(ChampionsDelib[[#This Row],[Team Number]], OfficialTeamList[Team '#],0))),"",INDEX(OfficialTeamList[Team Name],MATCH(ChampionsDelib[[#This Row],[Team Number]], OfficialTeamList[Team '#],0)))</f>
        <v/>
      </c>
      <c r="D18" s="5">
        <f>IF(ISNA(INDEX(TournamentData[Champion''s Rank],MATCH(ChampionsDelib[[#This Row],[Team Number]],TournamentData[Team Number],0))),NumberOfTeams+1,INDEX(TournamentData[Champion''s Rank],MATCH(ChampionsDelib[[#This Row],[Team Number]],TournamentData[Team Number],0)))</f>
        <v/>
      </c>
      <c r="H18" s="5">
        <f>IF(ISNA(INDEX(OfficialTeamList[Team Name],MATCH(RobotGameDelib[[#This Row],[Team Number]], OfficialTeamList[Team '#],0))),"",INDEX(OfficialTeamList[Team Name],MATCH(RobotGameDelib[[#This Row],[Team Number]], OfficialTeamList[Team '#],0)))</f>
        <v/>
      </c>
      <c r="I18" s="5">
        <f>IF(ISNA(INDEX(TournamentData[Champion''s Rank],MATCH(RobotGameDelib[[#This Row],[Team Number]],TournamentData[Team Number],0))),NumberOfTeams+1,INDEX(TournamentData[Champion''s Rank],MATCH(RobotGameDelib[[#This Row],[Team Number]],TournamentData[Team Number],0)))</f>
        <v/>
      </c>
    </row>
    <row r="20" ht="20.25" customHeight="1">
      <c r="B20" s="5" t="inlineStr">
        <is>
          <t>Core Values</t>
        </is>
      </c>
      <c r="G20" s="5" t="inlineStr">
        <is>
          <t>Robot Design</t>
        </is>
      </c>
      <c r="L20" s="5" t="inlineStr">
        <is>
          <t>Innovation Project</t>
        </is>
      </c>
    </row>
    <row r="21" ht="39.95" customHeight="1">
      <c r="B21" s="14" t="inlineStr">
        <is>
          <t>Team Number</t>
        </is>
      </c>
      <c r="C21" s="14" t="inlineStr">
        <is>
          <t>Team Name</t>
        </is>
      </c>
      <c r="D21" s="15" t="inlineStr">
        <is>
          <t>Core Values Rank</t>
        </is>
      </c>
      <c r="E21" s="15" t="inlineStr">
        <is>
          <t>Deliberated Rank</t>
        </is>
      </c>
      <c r="G21" s="18" t="inlineStr">
        <is>
          <t>Team Number</t>
        </is>
      </c>
      <c r="H21" s="18" t="inlineStr">
        <is>
          <t>Team Name</t>
        </is>
      </c>
      <c r="I21" s="19" t="inlineStr">
        <is>
          <t>Robot Design Rank</t>
        </is>
      </c>
      <c r="J21" s="19" t="inlineStr">
        <is>
          <t>Deliberated Rank</t>
        </is>
      </c>
      <c r="L21" s="16" t="inlineStr">
        <is>
          <t>Team Number</t>
        </is>
      </c>
      <c r="M21" s="16" t="inlineStr">
        <is>
          <t>Team Name</t>
        </is>
      </c>
      <c r="N21" s="17" t="inlineStr">
        <is>
          <t>Innovation Project Rank</t>
        </is>
      </c>
      <c r="O21" s="17" t="inlineStr">
        <is>
          <t>Deliberated Rank</t>
        </is>
      </c>
    </row>
    <row r="22" ht="20.25" customHeight="1">
      <c r="C22" s="5">
        <f>IF(ISNA(INDEX(OfficialTeamList[Team Name],MATCH(CoreValuesDelib[[#This Row],[Team Number]], OfficialTeamList[Team '#],0))),"",INDEX(OfficialTeamList[Team Name],MATCH(CoreValuesDelib[[#This Row],[Team Number]], OfficialTeamList[Team '#],0)))</f>
        <v/>
      </c>
      <c r="D22" s="5">
        <f>IF(ISNA(INDEX(CoreValuesResults[Core Values Rank],MATCH(CoreValuesDelib[[#This Row],[Team Number]],CoreValuesResults[Team Number],0))),NumberOfTeams+1,INDEX(CoreValuesResults[Core Values Rank],MATCH(CoreValuesDelib[[#This Row],[Team Number]],CoreValuesResults[Team Number],0)))</f>
        <v/>
      </c>
      <c r="H22" s="5">
        <f>IF(ISNA(INDEX(OfficialTeamList[Team Name],MATCH(RobotDesignDelib[[#This Row],[Team Number]], OfficialTeamList[Team '#],0))),"",INDEX(OfficialTeamList[Team Name],MATCH(RobotDesignDelib[[#This Row],[Team Number]], OfficialTeamList[Team '#],0)))</f>
        <v/>
      </c>
      <c r="I22" s="5">
        <f>IF(ISNA(INDEX(RobotDesignResults[Robot Design Rank],MATCH(RobotDesignDelib[[#This Row],[Team Number]],RobotDesignResults[Team Number],0))),NumberOfTeams+1,INDEX(RobotDesignResults[Robot Design Rank],MATCH(RobotDesignDelib[[#This Row],[Team Number]],RobotDesignResults[Team Number],0)))</f>
        <v/>
      </c>
      <c r="M22" s="5">
        <f>IF(ISNA(INDEX(OfficialTeamList[Team Name],MATCH(InnovationProjectDelib[[#This Row],[Team Number]], OfficialTeamList[Team '#],0))),"",INDEX(OfficialTeamList[Team Name],MATCH(InnovationProjectDelib[[#This Row],[Team Number]], OfficialTeamList[Team '#],0)))</f>
        <v/>
      </c>
      <c r="N2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3" ht="20.25" customHeight="1">
      <c r="C23" s="5">
        <f>IF(ISNA(INDEX(OfficialTeamList[Team Name],MATCH(CoreValuesDelib[[#This Row],[Team Number]], OfficialTeamList[Team '#],0))),"",INDEX(OfficialTeamList[Team Name],MATCH(CoreValuesDelib[[#This Row],[Team Number]], OfficialTeamList[Team '#],0)))</f>
        <v/>
      </c>
      <c r="D23" s="5">
        <f>IF(ISNA(INDEX(CoreValuesResults[Core Values Rank],MATCH(CoreValuesDelib[[#This Row],[Team Number]],CoreValuesResults[Team Number],0))),NumberOfTeams+1,INDEX(CoreValuesResults[Core Values Rank],MATCH(CoreValuesDelib[[#This Row],[Team Number]],CoreValuesResults[Team Number],0)))</f>
        <v/>
      </c>
      <c r="H23" s="5">
        <f>IF(ISNA(INDEX(OfficialTeamList[Team Name],MATCH(RobotDesignDelib[[#This Row],[Team Number]], OfficialTeamList[Team '#],0))),"",INDEX(OfficialTeamList[Team Name],MATCH(RobotDesignDelib[[#This Row],[Team Number]], OfficialTeamList[Team '#],0)))</f>
        <v/>
      </c>
      <c r="I23" s="5">
        <f>IF(ISNA(INDEX(RobotDesignResults[Robot Design Rank],MATCH(RobotDesignDelib[[#This Row],[Team Number]],RobotDesignResults[Team Number],0))),NumberOfTeams+1,INDEX(RobotDesignResults[Robot Design Rank],MATCH(RobotDesignDelib[[#This Row],[Team Number]],RobotDesignResults[Team Number],0)))</f>
        <v/>
      </c>
      <c r="M23" s="5">
        <f>IF(ISNA(INDEX(OfficialTeamList[Team Name],MATCH(InnovationProjectDelib[[#This Row],[Team Number]], OfficialTeamList[Team '#],0))),"",INDEX(OfficialTeamList[Team Name],MATCH(InnovationProjectDelib[[#This Row],[Team Number]], OfficialTeamList[Team '#],0)))</f>
        <v/>
      </c>
      <c r="N2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4" ht="20.25" customHeight="1">
      <c r="C24" s="5">
        <f>IF(ISNA(INDEX(OfficialTeamList[Team Name],MATCH(CoreValuesDelib[[#This Row],[Team Number]], OfficialTeamList[Team '#],0))),"",INDEX(OfficialTeamList[Team Name],MATCH(CoreValuesDelib[[#This Row],[Team Number]], OfficialTeamList[Team '#],0)))</f>
        <v/>
      </c>
      <c r="D24" s="5">
        <f>IF(ISNA(INDEX(CoreValuesResults[Core Values Rank],MATCH(CoreValuesDelib[[#This Row],[Team Number]],CoreValuesResults[Team Number],0))),NumberOfTeams+1,INDEX(CoreValuesResults[Core Values Rank],MATCH(CoreValuesDelib[[#This Row],[Team Number]],CoreValuesResults[Team Number],0)))</f>
        <v/>
      </c>
      <c r="H24" s="5">
        <f>IF(ISNA(INDEX(OfficialTeamList[Team Name],MATCH(RobotDesignDelib[[#This Row],[Team Number]], OfficialTeamList[Team '#],0))),"",INDEX(OfficialTeamList[Team Name],MATCH(RobotDesignDelib[[#This Row],[Team Number]], OfficialTeamList[Team '#],0)))</f>
        <v/>
      </c>
      <c r="I24" s="5">
        <f>IF(ISNA(INDEX(RobotDesignResults[Robot Design Rank],MATCH(RobotDesignDelib[[#This Row],[Team Number]],RobotDesignResults[Team Number],0))),NumberOfTeams+1,INDEX(RobotDesignResults[Robot Design Rank],MATCH(RobotDesignDelib[[#This Row],[Team Number]],RobotDesignResults[Team Number],0)))</f>
        <v/>
      </c>
      <c r="M24" s="5">
        <f>IF(ISNA(INDEX(OfficialTeamList[Team Name],MATCH(InnovationProjectDelib[[#This Row],[Team Number]], OfficialTeamList[Team '#],0))),"",INDEX(OfficialTeamList[Team Name],MATCH(InnovationProjectDelib[[#This Row],[Team Number]], OfficialTeamList[Team '#],0)))</f>
        <v/>
      </c>
      <c r="N2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5" ht="20.25" customHeight="1">
      <c r="C25" s="5">
        <f>IF(ISNA(INDEX(OfficialTeamList[Team Name],MATCH(CoreValuesDelib[[#This Row],[Team Number]], OfficialTeamList[Team '#],0))),"",INDEX(OfficialTeamList[Team Name],MATCH(CoreValuesDelib[[#This Row],[Team Number]], OfficialTeamList[Team '#],0)))</f>
        <v/>
      </c>
      <c r="D25" s="5">
        <f>IF(ISNA(INDEX(CoreValuesResults[Core Values Rank],MATCH(CoreValuesDelib[[#This Row],[Team Number]],CoreValuesResults[Team Number],0))),NumberOfTeams+1,INDEX(CoreValuesResults[Core Values Rank],MATCH(CoreValuesDelib[[#This Row],[Team Number]],CoreValuesResults[Team Number],0)))</f>
        <v/>
      </c>
      <c r="H25" s="5">
        <f>IF(ISNA(INDEX(OfficialTeamList[Team Name],MATCH(RobotDesignDelib[[#This Row],[Team Number]], OfficialTeamList[Team '#],0))),"",INDEX(OfficialTeamList[Team Name],MATCH(RobotDesignDelib[[#This Row],[Team Number]], OfficialTeamList[Team '#],0)))</f>
        <v/>
      </c>
      <c r="I25" s="5">
        <f>IF(ISNA(INDEX(RobotDesignResults[Robot Design Rank],MATCH(RobotDesignDelib[[#This Row],[Team Number]],RobotDesignResults[Team Number],0))),NumberOfTeams+1,INDEX(RobotDesignResults[Robot Design Rank],MATCH(RobotDesignDelib[[#This Row],[Team Number]],RobotDesignResults[Team Number],0)))</f>
        <v/>
      </c>
      <c r="M25" s="5">
        <f>IF(ISNA(INDEX(OfficialTeamList[Team Name],MATCH(InnovationProjectDelib[[#This Row],[Team Number]], OfficialTeamList[Team '#],0))),"",INDEX(OfficialTeamList[Team Name],MATCH(InnovationProjectDelib[[#This Row],[Team Number]], OfficialTeamList[Team '#],0)))</f>
        <v/>
      </c>
      <c r="N2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6" ht="20.25" customHeight="1">
      <c r="C26" s="5">
        <f>IF(ISNA(INDEX(OfficialTeamList[Team Name],MATCH(CoreValuesDelib[[#This Row],[Team Number]], OfficialTeamList[Team '#],0))),"",INDEX(OfficialTeamList[Team Name],MATCH(CoreValuesDelib[[#This Row],[Team Number]], OfficialTeamList[Team '#],0)))</f>
        <v/>
      </c>
      <c r="D26" s="5">
        <f>IF(ISNA(INDEX(CoreValuesResults[Core Values Rank],MATCH(CoreValuesDelib[[#This Row],[Team Number]],CoreValuesResults[Team Number],0))),NumberOfTeams+1,INDEX(CoreValuesResults[Core Values Rank],MATCH(CoreValuesDelib[[#This Row],[Team Number]],CoreValuesResults[Team Number],0)))</f>
        <v/>
      </c>
      <c r="H26" s="5">
        <f>IF(ISNA(INDEX(OfficialTeamList[Team Name],MATCH(RobotDesignDelib[[#This Row],[Team Number]], OfficialTeamList[Team '#],0))),"",INDEX(OfficialTeamList[Team Name],MATCH(RobotDesignDelib[[#This Row],[Team Number]], OfficialTeamList[Team '#],0)))</f>
        <v/>
      </c>
      <c r="I26" s="5">
        <f>IF(ISNA(INDEX(RobotDesignResults[Robot Design Rank],MATCH(RobotDesignDelib[[#This Row],[Team Number]],RobotDesignResults[Team Number],0))),NumberOfTeams+1,INDEX(RobotDesignResults[Robot Design Rank],MATCH(RobotDesignDelib[[#This Row],[Team Number]],RobotDesignResults[Team Number],0)))</f>
        <v/>
      </c>
      <c r="M26" s="5">
        <f>IF(ISNA(INDEX(OfficialTeamList[Team Name],MATCH(InnovationProjectDelib[[#This Row],[Team Number]], OfficialTeamList[Team '#],0))),"",INDEX(OfficialTeamList[Team Name],MATCH(InnovationProjectDelib[[#This Row],[Team Number]], OfficialTeamList[Team '#],0)))</f>
        <v/>
      </c>
      <c r="N2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7" ht="20.25" customHeight="1">
      <c r="C27" s="5">
        <f>IF(ISNA(INDEX(OfficialTeamList[Team Name],MATCH(CoreValuesDelib[[#This Row],[Team Number]], OfficialTeamList[Team '#],0))),"",INDEX(OfficialTeamList[Team Name],MATCH(CoreValuesDelib[[#This Row],[Team Number]], OfficialTeamList[Team '#],0)))</f>
        <v/>
      </c>
      <c r="D27" s="5">
        <f>IF(ISNA(INDEX(CoreValuesResults[Core Values Rank],MATCH(CoreValuesDelib[[#This Row],[Team Number]],CoreValuesResults[Team Number],0))),NumberOfTeams+1,INDEX(CoreValuesResults[Core Values Rank],MATCH(CoreValuesDelib[[#This Row],[Team Number]],CoreValuesResults[Team Number],0)))</f>
        <v/>
      </c>
      <c r="H27" s="5">
        <f>IF(ISNA(INDEX(OfficialTeamList[Team Name],MATCH(RobotDesignDelib[[#This Row],[Team Number]], OfficialTeamList[Team '#],0))),"",INDEX(OfficialTeamList[Team Name],MATCH(RobotDesignDelib[[#This Row],[Team Number]], OfficialTeamList[Team '#],0)))</f>
        <v/>
      </c>
      <c r="I27" s="5">
        <f>IF(ISNA(INDEX(RobotDesignResults[Robot Design Rank],MATCH(RobotDesignDelib[[#This Row],[Team Number]],RobotDesignResults[Team Number],0))),NumberOfTeams+1,INDEX(RobotDesignResults[Robot Design Rank],MATCH(RobotDesignDelib[[#This Row],[Team Number]],RobotDesignResults[Team Number],0)))</f>
        <v/>
      </c>
      <c r="M27" s="5">
        <f>IF(ISNA(INDEX(OfficialTeamList[Team Name],MATCH(InnovationProjectDelib[[#This Row],[Team Number]], OfficialTeamList[Team '#],0))),"",INDEX(OfficialTeamList[Team Name],MATCH(InnovationProjectDelib[[#This Row],[Team Number]], OfficialTeamList[Team '#],0)))</f>
        <v/>
      </c>
      <c r="N27"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8" ht="20.25" customHeight="1">
      <c r="C28" s="5">
        <f>IF(ISNA(INDEX(OfficialTeamList[Team Name],MATCH(CoreValuesDelib[[#This Row],[Team Number]], OfficialTeamList[Team '#],0))),"",INDEX(OfficialTeamList[Team Name],MATCH(CoreValuesDelib[[#This Row],[Team Number]], OfficialTeamList[Team '#],0)))</f>
        <v/>
      </c>
      <c r="D28" s="5">
        <f>IF(ISNA(INDEX(CoreValuesResults[Core Values Rank],MATCH(CoreValuesDelib[[#This Row],[Team Number]],CoreValuesResults[Team Number],0))),NumberOfTeams+1,INDEX(CoreValuesResults[Core Values Rank],MATCH(CoreValuesDelib[[#This Row],[Team Number]],CoreValuesResults[Team Number],0)))</f>
        <v/>
      </c>
      <c r="H28" s="5">
        <f>IF(ISNA(INDEX(OfficialTeamList[Team Name],MATCH(RobotDesignDelib[[#This Row],[Team Number]], OfficialTeamList[Team '#],0))),"",INDEX(OfficialTeamList[Team Name],MATCH(RobotDesignDelib[[#This Row],[Team Number]], OfficialTeamList[Team '#],0)))</f>
        <v/>
      </c>
      <c r="I28" s="5">
        <f>IF(ISNA(INDEX(RobotDesignResults[Robot Design Rank],MATCH(RobotDesignDelib[[#This Row],[Team Number]],RobotDesignResults[Team Number],0))),NumberOfTeams+1,INDEX(RobotDesignResults[Robot Design Rank],MATCH(RobotDesignDelib[[#This Row],[Team Number]],RobotDesignResults[Team Number],0)))</f>
        <v/>
      </c>
      <c r="M28" s="5">
        <f>IF(ISNA(INDEX(OfficialTeamList[Team Name],MATCH(InnovationProjectDelib[[#This Row],[Team Number]], OfficialTeamList[Team '#],0))),"",INDEX(OfficialTeamList[Team Name],MATCH(InnovationProjectDelib[[#This Row],[Team Number]], OfficialTeamList[Team '#],0)))</f>
        <v/>
      </c>
      <c r="N28"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9" ht="20.25" customHeight="1">
      <c r="C29" s="5">
        <f>IF(ISNA(INDEX(OfficialTeamList[Team Name],MATCH(CoreValuesDelib[[#This Row],[Team Number]], OfficialTeamList[Team '#],0))),"",INDEX(OfficialTeamList[Team Name],MATCH(CoreValuesDelib[[#This Row],[Team Number]], OfficialTeamList[Team '#],0)))</f>
        <v/>
      </c>
      <c r="D29" s="5">
        <f>IF(ISNA(INDEX(CoreValuesResults[Core Values Rank],MATCH(CoreValuesDelib[[#This Row],[Team Number]],CoreValuesResults[Team Number],0))),NumberOfTeams+1,INDEX(CoreValuesResults[Core Values Rank],MATCH(CoreValuesDelib[[#This Row],[Team Number]],CoreValuesResults[Team Number],0)))</f>
        <v/>
      </c>
      <c r="H29" s="5">
        <f>IF(ISNA(INDEX(OfficialTeamList[Team Name],MATCH(RobotDesignDelib[[#This Row],[Team Number]], OfficialTeamList[Team '#],0))),"",INDEX(OfficialTeamList[Team Name],MATCH(RobotDesignDelib[[#This Row],[Team Number]], OfficialTeamList[Team '#],0)))</f>
        <v/>
      </c>
      <c r="I29" s="5">
        <f>IF(ISNA(INDEX(RobotDesignResults[Robot Design Rank],MATCH(RobotDesignDelib[[#This Row],[Team Number]],RobotDesignResults[Team Number],0))),NumberOfTeams+1,INDEX(RobotDesignResults[Robot Design Rank],MATCH(RobotDesignDelib[[#This Row],[Team Number]],RobotDesignResults[Team Number],0)))</f>
        <v/>
      </c>
      <c r="M29" s="5">
        <f>IF(ISNA(INDEX(OfficialTeamList[Team Name],MATCH(InnovationProjectDelib[[#This Row],[Team Number]], OfficialTeamList[Team '#],0))),"",INDEX(OfficialTeamList[Team Name],MATCH(InnovationProjectDelib[[#This Row],[Team Number]], OfficialTeamList[Team '#],0)))</f>
        <v/>
      </c>
      <c r="N29"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0" ht="20.25" customHeight="1">
      <c r="C30" s="5">
        <f>IF(ISNA(INDEX(OfficialTeamList[Team Name],MATCH(CoreValuesDelib[[#This Row],[Team Number]], OfficialTeamList[Team '#],0))),"",INDEX(OfficialTeamList[Team Name],MATCH(CoreValuesDelib[[#This Row],[Team Number]], OfficialTeamList[Team '#],0)))</f>
        <v/>
      </c>
      <c r="D30" s="5">
        <f>IF(ISNA(INDEX(CoreValuesResults[Core Values Rank],MATCH(CoreValuesDelib[[#This Row],[Team Number]],CoreValuesResults[Team Number],0))),NumberOfTeams+1,INDEX(CoreValuesResults[Core Values Rank],MATCH(CoreValuesDelib[[#This Row],[Team Number]],CoreValuesResults[Team Number],0)))</f>
        <v/>
      </c>
      <c r="H30" s="5">
        <f>IF(ISNA(INDEX(OfficialTeamList[Team Name],MATCH(RobotDesignDelib[[#This Row],[Team Number]], OfficialTeamList[Team '#],0))),"",INDEX(OfficialTeamList[Team Name],MATCH(RobotDesignDelib[[#This Row],[Team Number]], OfficialTeamList[Team '#],0)))</f>
        <v/>
      </c>
      <c r="I30" s="5">
        <f>IF(ISNA(INDEX(RobotDesignResults[Robot Design Rank],MATCH(RobotDesignDelib[[#This Row],[Team Number]],RobotDesignResults[Team Number],0))),NumberOfTeams+1,INDEX(RobotDesignResults[Robot Design Rank],MATCH(RobotDesignDelib[[#This Row],[Team Number]],RobotDesignResults[Team Number],0)))</f>
        <v/>
      </c>
      <c r="M30" s="5">
        <f>IF(ISNA(INDEX(OfficialTeamList[Team Name],MATCH(InnovationProjectDelib[[#This Row],[Team Number]], OfficialTeamList[Team '#],0))),"",INDEX(OfficialTeamList[Team Name],MATCH(InnovationProjectDelib[[#This Row],[Team Number]], OfficialTeamList[Team '#],0)))</f>
        <v/>
      </c>
      <c r="N30"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1" ht="20.25" customHeight="1">
      <c r="C31" s="5">
        <f>IF(ISNA(INDEX(OfficialTeamList[Team Name],MATCH(CoreValuesDelib[[#This Row],[Team Number]], OfficialTeamList[Team '#],0))),"",INDEX(OfficialTeamList[Team Name],MATCH(CoreValuesDelib[[#This Row],[Team Number]], OfficialTeamList[Team '#],0)))</f>
        <v/>
      </c>
      <c r="D31" s="5">
        <f>IF(ISNA(INDEX(CoreValuesResults[Core Values Rank],MATCH(CoreValuesDelib[[#This Row],[Team Number]],CoreValuesResults[Team Number],0))),NumberOfTeams+1,INDEX(CoreValuesResults[Core Values Rank],MATCH(CoreValuesDelib[[#This Row],[Team Number]],CoreValuesResults[Team Number],0)))</f>
        <v/>
      </c>
      <c r="H31" s="5">
        <f>IF(ISNA(INDEX(OfficialTeamList[Team Name],MATCH(RobotDesignDelib[[#This Row],[Team Number]], OfficialTeamList[Team '#],0))),"",INDEX(OfficialTeamList[Team Name],MATCH(RobotDesignDelib[[#This Row],[Team Number]], OfficialTeamList[Team '#],0)))</f>
        <v/>
      </c>
      <c r="I31" s="5">
        <f>IF(ISNA(INDEX(RobotDesignResults[Robot Design Rank],MATCH(RobotDesignDelib[[#This Row],[Team Number]],RobotDesignResults[Team Number],0))),NumberOfTeams+1,INDEX(RobotDesignResults[Robot Design Rank],MATCH(RobotDesignDelib[[#This Row],[Team Number]],RobotDesignResults[Team Number],0)))</f>
        <v/>
      </c>
      <c r="M31" s="5">
        <f>IF(ISNA(INDEX(OfficialTeamList[Team Name],MATCH(InnovationProjectDelib[[#This Row],[Team Number]], OfficialTeamList[Team '#],0))),"",INDEX(OfficialTeamList[Team Name],MATCH(InnovationProjectDelib[[#This Row],[Team Number]], OfficialTeamList[Team '#],0)))</f>
        <v/>
      </c>
      <c r="N31"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2" ht="20.25" customHeight="1">
      <c r="C32" s="5">
        <f>IF(ISNA(INDEX(OfficialTeamList[Team Name],MATCH(CoreValuesDelib[[#This Row],[Team Number]], OfficialTeamList[Team '#],0))),"",INDEX(OfficialTeamList[Team Name],MATCH(CoreValuesDelib[[#This Row],[Team Number]], OfficialTeamList[Team '#],0)))</f>
        <v/>
      </c>
      <c r="D32" s="5">
        <f>IF(ISNA(INDEX(CoreValuesResults[Core Values Rank],MATCH(CoreValuesDelib[[#This Row],[Team Number]],CoreValuesResults[Team Number],0))),NumberOfTeams+1,INDEX(CoreValuesResults[Core Values Rank],MATCH(CoreValuesDelib[[#This Row],[Team Number]],CoreValuesResults[Team Number],0)))</f>
        <v/>
      </c>
      <c r="H32" s="5">
        <f>IF(ISNA(INDEX(OfficialTeamList[Team Name],MATCH(RobotDesignDelib[[#This Row],[Team Number]], OfficialTeamList[Team '#],0))),"",INDEX(OfficialTeamList[Team Name],MATCH(RobotDesignDelib[[#This Row],[Team Number]], OfficialTeamList[Team '#],0)))</f>
        <v/>
      </c>
      <c r="I32" s="5">
        <f>IF(ISNA(INDEX(RobotDesignResults[Robot Design Rank],MATCH(RobotDesignDelib[[#This Row],[Team Number]],RobotDesignResults[Team Number],0))),NumberOfTeams+1,INDEX(RobotDesignResults[Robot Design Rank],MATCH(RobotDesignDelib[[#This Row],[Team Number]],RobotDesignResults[Team Number],0)))</f>
        <v/>
      </c>
      <c r="M32" s="5">
        <f>IF(ISNA(INDEX(OfficialTeamList[Team Name],MATCH(InnovationProjectDelib[[#This Row],[Team Number]], OfficialTeamList[Team '#],0))),"",INDEX(OfficialTeamList[Team Name],MATCH(InnovationProjectDelib[[#This Row],[Team Number]], OfficialTeamList[Team '#],0)))</f>
        <v/>
      </c>
      <c r="N3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3" ht="20.25" customHeight="1">
      <c r="C33" s="5">
        <f>IF(ISNA(INDEX(OfficialTeamList[Team Name],MATCH(CoreValuesDelib[[#This Row],[Team Number]], OfficialTeamList[Team '#],0))),"",INDEX(OfficialTeamList[Team Name],MATCH(CoreValuesDelib[[#This Row],[Team Number]], OfficialTeamList[Team '#],0)))</f>
        <v/>
      </c>
      <c r="D33" s="5">
        <f>IF(ISNA(INDEX(CoreValuesResults[Core Values Rank],MATCH(CoreValuesDelib[[#This Row],[Team Number]],CoreValuesResults[Team Number],0))),NumberOfTeams+1,INDEX(CoreValuesResults[Core Values Rank],MATCH(CoreValuesDelib[[#This Row],[Team Number]],CoreValuesResults[Team Number],0)))</f>
        <v/>
      </c>
      <c r="H33" s="5">
        <f>IF(ISNA(INDEX(OfficialTeamList[Team Name],MATCH(RobotDesignDelib[[#This Row],[Team Number]], OfficialTeamList[Team '#],0))),"",INDEX(OfficialTeamList[Team Name],MATCH(RobotDesignDelib[[#This Row],[Team Number]], OfficialTeamList[Team '#],0)))</f>
        <v/>
      </c>
      <c r="I33" s="5">
        <f>IF(ISNA(INDEX(RobotDesignResults[Robot Design Rank],MATCH(RobotDesignDelib[[#This Row],[Team Number]],RobotDesignResults[Team Number],0))),NumberOfTeams+1,INDEX(RobotDesignResults[Robot Design Rank],MATCH(RobotDesignDelib[[#This Row],[Team Number]],RobotDesignResults[Team Number],0)))</f>
        <v/>
      </c>
      <c r="M33" s="5">
        <f>IF(ISNA(INDEX(OfficialTeamList[Team Name],MATCH(InnovationProjectDelib[[#This Row],[Team Number]], OfficialTeamList[Team '#],0))),"",INDEX(OfficialTeamList[Team Name],MATCH(InnovationProjectDelib[[#This Row],[Team Number]], OfficialTeamList[Team '#],0)))</f>
        <v/>
      </c>
      <c r="N3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4" ht="20.25" customHeight="1">
      <c r="C34" s="5">
        <f>IF(ISNA(INDEX(OfficialTeamList[Team Name],MATCH(CoreValuesDelib[[#This Row],[Team Number]], OfficialTeamList[Team '#],0))),"",INDEX(OfficialTeamList[Team Name],MATCH(CoreValuesDelib[[#This Row],[Team Number]], OfficialTeamList[Team '#],0)))</f>
        <v/>
      </c>
      <c r="D34" s="5">
        <f>IF(ISNA(INDEX(CoreValuesResults[Core Values Rank],MATCH(CoreValuesDelib[[#This Row],[Team Number]],CoreValuesResults[Team Number],0))),NumberOfTeams+1,INDEX(CoreValuesResults[Core Values Rank],MATCH(CoreValuesDelib[[#This Row],[Team Number]],CoreValuesResults[Team Number],0)))</f>
        <v/>
      </c>
      <c r="H34" s="5">
        <f>IF(ISNA(INDEX(OfficialTeamList[Team Name],MATCH(RobotDesignDelib[[#This Row],[Team Number]], OfficialTeamList[Team '#],0))),"",INDEX(OfficialTeamList[Team Name],MATCH(RobotDesignDelib[[#This Row],[Team Number]], OfficialTeamList[Team '#],0)))</f>
        <v/>
      </c>
      <c r="I34" s="5">
        <f>IF(ISNA(INDEX(RobotDesignResults[Robot Design Rank],MATCH(RobotDesignDelib[[#This Row],[Team Number]],RobotDesignResults[Team Number],0))),NumberOfTeams+1,INDEX(RobotDesignResults[Robot Design Rank],MATCH(RobotDesignDelib[[#This Row],[Team Number]],RobotDesignResults[Team Number],0)))</f>
        <v/>
      </c>
      <c r="M34" s="5">
        <f>IF(ISNA(INDEX(OfficialTeamList[Team Name],MATCH(InnovationProjectDelib[[#This Row],[Team Number]], OfficialTeamList[Team '#],0))),"",INDEX(OfficialTeamList[Team Name],MATCH(InnovationProjectDelib[[#This Row],[Team Number]], OfficialTeamList[Team '#],0)))</f>
        <v/>
      </c>
      <c r="N3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5" ht="20.25" customHeight="1">
      <c r="C35" s="5">
        <f>IF(ISNA(INDEX(OfficialTeamList[Team Name],MATCH(CoreValuesDelib[[#This Row],[Team Number]], OfficialTeamList[Team '#],0))),"",INDEX(OfficialTeamList[Team Name],MATCH(CoreValuesDelib[[#This Row],[Team Number]], OfficialTeamList[Team '#],0)))</f>
        <v/>
      </c>
      <c r="D35" s="5">
        <f>IF(ISNA(INDEX(CoreValuesResults[Core Values Rank],MATCH(CoreValuesDelib[[#This Row],[Team Number]],CoreValuesResults[Team Number],0))),NumberOfTeams+1,INDEX(CoreValuesResults[Core Values Rank],MATCH(CoreValuesDelib[[#This Row],[Team Number]],CoreValuesResults[Team Number],0)))</f>
        <v/>
      </c>
      <c r="H35" s="5">
        <f>IF(ISNA(INDEX(OfficialTeamList[Team Name],MATCH(RobotDesignDelib[[#This Row],[Team Number]], OfficialTeamList[Team '#],0))),"",INDEX(OfficialTeamList[Team Name],MATCH(RobotDesignDelib[[#This Row],[Team Number]], OfficialTeamList[Team '#],0)))</f>
        <v/>
      </c>
      <c r="I35" s="5">
        <f>IF(ISNA(INDEX(RobotDesignResults[Robot Design Rank],MATCH(RobotDesignDelib[[#This Row],[Team Number]],RobotDesignResults[Team Number],0))),NumberOfTeams+1,INDEX(RobotDesignResults[Robot Design Rank],MATCH(RobotDesignDelib[[#This Row],[Team Number]],RobotDesignResults[Team Number],0)))</f>
        <v/>
      </c>
      <c r="M35" s="5">
        <f>IF(ISNA(INDEX(OfficialTeamList[Team Name],MATCH(InnovationProjectDelib[[#This Row],[Team Number]], OfficialTeamList[Team '#],0))),"",INDEX(OfficialTeamList[Team Name],MATCH(InnovationProjectDelib[[#This Row],[Team Number]], OfficialTeamList[Team '#],0)))</f>
        <v/>
      </c>
      <c r="N3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6" ht="20.25" customHeight="1">
      <c r="C36" s="5">
        <f>IF(ISNA(INDEX(OfficialTeamList[Team Name],MATCH(CoreValuesDelib[[#This Row],[Team Number]], OfficialTeamList[Team '#],0))),"",INDEX(OfficialTeamList[Team Name],MATCH(CoreValuesDelib[[#This Row],[Team Number]], OfficialTeamList[Team '#],0)))</f>
        <v/>
      </c>
      <c r="D36" s="5">
        <f>IF(ISNA(INDEX(CoreValuesResults[Core Values Rank],MATCH(CoreValuesDelib[[#This Row],[Team Number]],CoreValuesResults[Team Number],0))),NumberOfTeams+1,INDEX(CoreValuesResults[Core Values Rank],MATCH(CoreValuesDelib[[#This Row],[Team Number]],CoreValuesResults[Team Number],0)))</f>
        <v/>
      </c>
      <c r="H36" s="5">
        <f>IF(ISNA(INDEX(OfficialTeamList[Team Name],MATCH(RobotDesignDelib[[#This Row],[Team Number]], OfficialTeamList[Team '#],0))),"",INDEX(OfficialTeamList[Team Name],MATCH(RobotDesignDelib[[#This Row],[Team Number]], OfficialTeamList[Team '#],0)))</f>
        <v/>
      </c>
      <c r="I36" s="5">
        <f>IF(ISNA(INDEX(RobotDesignResults[Robot Design Rank],MATCH(RobotDesignDelib[[#This Row],[Team Number]],RobotDesignResults[Team Number],0))),NumberOfTeams+1,INDEX(RobotDesignResults[Robot Design Rank],MATCH(RobotDesignDelib[[#This Row],[Team Number]],RobotDesignResults[Team Number],0)))</f>
        <v/>
      </c>
      <c r="M36" s="5">
        <f>IF(ISNA(INDEX(OfficialTeamList[Team Name],MATCH(InnovationProjectDelib[[#This Row],[Team Number]], OfficialTeamList[Team '#],0))),"",INDEX(OfficialTeamList[Team Name],MATCH(InnovationProjectDelib[[#This Row],[Team Number]], OfficialTeamList[Team '#],0)))</f>
        <v/>
      </c>
      <c r="N3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8" ht="20.25" customHeight="1">
      <c r="B38" s="5" t="inlineStr">
        <is>
          <t>Breakthrough</t>
        </is>
      </c>
      <c r="G38" s="5" t="inlineStr">
        <is>
          <t>Rising All-Star</t>
        </is>
      </c>
      <c r="L38" s="5" t="inlineStr">
        <is>
          <t>Motivate</t>
        </is>
      </c>
    </row>
    <row r="39" ht="39.95" customHeight="1">
      <c r="B39" s="12" t="inlineStr">
        <is>
          <t>Team Number</t>
        </is>
      </c>
      <c r="C39" s="12" t="inlineStr">
        <is>
          <t>Team Name</t>
        </is>
      </c>
      <c r="D39" s="13" t="inlineStr">
        <is>
          <t>Champion's Rank</t>
        </is>
      </c>
      <c r="E39" s="13" t="inlineStr">
        <is>
          <t>Deliberated Rank</t>
        </is>
      </c>
      <c r="G39" s="12" t="inlineStr">
        <is>
          <t>Team Number</t>
        </is>
      </c>
      <c r="H39" s="12" t="inlineStr">
        <is>
          <t>Team Name</t>
        </is>
      </c>
      <c r="I39" s="13" t="inlineStr">
        <is>
          <t>Champion's Rank</t>
        </is>
      </c>
      <c r="J39" s="13" t="inlineStr">
        <is>
          <t>Deliberated Rank</t>
        </is>
      </c>
      <c r="L39" s="12" t="inlineStr">
        <is>
          <t>Team Number</t>
        </is>
      </c>
      <c r="M39" s="12" t="inlineStr">
        <is>
          <t>Team Name</t>
        </is>
      </c>
      <c r="N39" s="13" t="inlineStr">
        <is>
          <t>Champion's Rank</t>
        </is>
      </c>
      <c r="O39" s="13" t="inlineStr">
        <is>
          <t>Deliberated Rank</t>
        </is>
      </c>
    </row>
    <row r="40" ht="20.25" customHeight="1">
      <c r="C40" s="5">
        <f>IF(ISNA(INDEX(OfficialTeamList[Team Name],MATCH(BreakthroughDelib[[#This Row],[Team Number]], OfficialTeamList[Team '#],0))),"",INDEX(OfficialTeamList[Team Name],MATCH(BreakthroughDelib[[#This Row],[Team Number]], OfficialTeamList[Team '#],0)))</f>
        <v/>
      </c>
      <c r="D40" s="5">
        <f>IF(ISNA(INDEX(TournamentData[Champion''s Rank],MATCH(BreakthroughDelib[[#This Row],[Team Number]],TournamentData[Team Number],0))),NumberOfTeams+1,INDEX(TournamentData[Champion''s Rank],MATCH(BreakthroughDelib[[#This Row],[Team Number]],TournamentData[Team Number],0)))</f>
        <v/>
      </c>
      <c r="H40" s="5">
        <f>IF(ISNA(INDEX(OfficialTeamList[Team Name],MATCH(RookiAllStarDelib[[#This Row],[Team Number]], OfficialTeamList[Team '#],0))),"",INDEX(OfficialTeamList[Team Name],MATCH(RookiAllStarDelib[[#This Row],[Team Number]], OfficialTeamList[Team '#],0)))</f>
        <v/>
      </c>
      <c r="I40" s="5">
        <f>IF(ISNA(INDEX(TournamentData[Champion''s Rank],MATCH(RookiAllStarDelib[[#This Row],[Team Number]],TournamentData[Team Number],0))),NumberOfTeams+1,INDEX(TournamentData[Champion''s Rank],MATCH(RookiAllStarDelib[[#This Row],[Team Number]],TournamentData[Team Number],0)))</f>
        <v/>
      </c>
      <c r="M40" s="5">
        <f>IF(ISNA(INDEX(OfficialTeamList[Team Name],MATCH(MotivateDelib[[#This Row],[Team Number]], OfficialTeamList[Team '#],0))),"",INDEX(OfficialTeamList[Team Name],MATCH(MotivateDelib[[#This Row],[Team Number]], OfficialTeamList[Team '#],0)))</f>
        <v/>
      </c>
      <c r="N40" s="5">
        <f>IF(ISNA(INDEX(TournamentData[Champion''s Rank],MATCH(MotivateDelib[[#This Row],[Team Number]],TournamentData[Team Number],0))),NumberOfTeams+1,INDEX(TournamentData[Champion''s Rank],MATCH(MotivateDelib[[#This Row],[Team Number]],TournamentData[Team Number],0)))</f>
        <v/>
      </c>
    </row>
    <row r="41" ht="20.25" customHeight="1">
      <c r="C41" s="5">
        <f>IF(ISNA(INDEX(OfficialTeamList[Team Name],MATCH(BreakthroughDelib[[#This Row],[Team Number]], OfficialTeamList[Team '#],0))),"",INDEX(OfficialTeamList[Team Name],MATCH(BreakthroughDelib[[#This Row],[Team Number]], OfficialTeamList[Team '#],0)))</f>
        <v/>
      </c>
      <c r="D41" s="5">
        <f>IF(ISNA(INDEX(TournamentData[Champion''s Rank],MATCH(BreakthroughDelib[[#This Row],[Team Number]],TournamentData[Team Number],0))),NumberOfTeams+1,INDEX(TournamentData[Champion''s Rank],MATCH(BreakthroughDelib[[#This Row],[Team Number]],TournamentData[Team Number],0)))</f>
        <v/>
      </c>
      <c r="H41" s="5">
        <f>IF(ISNA(INDEX(OfficialTeamList[Team Name],MATCH(RookiAllStarDelib[[#This Row],[Team Number]], OfficialTeamList[Team '#],0))),"",INDEX(OfficialTeamList[Team Name],MATCH(RookiAllStarDelib[[#This Row],[Team Number]], OfficialTeamList[Team '#],0)))</f>
        <v/>
      </c>
      <c r="I41" s="5">
        <f>IF(ISNA(INDEX(TournamentData[Champion''s Rank],MATCH(RookiAllStarDelib[[#This Row],[Team Number]],TournamentData[Team Number],0))),NumberOfTeams+1,INDEX(TournamentData[Champion''s Rank],MATCH(RookiAllStarDelib[[#This Row],[Team Number]],TournamentData[Team Number],0)))</f>
        <v/>
      </c>
      <c r="M41" s="5">
        <f>IF(ISNA(INDEX(OfficialTeamList[Team Name],MATCH(MotivateDelib[[#This Row],[Team Number]], OfficialTeamList[Team '#],0))),"",INDEX(OfficialTeamList[Team Name],MATCH(MotivateDelib[[#This Row],[Team Number]], OfficialTeamList[Team '#],0)))</f>
        <v/>
      </c>
      <c r="N41" s="5">
        <f>IF(ISNA(INDEX(TournamentData[Champion''s Rank],MATCH(MotivateDelib[[#This Row],[Team Number]],TournamentData[Team Number],0))),NumberOfTeams+1,INDEX(TournamentData[Champion''s Rank],MATCH(MotivateDelib[[#This Row],[Team Number]],TournamentData[Team Number],0)))</f>
        <v/>
      </c>
    </row>
    <row r="42" ht="20.25" customHeight="1">
      <c r="C42" s="5">
        <f>IF(ISNA(INDEX(OfficialTeamList[Team Name],MATCH(BreakthroughDelib[[#This Row],[Team Number]], OfficialTeamList[Team '#],0))),"",INDEX(OfficialTeamList[Team Name],MATCH(BreakthroughDelib[[#This Row],[Team Number]], OfficialTeamList[Team '#],0)))</f>
        <v/>
      </c>
      <c r="D42" s="5">
        <f>IF(ISNA(INDEX(TournamentData[Champion''s Rank],MATCH(BreakthroughDelib[[#This Row],[Team Number]],TournamentData[Team Number],0))),NumberOfTeams+1,INDEX(TournamentData[Champion''s Rank],MATCH(BreakthroughDelib[[#This Row],[Team Number]],TournamentData[Team Number],0)))</f>
        <v/>
      </c>
      <c r="H42" s="5">
        <f>IF(ISNA(INDEX(OfficialTeamList[Team Name],MATCH(RookiAllStarDelib[[#This Row],[Team Number]], OfficialTeamList[Team '#],0))),"",INDEX(OfficialTeamList[Team Name],MATCH(RookiAllStarDelib[[#This Row],[Team Number]], OfficialTeamList[Team '#],0)))</f>
        <v/>
      </c>
      <c r="I42" s="5">
        <f>IF(ISNA(INDEX(TournamentData[Champion''s Rank],MATCH(RookiAllStarDelib[[#This Row],[Team Number]],TournamentData[Team Number],0))),NumberOfTeams+1,INDEX(TournamentData[Champion''s Rank],MATCH(RookiAllStarDelib[[#This Row],[Team Number]],TournamentData[Team Number],0)))</f>
        <v/>
      </c>
      <c r="M42" s="5">
        <f>IF(ISNA(INDEX(OfficialTeamList[Team Name],MATCH(MotivateDelib[[#This Row],[Team Number]], OfficialTeamList[Team '#],0))),"",INDEX(OfficialTeamList[Team Name],MATCH(MotivateDelib[[#This Row],[Team Number]], OfficialTeamList[Team '#],0)))</f>
        <v/>
      </c>
      <c r="N42" s="5">
        <f>IF(ISNA(INDEX(TournamentData[Champion''s Rank],MATCH(MotivateDelib[[#This Row],[Team Number]],TournamentData[Team Number],0))),NumberOfTeams+1,INDEX(TournamentData[Champion''s Rank],MATCH(MotivateDelib[[#This Row],[Team Number]],TournamentData[Team Number],0)))</f>
        <v/>
      </c>
    </row>
    <row r="43" ht="20.25" customHeight="1">
      <c r="C43" s="5">
        <f>IF(ISNA(INDEX(OfficialTeamList[Team Name],MATCH(BreakthroughDelib[[#This Row],[Team Number]], OfficialTeamList[Team '#],0))),"",INDEX(OfficialTeamList[Team Name],MATCH(BreakthroughDelib[[#This Row],[Team Number]], OfficialTeamList[Team '#],0)))</f>
        <v/>
      </c>
      <c r="D43" s="5">
        <f>IF(ISNA(INDEX(TournamentData[Champion''s Rank],MATCH(BreakthroughDelib[[#This Row],[Team Number]],TournamentData[Team Number],0))),NumberOfTeams+1,INDEX(TournamentData[Champion''s Rank],MATCH(BreakthroughDelib[[#This Row],[Team Number]],TournamentData[Team Number],0)))</f>
        <v/>
      </c>
      <c r="H43" s="5">
        <f>IF(ISNA(INDEX(OfficialTeamList[Team Name],MATCH(RookiAllStarDelib[[#This Row],[Team Number]], OfficialTeamList[Team '#],0))),"",INDEX(OfficialTeamList[Team Name],MATCH(RookiAllStarDelib[[#This Row],[Team Number]], OfficialTeamList[Team '#],0)))</f>
        <v/>
      </c>
      <c r="I43" s="5">
        <f>IF(ISNA(INDEX(TournamentData[Champion''s Rank],MATCH(RookiAllStarDelib[[#This Row],[Team Number]],TournamentData[Team Number],0))),NumberOfTeams+1,INDEX(TournamentData[Champion''s Rank],MATCH(RookiAllStarDelib[[#This Row],[Team Number]],TournamentData[Team Number],0)))</f>
        <v/>
      </c>
      <c r="M43" s="5">
        <f>IF(ISNA(INDEX(OfficialTeamList[Team Name],MATCH(MotivateDelib[[#This Row],[Team Number]], OfficialTeamList[Team '#],0))),"",INDEX(OfficialTeamList[Team Name],MATCH(MotivateDelib[[#This Row],[Team Number]], OfficialTeamList[Team '#],0)))</f>
        <v/>
      </c>
      <c r="N43" s="5">
        <f>IF(ISNA(INDEX(TournamentData[Champion''s Rank],MATCH(MotivateDelib[[#This Row],[Team Number]],TournamentData[Team Number],0))),NumberOfTeams+1,INDEX(TournamentData[Champion''s Rank],MATCH(MotivateDelib[[#This Row],[Team Number]],TournamentData[Team Number],0)))</f>
        <v/>
      </c>
    </row>
    <row r="44" ht="20.25" customHeight="1">
      <c r="C44" s="5">
        <f>IF(ISNA(INDEX(OfficialTeamList[Team Name],MATCH(BreakthroughDelib[[#This Row],[Team Number]], OfficialTeamList[Team '#],0))),"",INDEX(OfficialTeamList[Team Name],MATCH(BreakthroughDelib[[#This Row],[Team Number]], OfficialTeamList[Team '#],0)))</f>
        <v/>
      </c>
      <c r="D44" s="5">
        <f>IF(ISNA(INDEX(TournamentData[Champion''s Rank],MATCH(BreakthroughDelib[[#This Row],[Team Number]],TournamentData[Team Number],0))),NumberOfTeams+1,INDEX(TournamentData[Champion''s Rank],MATCH(BreakthroughDelib[[#This Row],[Team Number]],TournamentData[Team Number],0)))</f>
        <v/>
      </c>
      <c r="H44" s="5">
        <f>IF(ISNA(INDEX(OfficialTeamList[Team Name],MATCH(RookiAllStarDelib[[#This Row],[Team Number]], OfficialTeamList[Team '#],0))),"",INDEX(OfficialTeamList[Team Name],MATCH(RookiAllStarDelib[[#This Row],[Team Number]], OfficialTeamList[Team '#],0)))</f>
        <v/>
      </c>
      <c r="I44" s="5">
        <f>IF(ISNA(INDEX(TournamentData[Champion''s Rank],MATCH(RookiAllStarDelib[[#This Row],[Team Number]],TournamentData[Team Number],0))),NumberOfTeams+1,INDEX(TournamentData[Champion''s Rank],MATCH(RookiAllStarDelib[[#This Row],[Team Number]],TournamentData[Team Number],0)))</f>
        <v/>
      </c>
      <c r="M44" s="5">
        <f>IF(ISNA(INDEX(OfficialTeamList[Team Name],MATCH(MotivateDelib[[#This Row],[Team Number]], OfficialTeamList[Team '#],0))),"",INDEX(OfficialTeamList[Team Name],MATCH(MotivateDelib[[#This Row],[Team Number]], OfficialTeamList[Team '#],0)))</f>
        <v/>
      </c>
      <c r="N44" s="5">
        <f>IF(ISNA(INDEX(TournamentData[Champion''s Rank],MATCH(MotivateDelib[[#This Row],[Team Number]],TournamentData[Team Number],0))),NumberOfTeams+1,INDEX(TournamentData[Champion''s Rank],MATCH(MotivateDelib[[#This Row],[Team Number]],TournamentData[Team Number],0)))</f>
        <v/>
      </c>
    </row>
    <row r="45" ht="20.25" customHeight="1">
      <c r="C45" s="5">
        <f>IF(ISNA(INDEX(OfficialTeamList[Team Name],MATCH(BreakthroughDelib[[#This Row],[Team Number]], OfficialTeamList[Team '#],0))),"",INDEX(OfficialTeamList[Team Name],MATCH(BreakthroughDelib[[#This Row],[Team Number]], OfficialTeamList[Team '#],0)))</f>
        <v/>
      </c>
      <c r="D45" s="5">
        <f>IF(ISNA(INDEX(TournamentData[Champion''s Rank],MATCH(BreakthroughDelib[[#This Row],[Team Number]],TournamentData[Team Number],0))),NumberOfTeams+1,INDEX(TournamentData[Champion''s Rank],MATCH(BreakthroughDelib[[#This Row],[Team Number]],TournamentData[Team Number],0)))</f>
        <v/>
      </c>
      <c r="H45" s="5">
        <f>IF(ISNA(INDEX(OfficialTeamList[Team Name],MATCH(RookiAllStarDelib[[#This Row],[Team Number]], OfficialTeamList[Team '#],0))),"",INDEX(OfficialTeamList[Team Name],MATCH(RookiAllStarDelib[[#This Row],[Team Number]], OfficialTeamList[Team '#],0)))</f>
        <v/>
      </c>
      <c r="I45" s="5">
        <f>IF(ISNA(INDEX(TournamentData[Champion''s Rank],MATCH(RookiAllStarDelib[[#This Row],[Team Number]],TournamentData[Team Number],0))),NumberOfTeams+1,INDEX(TournamentData[Champion''s Rank],MATCH(RookiAllStarDelib[[#This Row],[Team Number]],TournamentData[Team Number],0)))</f>
        <v/>
      </c>
      <c r="M45" s="5">
        <f>IF(ISNA(INDEX(OfficialTeamList[Team Name],MATCH(MotivateDelib[[#This Row],[Team Number]], OfficialTeamList[Team '#],0))),"",INDEX(OfficialTeamList[Team Name],MATCH(MotivateDelib[[#This Row],[Team Number]], OfficialTeamList[Team '#],0)))</f>
        <v/>
      </c>
      <c r="N45" s="5">
        <f>IF(ISNA(INDEX(TournamentData[Champion''s Rank],MATCH(MotivateDelib[[#This Row],[Team Number]],TournamentData[Team Number],0))),NumberOfTeams+1,INDEX(TournamentData[Champion''s Rank],MATCH(MotivateDelib[[#This Row],[Team Number]],TournamentData[Team Number],0)))</f>
        <v/>
      </c>
    </row>
    <row r="46" ht="20.25" customHeight="1">
      <c r="C46" s="5">
        <f>IF(ISNA(INDEX(OfficialTeamList[Team Name],MATCH(BreakthroughDelib[[#This Row],[Team Number]], OfficialTeamList[Team '#],0))),"",INDEX(OfficialTeamList[Team Name],MATCH(BreakthroughDelib[[#This Row],[Team Number]], OfficialTeamList[Team '#],0)))</f>
        <v/>
      </c>
      <c r="D46" s="5">
        <f>IF(ISNA(INDEX(TournamentData[Champion''s Rank],MATCH(BreakthroughDelib[[#This Row],[Team Number]],TournamentData[Team Number],0))),NumberOfTeams+1,INDEX(TournamentData[Champion''s Rank],MATCH(BreakthroughDelib[[#This Row],[Team Number]],TournamentData[Team Number],0)))</f>
        <v/>
      </c>
      <c r="H46" s="5">
        <f>IF(ISNA(INDEX(OfficialTeamList[Team Name],MATCH(RookiAllStarDelib[[#This Row],[Team Number]], OfficialTeamList[Team '#],0))),"",INDEX(OfficialTeamList[Team Name],MATCH(RookiAllStarDelib[[#This Row],[Team Number]], OfficialTeamList[Team '#],0)))</f>
        <v/>
      </c>
      <c r="I46" s="5">
        <f>IF(ISNA(INDEX(TournamentData[Champion''s Rank],MATCH(RookiAllStarDelib[[#This Row],[Team Number]],TournamentData[Team Number],0))),NumberOfTeams+1,INDEX(TournamentData[Champion''s Rank],MATCH(RookiAllStarDelib[[#This Row],[Team Number]],TournamentData[Team Number],0)))</f>
        <v/>
      </c>
      <c r="M46" s="5">
        <f>IF(ISNA(INDEX(OfficialTeamList[Team Name],MATCH(MotivateDelib[[#This Row],[Team Number]], OfficialTeamList[Team '#],0))),"",INDEX(OfficialTeamList[Team Name],MATCH(MotivateDelib[[#This Row],[Team Number]], OfficialTeamList[Team '#],0)))</f>
        <v/>
      </c>
      <c r="N46" s="5">
        <f>IF(ISNA(INDEX(TournamentData[Champion''s Rank],MATCH(MotivateDelib[[#This Row],[Team Number]],TournamentData[Team Number],0))),NumberOfTeams+1,INDEX(TournamentData[Champion''s Rank],MATCH(MotivateDelib[[#This Row],[Team Number]],TournamentData[Team Number],0)))</f>
        <v/>
      </c>
    </row>
    <row r="47" ht="20.25" customHeight="1">
      <c r="C47" s="5">
        <f>IF(ISNA(INDEX(OfficialTeamList[Team Name],MATCH(BreakthroughDelib[[#This Row],[Team Number]], OfficialTeamList[Team '#],0))),"",INDEX(OfficialTeamList[Team Name],MATCH(BreakthroughDelib[[#This Row],[Team Number]], OfficialTeamList[Team '#],0)))</f>
        <v/>
      </c>
      <c r="D47" s="5">
        <f>IF(ISNA(INDEX(TournamentData[Champion''s Rank],MATCH(BreakthroughDelib[[#This Row],[Team Number]],TournamentData[Team Number],0))),NumberOfTeams+1,INDEX(TournamentData[Champion''s Rank],MATCH(BreakthroughDelib[[#This Row],[Team Number]],TournamentData[Team Number],0)))</f>
        <v/>
      </c>
      <c r="H47" s="5">
        <f>IF(ISNA(INDEX(OfficialTeamList[Team Name],MATCH(RookiAllStarDelib[[#This Row],[Team Number]], OfficialTeamList[Team '#],0))),"",INDEX(OfficialTeamList[Team Name],MATCH(RookiAllStarDelib[[#This Row],[Team Number]], OfficialTeamList[Team '#],0)))</f>
        <v/>
      </c>
      <c r="I47" s="5">
        <f>IF(ISNA(INDEX(TournamentData[Champion''s Rank],MATCH(RookiAllStarDelib[[#This Row],[Team Number]],TournamentData[Team Number],0))),NumberOfTeams+1,INDEX(TournamentData[Champion''s Rank],MATCH(RookiAllStarDelib[[#This Row],[Team Number]],TournamentData[Team Number],0)))</f>
        <v/>
      </c>
      <c r="M47" s="5">
        <f>IF(ISNA(INDEX(OfficialTeamList[Team Name],MATCH(MotivateDelib[[#This Row],[Team Number]], OfficialTeamList[Team '#],0))),"",INDEX(OfficialTeamList[Team Name],MATCH(MotivateDelib[[#This Row],[Team Number]], OfficialTeamList[Team '#],0)))</f>
        <v/>
      </c>
      <c r="N47" s="5">
        <f>IF(ISNA(INDEX(TournamentData[Champion''s Rank],MATCH(MotivateDelib[[#This Row],[Team Number]],TournamentData[Team Number],0))),NumberOfTeams+1,INDEX(TournamentData[Champion''s Rank],MATCH(MotivateDelib[[#This Row],[Team Number]],TournamentData[Team Number],0)))</f>
        <v/>
      </c>
    </row>
    <row r="48" ht="20.25" customHeight="1">
      <c r="C48" s="5">
        <f>IF(ISNA(INDEX(OfficialTeamList[Team Name],MATCH(BreakthroughDelib[[#This Row],[Team Number]], OfficialTeamList[Team '#],0))),"",INDEX(OfficialTeamList[Team Name],MATCH(BreakthroughDelib[[#This Row],[Team Number]], OfficialTeamList[Team '#],0)))</f>
        <v/>
      </c>
      <c r="D48" s="5">
        <f>IF(ISNA(INDEX(TournamentData[Champion''s Rank],MATCH(BreakthroughDelib[[#This Row],[Team Number]],TournamentData[Team Number],0))),NumberOfTeams+1,INDEX(TournamentData[Champion''s Rank],MATCH(BreakthroughDelib[[#This Row],[Team Number]],TournamentData[Team Number],0)))</f>
        <v/>
      </c>
      <c r="H48" s="5">
        <f>IF(ISNA(INDEX(OfficialTeamList[Team Name],MATCH(RookiAllStarDelib[[#This Row],[Team Number]], OfficialTeamList[Team '#],0))),"",INDEX(OfficialTeamList[Team Name],MATCH(RookiAllStarDelib[[#This Row],[Team Number]], OfficialTeamList[Team '#],0)))</f>
        <v/>
      </c>
      <c r="I48" s="5">
        <f>IF(ISNA(INDEX(TournamentData[Champion''s Rank],MATCH(RookiAllStarDelib[[#This Row],[Team Number]],TournamentData[Team Number],0))),NumberOfTeams+1,INDEX(TournamentData[Champion''s Rank],MATCH(RookiAllStarDelib[[#This Row],[Team Number]],TournamentData[Team Number],0)))</f>
        <v/>
      </c>
      <c r="M48" s="5">
        <f>IF(ISNA(INDEX(OfficialTeamList[Team Name],MATCH(MotivateDelib[[#This Row],[Team Number]], OfficialTeamList[Team '#],0))),"",INDEX(OfficialTeamList[Team Name],MATCH(MotivateDelib[[#This Row],[Team Number]], OfficialTeamList[Team '#],0)))</f>
        <v/>
      </c>
      <c r="N48" s="5">
        <f>IF(ISNA(INDEX(TournamentData[Champion''s Rank],MATCH(MotivateDelib[[#This Row],[Team Number]],TournamentData[Team Number],0))),NumberOfTeams+1,INDEX(TournamentData[Champion''s Rank],MATCH(MotivateDelib[[#This Row],[Team Number]],TournamentData[Team Number],0)))</f>
        <v/>
      </c>
    </row>
    <row r="49" ht="20.25" customHeight="1">
      <c r="C49" s="5">
        <f>IF(ISNA(INDEX(OfficialTeamList[Team Name],MATCH(BreakthroughDelib[[#This Row],[Team Number]], OfficialTeamList[Team '#],0))),"",INDEX(OfficialTeamList[Team Name],MATCH(BreakthroughDelib[[#This Row],[Team Number]], OfficialTeamList[Team '#],0)))</f>
        <v/>
      </c>
      <c r="D49" s="5">
        <f>IF(ISNA(INDEX(TournamentData[Champion''s Rank],MATCH(BreakthroughDelib[[#This Row],[Team Number]],TournamentData[Team Number],0))),NumberOfTeams+1,INDEX(TournamentData[Champion''s Rank],MATCH(BreakthroughDelib[[#This Row],[Team Number]],TournamentData[Team Number],0)))</f>
        <v/>
      </c>
      <c r="H49" s="5">
        <f>IF(ISNA(INDEX(OfficialTeamList[Team Name],MATCH(RookiAllStarDelib[[#This Row],[Team Number]], OfficialTeamList[Team '#],0))),"",INDEX(OfficialTeamList[Team Name],MATCH(RookiAllStarDelib[[#This Row],[Team Number]], OfficialTeamList[Team '#],0)))</f>
        <v/>
      </c>
      <c r="I49" s="5">
        <f>IF(ISNA(INDEX(TournamentData[Champion''s Rank],MATCH(RookiAllStarDelib[[#This Row],[Team Number]],TournamentData[Team Number],0))),NumberOfTeams+1,INDEX(TournamentData[Champion''s Rank],MATCH(RookiAllStarDelib[[#This Row],[Team Number]],TournamentData[Team Number],0)))</f>
        <v/>
      </c>
      <c r="M49" s="5">
        <f>IF(ISNA(INDEX(OfficialTeamList[Team Name],MATCH(MotivateDelib[[#This Row],[Team Number]], OfficialTeamList[Team '#],0))),"",INDEX(OfficialTeamList[Team Name],MATCH(MotivateDelib[[#This Row],[Team Number]], OfficialTeamList[Team '#],0)))</f>
        <v/>
      </c>
      <c r="N49" s="5">
        <f>IF(ISNA(INDEX(TournamentData[Champion''s Rank],MATCH(MotivateDelib[[#This Row],[Team Number]],TournamentData[Team Number],0))),NumberOfTeams+1,INDEX(TournamentData[Champion''s Rank],MATCH(MotivateDelib[[#This Row],[Team Number]],TournamentData[Team Number],0)))</f>
        <v/>
      </c>
    </row>
    <row r="50" ht="20.25" customHeight="1">
      <c r="C50" s="5">
        <f>IF(ISNA(INDEX(OfficialTeamList[Team Name],MATCH(BreakthroughDelib[[#This Row],[Team Number]], OfficialTeamList[Team '#],0))),"",INDEX(OfficialTeamList[Team Name],MATCH(BreakthroughDelib[[#This Row],[Team Number]], OfficialTeamList[Team '#],0)))</f>
        <v/>
      </c>
      <c r="D50" s="5">
        <f>IF(ISNA(INDEX(TournamentData[Champion''s Rank],MATCH(BreakthroughDelib[[#This Row],[Team Number]],TournamentData[Team Number],0))),NumberOfTeams+1,INDEX(TournamentData[Champion''s Rank],MATCH(BreakthroughDelib[[#This Row],[Team Number]],TournamentData[Team Number],0)))</f>
        <v/>
      </c>
      <c r="H50" s="5">
        <f>IF(ISNA(INDEX(OfficialTeamList[Team Name],MATCH(RookiAllStarDelib[[#This Row],[Team Number]], OfficialTeamList[Team '#],0))),"",INDEX(OfficialTeamList[Team Name],MATCH(RookiAllStarDelib[[#This Row],[Team Number]], OfficialTeamList[Team '#],0)))</f>
        <v/>
      </c>
      <c r="I50" s="5">
        <f>IF(ISNA(INDEX(TournamentData[Champion''s Rank],MATCH(RookiAllStarDelib[[#This Row],[Team Number]],TournamentData[Team Number],0))),NumberOfTeams+1,INDEX(TournamentData[Champion''s Rank],MATCH(RookiAllStarDelib[[#This Row],[Team Number]],TournamentData[Team Number],0)))</f>
        <v/>
      </c>
      <c r="M50" s="5">
        <f>IF(ISNA(INDEX(OfficialTeamList[Team Name],MATCH(MotivateDelib[[#This Row],[Team Number]], OfficialTeamList[Team '#],0))),"",INDEX(OfficialTeamList[Team Name],MATCH(MotivateDelib[[#This Row],[Team Number]], OfficialTeamList[Team '#],0)))</f>
        <v/>
      </c>
      <c r="N50" s="5">
        <f>IF(ISNA(INDEX(TournamentData[Champion''s Rank],MATCH(MotivateDelib[[#This Row],[Team Number]],TournamentData[Team Number],0))),NumberOfTeams+1,INDEX(TournamentData[Champion''s Rank],MATCH(MotivateDelib[[#This Row],[Team Number]],TournamentData[Team Number],0)))</f>
        <v/>
      </c>
    </row>
    <row r="51" ht="20.25" customHeight="1">
      <c r="C51" s="5">
        <f>IF(ISNA(INDEX(OfficialTeamList[Team Name],MATCH(BreakthroughDelib[[#This Row],[Team Number]], OfficialTeamList[Team '#],0))),"",INDEX(OfficialTeamList[Team Name],MATCH(BreakthroughDelib[[#This Row],[Team Number]], OfficialTeamList[Team '#],0)))</f>
        <v/>
      </c>
      <c r="D51" s="5">
        <f>IF(ISNA(INDEX(TournamentData[Champion''s Rank],MATCH(BreakthroughDelib[[#This Row],[Team Number]],TournamentData[Team Number],0))),NumberOfTeams+1,INDEX(TournamentData[Champion''s Rank],MATCH(BreakthroughDelib[[#This Row],[Team Number]],TournamentData[Team Number],0)))</f>
        <v/>
      </c>
      <c r="H51" s="5">
        <f>IF(ISNA(INDEX(OfficialTeamList[Team Name],MATCH(RookiAllStarDelib[[#This Row],[Team Number]], OfficialTeamList[Team '#],0))),"",INDEX(OfficialTeamList[Team Name],MATCH(RookiAllStarDelib[[#This Row],[Team Number]], OfficialTeamList[Team '#],0)))</f>
        <v/>
      </c>
      <c r="I51" s="5">
        <f>IF(ISNA(INDEX(TournamentData[Champion''s Rank],MATCH(RookiAllStarDelib[[#This Row],[Team Number]],TournamentData[Team Number],0))),NumberOfTeams+1,INDEX(TournamentData[Champion''s Rank],MATCH(RookiAllStarDelib[[#This Row],[Team Number]],TournamentData[Team Number],0)))</f>
        <v/>
      </c>
      <c r="M51" s="5">
        <f>IF(ISNA(INDEX(OfficialTeamList[Team Name],MATCH(MotivateDelib[[#This Row],[Team Number]], OfficialTeamList[Team '#],0))),"",INDEX(OfficialTeamList[Team Name],MATCH(MotivateDelib[[#This Row],[Team Number]], OfficialTeamList[Team '#],0)))</f>
        <v/>
      </c>
      <c r="N51" s="5">
        <f>IF(ISNA(INDEX(TournamentData[Champion''s Rank],MATCH(MotivateDelib[[#This Row],[Team Number]],TournamentData[Team Number],0))),NumberOfTeams+1,INDEX(TournamentData[Champion''s Rank],MATCH(MotivateDelib[[#This Row],[Team Number]],TournamentData[Team Number],0)))</f>
        <v/>
      </c>
    </row>
    <row r="52" ht="20.25" customHeight="1">
      <c r="C52" s="5">
        <f>IF(ISNA(INDEX(OfficialTeamList[Team Name],MATCH(BreakthroughDelib[[#This Row],[Team Number]], OfficialTeamList[Team '#],0))),"",INDEX(OfficialTeamList[Team Name],MATCH(BreakthroughDelib[[#This Row],[Team Number]], OfficialTeamList[Team '#],0)))</f>
        <v/>
      </c>
      <c r="D52" s="5">
        <f>IF(ISNA(INDEX(TournamentData[Champion''s Rank],MATCH(BreakthroughDelib[[#This Row],[Team Number]],TournamentData[Team Number],0))),NumberOfTeams+1,INDEX(TournamentData[Champion''s Rank],MATCH(BreakthroughDelib[[#This Row],[Team Number]],TournamentData[Team Number],0)))</f>
        <v/>
      </c>
      <c r="H52" s="5">
        <f>IF(ISNA(INDEX(OfficialTeamList[Team Name],MATCH(RookiAllStarDelib[[#This Row],[Team Number]], OfficialTeamList[Team '#],0))),"",INDEX(OfficialTeamList[Team Name],MATCH(RookiAllStarDelib[[#This Row],[Team Number]], OfficialTeamList[Team '#],0)))</f>
        <v/>
      </c>
      <c r="I52" s="5">
        <f>IF(ISNA(INDEX(TournamentData[Champion''s Rank],MATCH(RookiAllStarDelib[[#This Row],[Team Number]],TournamentData[Team Number],0))),NumberOfTeams+1,INDEX(TournamentData[Champion''s Rank],MATCH(RookiAllStarDelib[[#This Row],[Team Number]],TournamentData[Team Number],0)))</f>
        <v/>
      </c>
      <c r="M52" s="5">
        <f>IF(ISNA(INDEX(OfficialTeamList[Team Name],MATCH(MotivateDelib[[#This Row],[Team Number]], OfficialTeamList[Team '#],0))),"",INDEX(OfficialTeamList[Team Name],MATCH(MotivateDelib[[#This Row],[Team Number]], OfficialTeamList[Team '#],0)))</f>
        <v/>
      </c>
      <c r="N52" s="5">
        <f>IF(ISNA(INDEX(TournamentData[Champion''s Rank],MATCH(MotivateDelib[[#This Row],[Team Number]],TournamentData[Team Number],0))),NumberOfTeams+1,INDEX(TournamentData[Champion''s Rank],MATCH(MotivateDelib[[#This Row],[Team Number]],TournamentData[Team Number],0)))</f>
        <v/>
      </c>
    </row>
    <row r="53" ht="20.25" customHeight="1">
      <c r="C53" s="5">
        <f>IF(ISNA(INDEX(OfficialTeamList[Team Name],MATCH(BreakthroughDelib[[#This Row],[Team Number]], OfficialTeamList[Team '#],0))),"",INDEX(OfficialTeamList[Team Name],MATCH(BreakthroughDelib[[#This Row],[Team Number]], OfficialTeamList[Team '#],0)))</f>
        <v/>
      </c>
      <c r="D53" s="5">
        <f>IF(ISNA(INDEX(TournamentData[Champion''s Rank],MATCH(BreakthroughDelib[[#This Row],[Team Number]],TournamentData[Team Number],0))),NumberOfTeams+1,INDEX(TournamentData[Champion''s Rank],MATCH(BreakthroughDelib[[#This Row],[Team Number]],TournamentData[Team Number],0)))</f>
        <v/>
      </c>
      <c r="H53" s="5">
        <f>IF(ISNA(INDEX(OfficialTeamList[Team Name],MATCH(RookiAllStarDelib[[#This Row],[Team Number]], OfficialTeamList[Team '#],0))),"",INDEX(OfficialTeamList[Team Name],MATCH(RookiAllStarDelib[[#This Row],[Team Number]], OfficialTeamList[Team '#],0)))</f>
        <v/>
      </c>
      <c r="I53" s="5">
        <f>IF(ISNA(INDEX(TournamentData[Champion''s Rank],MATCH(RookiAllStarDelib[[#This Row],[Team Number]],TournamentData[Team Number],0))),NumberOfTeams+1,INDEX(TournamentData[Champion''s Rank],MATCH(RookiAllStarDelib[[#This Row],[Team Number]],TournamentData[Team Number],0)))</f>
        <v/>
      </c>
      <c r="M53" s="5">
        <f>IF(ISNA(INDEX(OfficialTeamList[Team Name],MATCH(MotivateDelib[[#This Row],[Team Number]], OfficialTeamList[Team '#],0))),"",INDEX(OfficialTeamList[Team Name],MATCH(MotivateDelib[[#This Row],[Team Number]], OfficialTeamList[Team '#],0)))</f>
        <v/>
      </c>
      <c r="N53" s="5">
        <f>IF(ISNA(INDEX(TournamentData[Champion''s Rank],MATCH(MotivateDelib[[#This Row],[Team Number]],TournamentData[Team Number],0))),NumberOfTeams+1,INDEX(TournamentData[Champion''s Rank],MATCH(MotivateDelib[[#This Row],[Team Number]],TournamentData[Team Number],0)))</f>
        <v/>
      </c>
    </row>
    <row r="54" ht="20.25" customHeight="1">
      <c r="C54" s="5">
        <f>IF(ISNA(INDEX(OfficialTeamList[Team Name],MATCH(BreakthroughDelib[[#This Row],[Team Number]], OfficialTeamList[Team '#],0))),"",INDEX(OfficialTeamList[Team Name],MATCH(BreakthroughDelib[[#This Row],[Team Number]], OfficialTeamList[Team '#],0)))</f>
        <v/>
      </c>
      <c r="D54" s="5">
        <f>IF(ISNA(INDEX(TournamentData[Champion''s Rank],MATCH(BreakthroughDelib[[#This Row],[Team Number]],TournamentData[Team Number],0))),NumberOfTeams+1,INDEX(TournamentData[Champion''s Rank],MATCH(BreakthroughDelib[[#This Row],[Team Number]],TournamentData[Team Number],0)))</f>
        <v/>
      </c>
      <c r="H54" s="5">
        <f>IF(ISNA(INDEX(OfficialTeamList[Team Name],MATCH(RookiAllStarDelib[[#This Row],[Team Number]], OfficialTeamList[Team '#],0))),"",INDEX(OfficialTeamList[Team Name],MATCH(RookiAllStarDelib[[#This Row],[Team Number]], OfficialTeamList[Team '#],0)))</f>
        <v/>
      </c>
      <c r="I54" s="5">
        <f>IF(ISNA(INDEX(TournamentData[Champion''s Rank],MATCH(RookiAllStarDelib[[#This Row],[Team Number]],TournamentData[Team Number],0))),NumberOfTeams+1,INDEX(TournamentData[Champion''s Rank],MATCH(RookiAllStarDelib[[#This Row],[Team Number]],TournamentData[Team Number],0)))</f>
        <v/>
      </c>
      <c r="M54" s="5">
        <f>IF(ISNA(INDEX(OfficialTeamList[Team Name],MATCH(MotivateDelib[[#This Row],[Team Number]], OfficialTeamList[Team '#],0))),"",INDEX(OfficialTeamList[Team Name],MATCH(MotivateDelib[[#This Row],[Team Number]], OfficialTeamList[Team '#],0)))</f>
        <v/>
      </c>
      <c r="N54" s="5">
        <f>IF(ISNA(INDEX(TournamentData[Champion''s Rank],MATCH(MotivateDelib[[#This Row],[Team Number]],TournamentData[Team Number],0))),NumberOfTeams+1,INDEX(TournamentData[Champion''s Rank],MATCH(MotivateDelib[[#This Row],[Team Number]],TournamentData[Team Number],0)))</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horizontalDpi="1200" verticalDpi="1200"/>
  <tableParts count="8">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Marvin Gridley</dc:creator>
  <dcterms:created xsi:type="dcterms:W3CDTF">2017-12-04T16:10:19Z</dcterms:created>
  <dcterms:modified xsi:type="dcterms:W3CDTF">2025-12-19T23:07:46Z</dcterms:modified>
  <cp:lastModifiedBy>Skip Morrow</cp:lastModifiedBy>
  <cp:lastPrinted>2025-06-28T17:22:15Z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0x01010008A997C5561FD94D82BEA37A4242D399</vt:lpwstr>
  </property>
  <property name="MediaServiceImageTags" fmtid="{D5CDD505-2E9C-101B-9397-08002B2CF9AE}" pid="3">
    <vt:lpwstr/>
  </property>
</Properties>
</file>