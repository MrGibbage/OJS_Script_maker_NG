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640" yWindow="2430" windowWidth="28800" windowHeight="15345" tabRatio="879" firstSheet="1" activeTab="8"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7"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16" headerRowCount="1" totalsRowShown="0" headerRowDxfId="153" dataDxfId="152">
  <autoFilter ref="A1:B8"/>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2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7" headerRowCount="1" totalsRowShown="0" headerRowDxfId="138" dataDxfId="136" headerRowBorderDxfId="137">
  <autoFilter ref="A2:W3"/>
  <sortState ref="A3:W3">
    <sortCondition ref="A3"/>
  </sortState>
  <tableColumns count="23">
    <tableColumn id="1" name="Team Number" dataDxfId="135"/>
    <tableColumn id="13" name="POD" dataDxfId="134">
      <calculatedColumnFormula>INDEX(OfficialTeamList[Pod Number],MATCH(TournamentData[[#This Row],[Team Number]], OfficialTeamList[Team '#],0))</calculatedColumnFormula>
    </tableColumn>
    <tableColumn id="2" name="Team Name" dataDxfId="133">
      <calculatedColumnFormula>INDEX(OfficialTeamList[Team Name],MATCH(TournamentData[[#This Row],[Team Number]], OfficialTeamList[Team '#],0))</calculatedColumnFormula>
    </tableColumn>
    <tableColumn id="6"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26">
      <calculatedColumnFormula>_xlfn.RANK.EQ(TournamentData[[#This Row],[Max Robot Game Score]],TournamentData[Max Robot Game Score])</calculatedColumnFormula>
    </tableColumn>
    <tableColumn id="3" name="Core Values Rank" dataDxfId="125">
      <calculatedColumnFormula>INDEX(CoreValuesResults[Core Values Rank],MATCH(TournamentData[[#This Row],[Team Number]],CoreValuesResults[Team Number],0))</calculatedColumnFormula>
    </tableColumn>
    <tableColumn id="4" name="Innovation Project Rank" dataDxfId="124">
      <calculatedColumnFormula>INDEX(InnovationProjectResults[Innovation Project Rank],MATCH(TournamentData[[#This Row],[Team Number]],InnovationProjectResults[Team Number],0))</calculatedColumnFormula>
    </tableColumn>
    <tableColumn id="5" name="Robot Design Rank" dataDxfId="123">
      <calculatedColumnFormula>INDEX(RobotDesignResults[Robot Design Rank],MATCH(TournamentData[[#This Row],[Team Number]],RobotDesignResults[Team Number],0))</calculatedColumnFormula>
    </tableColumn>
    <tableColumn id="14" name="Champion's Score" dataDxfId="122">
      <calculatedColumnFormula>SUM(TournamentData[[#This Row],[Robot Game Rank]:[Robot Design Rank]])</calculatedColumnFormula>
    </tableColumn>
    <tableColumn id="11" name="Champion's Rank" dataDxfId="121">
      <calculatedColumnFormula>RANK(TournamentData[[#This Row],[Champion''s Score]],TournamentData[Champion''s Score],1)</calculatedColumnFormula>
    </tableColumn>
    <tableColumn id="12" name="Award" dataDxfId="120"/>
    <tableColumn id="21" name="Advance?" dataDxfId="119" dataCellStyle="Normal"/>
    <tableColumn id="28"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14">
      <calculatedColumnFormula>IF(U3,_xlfn.RANK.EQ(U3,U$3:U$3,0),NumberOfTeams)</calculatedColumnFormula>
    </tableColumn>
    <tableColumn id="20" name="Comments" dataDxfId="113"/>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6" headerRowCount="1" totalsRowShown="0" headerRowDxfId="112" dataDxfId="110" headerRowBorderDxfId="111">
  <autoFilter ref="A1:F2"/>
  <sortState ref="A2:F2">
    <sortCondition ref="A2"/>
  </sortState>
  <tableColumns count="6">
    <tableColumn id="2" name="Team Number" dataDxfId="109"/>
    <tableColumn id="9" name="Team Name" dataDxfId="108">
      <calculatedColumnFormula>INDEX(OfficialTeamList[Team Name],MATCH(RobotGameScores[[#This Row],[Team Number]], OfficialTeamList[Team '#],0))</calculatedColumnFormula>
    </tableColumn>
    <tableColumn id="3" name="Robot Game 1 Score" dataDxfId="107"/>
    <tableColumn id="4" name="Robot Game 2 Score" dataDxfId="106"/>
    <tableColumn id="5" name="Robot Game 3 Score" dataDxfId="105"/>
    <tableColumn id="8"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6" headerRowCount="1" totalsRowShown="0" headerRowDxfId="103" dataDxfId="102">
  <autoFilter ref="A1:O2"/>
  <sortState ref="A2:O2">
    <sortCondition ref="A2"/>
  </sortState>
  <tableColumns count="15">
    <tableColumn id="1" name="Team Number" dataDxfId="101"/>
    <tableColumn id="6" name="POD" dataDxfId="100">
      <calculatedColumnFormula>INDEX(OfficialTeamList[Pod Number],MATCH(InnovationProjectResults[[#This Row],[Team Number]], OfficialTeamList[Team '#],0))</calculatedColumnFormula>
    </tableColumn>
    <tableColumn id="2" name="Team Name" dataDxfId="99">
      <calculatedColumnFormula>INDEX(OfficialTeamList[Team Name],MATCH(InnovationProjectResults[[#This Row],[Team Number]], OfficialTeamList[Team '#],0))</calculatedColumnFormula>
    </tableColumn>
    <tableColumn id="3" name="Identify - Define" dataDxfId="98"/>
    <tableColumn id="4" name="Identify - Research (CV)" dataDxfId="97"/>
    <tableColumn id="5" name="Design - Plan" dataDxfId="96"/>
    <tableColumn id="7" name="Design - Teamwork (CV)" dataDxfId="95"/>
    <tableColumn id="10" name="Create - Innovation (CV)" dataDxfId="94"/>
    <tableColumn id="8" name="Create - Model" dataDxfId="93"/>
    <tableColumn id="9" name="Iterate - Sharing" dataDxfId="92"/>
    <tableColumn id="11" name="Iterate - Improvement" dataDxfId="91"/>
    <tableColumn id="12" name="Communicate - Impact (CV)" dataDxfId="90"/>
    <tableColumn id="13" name="Communicate - Fun (CV)" dataDxfId="89"/>
    <tableColumn id="19" name="Innovation Project Score" dataDxfId="88">
      <calculatedColumnFormula>SUM(InnovationProjectResults[[#This Row],[Identify - Define]:[Communicate - Fun (CV)]])</calculatedColumnFormula>
    </tableColumn>
    <tableColumn id="2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6" headerRowCount="1" totalsRowShown="0" headerRowDxfId="86" dataDxfId="85">
  <autoFilter ref="A1:O2"/>
  <sortState ref="A2:O2">
    <sortCondition ref="A2"/>
  </sortState>
  <tableColumns count="15">
    <tableColumn id="1" name="Team Number" dataDxfId="84"/>
    <tableColumn id="10" name="POD" dataDxfId="83">
      <calculatedColumnFormula>INDEX(OfficialTeamList[Pod Number],MATCH(RobotDesignResults[[#This Row],[Team Number]], OfficialTeamList[Team '#],0))</calculatedColumnFormula>
    </tableColumn>
    <tableColumn id="2" name="Team Name" dataDxfId="82">
      <calculatedColumnFormula>INDEX(OfficialTeamList[Team Name],MATCH(RobotDesignResults[[#This Row],[Team Number]], OfficialTeamList[Team '#],0))</calculatedColumnFormula>
    </tableColumn>
    <tableColumn id="3" name="Identify - Strategy" dataDxfId="81"/>
    <tableColumn id="4" name="Identify - Research (CV)" dataDxfId="80"/>
    <tableColumn id="5" name="Design - Ideas (CV)" dataDxfId="79"/>
    <tableColumn id="7" name="Design - Building/Coding" dataDxfId="78"/>
    <tableColumn id="6" name="Create - Attachments" dataDxfId="77"/>
    <tableColumn id="8" name="Create - Code/ Sensors" dataDxfId="76"/>
    <tableColumn id="9" name="Iterate - Testing" dataDxfId="75"/>
    <tableColumn id="11" name="Iterate - Improvements (CV)" dataDxfId="74"/>
    <tableColumn id="12" name="Communicate - Impact (CV)" dataDxfId="73"/>
    <tableColumn id="13" name="Communicate - Fun (CV)" dataDxfId="72"/>
    <tableColumn id="19" name="Robot Design Score" dataDxfId="71">
      <calculatedColumnFormula>SUM(RobotDesignResults[[#This Row],[Identify - Strategy]:[Communicate - Fun (CV)]])</calculatedColumnFormula>
    </tableColumn>
    <tableColumn id="2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6" headerRowCount="1" totalsRowShown="0" headerRowDxfId="69" dataDxfId="68">
  <autoFilter ref="A1:T2"/>
  <sortState ref="A2:T2">
    <sortCondition ref="A2"/>
  </sortState>
  <tableColumns count="20">
    <tableColumn id="1" name="Team Number" dataDxfId="67"/>
    <tableColumn id="9" name="POD" dataDxfId="66">
      <calculatedColumnFormula>INDEX(OfficialTeamList[Pod Number],MATCH(CoreValuesResults[[#This Row],[Team Number]], OfficialTeamList[Team '#],0))</calculatedColumnFormula>
    </tableColumn>
    <tableColumn id="2" name="Team Name" dataDxfId="65">
      <calculatedColumnFormula>INDEX(OfficialTeamList[Team Name],MATCH(CoreValuesResults[[#This Row],[Team Number]], OfficialTeamList[Team '#],0))</calculatedColumnFormula>
    </tableColumn>
    <tableColumn id="3" name="Identify - Research (CV-IP)" dataDxfId="64">
      <calculatedColumnFormula>INDEX(InnovationProjectResults[Identify - Research (CV)],MATCH(CoreValuesResults[[#This Row],[Team Number]],InnovationProjectResults[Team Number],0))</calculatedColumnFormula>
    </tableColumn>
    <tableColumn id="4" name="Design - Teamwork (CV-IP)" dataDxfId="63">
      <calculatedColumnFormula>INDEX(InnovationProjectResults[Design - Teamwork (CV)],MATCH(CoreValuesResults[[#This Row],[Team Number]],InnovationProjectResults[Team Number],0))</calculatedColumnFormula>
    </tableColumn>
    <tableColumn id="5" name="Create - Innovation (CV-IP)" dataDxfId="62">
      <calculatedColumnFormula>INDEX(InnovationProjectResults[Create - Innovation (CV)],MATCH(CoreValuesResults[[#This Row],[Team Number]],InnovationProjectResults[Team Number],0))</calculatedColumnFormula>
    </tableColumn>
    <tableColumn id="11" name="Communicate - Impact (CV-IP)" dataDxfId="61">
      <calculatedColumnFormula>INDEX(InnovationProjectResults[Communicate - Impact (CV)],MATCH(CoreValuesResults[[#This Row],[Team Number]],InnovationProjectResults[Team Number],0))</calculatedColumnFormula>
    </tableColumn>
    <tableColumn id="12" name="Communicate - Fun (CV-IP)" dataDxfId="60">
      <calculatedColumnFormula>INDEX(InnovationProjectResults[Communicate - Fun (CV)],MATCH(CoreValuesResults[[#This Row],[Team Number]],InnovationProjectResults[Team Number],0))</calculatedColumnFormula>
    </tableColumn>
    <tableColumn id="22" name="Identify - Research (CV-RD)" dataDxfId="59">
      <calculatedColumnFormula>INDEX(RobotDesignResults[Identify - Research (CV)],MATCH(CoreValuesResults[[#This Row],[Team Number]],RobotDesignResults[Team Number],0))</calculatedColumnFormula>
    </tableColumn>
    <tableColumn id="25" name="Design - Ideas (CV-RD)" dataDxfId="58">
      <calculatedColumnFormula>INDEX(RobotDesignResults[Design - Ideas (CV)],MATCH(CoreValuesResults[[#This Row],[Team Number]],RobotDesignResults[Team Number],0))</calculatedColumnFormula>
    </tableColumn>
    <tableColumn id="24" name="Iterate - Improvements (CV-RD)" dataDxfId="57">
      <calculatedColumnFormula>INDEX(RobotDesignResults[Iterate - Improvements (CV)],MATCH(CoreValuesResults[[#This Row],[Team Number]],RobotDesignResults[Team Number],0))</calculatedColumnFormula>
    </tableColumn>
    <tableColumn id="23" name="Communicate - Impact (CV-RD)" dataDxfId="56">
      <calculatedColumnFormula>INDEX(RobotDesignResults[Communicate - Impact (CV)],MATCH(CoreValuesResults[[#This Row],[Team Number]],RobotDesignResults[Team Number],0))</calculatedColumnFormula>
    </tableColumn>
    <tableColumn id="13" name="Communicate - Fun (CV-RD)" dataDxfId="55">
      <calculatedColumnFormula>INDEX(RobotDesignResults[Communicate - Fun (CV)],MATCH(CoreValuesResults[[#This Row],[Team Number]],RobotDesignResults[Team Number],0))</calculatedColumnFormula>
    </tableColumn>
    <tableColumn id="7" name="Gracious Professionalism 1" dataDxfId="54"/>
    <tableColumn id="8" name="Gracious Professionalism 2" dataDxfId="53"/>
    <tableColumn id="6" name="Gracious Professionalism 3" dataDxfId="52"/>
    <tableColumn id="14" name="Gracious Professionalism Total" dataDxfId="51">
      <calculatedColumnFormula>SUM(CoreValuesResults[[#This Row],[Gracious Professionalism 1]:[Gracious Professionalism 3]])</calculatedColumnFormula>
    </tableColumn>
    <tableColumn id="18" name="Gracious Professionalism Score" dataDxfId="50">
      <calculatedColumnFormula>SUM(N2:Q2)</calculatedColumnFormula>
    </tableColumn>
    <tableColumn id="19" name="Core Values Score" dataDxfId="49">
      <calculatedColumnFormula>SUM(CoreValuesResults[[#This Row],[Identify - Research (CV-IP)]:[Communicate - Fun (CV-RD)]],CoreValuesResults[[#This Row],[Gracious Professionalism Score]])</calculatedColumnFormula>
    </tableColumn>
    <tableColumn id="2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47" dataDxfId="46">
  <autoFilter ref="B3:E18"/>
  <tableColumns count="4">
    <tableColumn id="1" name="Team Number" dataDxfId="45"/>
    <tableColumn id="2"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42"/>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41" dataDxfId="40">
  <autoFilter ref="G3:J18"/>
  <tableColumns count="4">
    <tableColumn id="1" name="Team Number" dataDxfId="39"/>
    <tableColumn id="2"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36"/>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35" dataDxfId="34">
  <autoFilter ref="B21:E36"/>
  <tableColumns count="4">
    <tableColumn id="1" name="Team Number" dataDxfId="33"/>
    <tableColumn id="2"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30"/>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29" dataDxfId="28">
  <autoFilter ref="G21:J36"/>
  <tableColumns count="4">
    <tableColumn id="1" name="Team Number" dataDxfId="27"/>
    <tableColumn id="2"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24"/>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23" dataDxfId="22">
  <autoFilter ref="L21:O36"/>
  <tableColumns count="4">
    <tableColumn id="1" name="Team Number" dataDxfId="21"/>
    <tableColumn id="2"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18"/>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17" dataDxfId="16">
  <autoFilter ref="B39:E54"/>
  <tableColumns count="4">
    <tableColumn id="1" name="Team Number" dataDxfId="15"/>
    <tableColumn id="2"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12"/>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11" dataDxfId="10">
  <autoFilter ref="G39:J54"/>
  <tableColumns count="4">
    <tableColumn id="1" name="Team Number" dataDxfId="9"/>
    <tableColumn id="2"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6"/>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5" dataDxfId="4">
  <autoFilter ref="L39:O54"/>
  <tableColumns count="4">
    <tableColumn id="1" name="Team Number" dataDxfId="3"/>
    <tableColumn id="2"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7"/>
  <sheetViews>
    <sheetView zoomScaleNormal="100" workbookViewId="0">
      <selection activeCell="A4" sqref="A4"/>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9021</v>
      </c>
      <c r="B3" s="68" t="inlineStr">
        <is>
          <t>Greenbrier Panthers</t>
        </is>
      </c>
      <c r="C3" s="68" t="inlineStr">
        <is>
          <t>John Sammons</t>
        </is>
      </c>
      <c r="D3" s="69" t="n">
        <v>0</v>
      </c>
      <c r="H3" s="3" t="n"/>
    </row>
    <row r="4">
      <c r="A4" t="n">
        <v>62149</v>
      </c>
      <c r="B4" t="inlineStr">
        <is>
          <t>Dynamite Dolphins</t>
        </is>
      </c>
      <c r="C4" t="inlineStr">
        <is>
          <t>Jonathan Torch</t>
        </is>
      </c>
      <c r="D4" t="n">
        <v>0</v>
      </c>
    </row>
    <row r="5">
      <c r="A5" t="n">
        <v>62706</v>
      </c>
      <c r="B5" t="inlineStr">
        <is>
          <t>OLMC Aquinas</t>
        </is>
      </c>
      <c r="C5" t="inlineStr">
        <is>
          <t>Patrick McFadden</t>
        </is>
      </c>
      <c r="D5" t="n">
        <v>0</v>
      </c>
    </row>
    <row r="6">
      <c r="A6" t="n">
        <v>73002</v>
      </c>
      <c r="B6" t="inlineStr">
        <is>
          <t>MCH Monarchs</t>
        </is>
      </c>
      <c r="C6" t="inlineStr">
        <is>
          <t>Kathy Hendrickson</t>
        </is>
      </c>
      <c r="D6" t="n">
        <v>0</v>
      </c>
    </row>
    <row r="7">
      <c r="A7" t="n">
        <v>73106</v>
      </c>
      <c r="B7" t="inlineStr">
        <is>
          <t>Kempsville Dino-Nuggets</t>
        </is>
      </c>
      <c r="C7" t="inlineStr">
        <is>
          <t>Kiel Phillips</t>
        </is>
      </c>
      <c r="D7"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16"/>
  <sheetViews>
    <sheetView workbookViewId="0">
      <selection activeCell="B8" sqref="B8"/>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row>
    <row r="3">
      <c r="A3" t="inlineStr">
        <is>
          <t>FLL Season Title</t>
        </is>
      </c>
    </row>
    <row r="4">
      <c r="A4" t="inlineStr">
        <is>
          <t>Tournament Short Name</t>
        </is>
      </c>
    </row>
    <row r="5">
      <c r="A5" t="inlineStr">
        <is>
          <t>Tournament Long Name</t>
        </is>
      </c>
    </row>
    <row r="6">
      <c r="A6" t="inlineStr">
        <is>
          <t>Completed Script File</t>
        </is>
      </c>
    </row>
    <row r="7">
      <c r="A7" t="inlineStr">
        <is>
          <t>Using Divisions</t>
        </is>
      </c>
      <c r="B7" t="b">
        <v>1</v>
      </c>
    </row>
    <row r="8">
      <c r="A8" t="inlineStr">
        <is>
          <t>Division</t>
        </is>
      </c>
      <c r="B8" t="inlineStr">
        <is>
          <t>D1</t>
        </is>
      </c>
    </row>
    <row r="9">
      <c r="A9" t="inlineStr">
        <is>
          <t>Tournament Year</t>
        </is>
      </c>
      <c r="B9" t="inlineStr">
        <is>
          <t>2025</t>
        </is>
      </c>
    </row>
    <row r="10">
      <c r="A10" t="inlineStr">
        <is>
          <t>FLL Season Title</t>
        </is>
      </c>
      <c r="B10" t="inlineStr">
        <is>
          <t>Unearthed</t>
        </is>
      </c>
    </row>
    <row r="11">
      <c r="A11" t="inlineStr">
        <is>
          <t>Tournament Short Name</t>
        </is>
      </c>
      <c r="B11" t="inlineStr">
        <is>
          <t>Norfolk</t>
        </is>
      </c>
    </row>
    <row r="12">
      <c r="A12" t="inlineStr">
        <is>
          <t>Tournament Long Name</t>
        </is>
      </c>
      <c r="B12" t="inlineStr">
        <is>
          <t>Norfolk 2025 Unearthed Qualifier Tournament</t>
        </is>
      </c>
    </row>
    <row r="13">
      <c r="A13" t="inlineStr">
        <is>
          <t>Completed Script File</t>
        </is>
      </c>
      <c r="B13" t="inlineStr">
        <is>
          <t>c:\github-projects\OJS_Script_maker_NG\2025-all\tournaments\Norfolk\closing_ceremony.html</t>
        </is>
      </c>
    </row>
    <row r="14">
      <c r="A14" t="inlineStr">
        <is>
          <t>Using Divisions</t>
        </is>
      </c>
      <c r="B14" t="b">
        <v>1</v>
      </c>
    </row>
    <row r="15">
      <c r="A15" t="inlineStr">
        <is>
          <t>Division</t>
        </is>
      </c>
      <c r="B15" t="inlineStr">
        <is>
          <t>D1</t>
        </is>
      </c>
    </row>
    <row r="16">
      <c r="A16" t="inlineStr">
        <is>
          <t>Advancing</t>
        </is>
      </c>
      <c r="B16" t="n">
        <v>1</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2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row r="16">
      <c r="A16" t="inlineStr">
        <is>
          <t>Judges 3</t>
        </is>
      </c>
    </row>
    <row r="17">
      <c r="A17" t="inlineStr">
        <is>
          <t>Judges 4</t>
        </is>
      </c>
    </row>
    <row r="18">
      <c r="A18" t="inlineStr">
        <is>
          <t>Judges 5</t>
        </is>
      </c>
    </row>
    <row r="19">
      <c r="A19" t="inlineStr">
        <is>
          <t>Judges 6</t>
        </is>
      </c>
    </row>
    <row r="20">
      <c r="A20" t="inlineStr">
        <is>
          <t>Judges 7</t>
        </is>
      </c>
    </row>
    <row r="21">
      <c r="A21" t="inlineStr">
        <is>
          <t>Judges 8</t>
        </is>
      </c>
    </row>
    <row r="22">
      <c r="A22" t="inlineStr">
        <is>
          <t>Judges 9</t>
        </is>
      </c>
    </row>
    <row r="23">
      <c r="A23" t="inlineStr">
        <is>
          <t>Judges 10</t>
        </is>
      </c>
    </row>
    <row r="24">
      <c r="A24" t="inlineStr">
        <is>
          <t>Judges 11</t>
        </is>
      </c>
    </row>
    <row r="25">
      <c r="A25" t="inlineStr">
        <is>
          <t>Judges 12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7"/>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9021</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62149</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62706</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73002</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73106</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49">
      <formula>ROW()-NumberOfTeams=2</formula>
    </cfRule>
  </conditionalFormatting>
  <conditionalFormatting sqref="A3:B3">
    <cfRule type="expression" priority="11" dxfId="148">
      <formula>IF($O3 &lt;= NumberofTeamsAdvancing,TRUE,FALSE)</formula>
    </cfRule>
  </conditionalFormatting>
  <conditionalFormatting sqref="C3:P3 R3:W3">
    <cfRule type="expression" priority="21" dxfId="147">
      <formula>IF($P3&lt;&gt;"",TRUE,FALSE)</formula>
    </cfRule>
  </conditionalFormatting>
  <conditionalFormatting sqref="Q3">
    <cfRule type="cellIs" priority="322" operator="equal" dxfId="146" stopIfTrue="1">
      <formula>"Yes"</formula>
    </cfRule>
    <cfRule type="cellIs" priority="323" operator="equal" dxfId="145" stopIfTrue="1">
      <formula>"Alt"</formula>
    </cfRule>
  </conditionalFormatting>
  <conditionalFormatting sqref="P3">
    <cfRule type="duplicateValues" priority="331" dxfId="144"/>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7">
    <cfRule type="expression" priority="17" dxfId="149">
      <formula>ROW()-NumberOfTeams=2</formula>
    </cfRule>
    <cfRule type="expression" priority="21" dxfId="147">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7" showDropDown="0" showInputMessage="0" showErrorMessage="0" allowBlank="1" type="list">
      <formula1>Awards</formula1>
    </dataValidation>
    <dataValidation sqref="Q3:Q7"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6"/>
  <sheetViews>
    <sheetView tabSelected="1"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9021</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62149</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62706</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73002</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73106</v>
      </c>
      <c r="B6" s="106">
        <f>INDEX(OfficialTeamList[Team Name],MATCH(RobotGameScores[[#This Row],[Team Number]], OfficialTeamList[Team '#],0))</f>
        <v/>
      </c>
      <c r="C6" s="107" t="n"/>
      <c r="D6" s="107" t="n"/>
      <c r="E6" s="107" t="n"/>
      <c r="F6"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9021</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62149</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62706</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73002</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73106</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9021</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62149</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62706</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73002</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73106</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6"/>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9021</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62149</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62706</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73002</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73106</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2025-12-18T18:07:40Z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