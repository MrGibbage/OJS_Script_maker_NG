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3" autoFilterDateGrouping="1"/>
  </bookViews>
  <sheets>
    <sheet name="Instructions" sheetId="1" state="visible" r:id="rId1"/>
    <sheet name="Team and Program Information" sheetId="2" state="visible" r:id="rId2"/>
    <sheet name="Data Validation" sheetId="3" state="visible" r:id="rId3"/>
    <sheet name="Meta" sheetId="4" state="visible" r:id="rId4"/>
    <sheet name="AwardListDropdowns" sheetId="5" state="visible" r:id="rId5"/>
    <sheet name="AwardDef" sheetId="6" state="visible"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4">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cellXfs>
  <cellStyles count="1">
    <cellStyle name="Normal" xfId="0" builtinId="0"/>
  </cellStyles>
  <dxfs count="160">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7"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2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2"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3"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2"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2"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2"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2"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7"/>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9021</v>
      </c>
      <c r="B3" s="68" t="inlineStr">
        <is>
          <t>Greenbrier Panthers</t>
        </is>
      </c>
      <c r="C3" s="68" t="inlineStr">
        <is>
          <t>John Sammons</t>
        </is>
      </c>
      <c r="D3" s="69" t="n">
        <v>0</v>
      </c>
      <c r="H3" s="3" t="n"/>
    </row>
    <row r="4">
      <c r="A4" t="n">
        <v>62149</v>
      </c>
      <c r="B4" t="inlineStr">
        <is>
          <t>Dynamite Dolphins</t>
        </is>
      </c>
      <c r="C4" t="inlineStr">
        <is>
          <t>Jonathan Torch</t>
        </is>
      </c>
      <c r="D4" t="n">
        <v>0</v>
      </c>
    </row>
    <row r="5">
      <c r="A5" t="n">
        <v>62706</v>
      </c>
      <c r="B5" t="inlineStr">
        <is>
          <t>OLMC Aquinas</t>
        </is>
      </c>
      <c r="C5" t="inlineStr">
        <is>
          <t>Patrick McFadden</t>
        </is>
      </c>
      <c r="D5" t="n">
        <v>0</v>
      </c>
    </row>
    <row r="6">
      <c r="A6" t="n">
        <v>73002</v>
      </c>
      <c r="B6" t="inlineStr">
        <is>
          <t>MCH Monarchs</t>
        </is>
      </c>
      <c r="C6" t="inlineStr">
        <is>
          <t>Kathy Hendrickson</t>
        </is>
      </c>
      <c r="D6" t="n">
        <v>0</v>
      </c>
    </row>
    <row r="7">
      <c r="A7" t="n">
        <v>73106</v>
      </c>
      <c r="B7" t="inlineStr">
        <is>
          <t>Kempsville Dino-Nuggets</t>
        </is>
      </c>
      <c r="C7" t="inlineStr">
        <is>
          <t>Kiel Phillips</t>
        </is>
      </c>
      <c r="D7" t="n">
        <v>0</v>
      </c>
    </row>
  </sheetData>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Norfolk</t>
        </is>
      </c>
    </row>
    <row r="5">
      <c r="A5" t="inlineStr">
        <is>
          <t>Tournament Long Name</t>
        </is>
      </c>
      <c r="B5" t="inlineStr">
        <is>
          <t>Norfolk 2025 Unearthed Qualifier Tournament</t>
        </is>
      </c>
    </row>
    <row r="6">
      <c r="A6" t="inlineStr">
        <is>
          <t>Completed Script File</t>
        </is>
      </c>
      <c r="B6" t="inlineStr">
        <is>
          <t>c:\github-projects\OJS_Script_maker_NG\2025-all\tournaments\Norfolk\closing_ceremony.html</t>
        </is>
      </c>
    </row>
    <row r="7">
      <c r="A7" t="inlineStr">
        <is>
          <t>Using Divisions</t>
        </is>
      </c>
      <c r="B7" t="b">
        <v>1</v>
      </c>
    </row>
    <row r="8">
      <c r="A8" t="inlineStr">
        <is>
          <t>Division</t>
        </is>
      </c>
      <c r="B8" t="inlineStr">
        <is>
          <t>D1</t>
        </is>
      </c>
    </row>
    <row r="9">
      <c r="A9" t="inlineStr">
        <is>
          <t>Advancing</t>
        </is>
      </c>
      <c r="B9" t="n">
        <v>1</v>
      </c>
    </row>
  </sheetData>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2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row r="16">
      <c r="A16" t="inlineStr">
        <is>
          <t>Judges 3</t>
        </is>
      </c>
    </row>
    <row r="17">
      <c r="A17" t="inlineStr">
        <is>
          <t>Judges 4</t>
        </is>
      </c>
    </row>
    <row r="18">
      <c r="A18" t="inlineStr">
        <is>
          <t>Judges 5</t>
        </is>
      </c>
    </row>
    <row r="19">
      <c r="A19" t="inlineStr">
        <is>
          <t>Judges 6</t>
        </is>
      </c>
    </row>
    <row r="20">
      <c r="A20" t="inlineStr">
        <is>
          <t>Judges 7</t>
        </is>
      </c>
    </row>
    <row r="21">
      <c r="A21" t="inlineStr">
        <is>
          <t>Judges 8</t>
        </is>
      </c>
    </row>
    <row r="22">
      <c r="A22" t="inlineStr">
        <is>
          <t>Judges 9</t>
        </is>
      </c>
    </row>
    <row r="23">
      <c r="A23" t="inlineStr">
        <is>
          <t>Judges 10</t>
        </is>
      </c>
    </row>
    <row r="24">
      <c r="A24" t="inlineStr">
        <is>
          <t>Judges 11</t>
        </is>
      </c>
    </row>
    <row r="25">
      <c r="A25" t="inlineStr">
        <is>
          <t>Judges 12</t>
        </is>
      </c>
    </row>
  </sheetData>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3"/>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68" t="n">
        <v>1</v>
      </c>
      <c r="B3" s="68">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72">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sheetData>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dataValidations count="2">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2"/>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68" t="n"/>
      <c r="B2" s="96">
        <f>INDEX(OfficialTeamList[Team Name],MATCH(RobotGameScores[[#This Row],[Team Number]], OfficialTeamList[Team '#],0))</f>
        <v/>
      </c>
      <c r="C2" s="69" t="n"/>
      <c r="D2" s="69" t="n"/>
      <c r="E2" s="69" t="n"/>
      <c r="F2" s="77">
        <f>MAX(RobotGameScores[[#This Row],[Robot Game 1 Score]:[Robot Game 3 Score]])</f>
        <v/>
      </c>
    </row>
  </sheetData>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2"/>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68" t="n"/>
      <c r="B2" s="68">
        <f>INDEX(OfficialTeamList[Pod Number],MATCH(InnovationProjectResults[[#This Row],[Team Number]], OfficialTeamList[Team '#],0))</f>
        <v/>
      </c>
      <c r="C2" s="96">
        <f>INDEX(OfficialTeamList[Team Name],MATCH(InnovationProjectResults[[#This Row],[Team Number]], OfficialTeamList[Team '#],0))</f>
        <v/>
      </c>
      <c r="D2" s="69" t="n"/>
      <c r="E2" s="69" t="n"/>
      <c r="F2" s="69" t="n"/>
      <c r="G2" s="69" t="n"/>
      <c r="H2" s="69" t="n"/>
      <c r="I2" s="69" t="n"/>
      <c r="J2" s="69" t="n"/>
      <c r="K2" s="69" t="n"/>
      <c r="L2" s="69" t="n"/>
      <c r="M2" s="69" t="n"/>
      <c r="N2" s="77">
        <f>SUM(InnovationProjectResults[[#This Row],[Identify - Define]:[Communicate - Fun (CV)]])</f>
        <v/>
      </c>
      <c r="O2" s="70">
        <f>_xlfn.RANK.EQ(InnovationProjectResults[[#This Row],[Innovation Project Score]],InnovationProjectResults[Innovation Project Score],0)</f>
        <v/>
      </c>
    </row>
  </sheetData>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2"/>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68" t="n"/>
      <c r="B2" s="68">
        <f>INDEX(OfficialTeamList[Pod Number],MATCH(RobotDesignResults[[#This Row],[Team Number]], OfficialTeamList[Team '#],0))</f>
        <v/>
      </c>
      <c r="C2" s="96">
        <f>INDEX(OfficialTeamList[Team Name],MATCH(RobotDesignResults[[#This Row],[Team Number]], OfficialTeamList[Team '#],0))</f>
        <v/>
      </c>
      <c r="D2" s="69" t="n"/>
      <c r="E2" s="69" t="n"/>
      <c r="F2" s="69" t="n"/>
      <c r="G2" s="69" t="n"/>
      <c r="H2" s="69" t="n"/>
      <c r="I2" s="69" t="n"/>
      <c r="J2" s="69" t="n"/>
      <c r="K2" s="69" t="n"/>
      <c r="L2" s="69" t="n"/>
      <c r="M2" s="69" t="n"/>
      <c r="N2" s="77">
        <f>SUM(RobotDesignResults[[#This Row],[Identify - Strategy]:[Communicate - Fun (CV)]])</f>
        <v/>
      </c>
      <c r="O2" s="70">
        <f>_xlfn.RANK.EQ(RobotDesignResults[[#This Row],[Robot Design Score]],RobotDesignResults[Robot Design Score],0)</f>
        <v/>
      </c>
    </row>
  </sheetData>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2"/>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68" t="n"/>
      <c r="B2" s="68">
        <f>INDEX(OfficialTeamList[Pod Number],MATCH(CoreValuesResults[[#This Row],[Team Number]], OfficialTeamList[Team '#],0))</f>
        <v/>
      </c>
      <c r="C2" s="9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68">
        <f>SUM(CoreValuesResults[[#This Row],[Gracious Professionalism 1]:[Gracious Professionalism 3]])</f>
        <v/>
      </c>
      <c r="R2" s="68">
        <f>SUM(N2:Q2)</f>
        <v/>
      </c>
      <c r="S2" s="77">
        <f>SUM(CoreValuesResults[[#This Row],[Identify - Research (CV-IP)]:[Communicate - Fun (CV-RD)]],CoreValuesResults[[#This Row],[Gracious Professionalism Score]])</f>
        <v/>
      </c>
      <c r="T2" s="70">
        <f>_xlfn.RANK.EQ(CoreValuesResults[[#This Row],[Core Values Score]],CoreValuesResults[Core Values Score],0)</f>
        <v/>
      </c>
    </row>
  </sheetData>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2025-12-19T23:01:12Z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