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4"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5"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4"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3"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3"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3"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3"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4"/>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24277</v>
      </c>
      <c r="B4" t="inlineStr">
        <is>
          <t>Norfolk Collegiate O.A.K.S.</t>
        </is>
      </c>
      <c r="C4" t="inlineStr">
        <is>
          <t>Skip Morrow</t>
        </is>
      </c>
      <c r="D4" t="n">
        <v>0</v>
      </c>
    </row>
    <row r="5">
      <c r="A5" t="n">
        <v>26034</v>
      </c>
      <c r="B5" t="inlineStr">
        <is>
          <t>OLMC White Team</t>
        </is>
      </c>
      <c r="C5" t="inlineStr">
        <is>
          <t>Patrick McFadden</t>
        </is>
      </c>
      <c r="D5" t="n">
        <v>0</v>
      </c>
    </row>
    <row r="6">
      <c r="A6" t="n">
        <v>60801</v>
      </c>
      <c r="B6" t="inlineStr">
        <is>
          <t>ESPs</t>
        </is>
      </c>
      <c r="C6" t="inlineStr">
        <is>
          <t>Heather Perry</t>
        </is>
      </c>
      <c r="D6" t="n">
        <v>0</v>
      </c>
    </row>
    <row r="7">
      <c r="A7" t="n">
        <v>62149</v>
      </c>
      <c r="B7" t="inlineStr">
        <is>
          <t>Dynamite Dolphins</t>
        </is>
      </c>
      <c r="C7" t="inlineStr">
        <is>
          <t>Jonathan Torch</t>
        </is>
      </c>
      <c r="D7" t="n">
        <v>0</v>
      </c>
    </row>
    <row r="8">
      <c r="A8" t="n">
        <v>62706</v>
      </c>
      <c r="B8" t="inlineStr">
        <is>
          <t>OLMC Aquinas</t>
        </is>
      </c>
      <c r="C8" t="inlineStr">
        <is>
          <t>Patrick McFadden</t>
        </is>
      </c>
      <c r="D8" t="n">
        <v>0</v>
      </c>
    </row>
    <row r="9">
      <c r="A9" t="n">
        <v>67083</v>
      </c>
      <c r="B9" t="inlineStr">
        <is>
          <t>Wired Dolphins</t>
        </is>
      </c>
      <c r="C9" t="inlineStr">
        <is>
          <t>Jonathan Torch</t>
        </is>
      </c>
      <c r="D9" t="n">
        <v>0</v>
      </c>
    </row>
    <row r="10">
      <c r="A10" t="n">
        <v>67801</v>
      </c>
      <c r="B10" t="inlineStr">
        <is>
          <t>Scorpion Tech Force</t>
        </is>
      </c>
      <c r="C10" t="inlineStr">
        <is>
          <t>Jhalak Pattnaik</t>
        </is>
      </c>
      <c r="D10" t="n">
        <v>0</v>
      </c>
    </row>
    <row r="11">
      <c r="A11" t="n">
        <v>68850</v>
      </c>
      <c r="B11" t="inlineStr">
        <is>
          <t>MCH Marvels</t>
        </is>
      </c>
      <c r="C11" t="inlineStr">
        <is>
          <t>Kathy Hendrickson</t>
        </is>
      </c>
      <c r="D11" t="n">
        <v>0</v>
      </c>
    </row>
    <row r="12">
      <c r="A12" t="n">
        <v>71673</v>
      </c>
      <c r="B12" t="inlineStr">
        <is>
          <t>SMS Eaglebots 1</t>
        </is>
      </c>
      <c r="C12" t="inlineStr">
        <is>
          <t>Lisa Bromley</t>
        </is>
      </c>
      <c r="D12" t="n">
        <v>0</v>
      </c>
    </row>
    <row r="13">
      <c r="A13" t="n">
        <v>73002</v>
      </c>
      <c r="B13" t="inlineStr">
        <is>
          <t>MCH Monarchs</t>
        </is>
      </c>
      <c r="C13" t="inlineStr">
        <is>
          <t>Kathy Hendrickson</t>
        </is>
      </c>
      <c r="D13" t="n">
        <v>0</v>
      </c>
    </row>
    <row r="14">
      <c r="A14" t="n">
        <v>73106</v>
      </c>
      <c r="B14" t="inlineStr">
        <is>
          <t>Kempsville Dino-Nuggets</t>
        </is>
      </c>
      <c r="C14" t="inlineStr">
        <is>
          <t>Kiel Phillips</t>
        </is>
      </c>
      <c r="D14"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5"/>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0</v>
      </c>
    </row>
    <row r="15">
      <c r="A15" t="inlineStr">
        <is>
          <t>Advancing</t>
        </is>
      </c>
      <c r="B15"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Innovation Project 1st Place</t>
        </is>
      </c>
      <c r="C4" t="inlineStr">
        <is>
          <t>Robot Game 3rd Place</t>
        </is>
      </c>
    </row>
    <row r="5">
      <c r="A5" t="inlineStr">
        <is>
          <t>Robot Design 1st Place</t>
        </is>
      </c>
    </row>
    <row r="6">
      <c r="A6" t="inlineStr">
        <is>
          <t>Core Values 1st Place</t>
        </is>
      </c>
    </row>
    <row r="7">
      <c r="A7" t="inlineStr">
        <is>
          <t>Core Values 2nd Place</t>
        </is>
      </c>
    </row>
    <row r="8">
      <c r="A8" t="inlineStr">
        <is>
          <t>Core Values 3rd Place</t>
        </is>
      </c>
    </row>
    <row r="9">
      <c r="A9" t="inlineStr">
        <is>
          <t>Judges 1</t>
        </is>
      </c>
    </row>
    <row r="10">
      <c r="A10" t="inlineStr">
        <is>
          <t>Judges 2</t>
        </is>
      </c>
    </row>
    <row r="11">
      <c r="A11" t="inlineStr">
        <is>
          <t>Judges 3</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4"/>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24277</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26034</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60801</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62149</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62706</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67083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67801</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68850</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71673</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73002</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73106</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4">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4" showDropDown="0" showInputMessage="0" showErrorMessage="0" allowBlank="1" type="list">
      <formula1>Awards</formula1>
    </dataValidation>
    <dataValidation sqref="Q3:Q14"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3"/>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24277</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26034</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60801</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62149</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62706</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67083</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67801</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68850</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71673</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73002</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73106</v>
      </c>
      <c r="B13" s="106">
        <f>INDEX(OfficialTeamList[Team Name],MATCH(RobotGameScores[[#This Row],[Team Number]], OfficialTeamList[Team '#],0))</f>
        <v/>
      </c>
      <c r="C13" s="107" t="n"/>
      <c r="D13" s="107" t="n"/>
      <c r="E13" s="107" t="n"/>
      <c r="F13"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3"/>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24277</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26034</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60801</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62149</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62706</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67083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67801</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68850</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71673</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73002</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73106</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3"/>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24277</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26034</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60801</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62149</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62706</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67083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67801</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68850</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71673</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73002</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73106</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3"/>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24277</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26034</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60801</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62149</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62706</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67083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67801</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68850</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71673</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73002</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73106</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2025-12-18T18:44:01Z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