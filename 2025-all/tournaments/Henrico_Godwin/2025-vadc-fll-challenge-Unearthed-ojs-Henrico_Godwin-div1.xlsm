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785" yWindow="1590" windowWidth="28800" windowHeight="15345" tabRatio="879" firstSheet="1" activeTab="7"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16"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9" headerRowCount="1" insertRow="1" totalsRowShown="0" headerRowDxfId="153" dataDxfId="152">
  <autoFilter ref="A1:B2"/>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1"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3"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16" headerRowCount="1" totalsRowShown="0" headerRowDxfId="149" dataDxfId="147" headerRowBorderDxfId="148">
  <autoFilter ref="A2:W3"/>
  <sortState ref="A3:W3">
    <sortCondition ref="A3"/>
  </sortState>
  <tableColumns count="23">
    <tableColumn id="1" name="Team Number" dataDxfId="146"/>
    <tableColumn id="13" name="POD" dataDxfId="145">
      <calculatedColumnFormula>INDEX(OfficialTeamList[Pod Number],MATCH(TournamentData[[#This Row],[Team Number]], OfficialTeamList[Team '#],0))</calculatedColumnFormula>
    </tableColumn>
    <tableColumn id="2" name="Team Name" dataDxfId="144">
      <calculatedColumnFormula>INDEX(OfficialTeamList[Team Name],MATCH(TournamentData[[#This Row],[Team Number]], OfficialTeamList[Team '#],0))</calculatedColumnFormula>
    </tableColumn>
    <tableColumn id="6" name="Robot Game Score 1" dataDxfId="143">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42">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41">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40">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3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38">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37">
      <calculatedColumnFormula>_xlfn.RANK.EQ(TournamentData[[#This Row],[Max Robot Game Score]],TournamentData[Max Robot Game Score])</calculatedColumnFormula>
    </tableColumn>
    <tableColumn id="3" name="Core Values Rank" dataDxfId="136">
      <calculatedColumnFormula>INDEX(CoreValuesResults[Core Values Rank],MATCH(TournamentData[[#This Row],[Team Number]],CoreValuesResults[Team Number],0))</calculatedColumnFormula>
    </tableColumn>
    <tableColumn id="4" name="Innovation Project Rank" dataDxfId="135">
      <calculatedColumnFormula>INDEX(InnovationProjectResults[Innovation Project Rank],MATCH(TournamentData[[#This Row],[Team Number]],InnovationProjectResults[Team Number],0))</calculatedColumnFormula>
    </tableColumn>
    <tableColumn id="5" name="Robot Design Rank" dataDxfId="134">
      <calculatedColumnFormula>INDEX(RobotDesignResults[Robot Design Rank],MATCH(TournamentData[[#This Row],[Team Number]],RobotDesignResults[Team Number],0))</calculatedColumnFormula>
    </tableColumn>
    <tableColumn id="14" name="Champion's Score" dataDxfId="133">
      <calculatedColumnFormula>SUM(TournamentData[[#This Row],[Robot Game Rank]:[Robot Design Rank]])</calculatedColumnFormula>
    </tableColumn>
    <tableColumn id="11" name="Champion's Rank" dataDxfId="132">
      <calculatedColumnFormula>RANK(TournamentData[[#This Row],[Champion''s Score]],TournamentData[Champion''s Score],1)</calculatedColumnFormula>
    </tableColumn>
    <tableColumn id="12" name="Award" dataDxfId="131"/>
    <tableColumn id="21" name="Advance?" dataDxfId="130" dataCellStyle="Normal"/>
    <tableColumn id="28" name="Core Values Score" dataDxfId="129">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28">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27">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26">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25">
      <calculatedColumnFormula>IF(U3,_xlfn.RANK.EQ(U3,U$3:U$3,0),NumberOfTeams)</calculatedColumnFormula>
    </tableColumn>
    <tableColumn id="20" name="Comments" dataDxfId="124"/>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15" headerRowCount="1" totalsRowShown="0" headerRowDxfId="123" dataDxfId="121" headerRowBorderDxfId="122">
  <autoFilter ref="A1:F2"/>
  <sortState ref="A2:F2">
    <sortCondition ref="A2"/>
  </sortState>
  <tableColumns count="6">
    <tableColumn id="2" name="Team Number" dataDxfId="120"/>
    <tableColumn id="9" name="Team Name" dataDxfId="119">
      <calculatedColumnFormula>INDEX(OfficialTeamList[Team Name],MATCH(RobotGameScores[[#This Row],[Team Number]], OfficialTeamList[Team '#],0))</calculatedColumnFormula>
    </tableColumn>
    <tableColumn id="3" name="Robot Game 1 Score" dataDxfId="118"/>
    <tableColumn id="4" name="Robot Game 2 Score" dataDxfId="117"/>
    <tableColumn id="5" name="Robot Game 3 Score" dataDxfId="116"/>
    <tableColumn id="8" name="Highest Robot Game Score" dataDxfId="115">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15" headerRowCount="1" totalsRowShown="0" headerRowDxfId="114" dataDxfId="113">
  <autoFilter ref="A1:O2"/>
  <sortState ref="A2:O2">
    <sortCondition ref="A2"/>
  </sortState>
  <tableColumns count="15">
    <tableColumn id="1" name="Team Number" dataDxfId="112"/>
    <tableColumn id="6" name="POD" dataDxfId="111">
      <calculatedColumnFormula>INDEX(OfficialTeamList[Pod Number],MATCH(InnovationProjectResults[[#This Row],[Team Number]], OfficialTeamList[Team '#],0))</calculatedColumnFormula>
    </tableColumn>
    <tableColumn id="2" name="Team Name" dataDxfId="110">
      <calculatedColumnFormula>INDEX(OfficialTeamList[Team Name],MATCH(InnovationProjectResults[[#This Row],[Team Number]], OfficialTeamList[Team '#],0))</calculatedColumnFormula>
    </tableColumn>
    <tableColumn id="3" name="Identify - Define" dataDxfId="109"/>
    <tableColumn id="4" name="Identify - Research (CV)" dataDxfId="108"/>
    <tableColumn id="5" name="Design - Plan" dataDxfId="107"/>
    <tableColumn id="7" name="Design - Teamwork (CV)" dataDxfId="106"/>
    <tableColumn id="10" name="Create - Innovation (CV)" dataDxfId="105"/>
    <tableColumn id="8" name="Create - Model" dataDxfId="104"/>
    <tableColumn id="9" name="Iterate - Sharing" dataDxfId="103"/>
    <tableColumn id="11" name="Iterate - Improvement" dataDxfId="102"/>
    <tableColumn id="12" name="Communicate - Impact (CV)" dataDxfId="101"/>
    <tableColumn id="13" name="Communicate - Fun (CV)" dataDxfId="100"/>
    <tableColumn id="19" name="Innovation Project Score" dataDxfId="99">
      <calculatedColumnFormula>SUM(InnovationProjectResults[[#This Row],[Identify - Define]:[Communicate - Fun (CV)]])</calculatedColumnFormula>
    </tableColumn>
    <tableColumn id="20" name="Innovation Project Rank" dataDxfId="98">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15" headerRowCount="1" totalsRowShown="0" headerRowDxfId="97" dataDxfId="96">
  <autoFilter ref="A1:O2"/>
  <sortState ref="A2:O2">
    <sortCondition ref="A2"/>
  </sortState>
  <tableColumns count="15">
    <tableColumn id="1" name="Team Number" dataDxfId="95"/>
    <tableColumn id="10" name="POD" dataDxfId="94">
      <calculatedColumnFormula>INDEX(OfficialTeamList[Pod Number],MATCH(RobotDesignResults[[#This Row],[Team Number]], OfficialTeamList[Team '#],0))</calculatedColumnFormula>
    </tableColumn>
    <tableColumn id="2" name="Team Name" dataDxfId="93">
      <calculatedColumnFormula>INDEX(OfficialTeamList[Team Name],MATCH(RobotDesignResults[[#This Row],[Team Number]], OfficialTeamList[Team '#],0))</calculatedColumnFormula>
    </tableColumn>
    <tableColumn id="3" name="Identify - Strategy" dataDxfId="92"/>
    <tableColumn id="4" name="Identify - Research (CV)" dataDxfId="91"/>
    <tableColumn id="5" name="Design - Ideas (CV)" dataDxfId="90"/>
    <tableColumn id="7" name="Design - Building/Coding" dataDxfId="89"/>
    <tableColumn id="6" name="Create - Attachments" dataDxfId="88"/>
    <tableColumn id="8" name="Create - Code/ Sensors" dataDxfId="87"/>
    <tableColumn id="9" name="Iterate - Testing" dataDxfId="86"/>
    <tableColumn id="11" name="Iterate - Improvements (CV)" dataDxfId="85"/>
    <tableColumn id="12" name="Communicate - Impact (CV)" dataDxfId="84"/>
    <tableColumn id="13" name="Communicate - Fun (CV)" dataDxfId="83"/>
    <tableColumn id="19" name="Robot Design Score" dataDxfId="82">
      <calculatedColumnFormula>SUM(RobotDesignResults[[#This Row],[Identify - Strategy]:[Communicate - Fun (CV)]])</calculatedColumnFormula>
    </tableColumn>
    <tableColumn id="20" name="Robot Design Rank" dataDxfId="81">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15" headerRowCount="1" totalsRowShown="0" headerRowDxfId="80" dataDxfId="79">
  <autoFilter ref="A1:T2"/>
  <sortState ref="A2:T2">
    <sortCondition ref="A2"/>
  </sortState>
  <tableColumns count="20">
    <tableColumn id="1" name="Team Number" dataDxfId="78"/>
    <tableColumn id="9" name="POD" dataDxfId="77">
      <calculatedColumnFormula>INDEX(OfficialTeamList[Pod Number],MATCH(CoreValuesResults[[#This Row],[Team Number]], OfficialTeamList[Team '#],0))</calculatedColumnFormula>
    </tableColumn>
    <tableColumn id="2" name="Team Name" dataDxfId="76">
      <calculatedColumnFormula>INDEX(OfficialTeamList[Team Name],MATCH(CoreValuesResults[[#This Row],[Team Number]], OfficialTeamList[Team '#],0))</calculatedColumnFormula>
    </tableColumn>
    <tableColumn id="3" name="Identify - Research (CV-IP)" dataDxfId="75">
      <calculatedColumnFormula>INDEX(InnovationProjectResults[Identify - Research (CV)],MATCH(CoreValuesResults[[#This Row],[Team Number]],InnovationProjectResults[Team Number],0))</calculatedColumnFormula>
    </tableColumn>
    <tableColumn id="4" name="Design - Teamwork (CV-IP)" dataDxfId="74">
      <calculatedColumnFormula>INDEX(InnovationProjectResults[Design - Teamwork (CV)],MATCH(CoreValuesResults[[#This Row],[Team Number]],InnovationProjectResults[Team Number],0))</calculatedColumnFormula>
    </tableColumn>
    <tableColumn id="5" name="Create - Innovation (CV-IP)" dataDxfId="73">
      <calculatedColumnFormula>INDEX(InnovationProjectResults[Create - Innovation (CV)],MATCH(CoreValuesResults[[#This Row],[Team Number]],InnovationProjectResults[Team Number],0))</calculatedColumnFormula>
    </tableColumn>
    <tableColumn id="11" name="Communicate - Impact (CV-IP)" dataDxfId="72">
      <calculatedColumnFormula>INDEX(InnovationProjectResults[Communicate - Impact (CV)],MATCH(CoreValuesResults[[#This Row],[Team Number]],InnovationProjectResults[Team Number],0))</calculatedColumnFormula>
    </tableColumn>
    <tableColumn id="12" name="Communicate - Fun (CV-IP)" dataDxfId="71">
      <calculatedColumnFormula>INDEX(InnovationProjectResults[Communicate - Fun (CV)],MATCH(CoreValuesResults[[#This Row],[Team Number]],InnovationProjectResults[Team Number],0))</calculatedColumnFormula>
    </tableColumn>
    <tableColumn id="22" name="Identify - Research (CV-RD)" dataDxfId="70">
      <calculatedColumnFormula>INDEX(RobotDesignResults[Identify - Research (CV)],MATCH(CoreValuesResults[[#This Row],[Team Number]],RobotDesignResults[Team Number],0))</calculatedColumnFormula>
    </tableColumn>
    <tableColumn id="25" name="Design - Ideas (CV-RD)" dataDxfId="69">
      <calculatedColumnFormula>INDEX(RobotDesignResults[Design - Ideas (CV)],MATCH(CoreValuesResults[[#This Row],[Team Number]],RobotDesignResults[Team Number],0))</calculatedColumnFormula>
    </tableColumn>
    <tableColumn id="24" name="Iterate - Improvements (CV-RD)" dataDxfId="68">
      <calculatedColumnFormula>INDEX(RobotDesignResults[Iterate - Improvements (CV)],MATCH(CoreValuesResults[[#This Row],[Team Number]],RobotDesignResults[Team Number],0))</calculatedColumnFormula>
    </tableColumn>
    <tableColumn id="23" name="Communicate - Impact (CV-RD)" dataDxfId="67">
      <calculatedColumnFormula>INDEX(RobotDesignResults[Communicate - Impact (CV)],MATCH(CoreValuesResults[[#This Row],[Team Number]],RobotDesignResults[Team Number],0))</calculatedColumnFormula>
    </tableColumn>
    <tableColumn id="13" name="Communicate - Fun (CV-RD)" dataDxfId="66">
      <calculatedColumnFormula>INDEX(RobotDesignResults[Communicate - Fun (CV)],MATCH(CoreValuesResults[[#This Row],[Team Number]],RobotDesignResults[Team Number],0))</calculatedColumnFormula>
    </tableColumn>
    <tableColumn id="7" name="Gracious Professionalism 1" dataDxfId="65"/>
    <tableColumn id="8" name="Gracious Professionalism 2" dataDxfId="64"/>
    <tableColumn id="6" name="Gracious Professionalism 3" dataDxfId="63"/>
    <tableColumn id="14" name="Gracious Professionalism Total" dataDxfId="62">
      <calculatedColumnFormula>SUM(CoreValuesResults[[#This Row],[Gracious Professionalism 1]:[Gracious Professionalism 3]])</calculatedColumnFormula>
    </tableColumn>
    <tableColumn id="18" name="Gracious Professionalism Score" dataDxfId="61">
      <calculatedColumnFormula>SUM(N2:Q2)</calculatedColumnFormula>
    </tableColumn>
    <tableColumn id="19" name="Core Values Score" dataDxfId="60">
      <calculatedColumnFormula>SUM(CoreValuesResults[[#This Row],[Identify - Research (CV-IP)]:[Communicate - Fun (CV-RD)]],CoreValuesResults[[#This Row],[Gracious Professionalism Score]])</calculatedColumnFormula>
    </tableColumn>
    <tableColumn id="20" name="Core Values Rank" dataDxfId="59">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58" dataDxfId="57">
  <autoFilter ref="B3:E18"/>
  <tableColumns count="4">
    <tableColumn id="1" name="Team Number" dataDxfId="56"/>
    <tableColumn id="2" name="Team Name" dataDxfId="55">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54">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53"/>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52" dataDxfId="51">
  <autoFilter ref="G3:J18"/>
  <tableColumns count="4">
    <tableColumn id="1" name="Team Number" dataDxfId="50"/>
    <tableColumn id="2" name="Team Name" dataDxfId="49">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48">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47"/>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46" dataDxfId="45">
  <autoFilter ref="B21:E36"/>
  <tableColumns count="4">
    <tableColumn id="1" name="Team Number" dataDxfId="44"/>
    <tableColumn id="2" name="Team Name" dataDxfId="43">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42">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41"/>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40" dataDxfId="39">
  <autoFilter ref="G21:J36"/>
  <tableColumns count="4">
    <tableColumn id="1" name="Team Number" dataDxfId="38"/>
    <tableColumn id="2" name="Team Name" dataDxfId="37">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36">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35"/>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34" dataDxfId="33">
  <autoFilter ref="L21:O36"/>
  <tableColumns count="4">
    <tableColumn id="1" name="Team Number" dataDxfId="32"/>
    <tableColumn id="2" name="Team Name" dataDxfId="31">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30">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29"/>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28" dataDxfId="27">
  <autoFilter ref="B39:E54"/>
  <tableColumns count="4">
    <tableColumn id="1" name="Team Number" dataDxfId="26"/>
    <tableColumn id="2" name="Team Name" dataDxfId="25">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24">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23"/>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22" dataDxfId="21">
  <autoFilter ref="G39:J54"/>
  <tableColumns count="4">
    <tableColumn id="1" name="Team Number" dataDxfId="20"/>
    <tableColumn id="2" name="Team Name" dataDxfId="19">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18">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17"/>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16" dataDxfId="15">
  <autoFilter ref="L39:O54"/>
  <tableColumns count="4">
    <tableColumn id="1" name="Team Number" dataDxfId="14"/>
    <tableColumn id="2" name="Team Name" dataDxfId="13">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2">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11"/>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16"/>
  <sheetViews>
    <sheetView zoomScaleNormal="100" workbookViewId="0">
      <selection activeCell="A3" sqref="A3"/>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27851</v>
      </c>
      <c r="B3" s="68" t="inlineStr">
        <is>
          <t>Off The Grid</t>
        </is>
      </c>
      <c r="C3" s="68" t="inlineStr">
        <is>
          <t>Rachael Rachau</t>
        </is>
      </c>
      <c r="D3" s="69" t="n">
        <v>0</v>
      </c>
      <c r="H3" s="3" t="n"/>
    </row>
    <row r="4">
      <c r="A4" t="n">
        <v>38363</v>
      </c>
      <c r="B4" t="inlineStr">
        <is>
          <t>The Wild Robots</t>
        </is>
      </c>
      <c r="C4" t="inlineStr">
        <is>
          <t>Martha Wild</t>
        </is>
      </c>
      <c r="D4" t="n">
        <v>0</v>
      </c>
    </row>
    <row r="5">
      <c r="A5" t="n">
        <v>44869</v>
      </c>
      <c r="B5" t="inlineStr">
        <is>
          <t>Fiery Phoenix</t>
        </is>
      </c>
      <c r="C5" t="inlineStr">
        <is>
          <t>Glenn Radcliffe</t>
        </is>
      </c>
      <c r="D5" t="n">
        <v>0</v>
      </c>
    </row>
    <row r="6">
      <c r="A6" t="n">
        <v>63330</v>
      </c>
      <c r="B6" t="inlineStr">
        <is>
          <t>Robo Cougars</t>
        </is>
      </c>
      <c r="C6" t="inlineStr">
        <is>
          <t>Rachael Rachau</t>
        </is>
      </c>
      <c r="D6" t="n">
        <v>0</v>
      </c>
    </row>
    <row r="7">
      <c r="A7" t="n">
        <v>65189</v>
      </c>
      <c r="B7" t="inlineStr">
        <is>
          <t>Rebecca Fischer</t>
        </is>
      </c>
      <c r="C7" t="inlineStr">
        <is>
          <t>Rebecca Fischer</t>
        </is>
      </c>
      <c r="D7" t="n">
        <v>0</v>
      </c>
    </row>
    <row r="8">
      <c r="A8" t="n">
        <v>65209</v>
      </c>
      <c r="B8" t="inlineStr">
        <is>
          <t>Varina Hawks</t>
        </is>
      </c>
      <c r="C8" t="inlineStr">
        <is>
          <t>Katherine English</t>
        </is>
      </c>
      <c r="D8" t="n">
        <v>0</v>
      </c>
    </row>
    <row r="9">
      <c r="A9" t="n">
        <v>65235</v>
      </c>
      <c r="B9" t="inlineStr">
        <is>
          <t>Ratcliffe Rams Challenge</t>
        </is>
      </c>
      <c r="C9" t="inlineStr">
        <is>
          <t>Kathy Johnson</t>
        </is>
      </c>
      <c r="D9" t="n">
        <v>0</v>
      </c>
    </row>
    <row r="10">
      <c r="A10" t="n">
        <v>65944</v>
      </c>
      <c r="B10" t="inlineStr">
        <is>
          <t>Robodragons</t>
        </is>
      </c>
      <c r="C10" t="inlineStr">
        <is>
          <t>Patricia Pippenger</t>
        </is>
      </c>
      <c r="D10" t="n">
        <v>0</v>
      </c>
    </row>
    <row r="11">
      <c r="A11" t="n">
        <v>65945</v>
      </c>
      <c r="B11" t="inlineStr">
        <is>
          <t>Jurassic Sparks</t>
        </is>
      </c>
      <c r="C11" t="inlineStr">
        <is>
          <t>Miriam Isaac</t>
        </is>
      </c>
      <c r="D11" t="n">
        <v>0</v>
      </c>
    </row>
    <row r="12">
      <c r="A12" t="n">
        <v>67025</v>
      </c>
      <c r="B12" t="inlineStr">
        <is>
          <t>Sandston Stars</t>
        </is>
      </c>
      <c r="C12" t="inlineStr">
        <is>
          <t>Jennifer Hines</t>
        </is>
      </c>
      <c r="D12" t="n">
        <v>0</v>
      </c>
    </row>
    <row r="13">
      <c r="A13" t="n">
        <v>67049</v>
      </c>
      <c r="B13" t="inlineStr">
        <is>
          <t>Da Bad Boyz</t>
        </is>
      </c>
      <c r="C13" t="inlineStr">
        <is>
          <t>Nancy Wallace</t>
        </is>
      </c>
      <c r="D13" t="n">
        <v>0</v>
      </c>
    </row>
    <row r="14">
      <c r="A14" t="n">
        <v>67463</v>
      </c>
      <c r="B14" t="inlineStr">
        <is>
          <t>SGES Challenge</t>
        </is>
      </c>
      <c r="C14" t="inlineStr">
        <is>
          <t>Ellen Guidry</t>
        </is>
      </c>
      <c r="D14" t="n">
        <v>0</v>
      </c>
    </row>
    <row r="15">
      <c r="A15" t="n">
        <v>67984</v>
      </c>
      <c r="B15" t="inlineStr">
        <is>
          <t>Chaos Seekers</t>
        </is>
      </c>
      <c r="C15" t="inlineStr">
        <is>
          <t>Michelle Curtis</t>
        </is>
      </c>
      <c r="D15" t="n">
        <v>0</v>
      </c>
    </row>
    <row r="16">
      <c r="A16" t="n">
        <v>72220</v>
      </c>
      <c r="B16" t="inlineStr">
        <is>
          <t>Greenwood Elementary</t>
        </is>
      </c>
      <c r="C16" t="inlineStr">
        <is>
          <t>Farrell Bishop</t>
        </is>
      </c>
      <c r="D16"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9"/>
  <sheetViews>
    <sheetView tabSelected="1" workbookViewId="0">
      <selection activeCell="A2" sqref="A2"/>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c r="B2" t="inlineStr">
        <is>
          <t>2025</t>
        </is>
      </c>
    </row>
    <row r="3">
      <c r="A3" t="inlineStr">
        <is>
          <t>FLL Season Title</t>
        </is>
      </c>
      <c r="B3" t="inlineStr">
        <is>
          <t>Unearthed</t>
        </is>
      </c>
    </row>
    <row r="4">
      <c r="A4" t="inlineStr">
        <is>
          <t>Tournament Short Name</t>
        </is>
      </c>
      <c r="B4" t="inlineStr">
        <is>
          <t>Henrico_Godwin</t>
        </is>
      </c>
    </row>
    <row r="5">
      <c r="A5" t="inlineStr">
        <is>
          <t>Tournament Long Name</t>
        </is>
      </c>
      <c r="B5" t="inlineStr">
        <is>
          <t>Henrico Godwin 2025 Unearthed Qualifier Tournament</t>
        </is>
      </c>
    </row>
    <row r="6">
      <c r="A6" t="inlineStr">
        <is>
          <t>Completed Script File</t>
        </is>
      </c>
      <c r="B6" t="inlineStr">
        <is>
          <t>c:\github-projects\OJS_Script_maker_NG\2025-all\tournaments\Henrico_Godwin\closing_ceremony.html</t>
        </is>
      </c>
    </row>
    <row r="7">
      <c r="A7" t="inlineStr">
        <is>
          <t>Using Divisions</t>
        </is>
      </c>
      <c r="B7" t="b">
        <v>1</v>
      </c>
    </row>
    <row r="8">
      <c r="A8" t="inlineStr">
        <is>
          <t>Division</t>
        </is>
      </c>
      <c r="B8" t="inlineStr">
        <is>
          <t>D1</t>
        </is>
      </c>
    </row>
    <row r="9">
      <c r="A9" t="inlineStr">
        <is>
          <t>Advancing</t>
        </is>
      </c>
      <c r="B9" t="n">
        <v>4</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1"/>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Robot Design 1st Place</t>
        </is>
      </c>
    </row>
    <row r="5">
      <c r="A5" t="inlineStr">
        <is>
          <t>Innovation Project 1st Place</t>
        </is>
      </c>
    </row>
    <row r="6">
      <c r="A6" t="inlineStr">
        <is>
          <t>Core Values 1st Place</t>
        </is>
      </c>
    </row>
    <row r="7">
      <c r="A7" t="inlineStr">
        <is>
          <t>Judges 1</t>
        </is>
      </c>
    </row>
    <row r="8">
      <c r="A8" t="inlineStr">
        <is>
          <t>Judges 2</t>
        </is>
      </c>
    </row>
    <row r="9">
      <c r="A9" t="inlineStr">
        <is>
          <t>Judges 3</t>
        </is>
      </c>
    </row>
    <row r="10">
      <c r="A10" t="inlineStr">
        <is>
          <t>Judges 4</t>
        </is>
      </c>
    </row>
    <row r="11">
      <c r="A11" t="inlineStr">
        <is>
          <t>Judges 5</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16"/>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27851</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38363</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44869</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63330</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65189</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65209</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65235</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row r="10" ht="21" customHeight="1">
      <c r="A10" s="104" t="n">
        <v>65944</v>
      </c>
      <c r="B10" s="104">
        <f>INDEX(OfficialTeamList[Pod Number],MATCH(TournamentData[[#This Row],[Team Number]], OfficialTeamList[Team '#],0))</f>
        <v/>
      </c>
      <c r="C10" s="95">
        <f>INDEX(OfficialTeamList[Team Name],MATCH(TournamentData[[#This Row],[Team Number]], OfficialTeamList[Team '#],0))</f>
        <v/>
      </c>
      <c r="D10" s="73">
        <f>IF(TournamentData[[#This Row],[Team Number]]="","",IF(ISNA(INDEX('Robot Game Scores'!C:C,MATCH(TournamentData[[#This Row],[Team Number]], 'Robot Game Scores'!$A:$A,0))),0,INDEX('Robot Game Scores'!C:C,MATCH(TournamentData[[#This Row],[Team Number]], 'Robot Game Scores'!$A:$A,0))))</f>
        <v/>
      </c>
      <c r="E10" s="73">
        <f>IF(TournamentData[[#This Row],[Team Number]]="","",IF(ISNA(INDEX('Robot Game Scores'!D:D,MATCH(TournamentData[[#This Row],[Team Number]], 'Robot Game Scores'!$A:$A,0))),0,INDEX('Robot Game Scores'!D:D,MATCH(TournamentData[[#This Row],[Team Number]], 'Robot Game Scores'!$A:$A,0))))</f>
        <v/>
      </c>
      <c r="F10" s="73">
        <f>IF(TournamentData[[#This Row],[Team Number]]="","",IF(ISNA(INDEX('Robot Game Scores'!E:E,MATCH(TournamentData[[#This Row],[Team Number]], 'Robot Game Scores'!$A:$A,0))),0,INDEX('Robot Game Scores'!E:E,MATCH(TournamentData[[#This Row],[Team Number]], 'Robot Game Scores'!$A:$A,0))))</f>
        <v/>
      </c>
      <c r="G10" s="73">
        <f>IF(TournamentData[[#This Row],[Team Number]]="","",IF(ISNA(INDEX('Robot Game Scores'!#REF!,MATCH(TournamentData[[#This Row],[Team Number]], 'Robot Game Scores'!$A:$A,0))),0,INDEX('Robot Game Scores'!#REF!,MATCH(TournamentData[[#This Row],[Team Number]], 'Robot Game Scores'!$A:$A,0))))</f>
        <v/>
      </c>
      <c r="H10" s="73">
        <f>IF(TournamentData[[#This Row],[Team Number]]="","",IF(ISNA(INDEX('Robot Game Scores'!#REF!,MATCH(TournamentData[[#This Row],[Team Number]], 'Robot Game Scores'!$A:$A,0))),0,INDEX('Robot Game Scores'!#REF!,MATCH(TournamentData[[#This Row],[Team Number]], 'Robot Game Scores'!$A:$A,0))))</f>
        <v/>
      </c>
      <c r="I10"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0" s="73">
        <f>_xlfn.RANK.EQ(TournamentData[[#This Row],[Max Robot Game Score]],TournamentData[Max Robot Game Score])</f>
        <v/>
      </c>
      <c r="K10" s="73">
        <f>INDEX(CoreValuesResults[Core Values Rank],MATCH(TournamentData[[#This Row],[Team Number]],CoreValuesResults[Team Number],0))</f>
        <v/>
      </c>
      <c r="L10" s="73">
        <f>INDEX(InnovationProjectResults[Innovation Project Rank],MATCH(TournamentData[[#This Row],[Team Number]],InnovationProjectResults[Team Number],0))</f>
        <v/>
      </c>
      <c r="M10" s="73">
        <f>INDEX(RobotDesignResults[Robot Design Rank],MATCH(TournamentData[[#This Row],[Team Number]],RobotDesignResults[Team Number],0))</f>
        <v/>
      </c>
      <c r="N10" s="73">
        <f>SUM(TournamentData[[#This Row],[Robot Game Rank]:[Robot Design Rank]])</f>
        <v/>
      </c>
      <c r="O10" s="105">
        <f>RANK(TournamentData[[#This Row],[Champion''s Score]],TournamentData[Champion''s Score],1)</f>
        <v/>
      </c>
      <c r="P10" s="74" t="n"/>
      <c r="Q10" s="78" t="n"/>
      <c r="R10" s="75">
        <f>IF(ISNA(INDEX(CoreValuesResults[Core Values Score],MATCH(TournamentData[[#This Row],[Team Number]],CoreValuesResults[Team Number],0))),0,INDEX(CoreValuesResults[Core Values Score],MATCH(TournamentData[[#This Row],[Team Number]],CoreValuesResults[Team Number],0)))</f>
        <v/>
      </c>
      <c r="S10" s="75">
        <f>IF(ISNA(INDEX(InnovationProjectResults[Innovation Project Score],MATCH(TournamentData[[#This Row],[Team Number]],InnovationProjectResults[Team Number],0))),0,INDEX(InnovationProjectResults[Innovation Project Score],MATCH(TournamentData[[#This Row],[Team Number]],InnovationProjectResults[Team Number],0)))</f>
        <v/>
      </c>
      <c r="T10" s="75">
        <f>IF(ISNA(INDEX(RobotDesignResults[Robot Design Score],MATCH(TournamentData[[#This Row],[Team Number]],RobotDesignResults[Team Number],0))),0,INDEX(RobotDesignResults[Robot Design Score],MATCH(TournamentData[[#This Row],[Team Number]],RobotDesignResults[Team Number],0)))</f>
        <v/>
      </c>
      <c r="U10"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0" s="74">
        <f>IF(U3,_xlfn.RANK.EQ(U3,U$3:U$3,0),NumberOfTeams)</f>
        <v/>
      </c>
      <c r="W10" s="74" t="n"/>
    </row>
    <row r="11" ht="21" customHeight="1">
      <c r="A11" s="104" t="n">
        <v>65945</v>
      </c>
      <c r="B11" s="104">
        <f>INDEX(OfficialTeamList[Pod Number],MATCH(TournamentData[[#This Row],[Team Number]], OfficialTeamList[Team '#],0))</f>
        <v/>
      </c>
      <c r="C11" s="95">
        <f>INDEX(OfficialTeamList[Team Name],MATCH(TournamentData[[#This Row],[Team Number]], OfficialTeamList[Team '#],0))</f>
        <v/>
      </c>
      <c r="D11" s="73">
        <f>IF(TournamentData[[#This Row],[Team Number]]="","",IF(ISNA(INDEX('Robot Game Scores'!C:C,MATCH(TournamentData[[#This Row],[Team Number]], 'Robot Game Scores'!$A:$A,0))),0,INDEX('Robot Game Scores'!C:C,MATCH(TournamentData[[#This Row],[Team Number]], 'Robot Game Scores'!$A:$A,0))))</f>
        <v/>
      </c>
      <c r="E11" s="73">
        <f>IF(TournamentData[[#This Row],[Team Number]]="","",IF(ISNA(INDEX('Robot Game Scores'!D:D,MATCH(TournamentData[[#This Row],[Team Number]], 'Robot Game Scores'!$A:$A,0))),0,INDEX('Robot Game Scores'!D:D,MATCH(TournamentData[[#This Row],[Team Number]], 'Robot Game Scores'!$A:$A,0))))</f>
        <v/>
      </c>
      <c r="F11" s="73">
        <f>IF(TournamentData[[#This Row],[Team Number]]="","",IF(ISNA(INDEX('Robot Game Scores'!E:E,MATCH(TournamentData[[#This Row],[Team Number]], 'Robot Game Scores'!$A:$A,0))),0,INDEX('Robot Game Scores'!E:E,MATCH(TournamentData[[#This Row],[Team Number]], 'Robot Game Scores'!$A:$A,0))))</f>
        <v/>
      </c>
      <c r="G11" s="73">
        <f>IF(TournamentData[[#This Row],[Team Number]]="","",IF(ISNA(INDEX('Robot Game Scores'!#REF!,MATCH(TournamentData[[#This Row],[Team Number]], 'Robot Game Scores'!$A:$A,0))),0,INDEX('Robot Game Scores'!#REF!,MATCH(TournamentData[[#This Row],[Team Number]], 'Robot Game Scores'!$A:$A,0))))</f>
        <v/>
      </c>
      <c r="H11" s="73">
        <f>IF(TournamentData[[#This Row],[Team Number]]="","",IF(ISNA(INDEX('Robot Game Scores'!#REF!,MATCH(TournamentData[[#This Row],[Team Number]], 'Robot Game Scores'!$A:$A,0))),0,INDEX('Robot Game Scores'!#REF!,MATCH(TournamentData[[#This Row],[Team Number]], 'Robot Game Scores'!$A:$A,0))))</f>
        <v/>
      </c>
      <c r="I11"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1" s="73">
        <f>_xlfn.RANK.EQ(TournamentData[[#This Row],[Max Robot Game Score]],TournamentData[Max Robot Game Score])</f>
        <v/>
      </c>
      <c r="K11" s="73">
        <f>INDEX(CoreValuesResults[Core Values Rank],MATCH(TournamentData[[#This Row],[Team Number]],CoreValuesResults[Team Number],0))</f>
        <v/>
      </c>
      <c r="L11" s="73">
        <f>INDEX(InnovationProjectResults[Innovation Project Rank],MATCH(TournamentData[[#This Row],[Team Number]],InnovationProjectResults[Team Number],0))</f>
        <v/>
      </c>
      <c r="M11" s="73">
        <f>INDEX(RobotDesignResults[Robot Design Rank],MATCH(TournamentData[[#This Row],[Team Number]],RobotDesignResults[Team Number],0))</f>
        <v/>
      </c>
      <c r="N11" s="73">
        <f>SUM(TournamentData[[#This Row],[Robot Game Rank]:[Robot Design Rank]])</f>
        <v/>
      </c>
      <c r="O11" s="105">
        <f>RANK(TournamentData[[#This Row],[Champion''s Score]],TournamentData[Champion''s Score],1)</f>
        <v/>
      </c>
      <c r="P11" s="74" t="n"/>
      <c r="Q11" s="78" t="n"/>
      <c r="R11" s="75">
        <f>IF(ISNA(INDEX(CoreValuesResults[Core Values Score],MATCH(TournamentData[[#This Row],[Team Number]],CoreValuesResults[Team Number],0))),0,INDEX(CoreValuesResults[Core Values Score],MATCH(TournamentData[[#This Row],[Team Number]],CoreValuesResults[Team Number],0)))</f>
        <v/>
      </c>
      <c r="S11" s="75">
        <f>IF(ISNA(INDEX(InnovationProjectResults[Innovation Project Score],MATCH(TournamentData[[#This Row],[Team Number]],InnovationProjectResults[Team Number],0))),0,INDEX(InnovationProjectResults[Innovation Project Score],MATCH(TournamentData[[#This Row],[Team Number]],InnovationProjectResults[Team Number],0)))</f>
        <v/>
      </c>
      <c r="T11" s="75">
        <f>IF(ISNA(INDEX(RobotDesignResults[Robot Design Score],MATCH(TournamentData[[#This Row],[Team Number]],RobotDesignResults[Team Number],0))),0,INDEX(RobotDesignResults[Robot Design Score],MATCH(TournamentData[[#This Row],[Team Number]],RobotDesignResults[Team Number],0)))</f>
        <v/>
      </c>
      <c r="U11"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1" s="74">
        <f>IF(U3,_xlfn.RANK.EQ(U3,U$3:U$3,0),NumberOfTeams)</f>
        <v/>
      </c>
      <c r="W11" s="74" t="n"/>
    </row>
    <row r="12" ht="21" customHeight="1">
      <c r="A12" s="104" t="n">
        <v>67025</v>
      </c>
      <c r="B12" s="104">
        <f>INDEX(OfficialTeamList[Pod Number],MATCH(TournamentData[[#This Row],[Team Number]], OfficialTeamList[Team '#],0))</f>
        <v/>
      </c>
      <c r="C12" s="95">
        <f>INDEX(OfficialTeamList[Team Name],MATCH(TournamentData[[#This Row],[Team Number]], OfficialTeamList[Team '#],0))</f>
        <v/>
      </c>
      <c r="D12" s="73">
        <f>IF(TournamentData[[#This Row],[Team Number]]="","",IF(ISNA(INDEX('Robot Game Scores'!C:C,MATCH(TournamentData[[#This Row],[Team Number]], 'Robot Game Scores'!$A:$A,0))),0,INDEX('Robot Game Scores'!C:C,MATCH(TournamentData[[#This Row],[Team Number]], 'Robot Game Scores'!$A:$A,0))))</f>
        <v/>
      </c>
      <c r="E12" s="73">
        <f>IF(TournamentData[[#This Row],[Team Number]]="","",IF(ISNA(INDEX('Robot Game Scores'!D:D,MATCH(TournamentData[[#This Row],[Team Number]], 'Robot Game Scores'!$A:$A,0))),0,INDEX('Robot Game Scores'!D:D,MATCH(TournamentData[[#This Row],[Team Number]], 'Robot Game Scores'!$A:$A,0))))</f>
        <v/>
      </c>
      <c r="F12" s="73">
        <f>IF(TournamentData[[#This Row],[Team Number]]="","",IF(ISNA(INDEX('Robot Game Scores'!E:E,MATCH(TournamentData[[#This Row],[Team Number]], 'Robot Game Scores'!$A:$A,0))),0,INDEX('Robot Game Scores'!E:E,MATCH(TournamentData[[#This Row],[Team Number]], 'Robot Game Scores'!$A:$A,0))))</f>
        <v/>
      </c>
      <c r="G12" s="73">
        <f>IF(TournamentData[[#This Row],[Team Number]]="","",IF(ISNA(INDEX('Robot Game Scores'!#REF!,MATCH(TournamentData[[#This Row],[Team Number]], 'Robot Game Scores'!$A:$A,0))),0,INDEX('Robot Game Scores'!#REF!,MATCH(TournamentData[[#This Row],[Team Number]], 'Robot Game Scores'!$A:$A,0))))</f>
        <v/>
      </c>
      <c r="H12" s="73">
        <f>IF(TournamentData[[#This Row],[Team Number]]="","",IF(ISNA(INDEX('Robot Game Scores'!#REF!,MATCH(TournamentData[[#This Row],[Team Number]], 'Robot Game Scores'!$A:$A,0))),0,INDEX('Robot Game Scores'!#REF!,MATCH(TournamentData[[#This Row],[Team Number]], 'Robot Game Scores'!$A:$A,0))))</f>
        <v/>
      </c>
      <c r="I12"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2" s="73">
        <f>_xlfn.RANK.EQ(TournamentData[[#This Row],[Max Robot Game Score]],TournamentData[Max Robot Game Score])</f>
        <v/>
      </c>
      <c r="K12" s="73">
        <f>INDEX(CoreValuesResults[Core Values Rank],MATCH(TournamentData[[#This Row],[Team Number]],CoreValuesResults[Team Number],0))</f>
        <v/>
      </c>
      <c r="L12" s="73">
        <f>INDEX(InnovationProjectResults[Innovation Project Rank],MATCH(TournamentData[[#This Row],[Team Number]],InnovationProjectResults[Team Number],0))</f>
        <v/>
      </c>
      <c r="M12" s="73">
        <f>INDEX(RobotDesignResults[Robot Design Rank],MATCH(TournamentData[[#This Row],[Team Number]],RobotDesignResults[Team Number],0))</f>
        <v/>
      </c>
      <c r="N12" s="73">
        <f>SUM(TournamentData[[#This Row],[Robot Game Rank]:[Robot Design Rank]])</f>
        <v/>
      </c>
      <c r="O12" s="105">
        <f>RANK(TournamentData[[#This Row],[Champion''s Score]],TournamentData[Champion''s Score],1)</f>
        <v/>
      </c>
      <c r="P12" s="74" t="n"/>
      <c r="Q12" s="78" t="n"/>
      <c r="R12" s="75">
        <f>IF(ISNA(INDEX(CoreValuesResults[Core Values Score],MATCH(TournamentData[[#This Row],[Team Number]],CoreValuesResults[Team Number],0))),0,INDEX(CoreValuesResults[Core Values Score],MATCH(TournamentData[[#This Row],[Team Number]],CoreValuesResults[Team Number],0)))</f>
        <v/>
      </c>
      <c r="S12" s="75">
        <f>IF(ISNA(INDEX(InnovationProjectResults[Innovation Project Score],MATCH(TournamentData[[#This Row],[Team Number]],InnovationProjectResults[Team Number],0))),0,INDEX(InnovationProjectResults[Innovation Project Score],MATCH(TournamentData[[#This Row],[Team Number]],InnovationProjectResults[Team Number],0)))</f>
        <v/>
      </c>
      <c r="T12" s="75">
        <f>IF(ISNA(INDEX(RobotDesignResults[Robot Design Score],MATCH(TournamentData[[#This Row],[Team Number]],RobotDesignResults[Team Number],0))),0,INDEX(RobotDesignResults[Robot Design Score],MATCH(TournamentData[[#This Row],[Team Number]],RobotDesignResults[Team Number],0)))</f>
        <v/>
      </c>
      <c r="U12"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2" s="74">
        <f>IF(U3,_xlfn.RANK.EQ(U3,U$3:U$3,0),NumberOfTeams)</f>
        <v/>
      </c>
      <c r="W12" s="74" t="n"/>
    </row>
    <row r="13" ht="21" customHeight="1">
      <c r="A13" s="104" t="n">
        <v>67049</v>
      </c>
      <c r="B13" s="104">
        <f>INDEX(OfficialTeamList[Pod Number],MATCH(TournamentData[[#This Row],[Team Number]], OfficialTeamList[Team '#],0))</f>
        <v/>
      </c>
      <c r="C13" s="95">
        <f>INDEX(OfficialTeamList[Team Name],MATCH(TournamentData[[#This Row],[Team Number]], OfficialTeamList[Team '#],0))</f>
        <v/>
      </c>
      <c r="D13" s="73">
        <f>IF(TournamentData[[#This Row],[Team Number]]="","",IF(ISNA(INDEX('Robot Game Scores'!C:C,MATCH(TournamentData[[#This Row],[Team Number]], 'Robot Game Scores'!$A:$A,0))),0,INDEX('Robot Game Scores'!C:C,MATCH(TournamentData[[#This Row],[Team Number]], 'Robot Game Scores'!$A:$A,0))))</f>
        <v/>
      </c>
      <c r="E13" s="73">
        <f>IF(TournamentData[[#This Row],[Team Number]]="","",IF(ISNA(INDEX('Robot Game Scores'!D:D,MATCH(TournamentData[[#This Row],[Team Number]], 'Robot Game Scores'!$A:$A,0))),0,INDEX('Robot Game Scores'!D:D,MATCH(TournamentData[[#This Row],[Team Number]], 'Robot Game Scores'!$A:$A,0))))</f>
        <v/>
      </c>
      <c r="F13" s="73">
        <f>IF(TournamentData[[#This Row],[Team Number]]="","",IF(ISNA(INDEX('Robot Game Scores'!E:E,MATCH(TournamentData[[#This Row],[Team Number]], 'Robot Game Scores'!$A:$A,0))),0,INDEX('Robot Game Scores'!E:E,MATCH(TournamentData[[#This Row],[Team Number]], 'Robot Game Scores'!$A:$A,0))))</f>
        <v/>
      </c>
      <c r="G13" s="73">
        <f>IF(TournamentData[[#This Row],[Team Number]]="","",IF(ISNA(INDEX('Robot Game Scores'!#REF!,MATCH(TournamentData[[#This Row],[Team Number]], 'Robot Game Scores'!$A:$A,0))),0,INDEX('Robot Game Scores'!#REF!,MATCH(TournamentData[[#This Row],[Team Number]], 'Robot Game Scores'!$A:$A,0))))</f>
        <v/>
      </c>
      <c r="H13" s="73">
        <f>IF(TournamentData[[#This Row],[Team Number]]="","",IF(ISNA(INDEX('Robot Game Scores'!#REF!,MATCH(TournamentData[[#This Row],[Team Number]], 'Robot Game Scores'!$A:$A,0))),0,INDEX('Robot Game Scores'!#REF!,MATCH(TournamentData[[#This Row],[Team Number]], 'Robot Game Scores'!$A:$A,0))))</f>
        <v/>
      </c>
      <c r="I1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3" s="73">
        <f>_xlfn.RANK.EQ(TournamentData[[#This Row],[Max Robot Game Score]],TournamentData[Max Robot Game Score])</f>
        <v/>
      </c>
      <c r="K13" s="73">
        <f>INDEX(CoreValuesResults[Core Values Rank],MATCH(TournamentData[[#This Row],[Team Number]],CoreValuesResults[Team Number],0))</f>
        <v/>
      </c>
      <c r="L13" s="73">
        <f>INDEX(InnovationProjectResults[Innovation Project Rank],MATCH(TournamentData[[#This Row],[Team Number]],InnovationProjectResults[Team Number],0))</f>
        <v/>
      </c>
      <c r="M13" s="73">
        <f>INDEX(RobotDesignResults[Robot Design Rank],MATCH(TournamentData[[#This Row],[Team Number]],RobotDesignResults[Team Number],0))</f>
        <v/>
      </c>
      <c r="N13" s="73">
        <f>SUM(TournamentData[[#This Row],[Robot Game Rank]:[Robot Design Rank]])</f>
        <v/>
      </c>
      <c r="O13" s="105">
        <f>RANK(TournamentData[[#This Row],[Champion''s Score]],TournamentData[Champion''s Score],1)</f>
        <v/>
      </c>
      <c r="P13" s="74" t="n"/>
      <c r="Q13" s="78" t="n"/>
      <c r="R13" s="75">
        <f>IF(ISNA(INDEX(CoreValuesResults[Core Values Score],MATCH(TournamentData[[#This Row],[Team Number]],CoreValuesResults[Team Number],0))),0,INDEX(CoreValuesResults[Core Values Score],MATCH(TournamentData[[#This Row],[Team Number]],CoreValuesResults[Team Number],0)))</f>
        <v/>
      </c>
      <c r="S13" s="75">
        <f>IF(ISNA(INDEX(InnovationProjectResults[Innovation Project Score],MATCH(TournamentData[[#This Row],[Team Number]],InnovationProjectResults[Team Number],0))),0,INDEX(InnovationProjectResults[Innovation Project Score],MATCH(TournamentData[[#This Row],[Team Number]],InnovationProjectResults[Team Number],0)))</f>
        <v/>
      </c>
      <c r="T13" s="75">
        <f>IF(ISNA(INDEX(RobotDesignResults[Robot Design Score],MATCH(TournamentData[[#This Row],[Team Number]],RobotDesignResults[Team Number],0))),0,INDEX(RobotDesignResults[Robot Design Score],MATCH(TournamentData[[#This Row],[Team Number]],RobotDesignResults[Team Number],0)))</f>
        <v/>
      </c>
      <c r="U1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3" s="74">
        <f>IF(U3,_xlfn.RANK.EQ(U3,U$3:U$3,0),NumberOfTeams)</f>
        <v/>
      </c>
      <c r="W13" s="74" t="n"/>
    </row>
    <row r="14" ht="21" customHeight="1">
      <c r="A14" s="104" t="n">
        <v>67463</v>
      </c>
      <c r="B14" s="104">
        <f>INDEX(OfficialTeamList[Pod Number],MATCH(TournamentData[[#This Row],[Team Number]], OfficialTeamList[Team '#],0))</f>
        <v/>
      </c>
      <c r="C14" s="95">
        <f>INDEX(OfficialTeamList[Team Name],MATCH(TournamentData[[#This Row],[Team Number]], OfficialTeamList[Team '#],0))</f>
        <v/>
      </c>
      <c r="D14" s="73">
        <f>IF(TournamentData[[#This Row],[Team Number]]="","",IF(ISNA(INDEX('Robot Game Scores'!C:C,MATCH(TournamentData[[#This Row],[Team Number]], 'Robot Game Scores'!$A:$A,0))),0,INDEX('Robot Game Scores'!C:C,MATCH(TournamentData[[#This Row],[Team Number]], 'Robot Game Scores'!$A:$A,0))))</f>
        <v/>
      </c>
      <c r="E14" s="73">
        <f>IF(TournamentData[[#This Row],[Team Number]]="","",IF(ISNA(INDEX('Robot Game Scores'!D:D,MATCH(TournamentData[[#This Row],[Team Number]], 'Robot Game Scores'!$A:$A,0))),0,INDEX('Robot Game Scores'!D:D,MATCH(TournamentData[[#This Row],[Team Number]], 'Robot Game Scores'!$A:$A,0))))</f>
        <v/>
      </c>
      <c r="F14" s="73">
        <f>IF(TournamentData[[#This Row],[Team Number]]="","",IF(ISNA(INDEX('Robot Game Scores'!E:E,MATCH(TournamentData[[#This Row],[Team Number]], 'Robot Game Scores'!$A:$A,0))),0,INDEX('Robot Game Scores'!E:E,MATCH(TournamentData[[#This Row],[Team Number]], 'Robot Game Scores'!$A:$A,0))))</f>
        <v/>
      </c>
      <c r="G14" s="73">
        <f>IF(TournamentData[[#This Row],[Team Number]]="","",IF(ISNA(INDEX('Robot Game Scores'!#REF!,MATCH(TournamentData[[#This Row],[Team Number]], 'Robot Game Scores'!$A:$A,0))),0,INDEX('Robot Game Scores'!#REF!,MATCH(TournamentData[[#This Row],[Team Number]], 'Robot Game Scores'!$A:$A,0))))</f>
        <v/>
      </c>
      <c r="H14" s="73">
        <f>IF(TournamentData[[#This Row],[Team Number]]="","",IF(ISNA(INDEX('Robot Game Scores'!#REF!,MATCH(TournamentData[[#This Row],[Team Number]], 'Robot Game Scores'!$A:$A,0))),0,INDEX('Robot Game Scores'!#REF!,MATCH(TournamentData[[#This Row],[Team Number]], 'Robot Game Scores'!$A:$A,0))))</f>
        <v/>
      </c>
      <c r="I1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4" s="73">
        <f>_xlfn.RANK.EQ(TournamentData[[#This Row],[Max Robot Game Score]],TournamentData[Max Robot Game Score])</f>
        <v/>
      </c>
      <c r="K14" s="73">
        <f>INDEX(CoreValuesResults[Core Values Rank],MATCH(TournamentData[[#This Row],[Team Number]],CoreValuesResults[Team Number],0))</f>
        <v/>
      </c>
      <c r="L14" s="73">
        <f>INDEX(InnovationProjectResults[Innovation Project Rank],MATCH(TournamentData[[#This Row],[Team Number]],InnovationProjectResults[Team Number],0))</f>
        <v/>
      </c>
      <c r="M14" s="73">
        <f>INDEX(RobotDesignResults[Robot Design Rank],MATCH(TournamentData[[#This Row],[Team Number]],RobotDesignResults[Team Number],0))</f>
        <v/>
      </c>
      <c r="N14" s="73">
        <f>SUM(TournamentData[[#This Row],[Robot Game Rank]:[Robot Design Rank]])</f>
        <v/>
      </c>
      <c r="O14" s="105">
        <f>RANK(TournamentData[[#This Row],[Champion''s Score]],TournamentData[Champion''s Score],1)</f>
        <v/>
      </c>
      <c r="P14" s="74" t="n"/>
      <c r="Q14" s="78" t="n"/>
      <c r="R14" s="75">
        <f>IF(ISNA(INDEX(CoreValuesResults[Core Values Score],MATCH(TournamentData[[#This Row],[Team Number]],CoreValuesResults[Team Number],0))),0,INDEX(CoreValuesResults[Core Values Score],MATCH(TournamentData[[#This Row],[Team Number]],CoreValuesResults[Team Number],0)))</f>
        <v/>
      </c>
      <c r="S14" s="75">
        <f>IF(ISNA(INDEX(InnovationProjectResults[Innovation Project Score],MATCH(TournamentData[[#This Row],[Team Number]],InnovationProjectResults[Team Number],0))),0,INDEX(InnovationProjectResults[Innovation Project Score],MATCH(TournamentData[[#This Row],[Team Number]],InnovationProjectResults[Team Number],0)))</f>
        <v/>
      </c>
      <c r="T14" s="75">
        <f>IF(ISNA(INDEX(RobotDesignResults[Robot Design Score],MATCH(TournamentData[[#This Row],[Team Number]],RobotDesignResults[Team Number],0))),0,INDEX(RobotDesignResults[Robot Design Score],MATCH(TournamentData[[#This Row],[Team Number]],RobotDesignResults[Team Number],0)))</f>
        <v/>
      </c>
      <c r="U1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4" s="74">
        <f>IF(U3,_xlfn.RANK.EQ(U3,U$3:U$3,0),NumberOfTeams)</f>
        <v/>
      </c>
      <c r="W14" s="74" t="n"/>
    </row>
    <row r="15" ht="21" customHeight="1">
      <c r="A15" s="104" t="n">
        <v>67984</v>
      </c>
      <c r="B15" s="104">
        <f>INDEX(OfficialTeamList[Pod Number],MATCH(TournamentData[[#This Row],[Team Number]], OfficialTeamList[Team '#],0))</f>
        <v/>
      </c>
      <c r="C15" s="95">
        <f>INDEX(OfficialTeamList[Team Name],MATCH(TournamentData[[#This Row],[Team Number]], OfficialTeamList[Team '#],0))</f>
        <v/>
      </c>
      <c r="D15" s="73">
        <f>IF(TournamentData[[#This Row],[Team Number]]="","",IF(ISNA(INDEX('Robot Game Scores'!C:C,MATCH(TournamentData[[#This Row],[Team Number]], 'Robot Game Scores'!$A:$A,0))),0,INDEX('Robot Game Scores'!C:C,MATCH(TournamentData[[#This Row],[Team Number]], 'Robot Game Scores'!$A:$A,0))))</f>
        <v/>
      </c>
      <c r="E15" s="73">
        <f>IF(TournamentData[[#This Row],[Team Number]]="","",IF(ISNA(INDEX('Robot Game Scores'!D:D,MATCH(TournamentData[[#This Row],[Team Number]], 'Robot Game Scores'!$A:$A,0))),0,INDEX('Robot Game Scores'!D:D,MATCH(TournamentData[[#This Row],[Team Number]], 'Robot Game Scores'!$A:$A,0))))</f>
        <v/>
      </c>
      <c r="F15" s="73">
        <f>IF(TournamentData[[#This Row],[Team Number]]="","",IF(ISNA(INDEX('Robot Game Scores'!E:E,MATCH(TournamentData[[#This Row],[Team Number]], 'Robot Game Scores'!$A:$A,0))),0,INDEX('Robot Game Scores'!E:E,MATCH(TournamentData[[#This Row],[Team Number]], 'Robot Game Scores'!$A:$A,0))))</f>
        <v/>
      </c>
      <c r="G15" s="73">
        <f>IF(TournamentData[[#This Row],[Team Number]]="","",IF(ISNA(INDEX('Robot Game Scores'!#REF!,MATCH(TournamentData[[#This Row],[Team Number]], 'Robot Game Scores'!$A:$A,0))),0,INDEX('Robot Game Scores'!#REF!,MATCH(TournamentData[[#This Row],[Team Number]], 'Robot Game Scores'!$A:$A,0))))</f>
        <v/>
      </c>
      <c r="H15" s="73">
        <f>IF(TournamentData[[#This Row],[Team Number]]="","",IF(ISNA(INDEX('Robot Game Scores'!#REF!,MATCH(TournamentData[[#This Row],[Team Number]], 'Robot Game Scores'!$A:$A,0))),0,INDEX('Robot Game Scores'!#REF!,MATCH(TournamentData[[#This Row],[Team Number]], 'Robot Game Scores'!$A:$A,0))))</f>
        <v/>
      </c>
      <c r="I1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5" s="73">
        <f>_xlfn.RANK.EQ(TournamentData[[#This Row],[Max Robot Game Score]],TournamentData[Max Robot Game Score])</f>
        <v/>
      </c>
      <c r="K15" s="73">
        <f>INDEX(CoreValuesResults[Core Values Rank],MATCH(TournamentData[[#This Row],[Team Number]],CoreValuesResults[Team Number],0))</f>
        <v/>
      </c>
      <c r="L15" s="73">
        <f>INDEX(InnovationProjectResults[Innovation Project Rank],MATCH(TournamentData[[#This Row],[Team Number]],InnovationProjectResults[Team Number],0))</f>
        <v/>
      </c>
      <c r="M15" s="73">
        <f>INDEX(RobotDesignResults[Robot Design Rank],MATCH(TournamentData[[#This Row],[Team Number]],RobotDesignResults[Team Number],0))</f>
        <v/>
      </c>
      <c r="N15" s="73">
        <f>SUM(TournamentData[[#This Row],[Robot Game Rank]:[Robot Design Rank]])</f>
        <v/>
      </c>
      <c r="O15" s="105">
        <f>RANK(TournamentData[[#This Row],[Champion''s Score]],TournamentData[Champion''s Score],1)</f>
        <v/>
      </c>
      <c r="P15" s="74" t="n"/>
      <c r="Q15" s="78" t="n"/>
      <c r="R15" s="75">
        <f>IF(ISNA(INDEX(CoreValuesResults[Core Values Score],MATCH(TournamentData[[#This Row],[Team Number]],CoreValuesResults[Team Number],0))),0,INDEX(CoreValuesResults[Core Values Score],MATCH(TournamentData[[#This Row],[Team Number]],CoreValuesResults[Team Number],0)))</f>
        <v/>
      </c>
      <c r="S15" s="75">
        <f>IF(ISNA(INDEX(InnovationProjectResults[Innovation Project Score],MATCH(TournamentData[[#This Row],[Team Number]],InnovationProjectResults[Team Number],0))),0,INDEX(InnovationProjectResults[Innovation Project Score],MATCH(TournamentData[[#This Row],[Team Number]],InnovationProjectResults[Team Number],0)))</f>
        <v/>
      </c>
      <c r="T15" s="75">
        <f>IF(ISNA(INDEX(RobotDesignResults[Robot Design Score],MATCH(TournamentData[[#This Row],[Team Number]],RobotDesignResults[Team Number],0))),0,INDEX(RobotDesignResults[Robot Design Score],MATCH(TournamentData[[#This Row],[Team Number]],RobotDesignResults[Team Number],0)))</f>
        <v/>
      </c>
      <c r="U1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5" s="74">
        <f>IF(U3,_xlfn.RANK.EQ(U3,U$3:U$3,0),NumberOfTeams)</f>
        <v/>
      </c>
      <c r="W15" s="74" t="n"/>
    </row>
    <row r="16" ht="21" customHeight="1">
      <c r="A16" s="104" t="n">
        <v>72220</v>
      </c>
      <c r="B16" s="104">
        <f>INDEX(OfficialTeamList[Pod Number],MATCH(TournamentData[[#This Row],[Team Number]], OfficialTeamList[Team '#],0))</f>
        <v/>
      </c>
      <c r="C16" s="95">
        <f>INDEX(OfficialTeamList[Team Name],MATCH(TournamentData[[#This Row],[Team Number]], OfficialTeamList[Team '#],0))</f>
        <v/>
      </c>
      <c r="D16" s="73">
        <f>IF(TournamentData[[#This Row],[Team Number]]="","",IF(ISNA(INDEX('Robot Game Scores'!C:C,MATCH(TournamentData[[#This Row],[Team Number]], 'Robot Game Scores'!$A:$A,0))),0,INDEX('Robot Game Scores'!C:C,MATCH(TournamentData[[#This Row],[Team Number]], 'Robot Game Scores'!$A:$A,0))))</f>
        <v/>
      </c>
      <c r="E16" s="73">
        <f>IF(TournamentData[[#This Row],[Team Number]]="","",IF(ISNA(INDEX('Robot Game Scores'!D:D,MATCH(TournamentData[[#This Row],[Team Number]], 'Robot Game Scores'!$A:$A,0))),0,INDEX('Robot Game Scores'!D:D,MATCH(TournamentData[[#This Row],[Team Number]], 'Robot Game Scores'!$A:$A,0))))</f>
        <v/>
      </c>
      <c r="F16" s="73">
        <f>IF(TournamentData[[#This Row],[Team Number]]="","",IF(ISNA(INDEX('Robot Game Scores'!E:E,MATCH(TournamentData[[#This Row],[Team Number]], 'Robot Game Scores'!$A:$A,0))),0,INDEX('Robot Game Scores'!E:E,MATCH(TournamentData[[#This Row],[Team Number]], 'Robot Game Scores'!$A:$A,0))))</f>
        <v/>
      </c>
      <c r="G16" s="73">
        <f>IF(TournamentData[[#This Row],[Team Number]]="","",IF(ISNA(INDEX('Robot Game Scores'!#REF!,MATCH(TournamentData[[#This Row],[Team Number]], 'Robot Game Scores'!$A:$A,0))),0,INDEX('Robot Game Scores'!#REF!,MATCH(TournamentData[[#This Row],[Team Number]], 'Robot Game Scores'!$A:$A,0))))</f>
        <v/>
      </c>
      <c r="H16" s="73">
        <f>IF(TournamentData[[#This Row],[Team Number]]="","",IF(ISNA(INDEX('Robot Game Scores'!#REF!,MATCH(TournamentData[[#This Row],[Team Number]], 'Robot Game Scores'!$A:$A,0))),0,INDEX('Robot Game Scores'!#REF!,MATCH(TournamentData[[#This Row],[Team Number]], 'Robot Game Scores'!$A:$A,0))))</f>
        <v/>
      </c>
      <c r="I1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16" s="73">
        <f>_xlfn.RANK.EQ(TournamentData[[#This Row],[Max Robot Game Score]],TournamentData[Max Robot Game Score])</f>
        <v/>
      </c>
      <c r="K16" s="73">
        <f>INDEX(CoreValuesResults[Core Values Rank],MATCH(TournamentData[[#This Row],[Team Number]],CoreValuesResults[Team Number],0))</f>
        <v/>
      </c>
      <c r="L16" s="73">
        <f>INDEX(InnovationProjectResults[Innovation Project Rank],MATCH(TournamentData[[#This Row],[Team Number]],InnovationProjectResults[Team Number],0))</f>
        <v/>
      </c>
      <c r="M16" s="73">
        <f>INDEX(RobotDesignResults[Robot Design Rank],MATCH(TournamentData[[#This Row],[Team Number]],RobotDesignResults[Team Number],0))</f>
        <v/>
      </c>
      <c r="N16" s="73">
        <f>SUM(TournamentData[[#This Row],[Robot Game Rank]:[Robot Design Rank]])</f>
        <v/>
      </c>
      <c r="O16" s="105">
        <f>RANK(TournamentData[[#This Row],[Champion''s Score]],TournamentData[Champion''s Score],1)</f>
        <v/>
      </c>
      <c r="P16" s="74" t="n"/>
      <c r="Q16" s="78" t="n"/>
      <c r="R16" s="75">
        <f>IF(ISNA(INDEX(CoreValuesResults[Core Values Score],MATCH(TournamentData[[#This Row],[Team Number]],CoreValuesResults[Team Number],0))),0,INDEX(CoreValuesResults[Core Values Score],MATCH(TournamentData[[#This Row],[Team Number]],CoreValuesResults[Team Number],0)))</f>
        <v/>
      </c>
      <c r="S16" s="75">
        <f>IF(ISNA(INDEX(InnovationProjectResults[Innovation Project Score],MATCH(TournamentData[[#This Row],[Team Number]],InnovationProjectResults[Team Number],0))),0,INDEX(InnovationProjectResults[Innovation Project Score],MATCH(TournamentData[[#This Row],[Team Number]],InnovationProjectResults[Team Number],0)))</f>
        <v/>
      </c>
      <c r="T16" s="75">
        <f>IF(ISNA(INDEX(RobotDesignResults[Robot Design Score],MATCH(TournamentData[[#This Row],[Team Number]],RobotDesignResults[Team Number],0))),0,INDEX(RobotDesignResults[Robot Design Score],MATCH(TournamentData[[#This Row],[Team Number]],RobotDesignResults[Team Number],0)))</f>
        <v/>
      </c>
      <c r="U1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16" s="74">
        <f>IF(U3,_xlfn.RANK.EQ(U3,U$3:U$3,0),NumberOfTeams)</f>
        <v/>
      </c>
      <c r="W16"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0">
      <formula>ROW()-NumberOfTeams=2</formula>
    </cfRule>
  </conditionalFormatting>
  <conditionalFormatting sqref="A3:B3">
    <cfRule type="expression" priority="11" dxfId="9">
      <formula>IF($O3 &lt;= NumberofTeamsAdvancing,TRUE,FALSE)</formula>
    </cfRule>
  </conditionalFormatting>
  <conditionalFormatting sqref="C3:P3 R3:W3">
    <cfRule type="expression" priority="21" dxfId="8">
      <formula>IF($P3&lt;&gt;"",TRUE,FALSE)</formula>
    </cfRule>
  </conditionalFormatting>
  <conditionalFormatting sqref="Q3">
    <cfRule type="cellIs" priority="322" operator="equal" dxfId="7" stopIfTrue="1">
      <formula>"Yes"</formula>
    </cfRule>
    <cfRule type="cellIs" priority="323" operator="equal" dxfId="6" stopIfTrue="1">
      <formula>"Alt"</formula>
    </cfRule>
  </conditionalFormatting>
  <conditionalFormatting sqref="P3">
    <cfRule type="duplicateValues" priority="331" dxfId="5"/>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16">
    <cfRule type="expression" priority="17" dxfId="10">
      <formula>ROW()-NumberOfTeams=2</formula>
    </cfRule>
    <cfRule type="expression" priority="21" dxfId="8">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16" showDropDown="0" showInputMessage="0" showErrorMessage="0" allowBlank="1" type="list">
      <formula1>Awards</formula1>
    </dataValidation>
    <dataValidation sqref="Q3:Q16"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15"/>
  <sheetViews>
    <sheetView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27851</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38363</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44869</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63330</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65189</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65209</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65235</v>
      </c>
      <c r="B8" s="106">
        <f>INDEX(OfficialTeamList[Team Name],MATCH(RobotGameScores[[#This Row],[Team Number]], OfficialTeamList[Team '#],0))</f>
        <v/>
      </c>
      <c r="C8" s="107" t="n"/>
      <c r="D8" s="107" t="n"/>
      <c r="E8" s="107" t="n"/>
      <c r="F8" s="77">
        <f>MAX(RobotGameScores[[#This Row],[Robot Game 1 Score]:[Robot Game 3 Score]])</f>
        <v/>
      </c>
    </row>
    <row r="9" ht="21" customHeight="1">
      <c r="A9" s="104" t="n">
        <v>65944</v>
      </c>
      <c r="B9" s="106">
        <f>INDEX(OfficialTeamList[Team Name],MATCH(RobotGameScores[[#This Row],[Team Number]], OfficialTeamList[Team '#],0))</f>
        <v/>
      </c>
      <c r="C9" s="107" t="n"/>
      <c r="D9" s="107" t="n"/>
      <c r="E9" s="107" t="n"/>
      <c r="F9" s="77">
        <f>MAX(RobotGameScores[[#This Row],[Robot Game 1 Score]:[Robot Game 3 Score]])</f>
        <v/>
      </c>
    </row>
    <row r="10" ht="21" customHeight="1">
      <c r="A10" s="104" t="n">
        <v>65945</v>
      </c>
      <c r="B10" s="106">
        <f>INDEX(OfficialTeamList[Team Name],MATCH(RobotGameScores[[#This Row],[Team Number]], OfficialTeamList[Team '#],0))</f>
        <v/>
      </c>
      <c r="C10" s="107" t="n"/>
      <c r="D10" s="107" t="n"/>
      <c r="E10" s="107" t="n"/>
      <c r="F10" s="77">
        <f>MAX(RobotGameScores[[#This Row],[Robot Game 1 Score]:[Robot Game 3 Score]])</f>
        <v/>
      </c>
    </row>
    <row r="11" ht="21" customHeight="1">
      <c r="A11" s="104" t="n">
        <v>67025</v>
      </c>
      <c r="B11" s="106">
        <f>INDEX(OfficialTeamList[Team Name],MATCH(RobotGameScores[[#This Row],[Team Number]], OfficialTeamList[Team '#],0))</f>
        <v/>
      </c>
      <c r="C11" s="107" t="n"/>
      <c r="D11" s="107" t="n"/>
      <c r="E11" s="107" t="n"/>
      <c r="F11" s="77">
        <f>MAX(RobotGameScores[[#This Row],[Robot Game 1 Score]:[Robot Game 3 Score]])</f>
        <v/>
      </c>
    </row>
    <row r="12" ht="21" customHeight="1">
      <c r="A12" s="104" t="n">
        <v>67049</v>
      </c>
      <c r="B12" s="106">
        <f>INDEX(OfficialTeamList[Team Name],MATCH(RobotGameScores[[#This Row],[Team Number]], OfficialTeamList[Team '#],0))</f>
        <v/>
      </c>
      <c r="C12" s="107" t="n"/>
      <c r="D12" s="107" t="n"/>
      <c r="E12" s="107" t="n"/>
      <c r="F12" s="77">
        <f>MAX(RobotGameScores[[#This Row],[Robot Game 1 Score]:[Robot Game 3 Score]])</f>
        <v/>
      </c>
    </row>
    <row r="13" ht="21" customHeight="1">
      <c r="A13" s="104" t="n">
        <v>67463</v>
      </c>
      <c r="B13" s="106">
        <f>INDEX(OfficialTeamList[Team Name],MATCH(RobotGameScores[[#This Row],[Team Number]], OfficialTeamList[Team '#],0))</f>
        <v/>
      </c>
      <c r="C13" s="107" t="n"/>
      <c r="D13" s="107" t="n"/>
      <c r="E13" s="107" t="n"/>
      <c r="F13" s="77">
        <f>MAX(RobotGameScores[[#This Row],[Robot Game 1 Score]:[Robot Game 3 Score]])</f>
        <v/>
      </c>
    </row>
    <row r="14" ht="21" customHeight="1">
      <c r="A14" s="104" t="n">
        <v>67984</v>
      </c>
      <c r="B14" s="106">
        <f>INDEX(OfficialTeamList[Team Name],MATCH(RobotGameScores[[#This Row],[Team Number]], OfficialTeamList[Team '#],0))</f>
        <v/>
      </c>
      <c r="C14" s="107" t="n"/>
      <c r="D14" s="107" t="n"/>
      <c r="E14" s="107" t="n"/>
      <c r="F14" s="77">
        <f>MAX(RobotGameScores[[#This Row],[Robot Game 1 Score]:[Robot Game 3 Score]])</f>
        <v/>
      </c>
    </row>
    <row r="15" ht="21" customHeight="1">
      <c r="A15" s="104" t="n">
        <v>72220</v>
      </c>
      <c r="B15" s="106">
        <f>INDEX(OfficialTeamList[Team Name],MATCH(RobotGameScores[[#This Row],[Team Number]], OfficialTeamList[Team '#],0))</f>
        <v/>
      </c>
      <c r="C15" s="107" t="n"/>
      <c r="D15" s="107" t="n"/>
      <c r="E15" s="107" t="n"/>
      <c r="F15"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1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27851</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38363</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44869</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63330</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65189</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65209</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65235</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row r="9" ht="21" customHeight="1">
      <c r="A9" s="104" t="n">
        <v>65944</v>
      </c>
      <c r="B9" s="104">
        <f>INDEX(OfficialTeamList[Pod Number],MATCH(InnovationProjectResults[[#This Row],[Team Number]], OfficialTeamList[Team '#],0))</f>
        <v/>
      </c>
      <c r="C9" s="106">
        <f>INDEX(OfficialTeamList[Team Name],MATCH(InnovationProjectResults[[#This Row],[Team Number]], OfficialTeamList[Team '#],0))</f>
        <v/>
      </c>
      <c r="D9" s="107" t="n"/>
      <c r="E9" s="107" t="n"/>
      <c r="F9" s="107" t="n"/>
      <c r="G9" s="107" t="n"/>
      <c r="H9" s="107" t="n"/>
      <c r="I9" s="107" t="n"/>
      <c r="J9" s="107" t="n"/>
      <c r="K9" s="107" t="n"/>
      <c r="L9" s="107" t="n"/>
      <c r="M9" s="107" t="n"/>
      <c r="N9" s="77">
        <f>SUM(InnovationProjectResults[[#This Row],[Identify - Define]:[Communicate - Fun (CV)]])</f>
        <v/>
      </c>
      <c r="O9" s="70">
        <f>_xlfn.RANK.EQ(InnovationProjectResults[[#This Row],[Innovation Project Score]],InnovationProjectResults[Innovation Project Score],0)</f>
        <v/>
      </c>
    </row>
    <row r="10" ht="21" customHeight="1">
      <c r="A10" s="104" t="n">
        <v>65945</v>
      </c>
      <c r="B10" s="104">
        <f>INDEX(OfficialTeamList[Pod Number],MATCH(InnovationProjectResults[[#This Row],[Team Number]], OfficialTeamList[Team '#],0))</f>
        <v/>
      </c>
      <c r="C10" s="106">
        <f>INDEX(OfficialTeamList[Team Name],MATCH(InnovationProjectResults[[#This Row],[Team Number]], OfficialTeamList[Team '#],0))</f>
        <v/>
      </c>
      <c r="D10" s="107" t="n"/>
      <c r="E10" s="107" t="n"/>
      <c r="F10" s="107" t="n"/>
      <c r="G10" s="107" t="n"/>
      <c r="H10" s="107" t="n"/>
      <c r="I10" s="107" t="n"/>
      <c r="J10" s="107" t="n"/>
      <c r="K10" s="107" t="n"/>
      <c r="L10" s="107" t="n"/>
      <c r="M10" s="107" t="n"/>
      <c r="N10" s="77">
        <f>SUM(InnovationProjectResults[[#This Row],[Identify - Define]:[Communicate - Fun (CV)]])</f>
        <v/>
      </c>
      <c r="O10" s="70">
        <f>_xlfn.RANK.EQ(InnovationProjectResults[[#This Row],[Innovation Project Score]],InnovationProjectResults[Innovation Project Score],0)</f>
        <v/>
      </c>
    </row>
    <row r="11" ht="21" customHeight="1">
      <c r="A11" s="104" t="n">
        <v>67025</v>
      </c>
      <c r="B11" s="104">
        <f>INDEX(OfficialTeamList[Pod Number],MATCH(InnovationProjectResults[[#This Row],[Team Number]], OfficialTeamList[Team '#],0))</f>
        <v/>
      </c>
      <c r="C11" s="106">
        <f>INDEX(OfficialTeamList[Team Name],MATCH(InnovationProjectResults[[#This Row],[Team Number]], OfficialTeamList[Team '#],0))</f>
        <v/>
      </c>
      <c r="D11" s="107" t="n"/>
      <c r="E11" s="107" t="n"/>
      <c r="F11" s="107" t="n"/>
      <c r="G11" s="107" t="n"/>
      <c r="H11" s="107" t="n"/>
      <c r="I11" s="107" t="n"/>
      <c r="J11" s="107" t="n"/>
      <c r="K11" s="107" t="n"/>
      <c r="L11" s="107" t="n"/>
      <c r="M11" s="107" t="n"/>
      <c r="N11" s="77">
        <f>SUM(InnovationProjectResults[[#This Row],[Identify - Define]:[Communicate - Fun (CV)]])</f>
        <v/>
      </c>
      <c r="O11" s="70">
        <f>_xlfn.RANK.EQ(InnovationProjectResults[[#This Row],[Innovation Project Score]],InnovationProjectResults[Innovation Project Score],0)</f>
        <v/>
      </c>
    </row>
    <row r="12" ht="21" customHeight="1">
      <c r="A12" s="104" t="n">
        <v>67049</v>
      </c>
      <c r="B12" s="104">
        <f>INDEX(OfficialTeamList[Pod Number],MATCH(InnovationProjectResults[[#This Row],[Team Number]], OfficialTeamList[Team '#],0))</f>
        <v/>
      </c>
      <c r="C12" s="106">
        <f>INDEX(OfficialTeamList[Team Name],MATCH(InnovationProjectResults[[#This Row],[Team Number]], OfficialTeamList[Team '#],0))</f>
        <v/>
      </c>
      <c r="D12" s="107" t="n"/>
      <c r="E12" s="107" t="n"/>
      <c r="F12" s="107" t="n"/>
      <c r="G12" s="107" t="n"/>
      <c r="H12" s="107" t="n"/>
      <c r="I12" s="107" t="n"/>
      <c r="J12" s="107" t="n"/>
      <c r="K12" s="107" t="n"/>
      <c r="L12" s="107" t="n"/>
      <c r="M12" s="107" t="n"/>
      <c r="N12" s="77">
        <f>SUM(InnovationProjectResults[[#This Row],[Identify - Define]:[Communicate - Fun (CV)]])</f>
        <v/>
      </c>
      <c r="O12" s="70">
        <f>_xlfn.RANK.EQ(InnovationProjectResults[[#This Row],[Innovation Project Score]],InnovationProjectResults[Innovation Project Score],0)</f>
        <v/>
      </c>
    </row>
    <row r="13" ht="21" customHeight="1">
      <c r="A13" s="104" t="n">
        <v>67463</v>
      </c>
      <c r="B13" s="104">
        <f>INDEX(OfficialTeamList[Pod Number],MATCH(InnovationProjectResults[[#This Row],[Team Number]], OfficialTeamList[Team '#],0))</f>
        <v/>
      </c>
      <c r="C13" s="106">
        <f>INDEX(OfficialTeamList[Team Name],MATCH(InnovationProjectResults[[#This Row],[Team Number]], OfficialTeamList[Team '#],0))</f>
        <v/>
      </c>
      <c r="D13" s="107" t="n"/>
      <c r="E13" s="107" t="n"/>
      <c r="F13" s="107" t="n"/>
      <c r="G13" s="107" t="n"/>
      <c r="H13" s="107" t="n"/>
      <c r="I13" s="107" t="n"/>
      <c r="J13" s="107" t="n"/>
      <c r="K13" s="107" t="n"/>
      <c r="L13" s="107" t="n"/>
      <c r="M13" s="107" t="n"/>
      <c r="N13" s="77">
        <f>SUM(InnovationProjectResults[[#This Row],[Identify - Define]:[Communicate - Fun (CV)]])</f>
        <v/>
      </c>
      <c r="O13" s="70">
        <f>_xlfn.RANK.EQ(InnovationProjectResults[[#This Row],[Innovation Project Score]],InnovationProjectResults[Innovation Project Score],0)</f>
        <v/>
      </c>
    </row>
    <row r="14" ht="21" customHeight="1">
      <c r="A14" s="104" t="n">
        <v>67984</v>
      </c>
      <c r="B14" s="104">
        <f>INDEX(OfficialTeamList[Pod Number],MATCH(InnovationProjectResults[[#This Row],[Team Number]], OfficialTeamList[Team '#],0))</f>
        <v/>
      </c>
      <c r="C14" s="106">
        <f>INDEX(OfficialTeamList[Team Name],MATCH(InnovationProjectResults[[#This Row],[Team Number]], OfficialTeamList[Team '#],0))</f>
        <v/>
      </c>
      <c r="D14" s="107" t="n"/>
      <c r="E14" s="107" t="n"/>
      <c r="F14" s="107" t="n"/>
      <c r="G14" s="107" t="n"/>
      <c r="H14" s="107" t="n"/>
      <c r="I14" s="107" t="n"/>
      <c r="J14" s="107" t="n"/>
      <c r="K14" s="107" t="n"/>
      <c r="L14" s="107" t="n"/>
      <c r="M14" s="107" t="n"/>
      <c r="N14" s="77">
        <f>SUM(InnovationProjectResults[[#This Row],[Identify - Define]:[Communicate - Fun (CV)]])</f>
        <v/>
      </c>
      <c r="O14" s="70">
        <f>_xlfn.RANK.EQ(InnovationProjectResults[[#This Row],[Innovation Project Score]],InnovationProjectResults[Innovation Project Score],0)</f>
        <v/>
      </c>
    </row>
    <row r="15" ht="21" customHeight="1">
      <c r="A15" s="104" t="n">
        <v>72220</v>
      </c>
      <c r="B15" s="104">
        <f>INDEX(OfficialTeamList[Pod Number],MATCH(InnovationProjectResults[[#This Row],[Team Number]], OfficialTeamList[Team '#],0))</f>
        <v/>
      </c>
      <c r="C15" s="106">
        <f>INDEX(OfficialTeamList[Team Name],MATCH(InnovationProjectResults[[#This Row],[Team Number]], OfficialTeamList[Team '#],0))</f>
        <v/>
      </c>
      <c r="D15" s="107" t="n"/>
      <c r="E15" s="107" t="n"/>
      <c r="F15" s="107" t="n"/>
      <c r="G15" s="107" t="n"/>
      <c r="H15" s="107" t="n"/>
      <c r="I15" s="107" t="n"/>
      <c r="J15" s="107" t="n"/>
      <c r="K15" s="107" t="n"/>
      <c r="L15" s="107" t="n"/>
      <c r="M15" s="107" t="n"/>
      <c r="N15" s="77">
        <f>SUM(InnovationProjectResults[[#This Row],[Identify - Define]:[Communicate - Fun (CV)]])</f>
        <v/>
      </c>
      <c r="O15"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15"/>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27851</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38363</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44869</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63330</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65189</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65209</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65235</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row r="9" ht="21" customHeight="1">
      <c r="A9" s="104" t="n">
        <v>65944</v>
      </c>
      <c r="B9" s="104">
        <f>INDEX(OfficialTeamList[Pod Number],MATCH(RobotDesignResults[[#This Row],[Team Number]], OfficialTeamList[Team '#],0))</f>
        <v/>
      </c>
      <c r="C9" s="106">
        <f>INDEX(OfficialTeamList[Team Name],MATCH(RobotDesignResults[[#This Row],[Team Number]], OfficialTeamList[Team '#],0))</f>
        <v/>
      </c>
      <c r="D9" s="107" t="n"/>
      <c r="E9" s="107" t="n"/>
      <c r="F9" s="107" t="n"/>
      <c r="G9" s="107" t="n"/>
      <c r="H9" s="107" t="n"/>
      <c r="I9" s="107" t="n"/>
      <c r="J9" s="107" t="n"/>
      <c r="K9" s="107" t="n"/>
      <c r="L9" s="107" t="n"/>
      <c r="M9" s="107" t="n"/>
      <c r="N9" s="77">
        <f>SUM(RobotDesignResults[[#This Row],[Identify - Strategy]:[Communicate - Fun (CV)]])</f>
        <v/>
      </c>
      <c r="O9" s="70">
        <f>_xlfn.RANK.EQ(RobotDesignResults[[#This Row],[Robot Design Score]],RobotDesignResults[Robot Design Score],0)</f>
        <v/>
      </c>
    </row>
    <row r="10" ht="21" customHeight="1">
      <c r="A10" s="104" t="n">
        <v>65945</v>
      </c>
      <c r="B10" s="104">
        <f>INDEX(OfficialTeamList[Pod Number],MATCH(RobotDesignResults[[#This Row],[Team Number]], OfficialTeamList[Team '#],0))</f>
        <v/>
      </c>
      <c r="C10" s="106">
        <f>INDEX(OfficialTeamList[Team Name],MATCH(RobotDesignResults[[#This Row],[Team Number]], OfficialTeamList[Team '#],0))</f>
        <v/>
      </c>
      <c r="D10" s="107" t="n"/>
      <c r="E10" s="107" t="n"/>
      <c r="F10" s="107" t="n"/>
      <c r="G10" s="107" t="n"/>
      <c r="H10" s="107" t="n"/>
      <c r="I10" s="107" t="n"/>
      <c r="J10" s="107" t="n"/>
      <c r="K10" s="107" t="n"/>
      <c r="L10" s="107" t="n"/>
      <c r="M10" s="107" t="n"/>
      <c r="N10" s="77">
        <f>SUM(RobotDesignResults[[#This Row],[Identify - Strategy]:[Communicate - Fun (CV)]])</f>
        <v/>
      </c>
      <c r="O10" s="70">
        <f>_xlfn.RANK.EQ(RobotDesignResults[[#This Row],[Robot Design Score]],RobotDesignResults[Robot Design Score],0)</f>
        <v/>
      </c>
    </row>
    <row r="11" ht="21" customHeight="1">
      <c r="A11" s="104" t="n">
        <v>67025</v>
      </c>
      <c r="B11" s="104">
        <f>INDEX(OfficialTeamList[Pod Number],MATCH(RobotDesignResults[[#This Row],[Team Number]], OfficialTeamList[Team '#],0))</f>
        <v/>
      </c>
      <c r="C11" s="106">
        <f>INDEX(OfficialTeamList[Team Name],MATCH(RobotDesignResults[[#This Row],[Team Number]], OfficialTeamList[Team '#],0))</f>
        <v/>
      </c>
      <c r="D11" s="107" t="n"/>
      <c r="E11" s="107" t="n"/>
      <c r="F11" s="107" t="n"/>
      <c r="G11" s="107" t="n"/>
      <c r="H11" s="107" t="n"/>
      <c r="I11" s="107" t="n"/>
      <c r="J11" s="107" t="n"/>
      <c r="K11" s="107" t="n"/>
      <c r="L11" s="107" t="n"/>
      <c r="M11" s="107" t="n"/>
      <c r="N11" s="77">
        <f>SUM(RobotDesignResults[[#This Row],[Identify - Strategy]:[Communicate - Fun (CV)]])</f>
        <v/>
      </c>
      <c r="O11" s="70">
        <f>_xlfn.RANK.EQ(RobotDesignResults[[#This Row],[Robot Design Score]],RobotDesignResults[Robot Design Score],0)</f>
        <v/>
      </c>
    </row>
    <row r="12" ht="21" customHeight="1">
      <c r="A12" s="104" t="n">
        <v>67049</v>
      </c>
      <c r="B12" s="104">
        <f>INDEX(OfficialTeamList[Pod Number],MATCH(RobotDesignResults[[#This Row],[Team Number]], OfficialTeamList[Team '#],0))</f>
        <v/>
      </c>
      <c r="C12" s="106">
        <f>INDEX(OfficialTeamList[Team Name],MATCH(RobotDesignResults[[#This Row],[Team Number]], OfficialTeamList[Team '#],0))</f>
        <v/>
      </c>
      <c r="D12" s="107" t="n"/>
      <c r="E12" s="107" t="n"/>
      <c r="F12" s="107" t="n"/>
      <c r="G12" s="107" t="n"/>
      <c r="H12" s="107" t="n"/>
      <c r="I12" s="107" t="n"/>
      <c r="J12" s="107" t="n"/>
      <c r="K12" s="107" t="n"/>
      <c r="L12" s="107" t="n"/>
      <c r="M12" s="107" t="n"/>
      <c r="N12" s="77">
        <f>SUM(RobotDesignResults[[#This Row],[Identify - Strategy]:[Communicate - Fun (CV)]])</f>
        <v/>
      </c>
      <c r="O12" s="70">
        <f>_xlfn.RANK.EQ(RobotDesignResults[[#This Row],[Robot Design Score]],RobotDesignResults[Robot Design Score],0)</f>
        <v/>
      </c>
    </row>
    <row r="13" ht="21" customHeight="1">
      <c r="A13" s="104" t="n">
        <v>67463</v>
      </c>
      <c r="B13" s="104">
        <f>INDEX(OfficialTeamList[Pod Number],MATCH(RobotDesignResults[[#This Row],[Team Number]], OfficialTeamList[Team '#],0))</f>
        <v/>
      </c>
      <c r="C13" s="106">
        <f>INDEX(OfficialTeamList[Team Name],MATCH(RobotDesignResults[[#This Row],[Team Number]], OfficialTeamList[Team '#],0))</f>
        <v/>
      </c>
      <c r="D13" s="107" t="n"/>
      <c r="E13" s="107" t="n"/>
      <c r="F13" s="107" t="n"/>
      <c r="G13" s="107" t="n"/>
      <c r="H13" s="107" t="n"/>
      <c r="I13" s="107" t="n"/>
      <c r="J13" s="107" t="n"/>
      <c r="K13" s="107" t="n"/>
      <c r="L13" s="107" t="n"/>
      <c r="M13" s="107" t="n"/>
      <c r="N13" s="77">
        <f>SUM(RobotDesignResults[[#This Row],[Identify - Strategy]:[Communicate - Fun (CV)]])</f>
        <v/>
      </c>
      <c r="O13" s="70">
        <f>_xlfn.RANK.EQ(RobotDesignResults[[#This Row],[Robot Design Score]],RobotDesignResults[Robot Design Score],0)</f>
        <v/>
      </c>
    </row>
    <row r="14" ht="21" customHeight="1">
      <c r="A14" s="104" t="n">
        <v>67984</v>
      </c>
      <c r="B14" s="104">
        <f>INDEX(OfficialTeamList[Pod Number],MATCH(RobotDesignResults[[#This Row],[Team Number]], OfficialTeamList[Team '#],0))</f>
        <v/>
      </c>
      <c r="C14" s="106">
        <f>INDEX(OfficialTeamList[Team Name],MATCH(RobotDesignResults[[#This Row],[Team Number]], OfficialTeamList[Team '#],0))</f>
        <v/>
      </c>
      <c r="D14" s="107" t="n"/>
      <c r="E14" s="107" t="n"/>
      <c r="F14" s="107" t="n"/>
      <c r="G14" s="107" t="n"/>
      <c r="H14" s="107" t="n"/>
      <c r="I14" s="107" t="n"/>
      <c r="J14" s="107" t="n"/>
      <c r="K14" s="107" t="n"/>
      <c r="L14" s="107" t="n"/>
      <c r="M14" s="107" t="n"/>
      <c r="N14" s="77">
        <f>SUM(RobotDesignResults[[#This Row],[Identify - Strategy]:[Communicate - Fun (CV)]])</f>
        <v/>
      </c>
      <c r="O14" s="70">
        <f>_xlfn.RANK.EQ(RobotDesignResults[[#This Row],[Robot Design Score]],RobotDesignResults[Robot Design Score],0)</f>
        <v/>
      </c>
    </row>
    <row r="15" ht="21" customHeight="1">
      <c r="A15" s="104" t="n">
        <v>72220</v>
      </c>
      <c r="B15" s="104">
        <f>INDEX(OfficialTeamList[Pod Number],MATCH(RobotDesignResults[[#This Row],[Team Number]], OfficialTeamList[Team '#],0))</f>
        <v/>
      </c>
      <c r="C15" s="106">
        <f>INDEX(OfficialTeamList[Team Name],MATCH(RobotDesignResults[[#This Row],[Team Number]], OfficialTeamList[Team '#],0))</f>
        <v/>
      </c>
      <c r="D15" s="107" t="n"/>
      <c r="E15" s="107" t="n"/>
      <c r="F15" s="107" t="n"/>
      <c r="G15" s="107" t="n"/>
      <c r="H15" s="107" t="n"/>
      <c r="I15" s="107" t="n"/>
      <c r="J15" s="107" t="n"/>
      <c r="K15" s="107" t="n"/>
      <c r="L15" s="107" t="n"/>
      <c r="M15" s="107" t="n"/>
      <c r="N15" s="77">
        <f>SUM(RobotDesignResults[[#This Row],[Identify - Strategy]:[Communicate - Fun (CV)]])</f>
        <v/>
      </c>
      <c r="O15"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15"/>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27851</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38363</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44869</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63330</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65189</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65209</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65235</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row r="9" ht="21" customHeight="1">
      <c r="A9" s="104" t="n">
        <v>65944</v>
      </c>
      <c r="B9" s="104">
        <f>INDEX(OfficialTeamList[Pod Number],MATCH(CoreValuesResults[[#This Row],[Team Number]], OfficialTeamList[Team '#],0))</f>
        <v/>
      </c>
      <c r="C9" s="106">
        <f>INDEX(OfficialTeamList[Team Name],MATCH(CoreValuesResults[[#This Row],[Team Number]], OfficialTeamList[Team '#],0))</f>
        <v/>
      </c>
      <c r="D9" s="71">
        <f>INDEX(InnovationProjectResults[Identify - Research (CV)],MATCH(CoreValuesResults[[#This Row],[Team Number]],InnovationProjectResults[Team Number],0))</f>
        <v/>
      </c>
      <c r="E9" s="71">
        <f>INDEX(InnovationProjectResults[Design - Teamwork (CV)],MATCH(CoreValuesResults[[#This Row],[Team Number]],InnovationProjectResults[Team Number],0))</f>
        <v/>
      </c>
      <c r="F9" s="71">
        <f>INDEX(InnovationProjectResults[Create - Innovation (CV)],MATCH(CoreValuesResults[[#This Row],[Team Number]],InnovationProjectResults[Team Number],0))</f>
        <v/>
      </c>
      <c r="G9" s="71">
        <f>INDEX(InnovationProjectResults[Communicate - Impact (CV)],MATCH(CoreValuesResults[[#This Row],[Team Number]],InnovationProjectResults[Team Number],0))</f>
        <v/>
      </c>
      <c r="H9" s="71">
        <f>INDEX(InnovationProjectResults[Communicate - Fun (CV)],MATCH(CoreValuesResults[[#This Row],[Team Number]],InnovationProjectResults[Team Number],0))</f>
        <v/>
      </c>
      <c r="I9" s="71">
        <f>INDEX(RobotDesignResults[Identify - Research (CV)],MATCH(CoreValuesResults[[#This Row],[Team Number]],RobotDesignResults[Team Number],0))</f>
        <v/>
      </c>
      <c r="J9" s="71">
        <f>INDEX(RobotDesignResults[Design - Ideas (CV)],MATCH(CoreValuesResults[[#This Row],[Team Number]],RobotDesignResults[Team Number],0))</f>
        <v/>
      </c>
      <c r="K9" s="71">
        <f>INDEX(RobotDesignResults[Iterate - Improvements (CV)],MATCH(CoreValuesResults[[#This Row],[Team Number]],RobotDesignResults[Team Number],0))</f>
        <v/>
      </c>
      <c r="L9" s="71">
        <f>INDEX(RobotDesignResults[Communicate - Impact (CV)],MATCH(CoreValuesResults[[#This Row],[Team Number]],RobotDesignResults[Team Number],0))</f>
        <v/>
      </c>
      <c r="M9" s="71">
        <f>INDEX(RobotDesignResults[Communicate - Fun (CV)],MATCH(CoreValuesResults[[#This Row],[Team Number]],RobotDesignResults[Team Number],0))</f>
        <v/>
      </c>
      <c r="N9" s="78" t="n"/>
      <c r="O9" s="78" t="n"/>
      <c r="P9" s="78" t="n"/>
      <c r="Q9" s="104">
        <f>SUM(CoreValuesResults[[#This Row],[Gracious Professionalism 1]:[Gracious Professionalism 3]])</f>
        <v/>
      </c>
      <c r="R9" s="104">
        <f>SUM(N2:Q2)</f>
        <v/>
      </c>
      <c r="S9" s="77">
        <f>SUM(CoreValuesResults[[#This Row],[Identify - Research (CV-IP)]:[Communicate - Fun (CV-RD)]],CoreValuesResults[[#This Row],[Gracious Professionalism Score]])</f>
        <v/>
      </c>
      <c r="T9" s="70">
        <f>_xlfn.RANK.EQ(CoreValuesResults[[#This Row],[Core Values Score]],CoreValuesResults[Core Values Score],0)</f>
        <v/>
      </c>
    </row>
    <row r="10" ht="21" customHeight="1">
      <c r="A10" s="104" t="n">
        <v>65945</v>
      </c>
      <c r="B10" s="104">
        <f>INDEX(OfficialTeamList[Pod Number],MATCH(CoreValuesResults[[#This Row],[Team Number]], OfficialTeamList[Team '#],0))</f>
        <v/>
      </c>
      <c r="C10" s="106">
        <f>INDEX(OfficialTeamList[Team Name],MATCH(CoreValuesResults[[#This Row],[Team Number]], OfficialTeamList[Team '#],0))</f>
        <v/>
      </c>
      <c r="D10" s="71">
        <f>INDEX(InnovationProjectResults[Identify - Research (CV)],MATCH(CoreValuesResults[[#This Row],[Team Number]],InnovationProjectResults[Team Number],0))</f>
        <v/>
      </c>
      <c r="E10" s="71">
        <f>INDEX(InnovationProjectResults[Design - Teamwork (CV)],MATCH(CoreValuesResults[[#This Row],[Team Number]],InnovationProjectResults[Team Number],0))</f>
        <v/>
      </c>
      <c r="F10" s="71">
        <f>INDEX(InnovationProjectResults[Create - Innovation (CV)],MATCH(CoreValuesResults[[#This Row],[Team Number]],InnovationProjectResults[Team Number],0))</f>
        <v/>
      </c>
      <c r="G10" s="71">
        <f>INDEX(InnovationProjectResults[Communicate - Impact (CV)],MATCH(CoreValuesResults[[#This Row],[Team Number]],InnovationProjectResults[Team Number],0))</f>
        <v/>
      </c>
      <c r="H10" s="71">
        <f>INDEX(InnovationProjectResults[Communicate - Fun (CV)],MATCH(CoreValuesResults[[#This Row],[Team Number]],InnovationProjectResults[Team Number],0))</f>
        <v/>
      </c>
      <c r="I10" s="71">
        <f>INDEX(RobotDesignResults[Identify - Research (CV)],MATCH(CoreValuesResults[[#This Row],[Team Number]],RobotDesignResults[Team Number],0))</f>
        <v/>
      </c>
      <c r="J10" s="71">
        <f>INDEX(RobotDesignResults[Design - Ideas (CV)],MATCH(CoreValuesResults[[#This Row],[Team Number]],RobotDesignResults[Team Number],0))</f>
        <v/>
      </c>
      <c r="K10" s="71">
        <f>INDEX(RobotDesignResults[Iterate - Improvements (CV)],MATCH(CoreValuesResults[[#This Row],[Team Number]],RobotDesignResults[Team Number],0))</f>
        <v/>
      </c>
      <c r="L10" s="71">
        <f>INDEX(RobotDesignResults[Communicate - Impact (CV)],MATCH(CoreValuesResults[[#This Row],[Team Number]],RobotDesignResults[Team Number],0))</f>
        <v/>
      </c>
      <c r="M10" s="71">
        <f>INDEX(RobotDesignResults[Communicate - Fun (CV)],MATCH(CoreValuesResults[[#This Row],[Team Number]],RobotDesignResults[Team Number],0))</f>
        <v/>
      </c>
      <c r="N10" s="78" t="n"/>
      <c r="O10" s="78" t="n"/>
      <c r="P10" s="78" t="n"/>
      <c r="Q10" s="104">
        <f>SUM(CoreValuesResults[[#This Row],[Gracious Professionalism 1]:[Gracious Professionalism 3]])</f>
        <v/>
      </c>
      <c r="R10" s="104">
        <f>SUM(N2:Q2)</f>
        <v/>
      </c>
      <c r="S10" s="77">
        <f>SUM(CoreValuesResults[[#This Row],[Identify - Research (CV-IP)]:[Communicate - Fun (CV-RD)]],CoreValuesResults[[#This Row],[Gracious Professionalism Score]])</f>
        <v/>
      </c>
      <c r="T10" s="70">
        <f>_xlfn.RANK.EQ(CoreValuesResults[[#This Row],[Core Values Score]],CoreValuesResults[Core Values Score],0)</f>
        <v/>
      </c>
    </row>
    <row r="11" ht="21" customHeight="1">
      <c r="A11" s="104" t="n">
        <v>67025</v>
      </c>
      <c r="B11" s="104">
        <f>INDEX(OfficialTeamList[Pod Number],MATCH(CoreValuesResults[[#This Row],[Team Number]], OfficialTeamList[Team '#],0))</f>
        <v/>
      </c>
      <c r="C11" s="106">
        <f>INDEX(OfficialTeamList[Team Name],MATCH(CoreValuesResults[[#This Row],[Team Number]], OfficialTeamList[Team '#],0))</f>
        <v/>
      </c>
      <c r="D11" s="71">
        <f>INDEX(InnovationProjectResults[Identify - Research (CV)],MATCH(CoreValuesResults[[#This Row],[Team Number]],InnovationProjectResults[Team Number],0))</f>
        <v/>
      </c>
      <c r="E11" s="71">
        <f>INDEX(InnovationProjectResults[Design - Teamwork (CV)],MATCH(CoreValuesResults[[#This Row],[Team Number]],InnovationProjectResults[Team Number],0))</f>
        <v/>
      </c>
      <c r="F11" s="71">
        <f>INDEX(InnovationProjectResults[Create - Innovation (CV)],MATCH(CoreValuesResults[[#This Row],[Team Number]],InnovationProjectResults[Team Number],0))</f>
        <v/>
      </c>
      <c r="G11" s="71">
        <f>INDEX(InnovationProjectResults[Communicate - Impact (CV)],MATCH(CoreValuesResults[[#This Row],[Team Number]],InnovationProjectResults[Team Number],0))</f>
        <v/>
      </c>
      <c r="H11" s="71">
        <f>INDEX(InnovationProjectResults[Communicate - Fun (CV)],MATCH(CoreValuesResults[[#This Row],[Team Number]],InnovationProjectResults[Team Number],0))</f>
        <v/>
      </c>
      <c r="I11" s="71">
        <f>INDEX(RobotDesignResults[Identify - Research (CV)],MATCH(CoreValuesResults[[#This Row],[Team Number]],RobotDesignResults[Team Number],0))</f>
        <v/>
      </c>
      <c r="J11" s="71">
        <f>INDEX(RobotDesignResults[Design - Ideas (CV)],MATCH(CoreValuesResults[[#This Row],[Team Number]],RobotDesignResults[Team Number],0))</f>
        <v/>
      </c>
      <c r="K11" s="71">
        <f>INDEX(RobotDesignResults[Iterate - Improvements (CV)],MATCH(CoreValuesResults[[#This Row],[Team Number]],RobotDesignResults[Team Number],0))</f>
        <v/>
      </c>
      <c r="L11" s="71">
        <f>INDEX(RobotDesignResults[Communicate - Impact (CV)],MATCH(CoreValuesResults[[#This Row],[Team Number]],RobotDesignResults[Team Number],0))</f>
        <v/>
      </c>
      <c r="M11" s="71">
        <f>INDEX(RobotDesignResults[Communicate - Fun (CV)],MATCH(CoreValuesResults[[#This Row],[Team Number]],RobotDesignResults[Team Number],0))</f>
        <v/>
      </c>
      <c r="N11" s="78" t="n"/>
      <c r="O11" s="78" t="n"/>
      <c r="P11" s="78" t="n"/>
      <c r="Q11" s="104">
        <f>SUM(CoreValuesResults[[#This Row],[Gracious Professionalism 1]:[Gracious Professionalism 3]])</f>
        <v/>
      </c>
      <c r="R11" s="104">
        <f>SUM(N2:Q2)</f>
        <v/>
      </c>
      <c r="S11" s="77">
        <f>SUM(CoreValuesResults[[#This Row],[Identify - Research (CV-IP)]:[Communicate - Fun (CV-RD)]],CoreValuesResults[[#This Row],[Gracious Professionalism Score]])</f>
        <v/>
      </c>
      <c r="T11" s="70">
        <f>_xlfn.RANK.EQ(CoreValuesResults[[#This Row],[Core Values Score]],CoreValuesResults[Core Values Score],0)</f>
        <v/>
      </c>
    </row>
    <row r="12" ht="21" customHeight="1">
      <c r="A12" s="104" t="n">
        <v>67049</v>
      </c>
      <c r="B12" s="104">
        <f>INDEX(OfficialTeamList[Pod Number],MATCH(CoreValuesResults[[#This Row],[Team Number]], OfficialTeamList[Team '#],0))</f>
        <v/>
      </c>
      <c r="C12" s="106">
        <f>INDEX(OfficialTeamList[Team Name],MATCH(CoreValuesResults[[#This Row],[Team Number]], OfficialTeamList[Team '#],0))</f>
        <v/>
      </c>
      <c r="D12" s="71">
        <f>INDEX(InnovationProjectResults[Identify - Research (CV)],MATCH(CoreValuesResults[[#This Row],[Team Number]],InnovationProjectResults[Team Number],0))</f>
        <v/>
      </c>
      <c r="E12" s="71">
        <f>INDEX(InnovationProjectResults[Design - Teamwork (CV)],MATCH(CoreValuesResults[[#This Row],[Team Number]],InnovationProjectResults[Team Number],0))</f>
        <v/>
      </c>
      <c r="F12" s="71">
        <f>INDEX(InnovationProjectResults[Create - Innovation (CV)],MATCH(CoreValuesResults[[#This Row],[Team Number]],InnovationProjectResults[Team Number],0))</f>
        <v/>
      </c>
      <c r="G12" s="71">
        <f>INDEX(InnovationProjectResults[Communicate - Impact (CV)],MATCH(CoreValuesResults[[#This Row],[Team Number]],InnovationProjectResults[Team Number],0))</f>
        <v/>
      </c>
      <c r="H12" s="71">
        <f>INDEX(InnovationProjectResults[Communicate - Fun (CV)],MATCH(CoreValuesResults[[#This Row],[Team Number]],InnovationProjectResults[Team Number],0))</f>
        <v/>
      </c>
      <c r="I12" s="71">
        <f>INDEX(RobotDesignResults[Identify - Research (CV)],MATCH(CoreValuesResults[[#This Row],[Team Number]],RobotDesignResults[Team Number],0))</f>
        <v/>
      </c>
      <c r="J12" s="71">
        <f>INDEX(RobotDesignResults[Design - Ideas (CV)],MATCH(CoreValuesResults[[#This Row],[Team Number]],RobotDesignResults[Team Number],0))</f>
        <v/>
      </c>
      <c r="K12" s="71">
        <f>INDEX(RobotDesignResults[Iterate - Improvements (CV)],MATCH(CoreValuesResults[[#This Row],[Team Number]],RobotDesignResults[Team Number],0))</f>
        <v/>
      </c>
      <c r="L12" s="71">
        <f>INDEX(RobotDesignResults[Communicate - Impact (CV)],MATCH(CoreValuesResults[[#This Row],[Team Number]],RobotDesignResults[Team Number],0))</f>
        <v/>
      </c>
      <c r="M12" s="71">
        <f>INDEX(RobotDesignResults[Communicate - Fun (CV)],MATCH(CoreValuesResults[[#This Row],[Team Number]],RobotDesignResults[Team Number],0))</f>
        <v/>
      </c>
      <c r="N12" s="78" t="n"/>
      <c r="O12" s="78" t="n"/>
      <c r="P12" s="78" t="n"/>
      <c r="Q12" s="104">
        <f>SUM(CoreValuesResults[[#This Row],[Gracious Professionalism 1]:[Gracious Professionalism 3]])</f>
        <v/>
      </c>
      <c r="R12" s="104">
        <f>SUM(N2:Q2)</f>
        <v/>
      </c>
      <c r="S12" s="77">
        <f>SUM(CoreValuesResults[[#This Row],[Identify - Research (CV-IP)]:[Communicate - Fun (CV-RD)]],CoreValuesResults[[#This Row],[Gracious Professionalism Score]])</f>
        <v/>
      </c>
      <c r="T12" s="70">
        <f>_xlfn.RANK.EQ(CoreValuesResults[[#This Row],[Core Values Score]],CoreValuesResults[Core Values Score],0)</f>
        <v/>
      </c>
    </row>
    <row r="13" ht="21" customHeight="1">
      <c r="A13" s="104" t="n">
        <v>67463</v>
      </c>
      <c r="B13" s="104">
        <f>INDEX(OfficialTeamList[Pod Number],MATCH(CoreValuesResults[[#This Row],[Team Number]], OfficialTeamList[Team '#],0))</f>
        <v/>
      </c>
      <c r="C13" s="106">
        <f>INDEX(OfficialTeamList[Team Name],MATCH(CoreValuesResults[[#This Row],[Team Number]], OfficialTeamList[Team '#],0))</f>
        <v/>
      </c>
      <c r="D13" s="71">
        <f>INDEX(InnovationProjectResults[Identify - Research (CV)],MATCH(CoreValuesResults[[#This Row],[Team Number]],InnovationProjectResults[Team Number],0))</f>
        <v/>
      </c>
      <c r="E13" s="71">
        <f>INDEX(InnovationProjectResults[Design - Teamwork (CV)],MATCH(CoreValuesResults[[#This Row],[Team Number]],InnovationProjectResults[Team Number],0))</f>
        <v/>
      </c>
      <c r="F13" s="71">
        <f>INDEX(InnovationProjectResults[Create - Innovation (CV)],MATCH(CoreValuesResults[[#This Row],[Team Number]],InnovationProjectResults[Team Number],0))</f>
        <v/>
      </c>
      <c r="G13" s="71">
        <f>INDEX(InnovationProjectResults[Communicate - Impact (CV)],MATCH(CoreValuesResults[[#This Row],[Team Number]],InnovationProjectResults[Team Number],0))</f>
        <v/>
      </c>
      <c r="H13" s="71">
        <f>INDEX(InnovationProjectResults[Communicate - Fun (CV)],MATCH(CoreValuesResults[[#This Row],[Team Number]],InnovationProjectResults[Team Number],0))</f>
        <v/>
      </c>
      <c r="I13" s="71">
        <f>INDEX(RobotDesignResults[Identify - Research (CV)],MATCH(CoreValuesResults[[#This Row],[Team Number]],RobotDesignResults[Team Number],0))</f>
        <v/>
      </c>
      <c r="J13" s="71">
        <f>INDEX(RobotDesignResults[Design - Ideas (CV)],MATCH(CoreValuesResults[[#This Row],[Team Number]],RobotDesignResults[Team Number],0))</f>
        <v/>
      </c>
      <c r="K13" s="71">
        <f>INDEX(RobotDesignResults[Iterate - Improvements (CV)],MATCH(CoreValuesResults[[#This Row],[Team Number]],RobotDesignResults[Team Number],0))</f>
        <v/>
      </c>
      <c r="L13" s="71">
        <f>INDEX(RobotDesignResults[Communicate - Impact (CV)],MATCH(CoreValuesResults[[#This Row],[Team Number]],RobotDesignResults[Team Number],0))</f>
        <v/>
      </c>
      <c r="M13" s="71">
        <f>INDEX(RobotDesignResults[Communicate - Fun (CV)],MATCH(CoreValuesResults[[#This Row],[Team Number]],RobotDesignResults[Team Number],0))</f>
        <v/>
      </c>
      <c r="N13" s="78" t="n"/>
      <c r="O13" s="78" t="n"/>
      <c r="P13" s="78" t="n"/>
      <c r="Q13" s="104">
        <f>SUM(CoreValuesResults[[#This Row],[Gracious Professionalism 1]:[Gracious Professionalism 3]])</f>
        <v/>
      </c>
      <c r="R13" s="104">
        <f>SUM(N2:Q2)</f>
        <v/>
      </c>
      <c r="S13" s="77">
        <f>SUM(CoreValuesResults[[#This Row],[Identify - Research (CV-IP)]:[Communicate - Fun (CV-RD)]],CoreValuesResults[[#This Row],[Gracious Professionalism Score]])</f>
        <v/>
      </c>
      <c r="T13" s="70">
        <f>_xlfn.RANK.EQ(CoreValuesResults[[#This Row],[Core Values Score]],CoreValuesResults[Core Values Score],0)</f>
        <v/>
      </c>
    </row>
    <row r="14" ht="21" customHeight="1">
      <c r="A14" s="104" t="n">
        <v>67984</v>
      </c>
      <c r="B14" s="104">
        <f>INDEX(OfficialTeamList[Pod Number],MATCH(CoreValuesResults[[#This Row],[Team Number]], OfficialTeamList[Team '#],0))</f>
        <v/>
      </c>
      <c r="C14" s="106">
        <f>INDEX(OfficialTeamList[Team Name],MATCH(CoreValuesResults[[#This Row],[Team Number]], OfficialTeamList[Team '#],0))</f>
        <v/>
      </c>
      <c r="D14" s="71">
        <f>INDEX(InnovationProjectResults[Identify - Research (CV)],MATCH(CoreValuesResults[[#This Row],[Team Number]],InnovationProjectResults[Team Number],0))</f>
        <v/>
      </c>
      <c r="E14" s="71">
        <f>INDEX(InnovationProjectResults[Design - Teamwork (CV)],MATCH(CoreValuesResults[[#This Row],[Team Number]],InnovationProjectResults[Team Number],0))</f>
        <v/>
      </c>
      <c r="F14" s="71">
        <f>INDEX(InnovationProjectResults[Create - Innovation (CV)],MATCH(CoreValuesResults[[#This Row],[Team Number]],InnovationProjectResults[Team Number],0))</f>
        <v/>
      </c>
      <c r="G14" s="71">
        <f>INDEX(InnovationProjectResults[Communicate - Impact (CV)],MATCH(CoreValuesResults[[#This Row],[Team Number]],InnovationProjectResults[Team Number],0))</f>
        <v/>
      </c>
      <c r="H14" s="71">
        <f>INDEX(InnovationProjectResults[Communicate - Fun (CV)],MATCH(CoreValuesResults[[#This Row],[Team Number]],InnovationProjectResults[Team Number],0))</f>
        <v/>
      </c>
      <c r="I14" s="71">
        <f>INDEX(RobotDesignResults[Identify - Research (CV)],MATCH(CoreValuesResults[[#This Row],[Team Number]],RobotDesignResults[Team Number],0))</f>
        <v/>
      </c>
      <c r="J14" s="71">
        <f>INDEX(RobotDesignResults[Design - Ideas (CV)],MATCH(CoreValuesResults[[#This Row],[Team Number]],RobotDesignResults[Team Number],0))</f>
        <v/>
      </c>
      <c r="K14" s="71">
        <f>INDEX(RobotDesignResults[Iterate - Improvements (CV)],MATCH(CoreValuesResults[[#This Row],[Team Number]],RobotDesignResults[Team Number],0))</f>
        <v/>
      </c>
      <c r="L14" s="71">
        <f>INDEX(RobotDesignResults[Communicate - Impact (CV)],MATCH(CoreValuesResults[[#This Row],[Team Number]],RobotDesignResults[Team Number],0))</f>
        <v/>
      </c>
      <c r="M14" s="71">
        <f>INDEX(RobotDesignResults[Communicate - Fun (CV)],MATCH(CoreValuesResults[[#This Row],[Team Number]],RobotDesignResults[Team Number],0))</f>
        <v/>
      </c>
      <c r="N14" s="78" t="n"/>
      <c r="O14" s="78" t="n"/>
      <c r="P14" s="78" t="n"/>
      <c r="Q14" s="104">
        <f>SUM(CoreValuesResults[[#This Row],[Gracious Professionalism 1]:[Gracious Professionalism 3]])</f>
        <v/>
      </c>
      <c r="R14" s="104">
        <f>SUM(N2:Q2)</f>
        <v/>
      </c>
      <c r="S14" s="77">
        <f>SUM(CoreValuesResults[[#This Row],[Identify - Research (CV-IP)]:[Communicate - Fun (CV-RD)]],CoreValuesResults[[#This Row],[Gracious Professionalism Score]])</f>
        <v/>
      </c>
      <c r="T14" s="70">
        <f>_xlfn.RANK.EQ(CoreValuesResults[[#This Row],[Core Values Score]],CoreValuesResults[Core Values Score],0)</f>
        <v/>
      </c>
    </row>
    <row r="15" ht="21" customHeight="1">
      <c r="A15" s="104" t="n">
        <v>72220</v>
      </c>
      <c r="B15" s="104">
        <f>INDEX(OfficialTeamList[Pod Number],MATCH(CoreValuesResults[[#This Row],[Team Number]], OfficialTeamList[Team '#],0))</f>
        <v/>
      </c>
      <c r="C15" s="106">
        <f>INDEX(OfficialTeamList[Team Name],MATCH(CoreValuesResults[[#This Row],[Team Number]], OfficialTeamList[Team '#],0))</f>
        <v/>
      </c>
      <c r="D15" s="71">
        <f>INDEX(InnovationProjectResults[Identify - Research (CV)],MATCH(CoreValuesResults[[#This Row],[Team Number]],InnovationProjectResults[Team Number],0))</f>
        <v/>
      </c>
      <c r="E15" s="71">
        <f>INDEX(InnovationProjectResults[Design - Teamwork (CV)],MATCH(CoreValuesResults[[#This Row],[Team Number]],InnovationProjectResults[Team Number],0))</f>
        <v/>
      </c>
      <c r="F15" s="71">
        <f>INDEX(InnovationProjectResults[Create - Innovation (CV)],MATCH(CoreValuesResults[[#This Row],[Team Number]],InnovationProjectResults[Team Number],0))</f>
        <v/>
      </c>
      <c r="G15" s="71">
        <f>INDEX(InnovationProjectResults[Communicate - Impact (CV)],MATCH(CoreValuesResults[[#This Row],[Team Number]],InnovationProjectResults[Team Number],0))</f>
        <v/>
      </c>
      <c r="H15" s="71">
        <f>INDEX(InnovationProjectResults[Communicate - Fun (CV)],MATCH(CoreValuesResults[[#This Row],[Team Number]],InnovationProjectResults[Team Number],0))</f>
        <v/>
      </c>
      <c r="I15" s="71">
        <f>INDEX(RobotDesignResults[Identify - Research (CV)],MATCH(CoreValuesResults[[#This Row],[Team Number]],RobotDesignResults[Team Number],0))</f>
        <v/>
      </c>
      <c r="J15" s="71">
        <f>INDEX(RobotDesignResults[Design - Ideas (CV)],MATCH(CoreValuesResults[[#This Row],[Team Number]],RobotDesignResults[Team Number],0))</f>
        <v/>
      </c>
      <c r="K15" s="71">
        <f>INDEX(RobotDesignResults[Iterate - Improvements (CV)],MATCH(CoreValuesResults[[#This Row],[Team Number]],RobotDesignResults[Team Number],0))</f>
        <v/>
      </c>
      <c r="L15" s="71">
        <f>INDEX(RobotDesignResults[Communicate - Impact (CV)],MATCH(CoreValuesResults[[#This Row],[Team Number]],RobotDesignResults[Team Number],0))</f>
        <v/>
      </c>
      <c r="M15" s="71">
        <f>INDEX(RobotDesignResults[Communicate - Fun (CV)],MATCH(CoreValuesResults[[#This Row],[Team Number]],RobotDesignResults[Team Number],0))</f>
        <v/>
      </c>
      <c r="N15" s="78" t="n"/>
      <c r="O15" s="78" t="n"/>
      <c r="P15" s="78" t="n"/>
      <c r="Q15" s="104">
        <f>SUM(CoreValuesResults[[#This Row],[Gracious Professionalism 1]:[Gracious Professionalism 3]])</f>
        <v/>
      </c>
      <c r="R15" s="104">
        <f>SUM(N2:Q2)</f>
        <v/>
      </c>
      <c r="S15" s="77">
        <f>SUM(CoreValuesResults[[#This Row],[Identify - Research (CV-IP)]:[Communicate - Fun (CV-RD)]],CoreValuesResults[[#This Row],[Gracious Professionalism Score]])</f>
        <v/>
      </c>
      <c r="T15"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2025-12-20T04:11:53Z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