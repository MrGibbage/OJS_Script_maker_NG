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11"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9"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3"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11"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10"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10"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10"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10"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11"/>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35481</v>
      </c>
      <c r="B3" s="68" t="inlineStr">
        <is>
          <t>Cyber Cubs 1</t>
        </is>
      </c>
      <c r="C3" s="68" t="inlineStr">
        <is>
          <t>Monica  Seeman</t>
        </is>
      </c>
      <c r="D3" s="69" t="n">
        <v>0</v>
      </c>
      <c r="H3" s="3" t="n"/>
    </row>
    <row r="4">
      <c r="A4" t="n">
        <v>43930</v>
      </c>
      <c r="B4" t="inlineStr">
        <is>
          <t>Belmont Eagles</t>
        </is>
      </c>
      <c r="C4" t="inlineStr">
        <is>
          <t>Kathy Lamont</t>
        </is>
      </c>
      <c r="D4" t="n">
        <v>0</v>
      </c>
    </row>
    <row r="5">
      <c r="A5" t="n">
        <v>48342</v>
      </c>
      <c r="B5" t="inlineStr">
        <is>
          <t>Champion Tigers</t>
        </is>
      </c>
      <c r="C5" t="inlineStr">
        <is>
          <t>Alyssa Jones</t>
        </is>
      </c>
      <c r="D5" t="n">
        <v>0</v>
      </c>
    </row>
    <row r="6">
      <c r="A6" t="n">
        <v>62031</v>
      </c>
      <c r="B6" t="inlineStr">
        <is>
          <t>LEGOAT Legends</t>
        </is>
      </c>
      <c r="C6" t="inlineStr">
        <is>
          <t>Erin Tarpley</t>
        </is>
      </c>
      <c r="D6" t="n">
        <v>0</v>
      </c>
    </row>
    <row r="7">
      <c r="A7" t="n">
        <v>64960</v>
      </c>
      <c r="B7" t="inlineStr">
        <is>
          <t>SHES Robotics Team</t>
        </is>
      </c>
      <c r="C7" t="inlineStr">
        <is>
          <t>Eunmi Angela Purdy</t>
        </is>
      </c>
      <c r="D7" t="n">
        <v>0</v>
      </c>
    </row>
    <row r="8">
      <c r="A8" t="n">
        <v>68109</v>
      </c>
      <c r="B8" t="inlineStr">
        <is>
          <t>RoboRevolution</t>
        </is>
      </c>
      <c r="C8" t="inlineStr">
        <is>
          <t>Vamig Muradov</t>
        </is>
      </c>
      <c r="D8" t="n">
        <v>0</v>
      </c>
    </row>
    <row r="9">
      <c r="A9" t="n">
        <v>68869</v>
      </c>
      <c r="B9" t="inlineStr">
        <is>
          <t>Cyber Cubs 2</t>
        </is>
      </c>
      <c r="C9" t="inlineStr">
        <is>
          <t>Monica  Seeman</t>
        </is>
      </c>
      <c r="D9" t="n">
        <v>0</v>
      </c>
    </row>
    <row r="10">
      <c r="A10" t="n">
        <v>70745</v>
      </c>
      <c r="B10" t="inlineStr">
        <is>
          <t>SHES Robotics Team 2</t>
        </is>
      </c>
      <c r="C10" t="inlineStr">
        <is>
          <t>Eunmi Angela Purdy</t>
        </is>
      </c>
      <c r="D10" t="n">
        <v>0</v>
      </c>
    </row>
    <row r="11">
      <c r="A11" t="n">
        <v>73400</v>
      </c>
      <c r="B11" t="inlineStr">
        <is>
          <t>UNEARTHED TITANS</t>
        </is>
      </c>
      <c r="C11" t="inlineStr">
        <is>
          <t>Chinna Obul Kachana</t>
        </is>
      </c>
      <c r="D11"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Chantilly</t>
        </is>
      </c>
    </row>
    <row r="5">
      <c r="A5" t="inlineStr">
        <is>
          <t>Tournament Long Name</t>
        </is>
      </c>
      <c r="B5" t="inlineStr">
        <is>
          <t>Chantilly 2025 Unearthed Qualifier Tournament</t>
        </is>
      </c>
    </row>
    <row r="6">
      <c r="A6" t="inlineStr">
        <is>
          <t>Completed Script File</t>
        </is>
      </c>
      <c r="B6" t="inlineStr">
        <is>
          <t>c:\github-projects\OJS_Script_maker_NG\2025-all\tournaments\Chantilly\closing_ceremony.html</t>
        </is>
      </c>
    </row>
    <row r="7">
      <c r="A7" t="inlineStr">
        <is>
          <t>Using Divisions</t>
        </is>
      </c>
      <c r="B7" t="b">
        <v>1</v>
      </c>
    </row>
    <row r="8">
      <c r="A8" t="inlineStr">
        <is>
          <t>Division</t>
        </is>
      </c>
      <c r="B8" t="inlineStr">
        <is>
          <t>D1</t>
        </is>
      </c>
    </row>
    <row r="9">
      <c r="A9" t="inlineStr">
        <is>
          <t>Advancing</t>
        </is>
      </c>
      <c r="B9" t="n">
        <v>2</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9"/>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Robot Design 1st Place</t>
        </is>
      </c>
      <c r="C3" t="inlineStr">
        <is>
          <t>Robot Game 2nd Place</t>
        </is>
      </c>
    </row>
    <row r="4">
      <c r="A4" t="inlineStr">
        <is>
          <t>Innovation Project 1st Place</t>
        </is>
      </c>
    </row>
    <row r="5">
      <c r="A5" t="inlineStr">
        <is>
          <t>Core Values 1st Place</t>
        </is>
      </c>
    </row>
    <row r="6">
      <c r="A6" t="inlineStr">
        <is>
          <t>Judges 1</t>
        </is>
      </c>
    </row>
    <row r="7">
      <c r="A7" t="inlineStr">
        <is>
          <t>Judges 2</t>
        </is>
      </c>
    </row>
    <row r="8">
      <c r="A8" t="inlineStr">
        <is>
          <t>Judges 3</t>
        </is>
      </c>
    </row>
    <row r="9">
      <c r="A9" t="inlineStr">
        <is>
          <t>Judges 4</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11"/>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35481</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43930</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48342</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62031</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64960</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68109</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68869</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row r="10" ht="21" customHeight="1">
      <c r="A10" s="104" t="n">
        <v>70745</v>
      </c>
      <c r="B10" s="104">
        <f>INDEX(OfficialTeamList[Pod Number],MATCH(TournamentData[[#This Row],[Team Number]], OfficialTeamList[Team '#],0))</f>
        <v/>
      </c>
      <c r="C10" s="95">
        <f>INDEX(OfficialTeamList[Team Name],MATCH(TournamentData[[#This Row],[Team Number]], OfficialTeamList[Team '#],0))</f>
        <v/>
      </c>
      <c r="D10" s="73">
        <f>IF(TournamentData[[#This Row],[Team Number]]="","",IF(ISNA(INDEX('Robot Game Scores'!C:C,MATCH(TournamentData[[#This Row],[Team Number]], 'Robot Game Scores'!$A:$A,0))),0,INDEX('Robot Game Scores'!C:C,MATCH(TournamentData[[#This Row],[Team Number]], 'Robot Game Scores'!$A:$A,0))))</f>
        <v/>
      </c>
      <c r="E10" s="73">
        <f>IF(TournamentData[[#This Row],[Team Number]]="","",IF(ISNA(INDEX('Robot Game Scores'!D:D,MATCH(TournamentData[[#This Row],[Team Number]], 'Robot Game Scores'!$A:$A,0))),0,INDEX('Robot Game Scores'!D:D,MATCH(TournamentData[[#This Row],[Team Number]], 'Robot Game Scores'!$A:$A,0))))</f>
        <v/>
      </c>
      <c r="F10" s="73">
        <f>IF(TournamentData[[#This Row],[Team Number]]="","",IF(ISNA(INDEX('Robot Game Scores'!E:E,MATCH(TournamentData[[#This Row],[Team Number]], 'Robot Game Scores'!$A:$A,0))),0,INDEX('Robot Game Scores'!E:E,MATCH(TournamentData[[#This Row],[Team Number]], 'Robot Game Scores'!$A:$A,0))))</f>
        <v/>
      </c>
      <c r="G10" s="73">
        <f>IF(TournamentData[[#This Row],[Team Number]]="","",IF(ISNA(INDEX('Robot Game Scores'!#REF!,MATCH(TournamentData[[#This Row],[Team Number]], 'Robot Game Scores'!$A:$A,0))),0,INDEX('Robot Game Scores'!#REF!,MATCH(TournamentData[[#This Row],[Team Number]], 'Robot Game Scores'!$A:$A,0))))</f>
        <v/>
      </c>
      <c r="H10" s="73">
        <f>IF(TournamentData[[#This Row],[Team Number]]="","",IF(ISNA(INDEX('Robot Game Scores'!#REF!,MATCH(TournamentData[[#This Row],[Team Number]], 'Robot Game Scores'!$A:$A,0))),0,INDEX('Robot Game Scores'!#REF!,MATCH(TournamentData[[#This Row],[Team Number]], 'Robot Game Scores'!$A:$A,0))))</f>
        <v/>
      </c>
      <c r="I10"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 s="73">
        <f>_xlfn.RANK.EQ(TournamentData[[#This Row],[Max Robot Game Score]],TournamentData[Max Robot Game Score])</f>
        <v/>
      </c>
      <c r="K10" s="73">
        <f>INDEX(CoreValuesResults[Core Values Rank],MATCH(TournamentData[[#This Row],[Team Number]],CoreValuesResults[Team Number],0))</f>
        <v/>
      </c>
      <c r="L10" s="73">
        <f>INDEX(InnovationProjectResults[Innovation Project Rank],MATCH(TournamentData[[#This Row],[Team Number]],InnovationProjectResults[Team Number],0))</f>
        <v/>
      </c>
      <c r="M10" s="73">
        <f>INDEX(RobotDesignResults[Robot Design Rank],MATCH(TournamentData[[#This Row],[Team Number]],RobotDesignResults[Team Number],0))</f>
        <v/>
      </c>
      <c r="N10" s="73">
        <f>SUM(TournamentData[[#This Row],[Robot Game Rank]:[Robot Design Rank]])</f>
        <v/>
      </c>
      <c r="O10" s="105">
        <f>RANK(TournamentData[[#This Row],[Champion''s Score]],TournamentData[Champion''s Score],1)</f>
        <v/>
      </c>
      <c r="P10" s="74" t="n"/>
      <c r="Q10" s="78" t="n"/>
      <c r="R10" s="75">
        <f>IF(ISNA(INDEX(CoreValuesResults[Core Values Score],MATCH(TournamentData[[#This Row],[Team Number]],CoreValuesResults[Team Number],0))),0,INDEX(CoreValuesResults[Core Values Score],MATCH(TournamentData[[#This Row],[Team Number]],CoreValuesResults[Team Number],0)))</f>
        <v/>
      </c>
      <c r="S10" s="75">
        <f>IF(ISNA(INDEX(InnovationProjectResults[Innovation Project Score],MATCH(TournamentData[[#This Row],[Team Number]],InnovationProjectResults[Team Number],0))),0,INDEX(InnovationProjectResults[Innovation Project Score],MATCH(TournamentData[[#This Row],[Team Number]],InnovationProjectResults[Team Number],0)))</f>
        <v/>
      </c>
      <c r="T10" s="75">
        <f>IF(ISNA(INDEX(RobotDesignResults[Robot Design Score],MATCH(TournamentData[[#This Row],[Team Number]],RobotDesignResults[Team Number],0))),0,INDEX(RobotDesignResults[Robot Design Score],MATCH(TournamentData[[#This Row],[Team Number]],RobotDesignResults[Team Number],0)))</f>
        <v/>
      </c>
      <c r="U10"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 s="74">
        <f>IF(U3,_xlfn.RANK.EQ(U3,U$3:U$3,0),NumberOfTeams)</f>
        <v/>
      </c>
      <c r="W10" s="74" t="n"/>
    </row>
    <row r="11" ht="21" customHeight="1">
      <c r="A11" s="104" t="n">
        <v>73400</v>
      </c>
      <c r="B11" s="104">
        <f>INDEX(OfficialTeamList[Pod Number],MATCH(TournamentData[[#This Row],[Team Number]], OfficialTeamList[Team '#],0))</f>
        <v/>
      </c>
      <c r="C11" s="95">
        <f>INDEX(OfficialTeamList[Team Name],MATCH(TournamentData[[#This Row],[Team Number]], OfficialTeamList[Team '#],0))</f>
        <v/>
      </c>
      <c r="D11" s="73">
        <f>IF(TournamentData[[#This Row],[Team Number]]="","",IF(ISNA(INDEX('Robot Game Scores'!C:C,MATCH(TournamentData[[#This Row],[Team Number]], 'Robot Game Scores'!$A:$A,0))),0,INDEX('Robot Game Scores'!C:C,MATCH(TournamentData[[#This Row],[Team Number]], 'Robot Game Scores'!$A:$A,0))))</f>
        <v/>
      </c>
      <c r="E11" s="73">
        <f>IF(TournamentData[[#This Row],[Team Number]]="","",IF(ISNA(INDEX('Robot Game Scores'!D:D,MATCH(TournamentData[[#This Row],[Team Number]], 'Robot Game Scores'!$A:$A,0))),0,INDEX('Robot Game Scores'!D:D,MATCH(TournamentData[[#This Row],[Team Number]], 'Robot Game Scores'!$A:$A,0))))</f>
        <v/>
      </c>
      <c r="F11" s="73">
        <f>IF(TournamentData[[#This Row],[Team Number]]="","",IF(ISNA(INDEX('Robot Game Scores'!E:E,MATCH(TournamentData[[#This Row],[Team Number]], 'Robot Game Scores'!$A:$A,0))),0,INDEX('Robot Game Scores'!E:E,MATCH(TournamentData[[#This Row],[Team Number]], 'Robot Game Scores'!$A:$A,0))))</f>
        <v/>
      </c>
      <c r="G11" s="73">
        <f>IF(TournamentData[[#This Row],[Team Number]]="","",IF(ISNA(INDEX('Robot Game Scores'!#REF!,MATCH(TournamentData[[#This Row],[Team Number]], 'Robot Game Scores'!$A:$A,0))),0,INDEX('Robot Game Scores'!#REF!,MATCH(TournamentData[[#This Row],[Team Number]], 'Robot Game Scores'!$A:$A,0))))</f>
        <v/>
      </c>
      <c r="H11" s="73">
        <f>IF(TournamentData[[#This Row],[Team Number]]="","",IF(ISNA(INDEX('Robot Game Scores'!#REF!,MATCH(TournamentData[[#This Row],[Team Number]], 'Robot Game Scores'!$A:$A,0))),0,INDEX('Robot Game Scores'!#REF!,MATCH(TournamentData[[#This Row],[Team Number]], 'Robot Game Scores'!$A:$A,0))))</f>
        <v/>
      </c>
      <c r="I11"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 s="73">
        <f>_xlfn.RANK.EQ(TournamentData[[#This Row],[Max Robot Game Score]],TournamentData[Max Robot Game Score])</f>
        <v/>
      </c>
      <c r="K11" s="73">
        <f>INDEX(CoreValuesResults[Core Values Rank],MATCH(TournamentData[[#This Row],[Team Number]],CoreValuesResults[Team Number],0))</f>
        <v/>
      </c>
      <c r="L11" s="73">
        <f>INDEX(InnovationProjectResults[Innovation Project Rank],MATCH(TournamentData[[#This Row],[Team Number]],InnovationProjectResults[Team Number],0))</f>
        <v/>
      </c>
      <c r="M11" s="73">
        <f>INDEX(RobotDesignResults[Robot Design Rank],MATCH(TournamentData[[#This Row],[Team Number]],RobotDesignResults[Team Number],0))</f>
        <v/>
      </c>
      <c r="N11" s="73">
        <f>SUM(TournamentData[[#This Row],[Robot Game Rank]:[Robot Design Rank]])</f>
        <v/>
      </c>
      <c r="O11" s="105">
        <f>RANK(TournamentData[[#This Row],[Champion''s Score]],TournamentData[Champion''s Score],1)</f>
        <v/>
      </c>
      <c r="P11" s="74" t="n"/>
      <c r="Q11" s="78" t="n"/>
      <c r="R11" s="75">
        <f>IF(ISNA(INDEX(CoreValuesResults[Core Values Score],MATCH(TournamentData[[#This Row],[Team Number]],CoreValuesResults[Team Number],0))),0,INDEX(CoreValuesResults[Core Values Score],MATCH(TournamentData[[#This Row],[Team Number]],CoreValuesResults[Team Number],0)))</f>
        <v/>
      </c>
      <c r="S11" s="75">
        <f>IF(ISNA(INDEX(InnovationProjectResults[Innovation Project Score],MATCH(TournamentData[[#This Row],[Team Number]],InnovationProjectResults[Team Number],0))),0,INDEX(InnovationProjectResults[Innovation Project Score],MATCH(TournamentData[[#This Row],[Team Number]],InnovationProjectResults[Team Number],0)))</f>
        <v/>
      </c>
      <c r="T11" s="75">
        <f>IF(ISNA(INDEX(RobotDesignResults[Robot Design Score],MATCH(TournamentData[[#This Row],[Team Number]],RobotDesignResults[Team Number],0))),0,INDEX(RobotDesignResults[Robot Design Score],MATCH(TournamentData[[#This Row],[Team Number]],RobotDesignResults[Team Number],0)))</f>
        <v/>
      </c>
      <c r="U11"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 s="74">
        <f>IF(U3,_xlfn.RANK.EQ(U3,U$3:U$3,0),NumberOfTeams)</f>
        <v/>
      </c>
      <c r="W11"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11">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11" showDropDown="0" showInputMessage="0" showErrorMessage="0" allowBlank="1" type="list">
      <formula1>Awards</formula1>
    </dataValidation>
    <dataValidation sqref="Q3:Q11"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10"/>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35481</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43930</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48342</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62031</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64960</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68109</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68869</v>
      </c>
      <c r="B8" s="106">
        <f>INDEX(OfficialTeamList[Team Name],MATCH(RobotGameScores[[#This Row],[Team Number]], OfficialTeamList[Team '#],0))</f>
        <v/>
      </c>
      <c r="C8" s="107" t="n"/>
      <c r="D8" s="107" t="n"/>
      <c r="E8" s="107" t="n"/>
      <c r="F8" s="77">
        <f>MAX(RobotGameScores[[#This Row],[Robot Game 1 Score]:[Robot Game 3 Score]])</f>
        <v/>
      </c>
    </row>
    <row r="9" ht="21" customHeight="1">
      <c r="A9" s="104" t="n">
        <v>70745</v>
      </c>
      <c r="B9" s="106">
        <f>INDEX(OfficialTeamList[Team Name],MATCH(RobotGameScores[[#This Row],[Team Number]], OfficialTeamList[Team '#],0))</f>
        <v/>
      </c>
      <c r="C9" s="107" t="n"/>
      <c r="D9" s="107" t="n"/>
      <c r="E9" s="107" t="n"/>
      <c r="F9" s="77">
        <f>MAX(RobotGameScores[[#This Row],[Robot Game 1 Score]:[Robot Game 3 Score]])</f>
        <v/>
      </c>
    </row>
    <row r="10" ht="21" customHeight="1">
      <c r="A10" s="104" t="n">
        <v>73400</v>
      </c>
      <c r="B10" s="106">
        <f>INDEX(OfficialTeamList[Team Name],MATCH(RobotGameScores[[#This Row],[Team Number]], OfficialTeamList[Team '#],0))</f>
        <v/>
      </c>
      <c r="C10" s="107" t="n"/>
      <c r="D10" s="107" t="n"/>
      <c r="E10" s="107" t="n"/>
      <c r="F10"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10"/>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35481</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43930</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48342</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62031</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64960</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68109</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68869</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row r="9" ht="21" customHeight="1">
      <c r="A9" s="104" t="n">
        <v>70745</v>
      </c>
      <c r="B9" s="104">
        <f>INDEX(OfficialTeamList[Pod Number],MATCH(InnovationProjectResults[[#This Row],[Team Number]], OfficialTeamList[Team '#],0))</f>
        <v/>
      </c>
      <c r="C9" s="106">
        <f>INDEX(OfficialTeamList[Team Name],MATCH(InnovationProjectResults[[#This Row],[Team Number]], OfficialTeamList[Team '#],0))</f>
        <v/>
      </c>
      <c r="D9" s="107" t="n"/>
      <c r="E9" s="107" t="n"/>
      <c r="F9" s="107" t="n"/>
      <c r="G9" s="107" t="n"/>
      <c r="H9" s="107" t="n"/>
      <c r="I9" s="107" t="n"/>
      <c r="J9" s="107" t="n"/>
      <c r="K9" s="107" t="n"/>
      <c r="L9" s="107" t="n"/>
      <c r="M9" s="107" t="n"/>
      <c r="N9" s="77">
        <f>SUM(InnovationProjectResults[[#This Row],[Identify - Define]:[Communicate - Fun (CV)]])</f>
        <v/>
      </c>
      <c r="O9" s="70">
        <f>_xlfn.RANK.EQ(InnovationProjectResults[[#This Row],[Innovation Project Score]],InnovationProjectResults[Innovation Project Score],0)</f>
        <v/>
      </c>
    </row>
    <row r="10" ht="21" customHeight="1">
      <c r="A10" s="104" t="n">
        <v>73400</v>
      </c>
      <c r="B10" s="104">
        <f>INDEX(OfficialTeamList[Pod Number],MATCH(InnovationProjectResults[[#This Row],[Team Number]], OfficialTeamList[Team '#],0))</f>
        <v/>
      </c>
      <c r="C10" s="106">
        <f>INDEX(OfficialTeamList[Team Name],MATCH(InnovationProjectResults[[#This Row],[Team Number]], OfficialTeamList[Team '#],0))</f>
        <v/>
      </c>
      <c r="D10" s="107" t="n"/>
      <c r="E10" s="107" t="n"/>
      <c r="F10" s="107" t="n"/>
      <c r="G10" s="107" t="n"/>
      <c r="H10" s="107" t="n"/>
      <c r="I10" s="107" t="n"/>
      <c r="J10" s="107" t="n"/>
      <c r="K10" s="107" t="n"/>
      <c r="L10" s="107" t="n"/>
      <c r="M10" s="107" t="n"/>
      <c r="N10" s="77">
        <f>SUM(InnovationProjectResults[[#This Row],[Identify - Define]:[Communicate - Fun (CV)]])</f>
        <v/>
      </c>
      <c r="O10"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10"/>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35481</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43930</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48342</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62031</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64960</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68109</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68869</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row r="9" ht="21" customHeight="1">
      <c r="A9" s="104" t="n">
        <v>70745</v>
      </c>
      <c r="B9" s="104">
        <f>INDEX(OfficialTeamList[Pod Number],MATCH(RobotDesignResults[[#This Row],[Team Number]], OfficialTeamList[Team '#],0))</f>
        <v/>
      </c>
      <c r="C9" s="106">
        <f>INDEX(OfficialTeamList[Team Name],MATCH(RobotDesignResults[[#This Row],[Team Number]], OfficialTeamList[Team '#],0))</f>
        <v/>
      </c>
      <c r="D9" s="107" t="n"/>
      <c r="E9" s="107" t="n"/>
      <c r="F9" s="107" t="n"/>
      <c r="G9" s="107" t="n"/>
      <c r="H9" s="107" t="n"/>
      <c r="I9" s="107" t="n"/>
      <c r="J9" s="107" t="n"/>
      <c r="K9" s="107" t="n"/>
      <c r="L9" s="107" t="n"/>
      <c r="M9" s="107" t="n"/>
      <c r="N9" s="77">
        <f>SUM(RobotDesignResults[[#This Row],[Identify - Strategy]:[Communicate - Fun (CV)]])</f>
        <v/>
      </c>
      <c r="O9" s="70">
        <f>_xlfn.RANK.EQ(RobotDesignResults[[#This Row],[Robot Design Score]],RobotDesignResults[Robot Design Score],0)</f>
        <v/>
      </c>
    </row>
    <row r="10" ht="21" customHeight="1">
      <c r="A10" s="104" t="n">
        <v>73400</v>
      </c>
      <c r="B10" s="104">
        <f>INDEX(OfficialTeamList[Pod Number],MATCH(RobotDesignResults[[#This Row],[Team Number]], OfficialTeamList[Team '#],0))</f>
        <v/>
      </c>
      <c r="C10" s="106">
        <f>INDEX(OfficialTeamList[Team Name],MATCH(RobotDesignResults[[#This Row],[Team Number]], OfficialTeamList[Team '#],0))</f>
        <v/>
      </c>
      <c r="D10" s="107" t="n"/>
      <c r="E10" s="107" t="n"/>
      <c r="F10" s="107" t="n"/>
      <c r="G10" s="107" t="n"/>
      <c r="H10" s="107" t="n"/>
      <c r="I10" s="107" t="n"/>
      <c r="J10" s="107" t="n"/>
      <c r="K10" s="107" t="n"/>
      <c r="L10" s="107" t="n"/>
      <c r="M10" s="107" t="n"/>
      <c r="N10" s="77">
        <f>SUM(RobotDesignResults[[#This Row],[Identify - Strategy]:[Communicate - Fun (CV)]])</f>
        <v/>
      </c>
      <c r="O10"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10"/>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35481</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43930</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48342</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62031</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64960</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68109</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68869</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row r="9" ht="21" customHeight="1">
      <c r="A9" s="104" t="n">
        <v>70745</v>
      </c>
      <c r="B9" s="104">
        <f>INDEX(OfficialTeamList[Pod Number],MATCH(CoreValuesResults[[#This Row],[Team Number]], OfficialTeamList[Team '#],0))</f>
        <v/>
      </c>
      <c r="C9" s="106">
        <f>INDEX(OfficialTeamList[Team Name],MATCH(CoreValuesResults[[#This Row],[Team Number]], OfficialTeamList[Team '#],0))</f>
        <v/>
      </c>
      <c r="D9" s="71">
        <f>INDEX(InnovationProjectResults[Identify - Research (CV)],MATCH(CoreValuesResults[[#This Row],[Team Number]],InnovationProjectResults[Team Number],0))</f>
        <v/>
      </c>
      <c r="E9" s="71">
        <f>INDEX(InnovationProjectResults[Design - Teamwork (CV)],MATCH(CoreValuesResults[[#This Row],[Team Number]],InnovationProjectResults[Team Number],0))</f>
        <v/>
      </c>
      <c r="F9" s="71">
        <f>INDEX(InnovationProjectResults[Create - Innovation (CV)],MATCH(CoreValuesResults[[#This Row],[Team Number]],InnovationProjectResults[Team Number],0))</f>
        <v/>
      </c>
      <c r="G9" s="71">
        <f>INDEX(InnovationProjectResults[Communicate - Impact (CV)],MATCH(CoreValuesResults[[#This Row],[Team Number]],InnovationProjectResults[Team Number],0))</f>
        <v/>
      </c>
      <c r="H9" s="71">
        <f>INDEX(InnovationProjectResults[Communicate - Fun (CV)],MATCH(CoreValuesResults[[#This Row],[Team Number]],InnovationProjectResults[Team Number],0))</f>
        <v/>
      </c>
      <c r="I9" s="71">
        <f>INDEX(RobotDesignResults[Identify - Research (CV)],MATCH(CoreValuesResults[[#This Row],[Team Number]],RobotDesignResults[Team Number],0))</f>
        <v/>
      </c>
      <c r="J9" s="71">
        <f>INDEX(RobotDesignResults[Design - Ideas (CV)],MATCH(CoreValuesResults[[#This Row],[Team Number]],RobotDesignResults[Team Number],0))</f>
        <v/>
      </c>
      <c r="K9" s="71">
        <f>INDEX(RobotDesignResults[Iterate - Improvements (CV)],MATCH(CoreValuesResults[[#This Row],[Team Number]],RobotDesignResults[Team Number],0))</f>
        <v/>
      </c>
      <c r="L9" s="71">
        <f>INDEX(RobotDesignResults[Communicate - Impact (CV)],MATCH(CoreValuesResults[[#This Row],[Team Number]],RobotDesignResults[Team Number],0))</f>
        <v/>
      </c>
      <c r="M9" s="71">
        <f>INDEX(RobotDesignResults[Communicate - Fun (CV)],MATCH(CoreValuesResults[[#This Row],[Team Number]],RobotDesignResults[Team Number],0))</f>
        <v/>
      </c>
      <c r="N9" s="78" t="n"/>
      <c r="O9" s="78" t="n"/>
      <c r="P9" s="78" t="n"/>
      <c r="Q9" s="104">
        <f>SUM(CoreValuesResults[[#This Row],[Gracious Professionalism 1]:[Gracious Professionalism 3]])</f>
        <v/>
      </c>
      <c r="R9" s="104">
        <f>SUM(N2:Q2)</f>
        <v/>
      </c>
      <c r="S9" s="77">
        <f>SUM(CoreValuesResults[[#This Row],[Identify - Research (CV-IP)]:[Communicate - Fun (CV-RD)]],CoreValuesResults[[#This Row],[Gracious Professionalism Score]])</f>
        <v/>
      </c>
      <c r="T9" s="70">
        <f>_xlfn.RANK.EQ(CoreValuesResults[[#This Row],[Core Values Score]],CoreValuesResults[Core Values Score],0)</f>
        <v/>
      </c>
    </row>
    <row r="10" ht="21" customHeight="1">
      <c r="A10" s="104" t="n">
        <v>73400</v>
      </c>
      <c r="B10" s="104">
        <f>INDEX(OfficialTeamList[Pod Number],MATCH(CoreValuesResults[[#This Row],[Team Number]], OfficialTeamList[Team '#],0))</f>
        <v/>
      </c>
      <c r="C10" s="106">
        <f>INDEX(OfficialTeamList[Team Name],MATCH(CoreValuesResults[[#This Row],[Team Number]], OfficialTeamList[Team '#],0))</f>
        <v/>
      </c>
      <c r="D10" s="71">
        <f>INDEX(InnovationProjectResults[Identify - Research (CV)],MATCH(CoreValuesResults[[#This Row],[Team Number]],InnovationProjectResults[Team Number],0))</f>
        <v/>
      </c>
      <c r="E10" s="71">
        <f>INDEX(InnovationProjectResults[Design - Teamwork (CV)],MATCH(CoreValuesResults[[#This Row],[Team Number]],InnovationProjectResults[Team Number],0))</f>
        <v/>
      </c>
      <c r="F10" s="71">
        <f>INDEX(InnovationProjectResults[Create - Innovation (CV)],MATCH(CoreValuesResults[[#This Row],[Team Number]],InnovationProjectResults[Team Number],0))</f>
        <v/>
      </c>
      <c r="G10" s="71">
        <f>INDEX(InnovationProjectResults[Communicate - Impact (CV)],MATCH(CoreValuesResults[[#This Row],[Team Number]],InnovationProjectResults[Team Number],0))</f>
        <v/>
      </c>
      <c r="H10" s="71">
        <f>INDEX(InnovationProjectResults[Communicate - Fun (CV)],MATCH(CoreValuesResults[[#This Row],[Team Number]],InnovationProjectResults[Team Number],0))</f>
        <v/>
      </c>
      <c r="I10" s="71">
        <f>INDEX(RobotDesignResults[Identify - Research (CV)],MATCH(CoreValuesResults[[#This Row],[Team Number]],RobotDesignResults[Team Number],0))</f>
        <v/>
      </c>
      <c r="J10" s="71">
        <f>INDEX(RobotDesignResults[Design - Ideas (CV)],MATCH(CoreValuesResults[[#This Row],[Team Number]],RobotDesignResults[Team Number],0))</f>
        <v/>
      </c>
      <c r="K10" s="71">
        <f>INDEX(RobotDesignResults[Iterate - Improvements (CV)],MATCH(CoreValuesResults[[#This Row],[Team Number]],RobotDesignResults[Team Number],0))</f>
        <v/>
      </c>
      <c r="L10" s="71">
        <f>INDEX(RobotDesignResults[Communicate - Impact (CV)],MATCH(CoreValuesResults[[#This Row],[Team Number]],RobotDesignResults[Team Number],0))</f>
        <v/>
      </c>
      <c r="M10" s="71">
        <f>INDEX(RobotDesignResults[Communicate - Fun (CV)],MATCH(CoreValuesResults[[#This Row],[Team Number]],RobotDesignResults[Team Number],0))</f>
        <v/>
      </c>
      <c r="N10" s="78" t="n"/>
      <c r="O10" s="78" t="n"/>
      <c r="P10" s="78" t="n"/>
      <c r="Q10" s="104">
        <f>SUM(CoreValuesResults[[#This Row],[Gracious Professionalism 1]:[Gracious Professionalism 3]])</f>
        <v/>
      </c>
      <c r="R10" s="104">
        <f>SUM(N2:Q2)</f>
        <v/>
      </c>
      <c r="S10" s="77">
        <f>SUM(CoreValuesResults[[#This Row],[Identify - Research (CV-IP)]:[Communicate - Fun (CV-RD)]],CoreValuesResults[[#This Row],[Gracious Professionalism Score]])</f>
        <v/>
      </c>
      <c r="T10"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2025-12-20T04:11:58Z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