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0"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0"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9"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9"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9"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9"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0"/>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8806</v>
      </c>
      <c r="B3" s="68" t="inlineStr">
        <is>
          <t>Opossum Overlords</t>
        </is>
      </c>
      <c r="C3" s="68" t="inlineStr">
        <is>
          <t>Tammy Allen</t>
        </is>
      </c>
      <c r="D3" s="69" t="n">
        <v>0</v>
      </c>
      <c r="H3" s="3" t="n"/>
    </row>
    <row r="4">
      <c r="A4" t="n">
        <v>8810</v>
      </c>
      <c r="B4" t="inlineStr">
        <is>
          <t>Jurassic Spark</t>
        </is>
      </c>
      <c r="C4" t="inlineStr">
        <is>
          <t>Tammy Allen</t>
        </is>
      </c>
      <c r="D4" t="n">
        <v>0</v>
      </c>
    </row>
    <row r="5">
      <c r="A5" t="n">
        <v>8811</v>
      </c>
      <c r="B5" t="inlineStr">
        <is>
          <t>The Gear Goddesses</t>
        </is>
      </c>
      <c r="C5" t="inlineStr">
        <is>
          <t>Tammy Allen</t>
        </is>
      </c>
      <c r="D5" t="n">
        <v>0</v>
      </c>
    </row>
    <row r="6">
      <c r="A6" t="n">
        <v>8813</v>
      </c>
      <c r="B6" t="inlineStr">
        <is>
          <t>Electronic Waffles</t>
        </is>
      </c>
      <c r="C6" t="inlineStr">
        <is>
          <t>Tammy Allen</t>
        </is>
      </c>
      <c r="D6" t="n">
        <v>0</v>
      </c>
    </row>
    <row r="7">
      <c r="A7" t="n">
        <v>8816</v>
      </c>
      <c r="B7" t="inlineStr">
        <is>
          <t>Code Commanders</t>
        </is>
      </c>
      <c r="C7" t="inlineStr">
        <is>
          <t>Tammy Allen</t>
        </is>
      </c>
      <c r="D7" t="n">
        <v>0</v>
      </c>
    </row>
    <row r="8">
      <c r="A8" t="n">
        <v>39748</v>
      </c>
      <c r="B8" t="inlineStr">
        <is>
          <t>Fancy Diggers</t>
        </is>
      </c>
      <c r="C8" t="inlineStr">
        <is>
          <t>Chenoa Montgomery</t>
        </is>
      </c>
      <c r="D8" t="n">
        <v>0</v>
      </c>
    </row>
    <row r="9">
      <c r="A9" t="n">
        <v>53121</v>
      </c>
      <c r="B9" t="inlineStr">
        <is>
          <t>The PHinders</t>
        </is>
      </c>
      <c r="C9" t="inlineStr">
        <is>
          <t>Tammy Allen</t>
        </is>
      </c>
      <c r="D9" t="n">
        <v>0</v>
      </c>
    </row>
    <row r="10">
      <c r="A10" t="n">
        <v>71722</v>
      </c>
      <c r="B10" t="inlineStr">
        <is>
          <t>Treasure Trappers</t>
        </is>
      </c>
      <c r="C10" t="inlineStr">
        <is>
          <t>Jennifer Payne</t>
        </is>
      </c>
      <c r="D10"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Martinsville</t>
        </is>
      </c>
    </row>
    <row r="5">
      <c r="A5" t="inlineStr">
        <is>
          <t>Tournament Long Name</t>
        </is>
      </c>
      <c r="B5" t="inlineStr">
        <is>
          <t>Martinsville 2025 Unearthed Qualifier Tournament</t>
        </is>
      </c>
    </row>
    <row r="6">
      <c r="A6" t="inlineStr">
        <is>
          <t>Completed Script File</t>
        </is>
      </c>
      <c r="B6" t="inlineStr">
        <is>
          <t>c:\github-projects\OJS_Script_maker_NG\2025-all\tournaments\Martinsville\closing_ceremony.html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0"/>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8806</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8810</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8811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8813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8816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39748</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53121</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71722</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0">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0" showDropDown="0" showInputMessage="0" showErrorMessage="0" allowBlank="1" type="list">
      <formula1>Awards</formula1>
    </dataValidation>
    <dataValidation sqref="Q3:Q10"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9"/>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8806</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8810</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8811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8813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8816</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39748</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53121</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71722</v>
      </c>
      <c r="B9" s="106">
        <f>INDEX(OfficialTeamList[Team Name],MATCH(RobotGameScores[[#This Row],[Team Number]], OfficialTeamList[Team '#],0))</f>
        <v/>
      </c>
      <c r="C9" s="107" t="n"/>
      <c r="D9" s="107" t="n"/>
      <c r="E9" s="107" t="n"/>
      <c r="F9"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8806</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8810</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8811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8813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8816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39748</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53121</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71722</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8806</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8810</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8811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8813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8816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39748</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53121</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71722</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9"/>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8806</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8810</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8811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8813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8816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39748</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53121</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71722</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2025-12-20T04:11:54Z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