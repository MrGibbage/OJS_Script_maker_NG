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3"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3"/>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8804</v>
      </c>
      <c r="B3" s="68" t="inlineStr">
        <is>
          <t>Magical Unicodes</t>
        </is>
      </c>
      <c r="C3" s="68" t="inlineStr">
        <is>
          <t>Tammy Allen</t>
        </is>
      </c>
      <c r="D3" s="69" t="n">
        <v>0</v>
      </c>
      <c r="H3" s="3" t="n"/>
    </row>
    <row r="4">
      <c r="A4" t="n">
        <v>8807</v>
      </c>
      <c r="B4" t="inlineStr">
        <is>
          <t>Code Red</t>
        </is>
      </c>
      <c r="C4" t="inlineStr">
        <is>
          <t>Tammy Allen</t>
        </is>
      </c>
      <c r="D4" t="n">
        <v>0</v>
      </c>
    </row>
    <row r="5">
      <c r="A5" t="n">
        <v>8808</v>
      </c>
      <c r="B5" t="inlineStr">
        <is>
          <t>Absolute Zero</t>
        </is>
      </c>
      <c r="C5" t="inlineStr">
        <is>
          <t>Tammy Allen</t>
        </is>
      </c>
      <c r="D5" t="n">
        <v>0</v>
      </c>
    </row>
    <row r="6">
      <c r="A6" t="n">
        <v>53122</v>
      </c>
      <c r="B6" t="inlineStr">
        <is>
          <t>The Oasis Outpost</t>
        </is>
      </c>
      <c r="C6" t="inlineStr">
        <is>
          <t>Tammy Allen</t>
        </is>
      </c>
      <c r="D6" t="n">
        <v>0</v>
      </c>
    </row>
    <row r="7">
      <c r="A7" t="n">
        <v>60627</v>
      </c>
      <c r="B7" t="inlineStr">
        <is>
          <t>Star City Tronics</t>
        </is>
      </c>
      <c r="C7" t="inlineStr">
        <is>
          <t>Brandy  Higgins</t>
        </is>
      </c>
      <c r="D7" t="n">
        <v>0</v>
      </c>
    </row>
    <row r="8">
      <c r="A8" t="n">
        <v>65299</v>
      </c>
      <c r="B8" t="inlineStr">
        <is>
          <t>Mech Monkeys</t>
        </is>
      </c>
      <c r="C8" t="inlineStr">
        <is>
          <t>Ashley Townsend</t>
        </is>
      </c>
      <c r="D8" t="n">
        <v>0</v>
      </c>
    </row>
    <row r="9">
      <c r="A9" t="n">
        <v>65573</v>
      </c>
      <c r="B9" t="inlineStr">
        <is>
          <t>Nuclear Force Bricklayers</t>
        </is>
      </c>
      <c r="C9" t="inlineStr">
        <is>
          <t>Phyllis Meade</t>
        </is>
      </c>
      <c r="D9" t="n">
        <v>0</v>
      </c>
    </row>
    <row r="10">
      <c r="A10" t="n">
        <v>65950</v>
      </c>
      <c r="B10" t="inlineStr">
        <is>
          <t>Rapid Rebels</t>
        </is>
      </c>
      <c r="C10" t="inlineStr">
        <is>
          <t>Kimberly Babcock</t>
        </is>
      </c>
      <c r="D10" t="n">
        <v>0</v>
      </c>
    </row>
    <row r="11">
      <c r="A11" t="n">
        <v>65951</v>
      </c>
      <c r="B11" t="inlineStr">
        <is>
          <t>G.R.I.D.</t>
        </is>
      </c>
      <c r="C11" t="inlineStr">
        <is>
          <t>Christy Foley</t>
        </is>
      </c>
      <c r="D11" t="n">
        <v>0</v>
      </c>
    </row>
    <row r="12">
      <c r="A12" t="n">
        <v>71724</v>
      </c>
      <c r="B12" t="inlineStr">
        <is>
          <t>Adventurous Armadillos</t>
        </is>
      </c>
      <c r="C12" t="inlineStr">
        <is>
          <t>Amy Ridenour</t>
        </is>
      </c>
      <c r="D12" t="n">
        <v>0</v>
      </c>
    </row>
    <row r="13">
      <c r="A13" t="n">
        <v>73096</v>
      </c>
      <c r="B13" t="inlineStr">
        <is>
          <t>Meadow Diggers</t>
        </is>
      </c>
      <c r="C13" t="inlineStr">
        <is>
          <t>Pam Colbert</t>
        </is>
      </c>
      <c r="D13"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Martinsville</t>
        </is>
      </c>
    </row>
    <row r="5">
      <c r="A5" t="inlineStr">
        <is>
          <t>Tournament Long Name</t>
        </is>
      </c>
      <c r="B5" t="inlineStr">
        <is>
          <t>Martinsville 2025 Unearthed Qualifier Tournament</t>
        </is>
      </c>
    </row>
    <row r="6">
      <c r="A6" t="inlineStr">
        <is>
          <t>Completed Script File</t>
        </is>
      </c>
      <c r="B6" t="inlineStr">
        <is>
          <t>c:\github-projects\OJS_Script_maker_NG\2025-all\tournaments\Martinsville\closing_ceremony.html</t>
        </is>
      </c>
    </row>
    <row r="7">
      <c r="A7" t="inlineStr">
        <is>
          <t>Using Divisions</t>
        </is>
      </c>
      <c r="B7" t="b">
        <v>1</v>
      </c>
    </row>
    <row r="8">
      <c r="A8" t="inlineStr">
        <is>
          <t>Division</t>
        </is>
      </c>
      <c r="B8" t="inlineStr">
        <is>
          <t>D2</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8804</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8807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8808</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53122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60627</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65299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65573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65950</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65951</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71724</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73096</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3">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3" showDropDown="0" showInputMessage="0" showErrorMessage="0" allowBlank="1" type="list">
      <formula1>Awards</formula1>
    </dataValidation>
    <dataValidation sqref="Q3:Q13"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8804</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8807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8808</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53122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60627</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65299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65573</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65950</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65951</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71724</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73096</v>
      </c>
      <c r="B12" s="106">
        <f>INDEX(OfficialTeamList[Team Name],MATCH(RobotGameScores[[#This Row],[Team Number]], OfficialTeamList[Team '#],0))</f>
        <v/>
      </c>
      <c r="C12" s="107" t="n"/>
      <c r="D12" s="107" t="n"/>
      <c r="E12" s="107" t="n"/>
      <c r="F12"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8804</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8807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8808</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53122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60627</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65299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65573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65950</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65951</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71724</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73096</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8804</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8807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8808</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53122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60627</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65299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65573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65950</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65951</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71724</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73096</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8804</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8807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8808</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53122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60627</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65299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65573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65950</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65951</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71724</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73096</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2025-12-20T04:12:07Z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