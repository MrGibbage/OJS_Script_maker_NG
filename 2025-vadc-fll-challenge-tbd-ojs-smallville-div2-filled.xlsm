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
    </mc:Choice>
  </mc:AlternateContent>
  <xr:revisionPtr revIDLastSave="0" documentId="13_ncr:1_{4A14455B-92BB-4B67-8EC7-C0476EF891F2}"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Review" sheetId="14"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externalReferences>
    <externalReference r:id="rId13"/>
  </externalReferences>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Information'!$A$9</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Information'!$A$5</definedName>
    <definedName name="NumberofTeamsAdvancing">'Team and Program Information'!#REF!</definedName>
    <definedName name="_xlnm.Print_Titles" localSheetId="5">'Results and Rankings'!$1:$1</definedName>
    <definedName name="XXXXXX">'[1]Team and Program Information'!$A$5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 i="8" l="1"/>
  <c r="R5" i="8"/>
  <c r="R9" i="8"/>
  <c r="R11" i="8"/>
  <c r="R10" i="8"/>
  <c r="R2" i="8"/>
  <c r="R7" i="8"/>
  <c r="R8" i="8"/>
  <c r="R12" i="8"/>
  <c r="R4" i="8"/>
  <c r="R3" i="8"/>
  <c r="B4" i="8" l="1"/>
  <c r="B3" i="8"/>
  <c r="C4" i="8"/>
  <c r="C3" i="8"/>
  <c r="D4" i="8"/>
  <c r="D3" i="8"/>
  <c r="E4" i="8"/>
  <c r="E3" i="8"/>
  <c r="F4" i="8"/>
  <c r="F3" i="8"/>
  <c r="G4" i="8"/>
  <c r="G3" i="8"/>
  <c r="H4" i="8"/>
  <c r="H3" i="8"/>
  <c r="I4" i="8"/>
  <c r="I3" i="8"/>
  <c r="J4" i="8"/>
  <c r="J3" i="8"/>
  <c r="K4" i="8"/>
  <c r="K3" i="8"/>
  <c r="L4" i="8"/>
  <c r="L3" i="8"/>
  <c r="M4" i="8"/>
  <c r="M3" i="8"/>
  <c r="B12" i="7"/>
  <c r="B11" i="7"/>
  <c r="C12" i="7"/>
  <c r="C11" i="7"/>
  <c r="N12" i="7"/>
  <c r="N11" i="7"/>
  <c r="B8" i="6"/>
  <c r="B10" i="6"/>
  <c r="C8" i="6"/>
  <c r="C10" i="6"/>
  <c r="N8" i="6"/>
  <c r="N10" i="6"/>
  <c r="B3" i="5"/>
  <c r="B5" i="5"/>
  <c r="F3" i="5"/>
  <c r="F5" i="5"/>
  <c r="B12" i="4"/>
  <c r="B13" i="4"/>
  <c r="C12" i="4"/>
  <c r="C13" i="4"/>
  <c r="D12" i="4"/>
  <c r="D13" i="4"/>
  <c r="E12" i="4"/>
  <c r="E13" i="4"/>
  <c r="F12" i="4"/>
  <c r="F13" i="4"/>
  <c r="G12" i="4"/>
  <c r="G13" i="4"/>
  <c r="B8" i="8"/>
  <c r="B12" i="8"/>
  <c r="C8" i="8"/>
  <c r="C12" i="8"/>
  <c r="D8" i="8"/>
  <c r="D12" i="8"/>
  <c r="E8" i="8"/>
  <c r="E12" i="8"/>
  <c r="F8" i="8"/>
  <c r="F12" i="8"/>
  <c r="G8" i="8"/>
  <c r="G12" i="8"/>
  <c r="H8" i="8"/>
  <c r="H12" i="8"/>
  <c r="I8" i="8"/>
  <c r="I12" i="8"/>
  <c r="J8" i="8"/>
  <c r="J12" i="8"/>
  <c r="K8" i="8"/>
  <c r="K12" i="8"/>
  <c r="L8" i="8"/>
  <c r="L12" i="8"/>
  <c r="M8" i="8"/>
  <c r="M12" i="8"/>
  <c r="B9" i="7"/>
  <c r="B10" i="7"/>
  <c r="C9" i="7"/>
  <c r="C10" i="7"/>
  <c r="N9" i="7"/>
  <c r="N10" i="7"/>
  <c r="S11" i="4" s="1"/>
  <c r="B9" i="6"/>
  <c r="B7" i="6"/>
  <c r="C9" i="6"/>
  <c r="C7" i="6"/>
  <c r="N9" i="6"/>
  <c r="N7" i="6"/>
  <c r="B6" i="5"/>
  <c r="B2" i="5"/>
  <c r="F6" i="5"/>
  <c r="F2" i="5"/>
  <c r="B10" i="4"/>
  <c r="B11" i="4"/>
  <c r="C10" i="4"/>
  <c r="C11" i="4"/>
  <c r="D10" i="4"/>
  <c r="D11" i="4"/>
  <c r="E10" i="4"/>
  <c r="E11" i="4"/>
  <c r="F10" i="4"/>
  <c r="F11" i="4"/>
  <c r="G10" i="4"/>
  <c r="G11" i="4"/>
  <c r="N12" i="8" l="1"/>
  <c r="S12" i="8"/>
  <c r="T12" i="8"/>
  <c r="N8" i="8"/>
  <c r="N3" i="8"/>
  <c r="N4" i="8"/>
  <c r="R11" i="4"/>
  <c r="S13" i="4"/>
  <c r="R13" i="4"/>
  <c r="H13" i="4"/>
  <c r="H12" i="4"/>
  <c r="H11" i="4"/>
  <c r="H10" i="4"/>
  <c r="S4" i="8" l="1"/>
  <c r="T4" i="8"/>
  <c r="S8" i="8"/>
  <c r="T8" i="8"/>
  <c r="S3" i="8"/>
  <c r="T3" i="8"/>
  <c r="Q11" i="4"/>
  <c r="T11" i="4" s="1"/>
  <c r="Q13" i="4"/>
  <c r="T13" i="4" s="1"/>
  <c r="C6" i="8" l="1"/>
  <c r="C5" i="8"/>
  <c r="C9" i="8"/>
  <c r="C11" i="8"/>
  <c r="C10" i="8"/>
  <c r="C2" i="8"/>
  <c r="C7" i="8"/>
  <c r="C5" i="6"/>
  <c r="C12" i="6"/>
  <c r="C3" i="6"/>
  <c r="C2" i="6"/>
  <c r="C6" i="6"/>
  <c r="C4" i="6"/>
  <c r="C11" i="6"/>
  <c r="C7" i="7"/>
  <c r="C2" i="7"/>
  <c r="C3" i="7"/>
  <c r="C8" i="7"/>
  <c r="C4" i="7"/>
  <c r="C5" i="7"/>
  <c r="C6" i="7"/>
  <c r="F7" i="5"/>
  <c r="G7" i="8"/>
  <c r="D7" i="8"/>
  <c r="H2" i="8"/>
  <c r="H10" i="8"/>
  <c r="G10" i="8"/>
  <c r="F9" i="8"/>
  <c r="E9" i="8"/>
  <c r="E5" i="8"/>
  <c r="D5" i="8"/>
  <c r="M7" i="8"/>
  <c r="L7" i="8"/>
  <c r="K7" i="8"/>
  <c r="I7" i="8"/>
  <c r="L2" i="8"/>
  <c r="K2" i="8"/>
  <c r="J10" i="8"/>
  <c r="I10" i="8"/>
  <c r="J11" i="8"/>
  <c r="I11" i="8"/>
  <c r="M9" i="8"/>
  <c r="L9" i="8"/>
  <c r="L5" i="8"/>
  <c r="K5" i="8"/>
  <c r="I5" i="8"/>
  <c r="J6" i="8"/>
  <c r="I6" i="8"/>
  <c r="E4" i="4"/>
  <c r="D4" i="4"/>
  <c r="C5" i="4"/>
  <c r="F10" i="5"/>
  <c r="F9" i="5"/>
  <c r="B7" i="8"/>
  <c r="E7" i="8"/>
  <c r="F7" i="8"/>
  <c r="H7" i="8"/>
  <c r="J7" i="8"/>
  <c r="B6" i="7"/>
  <c r="B11" i="6"/>
  <c r="B9" i="5"/>
  <c r="B9" i="4"/>
  <c r="D9" i="4"/>
  <c r="E9" i="4"/>
  <c r="F9" i="4"/>
  <c r="G9" i="4"/>
  <c r="B5" i="3"/>
  <c r="B6" i="8"/>
  <c r="B5" i="8"/>
  <c r="B9" i="8"/>
  <c r="B11" i="8"/>
  <c r="B10" i="8"/>
  <c r="B2" i="8"/>
  <c r="B7" i="7"/>
  <c r="B2" i="7"/>
  <c r="B3" i="7"/>
  <c r="B8" i="7"/>
  <c r="B4" i="7"/>
  <c r="B5" i="7"/>
  <c r="B5" i="6"/>
  <c r="B12" i="6"/>
  <c r="B3" i="6"/>
  <c r="B2" i="6"/>
  <c r="B6" i="6"/>
  <c r="B4" i="6"/>
  <c r="B3" i="4"/>
  <c r="B4" i="4"/>
  <c r="B5" i="4"/>
  <c r="B6" i="4"/>
  <c r="B7" i="4"/>
  <c r="B8"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M2" i="8"/>
  <c r="J2" i="8"/>
  <c r="I2" i="8"/>
  <c r="F2" i="8"/>
  <c r="E2" i="8"/>
  <c r="D2" i="8"/>
  <c r="M6" i="8"/>
  <c r="L6" i="8"/>
  <c r="K6" i="8"/>
  <c r="H6" i="8"/>
  <c r="G6" i="8"/>
  <c r="F6" i="8"/>
  <c r="E6" i="8"/>
  <c r="K9" i="8"/>
  <c r="J9" i="8"/>
  <c r="I9" i="8"/>
  <c r="H9" i="8"/>
  <c r="G9" i="8"/>
  <c r="D9" i="8"/>
  <c r="M10" i="8"/>
  <c r="L10" i="8"/>
  <c r="K10" i="8"/>
  <c r="F10" i="8"/>
  <c r="E10" i="8"/>
  <c r="D10" i="8"/>
  <c r="M5" i="8"/>
  <c r="J5" i="8"/>
  <c r="H5" i="8"/>
  <c r="G5" i="8"/>
  <c r="F5" i="8"/>
  <c r="M11" i="8"/>
  <c r="L11" i="8"/>
  <c r="K11" i="8"/>
  <c r="H11" i="8"/>
  <c r="G11" i="8"/>
  <c r="E11" i="8"/>
  <c r="D11" i="8"/>
  <c r="B12" i="5"/>
  <c r="B8" i="5"/>
  <c r="B7" i="5"/>
  <c r="B4" i="5"/>
  <c r="B11" i="5"/>
  <c r="B10" i="5"/>
  <c r="G8" i="4"/>
  <c r="F8" i="4"/>
  <c r="E8" i="4"/>
  <c r="D8" i="4"/>
  <c r="G5" i="4"/>
  <c r="F5" i="4"/>
  <c r="E5" i="4"/>
  <c r="D5" i="4"/>
  <c r="G4" i="4"/>
  <c r="F4" i="4"/>
  <c r="G6" i="4"/>
  <c r="F6" i="4"/>
  <c r="E6" i="4"/>
  <c r="D6" i="4"/>
  <c r="G7" i="4"/>
  <c r="F7" i="4"/>
  <c r="E7" i="4"/>
  <c r="D7" i="4"/>
  <c r="G3" i="4"/>
  <c r="F3" i="4"/>
  <c r="E3" i="4"/>
  <c r="D3" i="4"/>
  <c r="N54" i="10"/>
  <c r="N7" i="8" l="1"/>
  <c r="S7" i="8"/>
  <c r="T7" i="8"/>
  <c r="N10" i="8"/>
  <c r="N5" i="8"/>
  <c r="N9" i="8"/>
  <c r="D4" i="14"/>
  <c r="D2" i="14"/>
  <c r="N5" i="6"/>
  <c r="R3" i="4" s="1"/>
  <c r="N12" i="6"/>
  <c r="N3" i="6"/>
  <c r="N2" i="6"/>
  <c r="N6" i="6"/>
  <c r="N4" i="6"/>
  <c r="F11" i="8"/>
  <c r="D6" i="8"/>
  <c r="N6" i="8" s="1"/>
  <c r="N11" i="6"/>
  <c r="R12" i="4" s="1"/>
  <c r="N3" i="7"/>
  <c r="N7" i="7"/>
  <c r="N4" i="7"/>
  <c r="N6" i="7"/>
  <c r="S12" i="4" s="1"/>
  <c r="G2" i="8"/>
  <c r="N2" i="8" s="1"/>
  <c r="N2" i="7"/>
  <c r="N5" i="7"/>
  <c r="N8" i="7"/>
  <c r="Q12" i="4"/>
  <c r="H5" i="4"/>
  <c r="C9" i="4"/>
  <c r="H9" i="4" s="1"/>
  <c r="F11" i="5"/>
  <c r="F8" i="5"/>
  <c r="C3" i="4"/>
  <c r="H3" i="4" s="1"/>
  <c r="C4" i="4"/>
  <c r="H4" i="4" s="1"/>
  <c r="C6" i="4"/>
  <c r="H6" i="4" s="1"/>
  <c r="F12" i="5"/>
  <c r="C7" i="4"/>
  <c r="H7" i="4" s="1"/>
  <c r="F4" i="5"/>
  <c r="C8" i="4"/>
  <c r="H8" i="4" s="1"/>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T2" i="8"/>
  <c r="S6" i="8"/>
  <c r="T6" i="8"/>
  <c r="S9" i="8"/>
  <c r="T9" i="8"/>
  <c r="S5" i="8"/>
  <c r="T5" i="8"/>
  <c r="S10" i="8"/>
  <c r="T10" i="8"/>
  <c r="Q7" i="4" s="1"/>
  <c r="N11" i="8"/>
  <c r="R10" i="4"/>
  <c r="C2" i="14"/>
  <c r="O11" i="7"/>
  <c r="O12" i="7"/>
  <c r="T12" i="4"/>
  <c r="O10" i="6"/>
  <c r="O8" i="6"/>
  <c r="I13" i="4"/>
  <c r="I12" i="4"/>
  <c r="Q10" i="4"/>
  <c r="S10" i="4"/>
  <c r="O10" i="7"/>
  <c r="O9" i="7"/>
  <c r="O7" i="6"/>
  <c r="O9" i="6"/>
  <c r="I11" i="4"/>
  <c r="I10" i="4"/>
  <c r="C4" i="14"/>
  <c r="C3" i="14"/>
  <c r="B4" i="14"/>
  <c r="B3" i="14"/>
  <c r="B2" i="14"/>
  <c r="S5" i="4"/>
  <c r="S8" i="4"/>
  <c r="R9" i="4"/>
  <c r="S4" i="4"/>
  <c r="S7" i="4"/>
  <c r="R6" i="4"/>
  <c r="S3" i="4"/>
  <c r="R4" i="4"/>
  <c r="O5" i="6"/>
  <c r="O6" i="6"/>
  <c r="O2" i="6"/>
  <c r="R7" i="4"/>
  <c r="O2" i="7"/>
  <c r="O4" i="6"/>
  <c r="O6" i="7"/>
  <c r="O11" i="6"/>
  <c r="R8" i="4"/>
  <c r="O5" i="7"/>
  <c r="R5" i="4"/>
  <c r="O3" i="6"/>
  <c r="O12" i="6"/>
  <c r="S9" i="4"/>
  <c r="S6" i="4"/>
  <c r="O7" i="7"/>
  <c r="O3" i="7"/>
  <c r="O8" i="7"/>
  <c r="O4" i="7"/>
  <c r="Q9" i="4"/>
  <c r="I4" i="4"/>
  <c r="I8" i="4"/>
  <c r="I7" i="4"/>
  <c r="I6" i="4"/>
  <c r="I9" i="4"/>
  <c r="I5" i="4"/>
  <c r="I3" i="4"/>
  <c r="Q5" i="4"/>
  <c r="Q4" i="4"/>
  <c r="T11" i="8" l="1"/>
  <c r="D3" i="14"/>
  <c r="S11" i="8"/>
  <c r="L12" i="4"/>
  <c r="K12" i="4"/>
  <c r="Q6" i="4"/>
  <c r="T6" i="4" s="1"/>
  <c r="U11" i="8"/>
  <c r="J6" i="4" s="1"/>
  <c r="U5" i="8"/>
  <c r="J4" i="4" s="1"/>
  <c r="U6" i="8"/>
  <c r="J3" i="4" s="1"/>
  <c r="U10" i="8"/>
  <c r="J7" i="4" s="1"/>
  <c r="Q3" i="4"/>
  <c r="T3" i="4" s="1"/>
  <c r="U7" i="8"/>
  <c r="J9" i="4" s="1"/>
  <c r="U8" i="8"/>
  <c r="U9" i="8"/>
  <c r="J5" i="4" s="1"/>
  <c r="U4" i="8"/>
  <c r="U12" i="8"/>
  <c r="J11" i="4" s="1"/>
  <c r="U3" i="8"/>
  <c r="J13" i="4" s="1"/>
  <c r="U2" i="8"/>
  <c r="J8" i="4" s="1"/>
  <c r="Q8" i="4"/>
  <c r="K7" i="4"/>
  <c r="K3" i="4"/>
  <c r="L11" i="4"/>
  <c r="L13" i="4"/>
  <c r="K11" i="4"/>
  <c r="K13" i="4"/>
  <c r="T10" i="4"/>
  <c r="L10" i="4"/>
  <c r="K10" i="4"/>
  <c r="T4" i="4"/>
  <c r="T5" i="4"/>
  <c r="L7" i="4"/>
  <c r="K4" i="4"/>
  <c r="K5" i="4"/>
  <c r="L6" i="4"/>
  <c r="L4" i="4"/>
  <c r="K6" i="4"/>
  <c r="L8" i="4"/>
  <c r="L5" i="4"/>
  <c r="K9" i="4"/>
  <c r="L3" i="4"/>
  <c r="L9" i="4"/>
  <c r="T7" i="4"/>
  <c r="K8" i="4"/>
  <c r="T9" i="4"/>
  <c r="T8" i="4"/>
  <c r="J12" i="4" l="1"/>
  <c r="M12" i="4" s="1"/>
  <c r="J10" i="4"/>
  <c r="M10" i="4" s="1"/>
  <c r="M13" i="4"/>
  <c r="U10" i="4"/>
  <c r="U8" i="4"/>
  <c r="U5" i="4"/>
  <c r="U4" i="4"/>
  <c r="U6" i="4"/>
  <c r="U3" i="4"/>
  <c r="U13" i="4"/>
  <c r="U11" i="4"/>
  <c r="U7" i="4"/>
  <c r="U12" i="4"/>
  <c r="M11" i="4"/>
  <c r="M7" i="4"/>
  <c r="M9" i="4"/>
  <c r="M3" i="4"/>
  <c r="M8" i="4"/>
  <c r="M4" i="4"/>
  <c r="M5" i="4"/>
  <c r="M6" i="4"/>
  <c r="U9" i="4"/>
  <c r="N6" i="4" l="1"/>
  <c r="N12" i="4"/>
  <c r="N8" i="4"/>
  <c r="N5" i="4"/>
  <c r="N9" i="4"/>
  <c r="N4" i="4"/>
  <c r="N3" i="4"/>
  <c r="N7" i="4"/>
  <c r="N10" i="4"/>
  <c r="N11" i="4"/>
  <c r="N13" i="4"/>
</calcChain>
</file>

<file path=xl/sharedStrings.xml><?xml version="1.0" encoding="utf-8"?>
<sst xmlns="http://schemas.openxmlformats.org/spreadsheetml/2006/main" count="197" uniqueCount="139">
  <si>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</si>
  <si>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</si>
  <si>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</si>
  <si>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</si>
  <si>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</si>
  <si>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</si>
  <si>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</si>
  <si>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</si>
  <si>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</si>
  <si>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</si>
  <si>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</si>
  <si>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</si>
  <si>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</si>
  <si>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</si>
  <si>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</si>
  <si>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</si>
  <si>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</si>
  <si>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</si>
  <si>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</si>
  <si>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</si>
  <si>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</si>
  <si>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</si>
  <si>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</si>
  <si>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</si>
  <si>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</si>
  <si>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</si>
  <si>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</si>
  <si>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</si>
  <si>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</si>
  <si>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</si>
  <si>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</si>
  <si>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</si>
  <si>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</si>
  <si>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</si>
  <si>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</si>
  <si>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</si>
  <si>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</si>
  <si>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</si>
  <si>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</si>
  <si>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</si>
  <si>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</si>
  <si>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</si>
  <si>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</si>
  <si>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</si>
  <si>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</si>
  <si>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</si>
  <si>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</si>
  <si>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</si>
  <si>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</si>
  <si>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</si>
  <si>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</si>
  <si>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</si>
  <si>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</si>
  <si>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</si>
  <si>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Yes</t>
  </si>
  <si>
    <t>Robot Design 1st Place</t>
  </si>
  <si>
    <t>Innovation Project 1st Place</t>
  </si>
  <si>
    <t>Core Values 1st Place</t>
  </si>
  <si>
    <t>Judges Award 1</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</si>
  <si>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</si>
  <si>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</si>
  <si>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</si>
  <si>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</si>
  <si>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</si>
  <si>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</si>
  <si>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</si>
  <si>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</si>
  <si>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</si>
  <si>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</si>
  <si>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</si>
  <si>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</si>
  <si>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</si>
  <si>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</si>
  <si>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</si>
  <si>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</si>
  <si>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</si>
  <si>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</si>
  <si>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</si>
  <si>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</si>
  <si>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</si>
  <si>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</si>
  <si>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</si>
  <si>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</si>
  <si>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</si>
  <si>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</si>
  <si>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</si>
  <si>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</si>
  <si>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</si>
  <si>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</si>
  <si>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</si>
  <si>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</si>
  <si>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</si>
  <si>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</si>
  <si>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</si>
  <si>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</si>
  <si>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</si>
  <si>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</si>
  <si>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</si>
  <si>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</si>
  <si>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</si>
  <si>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</si>
  <si>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</si>
  <si>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</si>
  <si>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</si>
  <si>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</si>
  <si>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</si>
  <si>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</si>
  <si>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</si>
  <si>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</si>
  <si>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</si>
  <si>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</si>
  <si>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</si>
  <si>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</si>
  <si>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Champions 2nd Place</t>
  </si>
  <si>
    <t>Judges</t>
  </si>
  <si>
    <t>RG2 CV9 IP11 RD1 CR6</t>
  </si>
  <si>
    <t>RG4 CV10 IP10 RD3 CR8</t>
  </si>
  <si>
    <t>RG5 CV8 IP8 RD6 CR8</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</si>
  <si>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</si>
  <si>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</si>
  <si>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</si>
  <si>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Tournament Name</t>
  </si>
  <si>
    <t>Smallville Regional Qualifying Tournament FILLED</t>
  </si>
  <si>
    <t>Submerged</t>
  </si>
  <si>
    <t>Completed Script File</t>
  </si>
  <si>
    <t>skip</t>
  </si>
  <si>
    <t>POD</t>
  </si>
  <si>
    <t>RD Average</t>
  </si>
  <si>
    <t>IP Average</t>
  </si>
  <si>
    <t>CV Average</t>
  </si>
  <si>
    <t>RG11 CV6 IP4 RD11 CR10</t>
  </si>
  <si>
    <t>CV Total</t>
  </si>
  <si>
    <t>RG9 CV4 IP4 RD9 CR7</t>
  </si>
  <si>
    <t>RG10 CV11 IP9 RD9 CR11</t>
  </si>
  <si>
    <t>RG3 CV4 IP4 RD6 CR4</t>
  </si>
  <si>
    <t>RG6 CV3 IP2 RD1 CR2</t>
  </si>
  <si>
    <t>RG8 CV1 IP1 RD6 CR3</t>
  </si>
  <si>
    <t>RG7 CV7 IP4 RD3 CR5</t>
  </si>
  <si>
    <t>RG1 CV1 IP2 RD3 CR1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</si>
</sst>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0;\-0;;@"/>
    <numFmt numFmtId="166"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sz val="14"/>
      <color rgb="FF000000"/>
      <name val="Calibri"/>
      <family val="2"/>
    </font>
    <font>
      <b/>
      <i/>
      <sz val="11"/>
      <color theme="0"/>
      <name val="Calibri"/>
      <family val="2"/>
      <scheme val="minor"/>
    </font>
    <font>
      <b/>
      <sz val="12"/>
      <color theme="0"/>
      <name val="Calibri"/>
      <family val="2"/>
      <scheme val="minor"/>
    </font>
    <font>
      <b/>
      <sz val="1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89999084444715716"/>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9">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10" fillId="0" borderId="0" xfId="0" applyFont="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0" fillId="3" borderId="0" xfId="0" applyFont="1" applyFill="1" applyAlignment="1">
      <alignment horizontal="center" vertical="center"/>
    </xf>
    <xf numFmtId="0" fontId="0" fillId="3" borderId="0" xfId="0" applyFill="1" applyAlignment="1">
      <alignment horizontal="center" vertical="center"/>
    </xf>
    <xf numFmtId="0" fontId="17" fillId="3" borderId="0" xfId="0" applyFont="1" applyFill="1" applyAlignment="1">
      <alignment horizontal="left" vertical="center"/>
    </xf>
    <xf numFmtId="0" fontId="18" fillId="3" borderId="0" xfId="0" applyFont="1" applyFill="1" applyAlignment="1">
      <alignment horizontal="left" vertical="center"/>
    </xf>
    <xf numFmtId="0" fontId="17" fillId="3" borderId="0" xfId="0" applyFont="1" applyFill="1" applyAlignment="1">
      <alignment vertical="top" wrapText="1"/>
    </xf>
    <xf numFmtId="49" fontId="17"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12" xfId="0" applyBorder="1"/>
    <xf numFmtId="0" fontId="19" fillId="0" borderId="0" xfId="0" applyFont="1" applyAlignment="1">
      <alignment horizontal="center" vertical="center" textRotation="90"/>
    </xf>
    <xf numFmtId="0" fontId="4" fillId="20" borderId="3" xfId="0" applyFont="1" applyFill="1" applyBorder="1" applyAlignment="1">
      <alignment horizontal="left" vertical="center"/>
    </xf>
    <xf numFmtId="0" fontId="4" fillId="20" borderId="4" xfId="0" applyFont="1" applyFill="1" applyBorder="1" applyAlignment="1">
      <alignment horizontal="left" vertical="center"/>
    </xf>
    <xf numFmtId="0" fontId="0" fillId="20" borderId="5" xfId="0" applyFill="1" applyBorder="1" applyAlignment="1">
      <alignment vertical="center"/>
    </xf>
    <xf numFmtId="0" fontId="0" fillId="20" borderId="6" xfId="0" applyFill="1" applyBorder="1" applyAlignment="1">
      <alignment horizontal="center" vertical="center"/>
    </xf>
    <xf numFmtId="0" fontId="0" fillId="20" borderId="0" xfId="0" applyFill="1" applyAlignment="1">
      <alignment horizontal="center" vertical="center"/>
    </xf>
    <xf numFmtId="0" fontId="0" fillId="20" borderId="7" xfId="0" applyFill="1" applyBorder="1" applyAlignment="1">
      <alignment horizontal="center" vertical="center"/>
    </xf>
    <xf numFmtId="0" fontId="0" fillId="20" borderId="8" xfId="0" applyFill="1" applyBorder="1" applyAlignment="1">
      <alignment horizontal="center" vertical="center"/>
    </xf>
    <xf numFmtId="0" fontId="0" fillId="20" borderId="9" xfId="0" applyFill="1" applyBorder="1" applyAlignment="1">
      <alignment horizontal="center" vertical="center"/>
    </xf>
    <xf numFmtId="0" fontId="0" fillId="20" borderId="10" xfId="0" applyFill="1" applyBorder="1" applyAlignment="1">
      <alignment horizontal="center" vertical="center"/>
    </xf>
    <xf numFmtId="0" fontId="10" fillId="3" borderId="0" xfId="0" applyFont="1" applyFill="1" applyAlignment="1">
      <alignment horizontal="center" vertical="top"/>
    </xf>
    <xf numFmtId="0" fontId="0" fillId="3" borderId="0" xfId="0" applyFill="1" applyAlignment="1">
      <alignment horizontal="center" vertical="top"/>
    </xf>
    <xf numFmtId="0" fontId="17" fillId="3" borderId="0" xfId="0" applyFont="1" applyFill="1" applyAlignment="1">
      <alignment horizontal="left" vertical="top"/>
    </xf>
    <xf numFmtId="0" fontId="16" fillId="3" borderId="0" xfId="0" applyFont="1" applyFill="1" applyAlignment="1">
      <alignment horizontal="left" vertical="top"/>
    </xf>
    <xf numFmtId="0" fontId="20" fillId="3" borderId="0" xfId="0" applyFont="1" applyFill="1" applyAlignment="1">
      <alignment vertical="center" wrapText="1"/>
    </xf>
    <xf numFmtId="0" fontId="1" fillId="0" borderId="0" xfId="0" applyFont="1" applyAlignment="1">
      <alignment horizontal="center" vertical="center"/>
    </xf>
    <xf numFmtId="0" fontId="22" fillId="0" borderId="0" xfId="0" applyFont="1"/>
    <xf numFmtId="165" fontId="15" fillId="0" borderId="0" xfId="0" applyNumberFormat="1" applyFont="1" applyAlignment="1">
      <alignment horizontal="center" vertical="center"/>
    </xf>
    <xf numFmtId="0" fontId="20" fillId="3" borderId="0" xfId="0" applyFont="1" applyFill="1" applyAlignment="1">
      <alignment horizontal="left" vertical="top"/>
    </xf>
    <xf numFmtId="0" fontId="24" fillId="0" borderId="0" xfId="0" applyFont="1" applyAlignment="1">
      <alignment horizontal="left" vertical="center"/>
    </xf>
    <xf numFmtId="0" fontId="9" fillId="0" borderId="0" xfId="0" applyFont="1" applyAlignment="1">
      <alignment horizontal="center" vertical="center" wrapText="1"/>
    </xf>
    <xf numFmtId="0" fontId="25" fillId="0" borderId="0" xfId="0" applyFont="1" applyAlignment="1">
      <alignment horizontal="left" vertical="center" wrapText="1"/>
    </xf>
    <xf numFmtId="0" fontId="26"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11" xfId="0" applyFont="1" applyFill="1" applyBorder="1" applyAlignment="1">
      <alignment horizontal="center" vertical="center" wrapText="1"/>
    </xf>
    <xf numFmtId="165" fontId="9" fillId="17" borderId="11"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1" fillId="22" borderId="0" xfId="0" applyFont="1" applyFill="1" applyAlignment="1">
      <alignment horizontal="center" vertical="center"/>
    </xf>
    <xf numFmtId="0" fontId="0" fillId="0" borderId="0" xfId="0" applyAlignment="1">
      <alignment wrapText="1"/>
    </xf>
    <xf numFmtId="0" fontId="7" fillId="0" borderId="0" xfId="0" applyFont="1" applyAlignment="1">
      <alignment vertical="top"/>
    </xf>
    <xf numFmtId="0" fontId="12" fillId="0" borderId="0" xfId="0" applyFont="1" applyAlignment="1">
      <alignment horizontal="left" vertical="center"/>
    </xf>
    <xf numFmtId="1" fontId="12" fillId="0" borderId="0" xfId="0" applyNumberFormat="1"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pplyProtection="1">
      <alignment horizontal="center" vertical="center"/>
      <protection locked="0"/>
    </xf>
    <xf numFmtId="2" fontId="12" fillId="0" borderId="0" xfId="0"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165" fontId="7" fillId="0" borderId="0" xfId="0" applyNumberFormat="1" applyFont="1" applyAlignment="1">
      <alignment horizontal="center" vertical="center"/>
    </xf>
    <xf numFmtId="0" fontId="1" fillId="0" borderId="0" xfId="0" applyFont="1" applyAlignment="1" applyProtection="1">
      <alignment horizontal="center" vertical="center"/>
      <protection locked="0"/>
    </xf>
    <xf numFmtId="1" fontId="7" fillId="0" borderId="0" xfId="0" applyNumberFormat="1" applyFont="1" applyAlignment="1">
      <alignment horizontal="center" vertical="center"/>
    </xf>
    <xf numFmtId="0" fontId="7" fillId="0" borderId="0" xfId="0" applyFont="1" applyAlignment="1">
      <alignment horizontal="center" vertical="center"/>
    </xf>
    <xf numFmtId="0" fontId="21" fillId="0" borderId="0" xfId="0" applyFont="1" applyAlignment="1">
      <alignment horizontal="center" vertical="center"/>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1"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6"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7" fillId="3" borderId="0" xfId="0" applyFont="1" applyFill="1" applyAlignment="1">
      <alignment horizontal="left" vertical="center"/>
    </xf>
    <xf numFmtId="0" fontId="20" fillId="21" borderId="15"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3" fillId="3" borderId="0" xfId="0" applyFont="1" applyFill="1" applyAlignment="1">
      <alignment horizontal="center" vertical="center" wrapText="1"/>
    </xf>
    <xf numFmtId="0" fontId="17" fillId="3" borderId="0" xfId="0" applyFont="1" applyFill="1" applyAlignment="1">
      <alignment horizontal="left" vertical="top" wrapText="1"/>
    </xf>
    <xf numFmtId="0" fontId="10" fillId="3" borderId="0" xfId="0" applyFont="1" applyFill="1" applyAlignment="1">
      <alignment horizontal="center" vertical="center"/>
    </xf>
    <xf numFmtId="0" fontId="20" fillId="21" borderId="14" xfId="0" applyFont="1" applyFill="1" applyBorder="1" applyAlignment="1">
      <alignment horizontal="center" vertical="center" wrapText="1"/>
    </xf>
    <xf numFmtId="0" fontId="20" fillId="21" borderId="13" xfId="0" applyFont="1" applyFill="1" applyBorder="1" applyAlignment="1">
      <alignment horizontal="center" vertical="center" wrapText="1"/>
    </xf>
    <xf numFmtId="0" fontId="0" fillId="0" borderId="0" xfId="0" applyAlignment="1">
      <alignment horizontal="center" vertical="center"/>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4" fillId="0" borderId="0" xfId="0" applyFont="1" applyAlignment="1">
      <alignment horizontal="left" vertical="center"/>
    </xf>
    <xf numFmtId="0" fontId="1" fillId="0" borderId="0" xfId="0" applyNumberFormat="1" applyFont="1" applyAlignment="1" applyProtection="1">
      <alignment horizontal="center" vertical="center"/>
      <protection locked="0"/>
    </xf>
    <xf numFmtId="0" fontId="7" fillId="0" borderId="0" xfId="0" applyNumberFormat="1" applyFont="1" applyAlignment="1">
      <alignment horizontal="center" vertical="center"/>
    </xf>
    <xf numFmtId="0" fontId="3" fillId="9" borderId="3" xfId="0" applyFont="1" applyFill="1" applyBorder="1" applyAlignment="1">
      <alignment horizontal="center" vertical="center" wrapText="1"/>
    </xf>
    <xf numFmtId="0" fontId="3" fillId="9" borderId="4" xfId="0" applyFont="1" applyFill="1" applyBorder="1" applyAlignment="1">
      <alignment horizontal="center" vertical="center"/>
    </xf>
    <xf numFmtId="0" fontId="3" fillId="9" borderId="5" xfId="0" applyFont="1" applyFill="1" applyBorder="1" applyAlignment="1">
      <alignment horizontal="center" vertical="center"/>
    </xf>
    <xf numFmtId="0" fontId="1" fillId="0" borderId="0" xfId="0" applyFont="1" applyBorder="1" applyAlignment="1">
      <alignment horizontal="left" vertical="center"/>
    </xf>
    <xf numFmtId="0" fontId="1" fillId="0" borderId="0" xfId="0" applyNumberFormat="1" applyFont="1" applyBorder="1" applyAlignment="1">
      <alignment horizontal="left" vertical="center"/>
    </xf>
    <xf numFmtId="0" fontId="12" fillId="0" borderId="0" xfId="0" applyFont="1" applyFill="1" applyAlignment="1" applyProtection="1">
      <alignment horizontal="center" vertical="center"/>
      <protection locked="0"/>
    </xf>
    <xf numFmtId="0" fontId="12" fillId="0" borderId="0" xfId="0" applyNumberFormat="1" applyFont="1" applyFill="1" applyAlignment="1" applyProtection="1">
      <alignment horizontal="left" vertical="center"/>
    </xf>
    <xf numFmtId="1" fontId="12" fillId="0" borderId="0" xfId="0" applyNumberFormat="1" applyFont="1" applyFill="1" applyAlignment="1" applyProtection="1">
      <alignment horizontal="center" vertical="center"/>
    </xf>
    <xf numFmtId="164" fontId="12" fillId="0" borderId="0" xfId="0" applyNumberFormat="1" applyFont="1" applyFill="1" applyAlignment="1" applyProtection="1">
      <alignment horizontal="center" vertical="center"/>
      <protection locked="0"/>
    </xf>
    <xf numFmtId="1" fontId="12" fillId="0" borderId="0" xfId="0" applyNumberFormat="1" applyFont="1" applyFill="1" applyAlignment="1" applyProtection="1">
      <alignment horizontal="center" vertical="center"/>
      <protection locked="0"/>
    </xf>
    <xf numFmtId="2" fontId="12" fillId="0" borderId="0" xfId="0" applyNumberFormat="1" applyFont="1" applyFill="1" applyAlignment="1" applyProtection="1">
      <alignment horizontal="center" vertical="center"/>
      <protection locked="0"/>
    </xf>
    <xf numFmtId="0" fontId="12" fillId="0" borderId="0" xfId="0" applyNumberFormat="1" applyFont="1" applyFill="1" applyAlignment="1" applyProtection="1">
      <alignment horizontal="center" vertical="center"/>
      <protection locked="0"/>
    </xf>
    <xf numFmtId="0" fontId="1" fillId="0" borderId="0" xfId="0" applyNumberFormat="1" applyFont="1" applyFill="1" applyAlignment="1" applyProtection="1">
      <alignment horizontal="center" vertical="center"/>
    </xf>
    <xf numFmtId="0" fontId="1" fillId="0" borderId="0" xfId="0" applyFont="1" applyFill="1" applyAlignment="1" applyProtection="1">
      <alignment horizontal="center" vertical="center"/>
    </xf>
    <xf numFmtId="165" fontId="7" fillId="0" borderId="0" xfId="0" applyNumberFormat="1" applyFont="1" applyFill="1" applyAlignment="1" applyProtection="1">
      <alignment horizontal="center" vertical="center"/>
    </xf>
    <xf numFmtId="0" fontId="1" fillId="0" borderId="0" xfId="0" applyNumberFormat="1" applyFont="1" applyFill="1" applyAlignment="1" applyProtection="1">
      <alignment horizontal="left" vertical="center"/>
    </xf>
    <xf numFmtId="0" fontId="1" fillId="0" borderId="0" xfId="0" applyNumberFormat="1" applyFont="1" applyFill="1" applyAlignment="1" applyProtection="1">
      <alignment horizontal="center" vertical="center"/>
      <protection locked="0"/>
    </xf>
    <xf numFmtId="1"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center" vertical="center"/>
    </xf>
    <xf numFmtId="0" fontId="21" fillId="0" borderId="0" xfId="0" applyNumberFormat="1" applyFont="1" applyFill="1" applyAlignment="1" applyProtection="1">
      <alignment horizontal="center" vertical="center"/>
    </xf>
    <xf numFmtId="0" fontId="7" fillId="0" borderId="0" xfId="0" applyFont="1" applyBorder="1" applyAlignment="1">
      <alignment horizontal="center" vertical="center"/>
    </xf>
    <xf numFmtId="0" fontId="7" fillId="0" borderId="0" xfId="0" applyNumberFormat="1" applyFont="1" applyBorder="1" applyAlignment="1">
      <alignment horizontal="center" vertical="center"/>
    </xf>
    <xf numFmtId="0" fontId="1" fillId="0" borderId="0" xfId="0" applyNumberFormat="1" applyFont="1" applyFill="1" applyBorder="1" applyAlignment="1" applyProtection="1">
      <alignment horizontal="left" vertical="center"/>
    </xf>
    <xf numFmtId="166" fontId="0" fillId="0" borderId="0" xfId="0" applyNumberFormat="1"/>
  </cellXfs>
  <cellStyles count="1">
    <cellStyle name="Normal" xfId="0" builtinId="0"/>
  </cellStyles>
  <dxfs count="161">
    <dxf>
      <font>
        <color theme="9" tint="-0.499984740745262"/>
      </font>
      <fill>
        <patternFill>
          <bgColor rgb="FF00B050"/>
        </patternFill>
      </fill>
    </dxf>
    <dxf>
      <font>
        <color rgb="FF9C0006"/>
      </font>
      <fill>
        <patternFill>
          <bgColor rgb="FFFFC7CE"/>
        </patternFill>
      </fill>
    </dxf>
    <dxf>
      <fill>
        <patternFill>
          <bgColor rgb="FF00B0F0"/>
        </patternFill>
      </fill>
    </dxf>
    <dxf>
      <fill>
        <patternFill>
          <bgColor theme="9" tint="0.59996337778862885"/>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b/>
        <strike val="0"/>
        <outline val="0"/>
        <shadow val="0"/>
        <vertAlign val="baseline"/>
        <sz val="12"/>
        <color theme="1"/>
        <name val="Calibri"/>
        <scheme val="minor"/>
      </font>
      <numFmt numFmtId="1" formatCode="0"/>
      <fill>
        <patternFill patternType="none">
          <fgColor indexed="64"/>
          <bgColor auto="1"/>
        </patternFill>
      </fill>
      <alignment horizontal="center" vertical="center"/>
      <protection locked="1" hidden="0"/>
    </dxf>
    <dxf>
      <font>
        <b val="0"/>
        <i/>
        <strike val="0"/>
        <condense val="0"/>
        <extend val="0"/>
        <outline val="0"/>
        <shadow val="0"/>
        <u val="none"/>
        <vertAlign val="baseline"/>
        <sz val="12"/>
        <color rgb="FFFF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protection locked="1" hidden="0"/>
    </dxf>
    <dxf>
      <font>
        <strike val="0"/>
        <outline val="0"/>
        <shadow val="0"/>
        <vertAlign val="baseline"/>
        <sz val="12"/>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protection locked="1" hidden="0"/>
    </dxf>
    <dxf>
      <font>
        <strike val="0"/>
        <outline val="0"/>
        <shadow val="0"/>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protection locked="1" hidden="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auto="1"/>
        <name val="Calibri"/>
        <scheme val="minor"/>
      </font>
      <numFmt numFmtId="1" formatCode="0"/>
      <fill>
        <patternFill patternType="none">
          <fgColor indexed="64"/>
          <bgColor indexed="65"/>
        </patternFill>
      </fill>
      <alignment horizontal="center" vertical="center" textRotation="0" wrapText="0" indent="0" justifyLastLine="0" shrinkToFit="0" readingOrder="0"/>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left"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auto="1"/>
        <name val="Calibri"/>
        <scheme val="minor"/>
      </font>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64" formatCode=";;;"/>
      <fill>
        <patternFill patternType="none">
          <fgColor indexed="64"/>
          <bgColor auto="1"/>
        </patternFill>
      </fill>
      <alignment horizontal="center" vertical="center"/>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protection locked="1" hidden="0"/>
    </dxf>
    <dxf>
      <font>
        <strike val="0"/>
        <condense val="0"/>
        <extend val="0"/>
        <outline val="0"/>
        <shadow val="0"/>
        <vertAlign val="baseline"/>
        <sz val="12"/>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condense val="0"/>
        <extend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0" hidden="0"/>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condense val="0"/>
        <extend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i/>
        <strike val="0"/>
        <outline val="0"/>
        <shadow val="0"/>
        <vertAlign val="baseline"/>
        <sz val="12"/>
        <color rgb="FFFF0000"/>
        <name val="Calibri"/>
        <family val="2"/>
        <scheme val="minor"/>
      </font>
      <numFmt numFmtId="0" formatCode="General"/>
      <fill>
        <patternFill patternType="none">
          <fgColor indexed="64"/>
          <bgColor auto="1"/>
        </patternFill>
      </fill>
      <alignment horizontal="center" vertical="center"/>
      <protection locked="1" hidden="0"/>
    </dxf>
    <dxf>
      <font>
        <strike val="0"/>
        <outline val="0"/>
        <shadow val="0"/>
        <vertAlign val="baseline"/>
        <sz val="12"/>
        <color rgb="FF000000"/>
        <name val="Calibri"/>
      </font>
      <fill>
        <patternFill patternType="none">
          <fgColor indexed="64"/>
          <bgColor auto="1"/>
        </patternFill>
      </fill>
      <alignment horizontal="center" vertical="center"/>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scheme val="minor"/>
      </font>
      <numFmt numFmtId="0" formatCode="General"/>
      <fill>
        <patternFill patternType="none">
          <fgColor indexed="64"/>
          <bgColor auto="1"/>
        </patternFill>
      </fill>
      <alignment horizontal="center" vertical="center"/>
      <protection locked="1" hidden="0"/>
    </dxf>
    <dxf>
      <font>
        <b/>
        <strike val="0"/>
        <outline val="0"/>
        <shadow val="0"/>
        <vertAlign val="baseline"/>
        <sz val="12"/>
        <color theme="1"/>
        <name val="Calibri"/>
        <scheme val="minor"/>
      </font>
      <numFmt numFmtId="1" formatCode="0"/>
      <fill>
        <patternFill patternType="none">
          <fgColor indexed="64"/>
          <bgColor auto="1"/>
        </patternFill>
      </fill>
      <alignment horizontal="center" vertical="center"/>
      <protection locked="1" hidden="0"/>
    </dxf>
    <dxf>
      <font>
        <strike val="0"/>
        <outline val="0"/>
        <shadow val="0"/>
        <vertAlign val="baseline"/>
        <sz val="12"/>
        <color rgb="FF000000"/>
        <name val="Calibri"/>
      </font>
      <fill>
        <patternFill>
          <fgColor indexed="64"/>
          <bgColor theme="0"/>
        </patternFill>
      </fill>
      <alignment horizontal="center" vertical="center"/>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family val="2"/>
        <scheme val="minor"/>
      </font>
      <numFmt numFmtId="0" formatCode="General"/>
      <fill>
        <patternFill patternType="none">
          <fgColor indexed="64"/>
          <bgColor auto="1"/>
        </patternFill>
      </fill>
      <alignment horizontal="center" vertical="center"/>
      <protection locked="1" hidden="0"/>
    </dxf>
    <dxf>
      <font>
        <strike val="0"/>
        <condense val="0"/>
        <extend val="0"/>
        <outline val="0"/>
        <shadow val="0"/>
        <vertAlign val="baseline"/>
        <sz val="12"/>
        <color theme="1"/>
        <name val="Calibri"/>
        <family val="2"/>
        <scheme val="minor"/>
      </font>
      <fill>
        <patternFill patternType="none">
          <fgColor indexed="64"/>
          <bgColor auto="1"/>
        </patternFill>
      </fill>
      <alignment horizontal="center" vertical="center"/>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2" formatCode="0.0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0"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1" formatCode="0"/>
      <fill>
        <patternFill patternType="none">
          <fgColor indexed="64"/>
          <bgColor auto="1"/>
        </patternFill>
      </fill>
      <alignment horizontal="center" vertical="center"/>
      <protection locked="1" hidden="0"/>
    </dxf>
    <dxf>
      <font>
        <strike val="0"/>
        <condense val="0"/>
        <extend val="0"/>
        <outline val="0"/>
        <shadow val="0"/>
        <vertAlign val="baseline"/>
        <sz val="12"/>
        <color auto="1"/>
        <name val="Calibri"/>
        <scheme val="minor"/>
      </font>
      <numFmt numFmtId="0" formatCode="General"/>
      <fill>
        <patternFill patternType="none">
          <fgColor indexed="64"/>
          <bgColor auto="1"/>
        </patternFill>
      </fill>
      <alignment horizontal="left" vertical="center"/>
      <protection locked="1" hidden="0"/>
    </dxf>
    <dxf>
      <font>
        <strike val="0"/>
        <condense val="0"/>
        <extend val="0"/>
        <outline val="0"/>
        <shadow val="0"/>
        <vertAlign val="baseline"/>
        <sz val="12"/>
        <color auto="1"/>
        <name val="Calibri"/>
        <scheme val="minor"/>
      </font>
      <fill>
        <patternFill patternType="none">
          <fgColor indexed="64"/>
          <bgColor auto="1"/>
        </patternFill>
      </fill>
      <alignment horizontal="center" vertical="center"/>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protection locked="1" hidden="0"/>
    </dxf>
    <dxf>
      <font>
        <b val="0"/>
        <strike val="0"/>
        <outline val="0"/>
        <shadow val="0"/>
        <vertAlign val="baseline"/>
        <sz val="12"/>
        <color theme="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theme="1"/>
        <name val="Calibri"/>
        <scheme val="minor"/>
      </font>
      <fill>
        <patternFill patternType="none">
          <fgColor indexed="64"/>
          <bgColor auto="1"/>
        </patternFill>
      </fill>
    </dxf>
    <dxf>
      <font>
        <strike val="0"/>
        <outline val="0"/>
        <shadow val="0"/>
        <vertAlign val="baseline"/>
        <sz val="12"/>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theme="1"/>
        <name val="Calibri"/>
        <scheme val="minor"/>
      </font>
      <fill>
        <patternFill patternType="none">
          <fgColor indexed="64"/>
          <bgColor auto="1"/>
        </patternFill>
      </fill>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219075</xdr:colOff>
          <xdr:row>2</xdr:row>
          <xdr:rowOff>200025</xdr:rowOff>
        </xdr:from>
        <xdr:to>
          <xdr:col>9</xdr:col>
          <xdr:colOff>447675</xdr:colOff>
          <xdr:row>4</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Update Team Numbers</a:t>
              </a:r>
            </a:p>
            <a:p>
              <a:pPr algn="ctr" rtl="0">
                <a:defRPr sz="1000"/>
              </a:pPr>
              <a:r>
                <a:rPr lang="en-US" sz="1400" b="0" i="0" u="none" strike="noStrike" baseline="0">
                  <a:solidFill>
                    <a:srgbClr val="000000"/>
                  </a:solidFill>
                  <a:latin typeface="Calibri"/>
                  <a:ea typeface="Calibri"/>
                  <a:cs typeface="Calibri"/>
                </a:rPr>
                <a:t>(Adds/Deletes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6</xdr:row>
          <xdr:rowOff>0</xdr:rowOff>
        </xdr:from>
        <xdr:to>
          <xdr:col>9</xdr:col>
          <xdr:colOff>552450</xdr:colOff>
          <xdr:row>8</xdr:row>
          <xdr:rowOff>76200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6</xdr:row>
          <xdr:rowOff>28575</xdr:rowOff>
        </xdr:from>
        <xdr:to>
          <xdr:col>8</xdr:col>
          <xdr:colOff>247650</xdr:colOff>
          <xdr:row>9</xdr:row>
          <xdr:rowOff>142875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Github-Projects\OJS_Script_maker_NG\2025-vadc-fll-challenge-tbd-ojs-smallville-div2.xlsm" TargetMode="External"/><Relationship Id="rId1" Type="http://schemas.openxmlformats.org/officeDocument/2006/relationships/externalLinkPath" Target="2025-vadc-fll-challenge-tbd-ojs-smallville-di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Team and Program Information"/>
      <sheetName val="Meta"/>
      <sheetName val="AwardList"/>
      <sheetName val="Results and Rankings"/>
      <sheetName val="Robot Game Scores"/>
      <sheetName val="Innovation Project Input"/>
      <sheetName val="Robot Design Input"/>
      <sheetName val="Core Values Input"/>
      <sheetName val="GP Scores"/>
      <sheetName val="Area Deliberation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13" totalsRowShown="0" headerRowDxfId="160" dataDxfId="159">
  <autoFilter ref="C2:F13" xr:uid="{00000000-0009-0000-0100-000001000000}"/>
  <sortState xmlns:xlrd2="http://schemas.microsoft.com/office/spreadsheetml/2017/richdata2" ref="C3:F13">
    <sortCondition ref="C3:C1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3" totalsRowShown="0" headerRowDxfId="154" dataDxfId="153">
  <autoFilter ref="A1:C13"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7" totalsRowShown="0">
  <autoFilter ref="A1:A7"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13" totalsRowShown="0" headerRowDxfId="149" dataDxfId="147" headerRowBorderDxfId="148">
  <autoFilter ref="A2:V13" xr:uid="{00000000-0009-0000-0100-000003000000}"/>
  <sortState xmlns:xlrd2="http://schemas.microsoft.com/office/spreadsheetml/2017/richdata2" ref="A3:V13">
    <sortCondition ref="A2:A13"/>
  </sortState>
  <tableColumns count="22">
    <tableColumn id="1" xr3:uid="{00000000-0010-0000-0200-000001000000}" name="Team Number" dataDxfId="26"/>
    <tableColumn id="2" xr3:uid="{00000000-0010-0000-0200-000002000000}" name="Team Name" dataDxfId="146">
      <calculatedColumnFormula>INDEX(OfficialTeamList[Team Name],MATCH(TournamentData[[#This Row],[Team Number]], OfficialTeamList[Team Number],0))</calculatedColumnFormula>
    </tableColumn>
    <tableColumn id="6" xr3:uid="{00000000-0010-0000-0200-000006000000}" name="Robot Game Score 1" dataDxfId="145">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4">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3">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2">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41">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40">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9">
      <calculatedColumnFormula>_xlfn.RANK.EQ(TournamentData[[#This Row],[Max Robot Game Score]],TournamentData[Max Robot Game Score])</calculatedColumnFormula>
    </tableColumn>
    <tableColumn id="3" xr3:uid="{00000000-0010-0000-0200-000003000000}" name="Core Values Rank" dataDxfId="138">
      <calculatedColumnFormula>INDEX(CoreValuesResults[Core Values Rank],MATCH(TournamentData[[#This Row],[Team Number]],CoreValuesResults[Team Number],0))</calculatedColumnFormula>
    </tableColumn>
    <tableColumn id="4" xr3:uid="{00000000-0010-0000-0200-000004000000}" name="Innovation Project Rank" dataDxfId="137">
      <calculatedColumnFormula>INDEX(InnovationProjectResults[Innovation Project Rank],MATCH(TournamentData[[#This Row],[Team Number]],InnovationProjectResults[Team Number],0))</calculatedColumnFormula>
    </tableColumn>
    <tableColumn id="5" xr3:uid="{00000000-0010-0000-0200-000005000000}" name="Robot Design Rank" dataDxfId="136">
      <calculatedColumnFormula>INDEX(RobotDesignResults[Robot Design Rank],MATCH(TournamentData[[#This Row],[Team Number]],RobotDesignResults[Team Number],0))</calculatedColumnFormula>
    </tableColumn>
    <tableColumn id="14" xr3:uid="{00000000-0010-0000-0200-00000E000000}" name="Champion's Score" dataDxfId="135">
      <calculatedColumnFormula>SUM(TournamentData[[#This Row],[Robot Game Rank]:[Robot Design Rank]])</calculatedColumnFormula>
    </tableColumn>
    <tableColumn id="11" xr3:uid="{00000000-0010-0000-0200-00000B000000}" name="Champion's Rank" dataDxfId="15">
      <calculatedColumnFormula>RANK(TournamentData[[#This Row],[Champion''s Score]],TournamentData[Champion''s Score],1)</calculatedColumnFormula>
    </tableColumn>
    <tableColumn id="12" xr3:uid="{00000000-0010-0000-0200-00000C000000}" name="Award" dataDxfId="31"/>
    <tableColumn id="21" xr3:uid="{00000000-0010-0000-0200-000015000000}" name="Advance?" dataDxfId="32"/>
    <tableColumn id="28" xr3:uid="{00000000-0010-0000-0200-00001C000000}" name="Core Values Score" dataDxfId="134">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33">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32">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31">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30">
      <calculatedColumnFormula>IF(T3,_xlfn.RANK.EQ(T3,T$3:T$21,0),NumberOfTeams)</calculatedColumnFormula>
    </tableColumn>
    <tableColumn id="20" xr3:uid="{00000000-0010-0000-0200-000014000000}" name="Comments" dataDxfId="1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2" totalsRowShown="0" headerRowDxfId="128" dataDxfId="126" headerRowBorderDxfId="127">
  <autoFilter ref="A1:F12" xr:uid="{00000000-0009-0000-0100-000004000000}"/>
  <sortState xmlns:xlrd2="http://schemas.microsoft.com/office/spreadsheetml/2017/richdata2" ref="A2:F12">
    <sortCondition ref="D1:D12"/>
  </sortState>
  <tableColumns count="6">
    <tableColumn id="2" xr3:uid="{00000000-0010-0000-0300-000002000000}" name="Team Number" dataDxfId="25"/>
    <tableColumn id="9" xr3:uid="{00000000-0010-0000-0300-000009000000}" name="Team Name" dataDxfId="125">
      <calculatedColumnFormula>INDEX(OfficialTeamList[Team Name],MATCH(RobotGameScores[[#This Row],[Team Number]], OfficialTeamList[Team Number],0))</calculatedColumnFormula>
    </tableColumn>
    <tableColumn id="3" xr3:uid="{00000000-0010-0000-0300-000003000000}" name="Robot Game 1 Score" dataDxfId="47"/>
    <tableColumn id="4" xr3:uid="{00000000-0010-0000-0300-000004000000}" name="Robot Game 2 Score" dataDxfId="46"/>
    <tableColumn id="5" xr3:uid="{00000000-0010-0000-0300-000005000000}" name="Robot Game 3 Score" dataDxfId="45"/>
    <tableColumn id="8" xr3:uid="{00000000-0010-0000-0300-000008000000}" name="Highest Robot Game Score" dataDxfId="124">
      <calculatedColumnFormula>MAX(C2:E2)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2" totalsRowShown="0" headerRowDxfId="123" dataDxfId="122">
  <autoFilter ref="A1:O12" xr:uid="{00000000-0009-0000-0100-000005000000}"/>
  <sortState xmlns:xlrd2="http://schemas.microsoft.com/office/spreadsheetml/2017/richdata2" ref="A2:O12">
    <sortCondition descending="1" ref="N1:N12"/>
  </sortState>
  <tableColumns count="15">
    <tableColumn id="1" xr3:uid="{00000000-0010-0000-0400-000001000000}" name="Team Number" dataDxfId="24"/>
    <tableColumn id="2" xr3:uid="{00000000-0010-0000-0400-000002000000}" name="Team Name" dataDxfId="29">
      <calculatedColumnFormula>INDEX(OfficialTeamList[Team Name],MATCH(InnovationProjectResults[[#This Row],[Team Number]], OfficialTeamList[Team Number],0))</calculatedColumnFormula>
    </tableColumn>
    <tableColumn id="6" xr3:uid="{9945966E-B468-46DC-B7B9-F2AAFBEB7AFC}" name="POD" dataDxfId="21">
      <calculatedColumnFormula>VLOOKUP(InnovationProjectResults[[#This Row],[Team Number]],OfficialTeamList[],4,0)</calculatedColumnFormula>
    </tableColumn>
    <tableColumn id="3" xr3:uid="{00000000-0010-0000-0400-000003000000}" name="Identify - Define" dataDxfId="28"/>
    <tableColumn id="4" xr3:uid="{00000000-0010-0000-0400-000004000000}" name="Identify - Research (CV)" dataDxfId="56"/>
    <tableColumn id="5" xr3:uid="{00000000-0010-0000-0400-000005000000}" name="Design - Plan" dataDxfId="55"/>
    <tableColumn id="7" xr3:uid="{00000000-0010-0000-0400-000007000000}" name="Design - Teamwork (CV)" dataDxfId="54"/>
    <tableColumn id="10" xr3:uid="{00000000-0010-0000-0400-00000A000000}" name="Create - Innovation (CV)" dataDxfId="53"/>
    <tableColumn id="8" xr3:uid="{00000000-0010-0000-0400-000008000000}" name="Create - Model" dataDxfId="52"/>
    <tableColumn id="9" xr3:uid="{00000000-0010-0000-0400-000009000000}" name="Iterate - Sharing" dataDxfId="51"/>
    <tableColumn id="11" xr3:uid="{00000000-0010-0000-0400-00000B000000}" name="Iterate - Improvement" dataDxfId="50"/>
    <tableColumn id="12" xr3:uid="{00000000-0010-0000-0400-00000C000000}" name="Communicate - Impact (CV)" dataDxfId="49"/>
    <tableColumn id="13" xr3:uid="{00000000-0010-0000-0400-00000D000000}" name="Communicate - Fun (CV)" dataDxfId="48"/>
    <tableColumn id="19" xr3:uid="{00000000-0010-0000-0400-000013000000}" name="Innovation Project Score" dataDxfId="121">
      <calculatedColumnFormula>SUM(InnovationProjectResults[[#This Row],[Identify - Define]:[Communicate - Fun (CV)]])</calculatedColumnFormula>
    </tableColumn>
    <tableColumn id="20" xr3:uid="{00000000-0010-0000-0400-000014000000}" name="Innovation Project Rank" dataDxfId="120">
      <calculatedColumnFormula>IF(InnovationProjectResults[[#This Row],[Team Number]]&gt;0,MIN(_xlfn.RANK.EQ(InnovationProjectResults[[#This Row],[Innovation Project Score]],InnovationProjectResults[Innovation Project Score],0),NumberOfTeams),NumberOfTeams+1)</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2" totalsRowShown="0" headerRowDxfId="119" dataDxfId="33">
  <autoFilter ref="A1:O12" xr:uid="{00000000-0009-0000-0100-000006000000}"/>
  <sortState xmlns:xlrd2="http://schemas.microsoft.com/office/spreadsheetml/2017/richdata2" ref="A2:O12">
    <sortCondition descending="1" ref="N1:N12"/>
  </sortState>
  <tableColumns count="15">
    <tableColumn id="1" xr3:uid="{00000000-0010-0000-0500-000001000000}" name="Team Number" dataDxfId="23"/>
    <tableColumn id="2" xr3:uid="{00000000-0010-0000-0500-000002000000}" name="Team Name" dataDxfId="20">
      <calculatedColumnFormula>INDEX(OfficialTeamList[Team Name],MATCH(RobotDesignResults[[#This Row],[Team Number]], OfficialTeamList[Team Number],0))</calculatedColumnFormula>
    </tableColumn>
    <tableColumn id="10" xr3:uid="{747A88A2-1429-428E-B084-994AE5E17E31}" name="POD" dataDxfId="19">
      <calculatedColumnFormula>VLOOKUP(RobotDesignResults[[#This Row],[Team Number]],OfficialTeamList[],4,0)</calculatedColumnFormula>
    </tableColumn>
    <tableColumn id="3" xr3:uid="{00000000-0010-0000-0500-000003000000}" name="Identify - Strategy" dataDxfId="30"/>
    <tableColumn id="4" xr3:uid="{00000000-0010-0000-0500-000004000000}" name="Identify - Research (CV)" dataDxfId="44"/>
    <tableColumn id="5" xr3:uid="{00000000-0010-0000-0500-000005000000}" name="Design - Ideas (CV)" dataDxfId="43"/>
    <tableColumn id="7" xr3:uid="{00000000-0010-0000-0500-000007000000}" name="Design - Building/Coding" dataDxfId="42"/>
    <tableColumn id="6" xr3:uid="{00000000-0010-0000-0500-000006000000}" name="Create - Attachments" dataDxfId="41"/>
    <tableColumn id="8" xr3:uid="{00000000-0010-0000-0500-000008000000}" name="Create - Code/ Sensors" dataDxfId="40"/>
    <tableColumn id="9" xr3:uid="{00000000-0010-0000-0500-000009000000}" name="Iterate - Testing" dataDxfId="39"/>
    <tableColumn id="11" xr3:uid="{00000000-0010-0000-0500-00000B000000}" name="Iterate - Improvements (CV)" dataDxfId="38"/>
    <tableColumn id="12" xr3:uid="{00000000-0010-0000-0500-00000C000000}" name="Communicate - Impact (CV)" dataDxfId="37"/>
    <tableColumn id="13" xr3:uid="{00000000-0010-0000-0500-00000D000000}" name="Communicate - Fun (CV)" dataDxfId="36"/>
    <tableColumn id="19" xr3:uid="{00000000-0010-0000-0500-000013000000}" name="Robot Design Score" dataDxfId="35">
      <calculatedColumnFormula>SUM(RobotDesignResults[[#This Row],[Identify - Strategy]:[Communicate - Fun (CV)]])</calculatedColumnFormula>
    </tableColumn>
    <tableColumn id="20" xr3:uid="{00000000-0010-0000-0500-000014000000}" name="Robot Design Rank" dataDxfId="34">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U12" totalsRowShown="0" headerRowDxfId="118" dataDxfId="117">
  <autoFilter ref="A1:U12" xr:uid="{00000000-0009-0000-0100-000007000000}"/>
  <sortState xmlns:xlrd2="http://schemas.microsoft.com/office/spreadsheetml/2017/richdata2" ref="A2:U12">
    <sortCondition ref="B1:B12"/>
  </sortState>
  <tableColumns count="21">
    <tableColumn id="1" xr3:uid="{00000000-0010-0000-0600-000001000000}" name="Team Number" dataDxfId="22"/>
    <tableColumn id="2" xr3:uid="{00000000-0010-0000-0600-000002000000}" name="Team Name" dataDxfId="18">
      <calculatedColumnFormula>INDEX(OfficialTeamList[Team Name],MATCH(CoreValuesResults[[#This Row],[Team Number]], OfficialTeamList[Team Number],0))</calculatedColumnFormula>
    </tableColumn>
    <tableColumn id="9" xr3:uid="{52A9A811-378E-4305-BFA2-BF94B95DE64D}" name="POD" dataDxfId="17">
      <calculatedColumnFormula>VLOOKUP(CoreValuesResults[[#This Row],[Team Number]],OfficialTeamList[],4,0)</calculatedColumnFormula>
    </tableColumn>
    <tableColumn id="3" xr3:uid="{00000000-0010-0000-0600-000003000000}" name="Identify - Research (CV-IP)" dataDxfId="27">
      <calculatedColumnFormula>INDEX(InnovationProjectResults[Identify - Research (CV)],MATCH(CoreValuesResults[[#This Row],[Team Number]],InnovationProjectResults[Team Number],0))</calculatedColumnFormula>
    </tableColumn>
    <tableColumn id="4" xr3:uid="{00000000-0010-0000-0600-000004000000}" name="Design - Teamwork (CV-IP)" dataDxfId="116">
      <calculatedColumnFormula>INDEX(InnovationProjectResults[Design - Teamwork (CV)],MATCH(CoreValuesResults[[#This Row],[Team Number]],InnovationProjectResults[Team Number],0))</calculatedColumnFormula>
    </tableColumn>
    <tableColumn id="5" xr3:uid="{00000000-0010-0000-0600-000005000000}" name="Create - Innovation (CV-IP)" dataDxfId="115">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114">
      <calculatedColumnFormula>INDEX(InnovationProjectResults[Communicate - Impact (CV)],MATCH(CoreValuesResults[[#This Row],[Team Number]],InnovationProjectResults[Team Number],0))</calculatedColumnFormula>
    </tableColumn>
    <tableColumn id="12" xr3:uid="{00000000-0010-0000-0600-00000C000000}" name="Communicate - Fun (CV-IP)" dataDxfId="113">
      <calculatedColumnFormula>INDEX(InnovationProjectResults[Communicate - Fun (CV)],MATCH(CoreValuesResults[[#This Row],[Team Number]],InnovationProjectResults[Team Number],0))</calculatedColumnFormula>
    </tableColumn>
    <tableColumn id="22" xr3:uid="{00000000-0010-0000-0600-000016000000}" name="Identify - Research (CV-RD)" dataDxfId="112">
      <calculatedColumnFormula>INDEX(RobotDesignResults[Identify - Research (CV)],MATCH(CoreValuesResults[[#This Row],[Team Number]],RobotDesignResults[Team Number],0))</calculatedColumnFormula>
    </tableColumn>
    <tableColumn id="25" xr3:uid="{00000000-0010-0000-0600-000019000000}" name="Design - Ideas (CV-RD)" dataDxfId="111">
      <calculatedColumnFormula>INDEX(RobotDesignResults[Design - Ideas (CV)],MATCH(CoreValuesResults[[#This Row],[Team Number]],RobotDesignResults[Team Number],0))</calculatedColumnFormula>
    </tableColumn>
    <tableColumn id="24" xr3:uid="{00000000-0010-0000-0600-000018000000}" name="Iterate - Improvements (CV-RD)" dataDxfId="110">
      <calculatedColumnFormula>INDEX(RobotDesignResults[Iterate - Improvements (CV)],MATCH(CoreValuesResults[[#This Row],[Team Number]],RobotDesignResults[Team Number],0))</calculatedColumnFormula>
    </tableColumn>
    <tableColumn id="23" xr3:uid="{00000000-0010-0000-0600-000017000000}" name="Communicate - Impact (CV-RD)" dataDxfId="109">
      <calculatedColumnFormula>INDEX(RobotDesignResults[Communicate - Impact (CV)],MATCH(CoreValuesResults[[#This Row],[Team Number]],RobotDesignResults[Team Number],0))</calculatedColumnFormula>
    </tableColumn>
    <tableColumn id="13" xr3:uid="{00000000-0010-0000-0600-00000D000000}" name="Communicate - Fun (CV-RD)" dataDxfId="108">
      <calculatedColumnFormula>INDEX(RobotDesignResults[Communicate - Fun (CV)],MATCH(CoreValuesResults[[#This Row],[Team Number]],RobotDesignResults[Team Number],0))</calculatedColumnFormula>
    </tableColumn>
    <tableColumn id="10" xr3:uid="{B171B276-E68E-4B4C-AFB1-9AF0BB375880}" name="CV Total" dataDxfId="12">
      <calculatedColumnFormula>SUM(CoreValuesResults[[#This Row],[Identify - Research (CV-IP)]:[Communicate - Fun (CV-RD)]])</calculatedColumnFormula>
    </tableColumn>
    <tableColumn id="7" xr3:uid="{00000000-0010-0000-0600-000007000000}" name="Gracious Professionalism 1" dataDxfId="59"/>
    <tableColumn id="8" xr3:uid="{00000000-0010-0000-0600-000008000000}" name="Gracious Professionalism 2" dataDxfId="58"/>
    <tableColumn id="6" xr3:uid="{00000000-0010-0000-0600-000006000000}" name="Gracious Professionalism 3" dataDxfId="57"/>
    <tableColumn id="14" xr3:uid="{00000000-0010-0000-0600-00000E000000}" name="Gracious Professionalism Total" dataDxfId="16">
      <calculatedColumnFormula>SUM(CoreValuesResults[[#This Row],[Gracious Professionalism 1]:[Gracious Professionalism 3]])</calculatedColumnFormula>
    </tableColumn>
    <tableColumn id="18" xr3:uid="{00000000-0010-0000-0600-000012000000}" name="Gracious Professionalism Score" dataDxfId="14">
      <calculatedColumnFormula>SUM(CoreValuesResults[[#This Row],[Identify - Research (CV-IP)]:[Gracious Professionalism 3]])</calculatedColumnFormula>
    </tableColumn>
    <tableColumn id="19" xr3:uid="{00000000-0010-0000-0600-000013000000}" name="Core Values Score" dataDxfId="11">
      <calculatedColumnFormula>SUM(CoreValuesResults[[#This Row],[Gracious Professionalism Total]],CoreValuesResults[[#This Row],[CV Total]])</calculatedColumnFormula>
    </tableColumn>
    <tableColumn id="20" xr3:uid="{00000000-0010-0000-0600-000014000000}" name="Core Values Rank" dataDxfId="13">
      <calculatedColumnFormula>IF(CoreValuesResults[[#This Row],[Team Number]]&gt;0,MIN(_xlfn.RANK.EQ(CoreValuesResults[[#This Row],[Core Values Score]],CoreValuesResults[Core Values Score],0),NumberOfTeams),NumberOfTeams+1)</calculatedColumnFormula>
    </tableColumn>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107" dataDxfId="106">
  <autoFilter ref="B3:E18" xr:uid="{00000000-0009-0000-0100-000008000000}"/>
  <tableColumns count="4">
    <tableColumn id="1" xr3:uid="{00000000-0010-0000-0700-000001000000}" name="Team Number" dataDxfId="105"/>
    <tableColumn id="2" xr3:uid="{00000000-0010-0000-0700-000002000000}" name="Team Name" dataDxfId="10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10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102"/>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101" dataDxfId="100">
  <autoFilter ref="G3:J18" xr:uid="{00000000-0009-0000-0100-000009000000}"/>
  <tableColumns count="4">
    <tableColumn id="1" xr3:uid="{00000000-0010-0000-0800-000001000000}" name="Team Number" dataDxfId="99"/>
    <tableColumn id="2" xr3:uid="{00000000-0010-0000-0800-000002000000}" name="Team Name" dataDxfId="9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9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96"/>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95" dataDxfId="94">
  <autoFilter ref="B21:E36" xr:uid="{00000000-0009-0000-0100-00000A000000}"/>
  <tableColumns count="4">
    <tableColumn id="1" xr3:uid="{00000000-0010-0000-0900-000001000000}" name="Team Number" dataDxfId="93"/>
    <tableColumn id="2" xr3:uid="{00000000-0010-0000-0900-000002000000}" name="Team Name" dataDxfId="9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9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90"/>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89" dataDxfId="88">
  <autoFilter ref="G21:J36" xr:uid="{00000000-0009-0000-0100-00000B000000}"/>
  <tableColumns count="4">
    <tableColumn id="1" xr3:uid="{00000000-0010-0000-0A00-000001000000}" name="Team Number" dataDxfId="87"/>
    <tableColumn id="2" xr3:uid="{00000000-0010-0000-0A00-000002000000}" name="Team Name" dataDxfId="8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8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84"/>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83" dataDxfId="82">
  <autoFilter ref="L21:O36" xr:uid="{00000000-0009-0000-0100-00000C000000}"/>
  <tableColumns count="4">
    <tableColumn id="1" xr3:uid="{00000000-0010-0000-0B00-000001000000}" name="Team Number" dataDxfId="81"/>
    <tableColumn id="2" xr3:uid="{00000000-0010-0000-0B00-000002000000}" name="Team Name" dataDxfId="8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7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78"/>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77" dataDxfId="76">
  <autoFilter ref="B39:E54" xr:uid="{00000000-0009-0000-0100-00000D000000}"/>
  <tableColumns count="4">
    <tableColumn id="1" xr3:uid="{00000000-0010-0000-0C00-000001000000}" name="Team Number" dataDxfId="75"/>
    <tableColumn id="2" xr3:uid="{00000000-0010-0000-0C00-000002000000}" name="Team Name" dataDxfId="7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7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72"/>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71" dataDxfId="70">
  <autoFilter ref="G39:J54" xr:uid="{00000000-0009-0000-0100-00000E000000}"/>
  <tableColumns count="4">
    <tableColumn id="1" xr3:uid="{00000000-0010-0000-0D00-000001000000}" name="Team Number" dataDxfId="69"/>
    <tableColumn id="2" xr3:uid="{00000000-0010-0000-0D00-000002000000}" name="Team Name" dataDxfId="6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6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6"/>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65" dataDxfId="64">
  <autoFilter ref="L39:O54" xr:uid="{00000000-0009-0000-0100-00000F000000}"/>
  <tableColumns count="4">
    <tableColumn id="1" xr3:uid="{00000000-0010-0000-0E00-000001000000}" name="Team Number" dataDxfId="63"/>
    <tableColumn id="2" xr3:uid="{00000000-0010-0000-0E00-000002000000}" name="Team Name" dataDxfId="6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6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6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2.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5"/>
      <c r="B1" s="103"/>
      <c r="C1" s="103"/>
      <c r="D1" s="103"/>
      <c r="E1" s="103"/>
      <c r="F1" s="103"/>
      <c r="G1" s="103"/>
      <c r="H1" s="103"/>
      <c r="I1" s="103"/>
      <c r="J1" s="103"/>
      <c r="K1" s="103"/>
      <c r="W1" s="113" t="s">
        <v>0</v>
      </c>
      <c r="X1" s="103"/>
      <c r="Y1" s="103"/>
      <c r="Z1" s="103"/>
      <c r="AA1" s="103"/>
      <c r="AB1" s="103"/>
      <c r="AC1" s="103"/>
      <c r="AD1" s="103"/>
      <c r="AE1" s="103"/>
      <c r="AF1" s="103"/>
      <c r="AG1" s="103"/>
      <c r="AH1" s="103"/>
      <c r="AI1" s="103"/>
      <c r="AJ1" s="103"/>
      <c r="AK1" s="103"/>
      <c r="AL1" s="103"/>
      <c r="AM1" s="103"/>
      <c r="AN1" s="103"/>
    </row>
    <row r="2" spans="1:44" ht="45.6" customHeight="1" x14ac:dyDescent="0.25">
      <c r="A2" s="115"/>
      <c r="B2" s="103"/>
      <c r="C2" s="103"/>
      <c r="D2" s="103"/>
      <c r="E2" s="103"/>
      <c r="F2" s="103"/>
      <c r="G2" s="103"/>
      <c r="H2" s="103"/>
      <c r="I2" s="103"/>
      <c r="J2" s="103"/>
      <c r="K2" s="103"/>
      <c r="W2" s="103"/>
      <c r="X2" s="103"/>
      <c r="Y2" s="103"/>
      <c r="Z2" s="103"/>
      <c r="AA2" s="103"/>
      <c r="AB2" s="103"/>
      <c r="AC2" s="103"/>
      <c r="AD2" s="103"/>
      <c r="AE2" s="103"/>
      <c r="AF2" s="103"/>
      <c r="AG2" s="103"/>
      <c r="AH2" s="103"/>
      <c r="AI2" s="103"/>
      <c r="AJ2" s="103"/>
      <c r="AK2" s="103"/>
      <c r="AL2" s="103"/>
      <c r="AM2" s="103"/>
      <c r="AN2" s="103"/>
    </row>
    <row r="3" spans="1:44" ht="45.6" customHeight="1" x14ac:dyDescent="0.25">
      <c r="W3" s="103"/>
      <c r="X3" s="103"/>
      <c r="Y3" s="103"/>
      <c r="Z3" s="103"/>
      <c r="AA3" s="103"/>
      <c r="AB3" s="103"/>
      <c r="AC3" s="103"/>
      <c r="AD3" s="103"/>
      <c r="AE3" s="103"/>
      <c r="AF3" s="103"/>
      <c r="AG3" s="103"/>
      <c r="AH3" s="103"/>
      <c r="AI3" s="103"/>
      <c r="AJ3" s="103"/>
      <c r="AK3" s="103"/>
      <c r="AL3" s="103"/>
      <c r="AM3" s="103"/>
      <c r="AN3" s="103"/>
    </row>
    <row r="4" spans="1:44" ht="47.1" customHeight="1" x14ac:dyDescent="0.25">
      <c r="D4" s="41" t="s">
        <v>1</v>
      </c>
      <c r="E4" s="114" t="s">
        <v>2</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row>
    <row r="5" spans="1:44" ht="48" customHeight="1" x14ac:dyDescent="0.25">
      <c r="D5" s="40"/>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4" t="s">
        <v>4</v>
      </c>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row>
    <row r="8" spans="1:44" ht="39.950000000000003" customHeight="1" x14ac:dyDescent="0.25">
      <c r="D8" s="38"/>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row>
    <row r="9" spans="1:44" ht="61.15" customHeight="1" x14ac:dyDescent="0.25">
      <c r="D9" s="38"/>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row>
    <row r="10" spans="1:44" s="55" customFormat="1" ht="61.9" customHeight="1" x14ac:dyDescent="0.25">
      <c r="A10" s="54"/>
      <c r="D10" s="56"/>
      <c r="F10" s="101" t="s">
        <v>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row>
    <row r="11" spans="1:44" s="55" customFormat="1" ht="20.45" customHeight="1" x14ac:dyDescent="0.25">
      <c r="A11" s="54"/>
      <c r="D11" s="56"/>
      <c r="F11" s="57"/>
    </row>
    <row r="12" spans="1:44" ht="46.35" customHeight="1" x14ac:dyDescent="0.25">
      <c r="D12" s="41" t="s">
        <v>6</v>
      </c>
      <c r="E12" s="114" t="s">
        <v>7</v>
      </c>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row>
    <row r="13" spans="1:44" ht="52.9" customHeight="1" x14ac:dyDescent="0.25">
      <c r="D13" s="38"/>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row>
    <row r="14" spans="1:44" ht="60" customHeight="1" x14ac:dyDescent="0.25">
      <c r="D14" s="38"/>
      <c r="F14" s="101" t="s">
        <v>8</v>
      </c>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row>
    <row r="15" spans="1:44" ht="1.9" customHeight="1" x14ac:dyDescent="0.25">
      <c r="D15" s="38"/>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row>
    <row r="16" spans="1:44" ht="20.45" customHeight="1" x14ac:dyDescent="0.25">
      <c r="D16" s="38"/>
      <c r="F16" s="62"/>
    </row>
    <row r="17" spans="2:45" ht="47.45" customHeight="1" x14ac:dyDescent="0.25">
      <c r="D17" s="41" t="s">
        <v>9</v>
      </c>
      <c r="E17" s="104" t="s">
        <v>10</v>
      </c>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row>
    <row r="18" spans="2:45" ht="30" customHeight="1" x14ac:dyDescent="0.25">
      <c r="D18" s="38"/>
    </row>
    <row r="19" spans="2:45" ht="39.950000000000003" customHeight="1" x14ac:dyDescent="0.25">
      <c r="D19" s="41" t="s">
        <v>11</v>
      </c>
      <c r="E19" s="104" t="s">
        <v>12</v>
      </c>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row>
    <row r="20" spans="2:45" ht="30" customHeight="1" thickBot="1" x14ac:dyDescent="0.3">
      <c r="D20" s="41"/>
      <c r="E20" s="38"/>
    </row>
    <row r="21" spans="2:45" ht="39.950000000000003" customHeight="1" x14ac:dyDescent="0.25">
      <c r="B21" s="39" t="s">
        <v>13</v>
      </c>
      <c r="F21" s="117" t="s">
        <v>14</v>
      </c>
      <c r="G21" s="106"/>
      <c r="H21" s="106"/>
      <c r="I21" s="106"/>
      <c r="J21" s="106"/>
      <c r="K21" s="106"/>
      <c r="L21" s="106"/>
      <c r="M21" s="107"/>
      <c r="N21" s="58"/>
      <c r="O21" s="105" t="s">
        <v>15</v>
      </c>
      <c r="P21" s="106"/>
      <c r="Q21" s="106"/>
      <c r="R21" s="106"/>
      <c r="S21" s="106"/>
      <c r="T21" s="106"/>
      <c r="U21" s="106"/>
      <c r="V21" s="107"/>
      <c r="W21" s="58"/>
      <c r="X21" s="105" t="s">
        <v>16</v>
      </c>
      <c r="Y21" s="106"/>
      <c r="Z21" s="106"/>
      <c r="AA21" s="106"/>
      <c r="AB21" s="106"/>
      <c r="AC21" s="107"/>
      <c r="AD21" s="58"/>
      <c r="AE21" s="105" t="s">
        <v>17</v>
      </c>
      <c r="AF21" s="106"/>
      <c r="AG21" s="106"/>
      <c r="AH21" s="106"/>
      <c r="AI21" s="106"/>
      <c r="AJ21" s="106"/>
      <c r="AK21" s="106"/>
      <c r="AL21" s="106"/>
      <c r="AM21" s="106"/>
      <c r="AN21" s="106"/>
      <c r="AO21" s="106"/>
      <c r="AP21" s="106"/>
      <c r="AQ21" s="106"/>
      <c r="AR21" s="107"/>
    </row>
    <row r="22" spans="2:45" ht="49.35" customHeight="1" thickBot="1" x14ac:dyDescent="0.3">
      <c r="D22" s="38"/>
      <c r="F22" s="108"/>
      <c r="G22" s="103"/>
      <c r="H22" s="103"/>
      <c r="I22" s="103"/>
      <c r="J22" s="103"/>
      <c r="K22" s="103"/>
      <c r="L22" s="103"/>
      <c r="M22" s="109"/>
      <c r="N22" s="58"/>
      <c r="O22" s="108"/>
      <c r="P22" s="103"/>
      <c r="Q22" s="103"/>
      <c r="R22" s="103"/>
      <c r="S22" s="103"/>
      <c r="T22" s="103"/>
      <c r="U22" s="103"/>
      <c r="V22" s="109"/>
      <c r="W22" s="58"/>
      <c r="X22" s="108"/>
      <c r="Y22" s="103"/>
      <c r="Z22" s="103"/>
      <c r="AA22" s="103"/>
      <c r="AB22" s="103"/>
      <c r="AC22" s="109"/>
      <c r="AD22" s="58"/>
      <c r="AE22" s="110"/>
      <c r="AF22" s="111"/>
      <c r="AG22" s="111"/>
      <c r="AH22" s="111"/>
      <c r="AI22" s="111"/>
      <c r="AJ22" s="111"/>
      <c r="AK22" s="111"/>
      <c r="AL22" s="111"/>
      <c r="AM22" s="111"/>
      <c r="AN22" s="111"/>
      <c r="AO22" s="111"/>
      <c r="AP22" s="111"/>
      <c r="AQ22" s="111"/>
      <c r="AR22" s="112"/>
    </row>
    <row r="23" spans="2:45" ht="43.35" customHeight="1" x14ac:dyDescent="0.25">
      <c r="F23" s="116" t="s">
        <v>18</v>
      </c>
      <c r="G23" s="103"/>
      <c r="H23" s="103"/>
      <c r="I23" s="103"/>
      <c r="J23" s="103"/>
      <c r="K23" s="103"/>
      <c r="L23" s="103"/>
      <c r="M23" s="109"/>
      <c r="N23" s="58"/>
      <c r="O23" s="108"/>
      <c r="P23" s="103"/>
      <c r="Q23" s="103"/>
      <c r="R23" s="103"/>
      <c r="S23" s="103"/>
      <c r="T23" s="103"/>
      <c r="U23" s="103"/>
      <c r="V23" s="109"/>
      <c r="W23" s="58"/>
      <c r="X23" s="108"/>
      <c r="Y23" s="103"/>
      <c r="Z23" s="103"/>
      <c r="AA23" s="103"/>
      <c r="AB23" s="103"/>
      <c r="AC23" s="109"/>
      <c r="AD23" s="58"/>
      <c r="AE23" s="116" t="s">
        <v>19</v>
      </c>
      <c r="AF23" s="103"/>
      <c r="AG23" s="103"/>
      <c r="AH23" s="103"/>
      <c r="AI23" s="103"/>
      <c r="AJ23" s="103"/>
      <c r="AK23" s="103"/>
      <c r="AL23" s="103"/>
      <c r="AM23" s="103"/>
      <c r="AN23" s="103"/>
      <c r="AO23" s="103"/>
      <c r="AP23" s="103"/>
      <c r="AQ23" s="103"/>
      <c r="AR23" s="109"/>
    </row>
    <row r="24" spans="2:45" ht="39.6" customHeight="1" thickBot="1" x14ac:dyDescent="0.3">
      <c r="F24" s="110"/>
      <c r="G24" s="111"/>
      <c r="H24" s="111"/>
      <c r="I24" s="111"/>
      <c r="J24" s="111"/>
      <c r="K24" s="111"/>
      <c r="L24" s="111"/>
      <c r="M24" s="112"/>
      <c r="N24" s="58"/>
      <c r="O24" s="110"/>
      <c r="P24" s="111"/>
      <c r="Q24" s="111"/>
      <c r="R24" s="111"/>
      <c r="S24" s="111"/>
      <c r="T24" s="111"/>
      <c r="U24" s="111"/>
      <c r="V24" s="112"/>
      <c r="W24" s="58"/>
      <c r="X24" s="110"/>
      <c r="Y24" s="111"/>
      <c r="Z24" s="111"/>
      <c r="AA24" s="111"/>
      <c r="AB24" s="111"/>
      <c r="AC24" s="112"/>
      <c r="AD24" s="58"/>
      <c r="AE24" s="110"/>
      <c r="AF24" s="111"/>
      <c r="AG24" s="111"/>
      <c r="AH24" s="111"/>
      <c r="AI24" s="111"/>
      <c r="AJ24" s="111"/>
      <c r="AK24" s="111"/>
      <c r="AL24" s="111"/>
      <c r="AM24" s="111"/>
      <c r="AN24" s="111"/>
      <c r="AO24" s="111"/>
      <c r="AP24" s="111"/>
      <c r="AQ24" s="111"/>
      <c r="AR24" s="112"/>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K13"/>
  <sheetViews>
    <sheetView tabSelected="1" zoomScaleNormal="100" workbookViewId="0">
      <selection activeCell="C1" sqref="C1:F1"/>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1" s="1" customFormat="1" ht="39.950000000000003" customHeight="1" x14ac:dyDescent="0.25">
      <c r="A1" s="7"/>
      <c r="B1" s="59"/>
      <c r="C1" s="119" t="s">
        <v>20</v>
      </c>
      <c r="D1" s="120"/>
      <c r="E1" s="120"/>
      <c r="F1" s="120"/>
      <c r="G1" s="59"/>
      <c r="H1" s="59"/>
      <c r="I1" s="79" t="s">
        <v>125</v>
      </c>
      <c r="J1" s="4"/>
      <c r="K1" s="4"/>
    </row>
    <row r="2" spans="1:11" s="2" customFormat="1" ht="39.950000000000003" customHeight="1" thickBot="1" x14ac:dyDescent="0.3">
      <c r="A2" s="7"/>
      <c r="B2" s="5"/>
      <c r="C2" s="8" t="s">
        <v>21</v>
      </c>
      <c r="D2" s="8" t="s">
        <v>22</v>
      </c>
      <c r="E2" s="7" t="s">
        <v>23</v>
      </c>
      <c r="F2" s="7" t="s">
        <v>24</v>
      </c>
      <c r="J2" s="4"/>
      <c r="K2" s="4"/>
    </row>
    <row r="3" spans="1:11" s="2" customFormat="1" ht="39.950000000000003" customHeight="1" x14ac:dyDescent="0.25">
      <c r="A3" s="59"/>
      <c r="B3" s="3"/>
      <c r="C3" s="6">
        <v>4079</v>
      </c>
      <c r="D3" s="6" t="s">
        <v>134</v>
      </c>
      <c r="E3" s="59"/>
      <c r="F3" s="59">
        <v>1</v>
      </c>
      <c r="H3" s="45"/>
      <c r="I3" s="46"/>
      <c r="J3" s="47"/>
      <c r="K3" s="4"/>
    </row>
    <row r="4" spans="1:11" ht="39.950000000000003" customHeight="1" x14ac:dyDescent="0.25">
      <c r="C4" s="6">
        <v>6818</v>
      </c>
      <c r="D4" s="6" t="s">
        <v>115</v>
      </c>
      <c r="E4" s="59"/>
      <c r="F4" s="59">
        <v>1</v>
      </c>
      <c r="H4" s="48"/>
      <c r="I4" s="49"/>
      <c r="J4" s="50"/>
    </row>
    <row r="5" spans="1:11" ht="39.950000000000003" customHeight="1" thickBot="1" x14ac:dyDescent="0.3">
      <c r="C5" s="6">
        <v>8913</v>
      </c>
      <c r="D5" s="6" t="s">
        <v>135</v>
      </c>
      <c r="E5" s="81"/>
      <c r="F5" s="59">
        <v>1</v>
      </c>
      <c r="H5" s="51"/>
      <c r="I5" s="52"/>
      <c r="J5" s="53"/>
    </row>
    <row r="6" spans="1:11" ht="39.950000000000003" customHeight="1" x14ac:dyDescent="0.25">
      <c r="A6" s="21"/>
      <c r="C6" s="6">
        <v>29484</v>
      </c>
      <c r="D6" s="6" t="s">
        <v>136</v>
      </c>
      <c r="E6" s="59"/>
      <c r="F6" s="59">
        <v>2</v>
      </c>
      <c r="H6" s="118"/>
      <c r="I6" s="118"/>
      <c r="J6" s="118"/>
    </row>
    <row r="7" spans="1:11" ht="39.950000000000003" customHeight="1" x14ac:dyDescent="0.25">
      <c r="C7" s="6">
        <v>34450</v>
      </c>
      <c r="D7" s="6" t="s">
        <v>137</v>
      </c>
      <c r="E7" s="59"/>
      <c r="F7" s="59">
        <v>2</v>
      </c>
    </row>
    <row r="8" spans="1:11" ht="39.950000000000003" customHeight="1" x14ac:dyDescent="0.25">
      <c r="C8" s="6">
        <v>43985</v>
      </c>
      <c r="D8" s="6" t="s">
        <v>138</v>
      </c>
      <c r="E8" s="59"/>
      <c r="F8" s="59">
        <v>2</v>
      </c>
    </row>
    <row r="9" spans="1:11" ht="39.950000000000003" customHeight="1" x14ac:dyDescent="0.25">
      <c r="C9" s="6">
        <v>48732</v>
      </c>
      <c r="D9" s="6" t="s">
        <v>116</v>
      </c>
      <c r="E9" s="59"/>
      <c r="F9" s="59">
        <v>2</v>
      </c>
    </row>
    <row r="10" spans="1:11" ht="39.950000000000003" customHeight="1" x14ac:dyDescent="0.25">
      <c r="C10" s="6">
        <v>58947</v>
      </c>
      <c r="D10" s="6" t="s">
        <v>117</v>
      </c>
      <c r="E10" s="59"/>
      <c r="F10" s="59">
        <v>3</v>
      </c>
    </row>
    <row r="11" spans="1:11" ht="39.950000000000003" customHeight="1" x14ac:dyDescent="0.25">
      <c r="C11" s="6">
        <v>69029</v>
      </c>
      <c r="D11" s="6" t="s">
        <v>132</v>
      </c>
      <c r="E11" s="59"/>
      <c r="F11" s="59">
        <v>3</v>
      </c>
    </row>
    <row r="12" spans="1:11" ht="39.950000000000003" customHeight="1" x14ac:dyDescent="0.25">
      <c r="C12" s="6">
        <v>88303</v>
      </c>
      <c r="D12" s="6" t="s">
        <v>130</v>
      </c>
      <c r="E12" s="59"/>
      <c r="F12" s="59">
        <v>3</v>
      </c>
    </row>
    <row r="13" spans="1:11" ht="39.950000000000003" customHeight="1" x14ac:dyDescent="0.25">
      <c r="C13" s="6">
        <v>89293</v>
      </c>
      <c r="D13" s="6" t="s">
        <v>133</v>
      </c>
      <c r="E13" s="59"/>
      <c r="F13" s="59">
        <v>3</v>
      </c>
    </row>
  </sheetData>
  <mergeCells count="2">
    <mergeCell ref="H6:J6"/>
    <mergeCell ref="C1:F1"/>
  </mergeCells>
  <pageMargins left="0.7" right="0.7" top="0.75" bottom="0.75" header="0.3" footer="0.3"/>
  <pageSetup orientation="portrait" horizontalDpi="1200" verticalDpi="1200"/>
  <drawing r:id="rId1"/>
  <legacyDrawing r:id="rId2"/>
  <controls>
    <mc:AlternateContent xmlns:mc="http://schemas.openxmlformats.org/markup-compatibility/2006">
      <mc:Choice Requires="x14">
        <control shapeId="2051" r:id="rId3" name="CommandButton1">
          <controlPr defaultSize="0" autoLine="0" r:id="rId4">
            <anchor moveWithCells="1">
              <from>
                <xdr:col>7</xdr:col>
                <xdr:colOff>123825</xdr:colOff>
                <xdr:row>6</xdr:row>
                <xdr:rowOff>0</xdr:rowOff>
              </from>
              <to>
                <xdr:col>9</xdr:col>
                <xdr:colOff>552450</xdr:colOff>
                <xdr:row>8</xdr:row>
                <xdr:rowOff>76200</xdr:rowOff>
              </to>
            </anchor>
          </controlPr>
        </control>
      </mc:Choice>
      <mc:Fallback>
        <control shapeId="2051" r:id="rId3" name="CommandButton1"/>
      </mc:Fallback>
    </mc:AlternateContent>
    <mc:AlternateContent xmlns:mc="http://schemas.openxmlformats.org/markup-compatibility/2006">
      <mc:Choice Requires="x14">
        <control shapeId="2049" r:id="rId5" name="Button 1">
          <controlPr defaultSize="0" print="0" autoFill="0" autoPict="0" macro="[0]!Macro2">
            <anchor moveWithCells="1" sizeWithCells="1">
              <from>
                <xdr:col>7</xdr:col>
                <xdr:colOff>219075</xdr:colOff>
                <xdr:row>2</xdr:row>
                <xdr:rowOff>200025</xdr:rowOff>
              </from>
              <to>
                <xdr:col>9</xdr:col>
                <xdr:colOff>447675</xdr:colOff>
                <xdr:row>4</xdr:row>
                <xdr:rowOff>333375</xdr:rowOff>
              </to>
            </anchor>
          </controlPr>
        </control>
      </mc:Choice>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C6B6B-AEF7-42B6-A1EF-4E808B75A2BF}">
  <sheetPr codeName="Sheet12"/>
  <dimension ref="A1:D4"/>
  <sheetViews>
    <sheetView workbookViewId="0">
      <selection activeCell="B2" sqref="B2:D4"/>
    </sheetView>
  </sheetViews>
  <sheetFormatPr defaultRowHeight="15" x14ac:dyDescent="0.25"/>
  <cols>
    <col min="2" max="2" width="11.140625" bestFit="1" customWidth="1"/>
    <col min="3" max="3" width="10.42578125" bestFit="1" customWidth="1"/>
    <col min="4" max="4" width="11.140625" bestFit="1" customWidth="1"/>
  </cols>
  <sheetData>
    <row r="1" spans="1:4" x14ac:dyDescent="0.25">
      <c r="A1" t="s">
        <v>126</v>
      </c>
      <c r="B1" t="s">
        <v>127</v>
      </c>
      <c r="C1" t="s">
        <v>128</v>
      </c>
      <c r="D1" t="s">
        <v>129</v>
      </c>
    </row>
    <row r="2" spans="1:4" x14ac:dyDescent="0.25">
      <c r="A2">
        <v>1</v>
      </c>
      <c r="B2" s="148">
        <f>SUMIF(RobotDesignResults[POD],Review!A2,RobotDesignResults[Robot Design Score])/COUNTIF(OfficialTeamList[Pod Number],Review!A2)</f>
        <v>26</v>
      </c>
      <c r="C2" s="148">
        <f>SUMIF(InnovationProjectResults[POD],Review!A2,InnovationProjectResults[Innovation Project Score])/COUNTIF(OfficialTeamList[Pod Number],Review!A2)</f>
        <v>24.666666666666668</v>
      </c>
      <c r="D2" s="148">
        <f>SUMIF(CoreValuesResults[POD],Review!A2,CoreValuesResults[CV Total])/COUNTIF(OfficialTeamList[Pod Number],A2)</f>
        <v>25</v>
      </c>
    </row>
    <row r="3" spans="1:4" x14ac:dyDescent="0.25">
      <c r="A3">
        <v>2</v>
      </c>
      <c r="B3" s="148">
        <f>SUMIF(RobotDesignResults[POD],Review!A3,RobotDesignResults[Robot Design Score])/COUNTIF(OfficialTeamList[Pod Number],Review!A3)</f>
        <v>24.75</v>
      </c>
      <c r="C3" s="148">
        <f>SUMIF(InnovationProjectResults[POD],Review!A3,InnovationProjectResults[Innovation Project Score])/COUNTIF(OfficialTeamList[Pod Number],Review!A3)</f>
        <v>26.75</v>
      </c>
      <c r="D3" s="148">
        <f>SUMIF(CoreValuesResults[POD],Review!A3,CoreValuesResults[CV Total])/COUNTIF(OfficialTeamList[Pod Number],A3)</f>
        <v>25.5</v>
      </c>
    </row>
    <row r="4" spans="1:4" x14ac:dyDescent="0.25">
      <c r="A4">
        <v>3</v>
      </c>
      <c r="B4" s="148">
        <f>SUMIF(RobotDesignResults[POD],Review!A4,RobotDesignResults[Robot Design Score])/COUNTIF(OfficialTeamList[Pod Number],Review!A4)</f>
        <v>22.25</v>
      </c>
      <c r="C4" s="148">
        <f>SUMIF(InnovationProjectResults[POD],Review!A4,InnovationProjectResults[Innovation Project Score])/COUNTIF(OfficialTeamList[Pod Number],Review!A4)</f>
        <v>24.75</v>
      </c>
      <c r="D4" s="148">
        <f>SUMIF(CoreValuesResults[POD],Review!A4,CoreValuesResults[CV Total])/COUNTIF(OfficialTeamList[Pod Number],A4)</f>
        <v>24.25</v>
      </c>
    </row>
  </sheetData>
  <conditionalFormatting sqref="B2:D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3"/>
  <sheetViews>
    <sheetView workbookViewId="0"/>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120</v>
      </c>
      <c r="B2">
        <v>2024</v>
      </c>
    </row>
    <row r="3" spans="1:3" x14ac:dyDescent="0.25">
      <c r="A3" t="s">
        <v>119</v>
      </c>
      <c r="B3" t="s">
        <v>123</v>
      </c>
    </row>
    <row r="4" spans="1:3" x14ac:dyDescent="0.25">
      <c r="A4" t="s">
        <v>121</v>
      </c>
      <c r="B4" t="s">
        <v>122</v>
      </c>
    </row>
    <row r="5" spans="1:3" x14ac:dyDescent="0.25">
      <c r="A5" t="s">
        <v>124</v>
      </c>
      <c r="B5" t="str">
        <f>B2&amp;"-"&amp;B3&amp;"-"&amp;SUBSTITUTE(B4," ","-")&amp;"-script.html"</f>
        <v>2024-Submerged-Smallville-Regional-Qualifying-Tournament-FILLED-script.html</v>
      </c>
    </row>
    <row r="6" spans="1:3" x14ac:dyDescent="0.25">
      <c r="A6" t="s">
        <v>108</v>
      </c>
      <c r="B6">
        <v>1</v>
      </c>
      <c r="C6" t="s">
        <v>109</v>
      </c>
    </row>
    <row r="7" spans="1:3" x14ac:dyDescent="0.25">
      <c r="A7" t="s">
        <v>29</v>
      </c>
      <c r="B7">
        <v>2</v>
      </c>
    </row>
    <row r="8" spans="1:3" x14ac:dyDescent="0.25">
      <c r="A8" t="s">
        <v>104</v>
      </c>
      <c r="B8">
        <v>1</v>
      </c>
    </row>
    <row r="9" spans="1:3" x14ac:dyDescent="0.25">
      <c r="A9" t="s">
        <v>102</v>
      </c>
      <c r="B9">
        <v>1</v>
      </c>
    </row>
    <row r="10" spans="1:3" x14ac:dyDescent="0.25">
      <c r="A10" t="s">
        <v>103</v>
      </c>
      <c r="B10">
        <v>1</v>
      </c>
    </row>
    <row r="11" spans="1:3" x14ac:dyDescent="0.25">
      <c r="A11" t="s">
        <v>110</v>
      </c>
      <c r="B11">
        <v>2</v>
      </c>
    </row>
    <row r="12" spans="1:3" x14ac:dyDescent="0.25">
      <c r="A12" t="s">
        <v>111</v>
      </c>
      <c r="B12">
        <v>3</v>
      </c>
    </row>
    <row r="13" spans="1:3" ht="90" x14ac:dyDescent="0.25">
      <c r="A13" t="s">
        <v>114</v>
      </c>
      <c r="B13">
        <v>1</v>
      </c>
      <c r="C13" s="80" t="s">
        <v>118</v>
      </c>
    </row>
  </sheetData>
  <sheetProtection selectLockedCells="1" sort="0" autoFilter="0"/>
  <dataValidations count="1">
    <dataValidation type="list" allowBlank="1" showInputMessage="1" showErrorMessage="1" sqref="B6" xr:uid="{1A6AE5B1-FBA2-4510-83CA-3699168BDC25}">
      <formula1>"1,2"</formula1>
    </dataValidation>
  </dataValidation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Line="0" r:id="rId4">
            <anchor moveWithCells="1">
              <from>
                <xdr:col>5</xdr:col>
                <xdr:colOff>371475</xdr:colOff>
                <xdr:row>8</xdr:row>
                <xdr:rowOff>0</xdr:rowOff>
              </from>
              <to>
                <xdr:col>8</xdr:col>
                <xdr:colOff>247650</xdr:colOff>
                <xdr:row>11</xdr:row>
                <xdr:rowOff>114300</xdr:rowOff>
              </to>
            </anchor>
          </controlPr>
        </control>
      </mc:Choice>
      <mc:Fallback>
        <control shapeId="6145" r:id="rId3" name="CommandButton1"/>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A7"/>
  <sheetViews>
    <sheetView workbookViewId="0">
      <selection activeCell="A2" sqref="A2:A7"/>
    </sheetView>
  </sheetViews>
  <sheetFormatPr defaultRowHeight="15" x14ac:dyDescent="0.25"/>
  <cols>
    <col min="1" max="1" width="34.5703125" customWidth="1"/>
  </cols>
  <sheetData>
    <row r="1" spans="1:1" x14ac:dyDescent="0.25">
      <c r="A1" t="s">
        <v>47</v>
      </c>
    </row>
    <row r="2" spans="1:1" x14ac:dyDescent="0.25">
      <c r="A2" t="s">
        <v>112</v>
      </c>
    </row>
    <row r="3" spans="1:1" x14ac:dyDescent="0.25">
      <c r="A3" t="s">
        <v>113</v>
      </c>
    </row>
    <row r="4" spans="1:1" x14ac:dyDescent="0.25">
      <c r="A4" t="s">
        <v>55</v>
      </c>
    </row>
    <row r="5" spans="1:1" x14ac:dyDescent="0.25">
      <c r="A5" t="s">
        <v>57</v>
      </c>
    </row>
    <row r="6" spans="1:1" x14ac:dyDescent="0.25">
      <c r="A6" t="s">
        <v>56</v>
      </c>
    </row>
    <row r="7" spans="1:1" x14ac:dyDescent="0.25">
      <c r="A7"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0"/>
  <sheetViews>
    <sheetView zoomScaleNormal="100" workbookViewId="0">
      <pane xSplit="2" ySplit="2" topLeftCell="C3" activePane="bottomRight" state="frozen"/>
      <selection pane="topRight" activeCell="C1" sqref="C1"/>
      <selection pane="bottomLeft" activeCell="A3" sqref="A3"/>
      <selection pane="bottomRight" activeCell="K7" sqref="K7"/>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6" hidden="1" customWidth="1"/>
    <col min="20" max="20" width="8.42578125" style="25" hidden="1" customWidth="1"/>
    <col min="21" max="21" width="8.42578125" hidden="1" customWidth="1"/>
    <col min="22" max="22" width="80.42578125" style="9" customWidth="1"/>
    <col min="23" max="23" width="9.140625" style="9" customWidth="1"/>
    <col min="24" max="24" width="13" style="27" bestFit="1" customWidth="1"/>
    <col min="25" max="25" width="13" style="66" bestFit="1" customWidth="1"/>
    <col min="26" max="28" width="9.140625" style="28" customWidth="1"/>
    <col min="29" max="32" width="9.140625" style="27" customWidth="1"/>
    <col min="33" max="16384" width="9.140625" style="27"/>
  </cols>
  <sheetData>
    <row r="1" spans="1:28" s="63" customFormat="1" ht="39.950000000000003" customHeight="1" x14ac:dyDescent="0.25">
      <c r="A1" s="121" t="s">
        <v>28</v>
      </c>
      <c r="B1" s="122"/>
      <c r="C1" s="121" t="s">
        <v>29</v>
      </c>
      <c r="D1" s="122"/>
      <c r="E1" s="122"/>
      <c r="F1" s="122"/>
      <c r="G1" s="122"/>
      <c r="H1" s="122"/>
      <c r="I1" s="122"/>
      <c r="J1" s="121" t="s">
        <v>30</v>
      </c>
      <c r="K1" s="122"/>
      <c r="L1" s="122"/>
      <c r="M1" s="121" t="s">
        <v>31</v>
      </c>
      <c r="N1" s="122"/>
      <c r="O1" s="121" t="s">
        <v>32</v>
      </c>
      <c r="P1" s="122"/>
      <c r="Q1" s="121" t="s">
        <v>33</v>
      </c>
      <c r="R1" s="122"/>
      <c r="S1" s="122"/>
      <c r="T1" s="122"/>
      <c r="U1" s="122"/>
      <c r="V1" s="5" t="s">
        <v>34</v>
      </c>
      <c r="W1" s="5"/>
      <c r="Y1" s="65"/>
    </row>
    <row r="2" spans="1:28" s="10" customFormat="1" ht="118.5" customHeight="1" x14ac:dyDescent="0.25">
      <c r="A2" s="67" t="s">
        <v>21</v>
      </c>
      <c r="B2" s="67" t="s">
        <v>22</v>
      </c>
      <c r="C2" s="68" t="s">
        <v>35</v>
      </c>
      <c r="D2" s="68" t="s">
        <v>36</v>
      </c>
      <c r="E2" s="68" t="s">
        <v>37</v>
      </c>
      <c r="F2" s="68" t="s">
        <v>38</v>
      </c>
      <c r="G2" s="68" t="s">
        <v>39</v>
      </c>
      <c r="H2" s="68" t="s">
        <v>40</v>
      </c>
      <c r="I2" s="69" t="s">
        <v>41</v>
      </c>
      <c r="J2" s="70" t="s">
        <v>42</v>
      </c>
      <c r="K2" s="71" t="s">
        <v>43</v>
      </c>
      <c r="L2" s="72" t="s">
        <v>44</v>
      </c>
      <c r="M2" s="73" t="s">
        <v>45</v>
      </c>
      <c r="N2" s="74" t="s">
        <v>46</v>
      </c>
      <c r="O2" s="24" t="s">
        <v>47</v>
      </c>
      <c r="P2" s="24" t="s">
        <v>48</v>
      </c>
      <c r="Q2" s="30" t="s">
        <v>49</v>
      </c>
      <c r="R2" s="31" t="s">
        <v>50</v>
      </c>
      <c r="S2" s="32" t="s">
        <v>51</v>
      </c>
      <c r="T2" s="33" t="s">
        <v>52</v>
      </c>
      <c r="U2" s="34" t="s">
        <v>53</v>
      </c>
      <c r="V2" s="35" t="s">
        <v>34</v>
      </c>
      <c r="Y2" s="64" t="s">
        <v>54</v>
      </c>
    </row>
    <row r="3" spans="1:28" ht="20.25" customHeight="1" x14ac:dyDescent="0.25">
      <c r="A3" s="6">
        <v>4079</v>
      </c>
      <c r="B3" s="82" t="str">
        <f>INDEX(OfficialTeamList[Team Name],MATCH(TournamentData[[#This Row],[Team Number]], OfficialTeamList[Team Number],0))</f>
        <v>RG3 CV4 IP4 RD6 CR4</v>
      </c>
      <c r="C3" s="83">
        <f>IF(TournamentData[[#This Row],[Team Number]]="","",IF(ISNA(INDEX('Robot Game Scores'!C:C,MATCH(TournamentData[[#This Row],[Team Number]], 'Robot Game Scores'!$A:$A,0))),0,INDEX('Robot Game Scores'!C:C,MATCH(TournamentData[[#This Row],[Team Number]], 'Robot Game Scores'!$A:$A,0))))</f>
        <v>180</v>
      </c>
      <c r="D3" s="83">
        <f>IF(TournamentData[[#This Row],[Team Number]]="","",IF(ISNA(INDEX('Robot Game Scores'!D:D,MATCH(TournamentData[[#This Row],[Team Number]], 'Robot Game Scores'!$A:$A,0))),0,INDEX('Robot Game Scores'!D:D,MATCH(TournamentData[[#This Row],[Team Number]], 'Robot Game Scores'!$A:$A,0))))</f>
        <v>300</v>
      </c>
      <c r="E3" s="83">
        <f>IF(TournamentData[[#This Row],[Team Number]]="","",IF(ISNA(INDEX('Robot Game Scores'!E:E,MATCH(TournamentData[[#This Row],[Team Number]], 'Robot Game Scores'!$A:$A,0))),0,INDEX('Robot Game Scores'!E:E,MATCH(TournamentData[[#This Row],[Team Number]], 'Robot Game Scores'!$A:$A,0))))</f>
        <v>115</v>
      </c>
      <c r="F3" s="83" t="e">
        <f>IF(TournamentData[[#This Row],[Team Number]]="","",IF(ISNA(INDEX('Robot Game Scores'!#REF!,MATCH(TournamentData[[#This Row],[Team Number]], 'Robot Game Scores'!$A:$A,0))),0,INDEX('Robot Game Scores'!#REF!,MATCH(TournamentData[[#This Row],[Team Number]], 'Robot Game Scores'!$A:$A,0))))</f>
        <v>#REF!</v>
      </c>
      <c r="G3" s="83" t="e">
        <f>IF(TournamentData[[#This Row],[Team Number]]="","",IF(ISNA(INDEX('Robot Game Scores'!#REF!,MATCH(TournamentData[[#This Row],[Team Number]], 'Robot Game Scores'!$A:$A,0))),0,INDEX('Robot Game Scores'!#REF!,MATCH(TournamentData[[#This Row],[Team Number]], 'Robot Game Scores'!$A:$A,0))))</f>
        <v>#REF!</v>
      </c>
      <c r="H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300.0180115</v>
      </c>
      <c r="I3" s="83">
        <f>_xlfn.RANK.EQ(TournamentData[[#This Row],[Max Robot Game Score]],TournamentData[Max Robot Game Score])</f>
        <v>3</v>
      </c>
      <c r="J3" s="83">
        <f>INDEX(CoreValuesResults[Core Values Rank],MATCH(TournamentData[[#This Row],[Team Number]],CoreValuesResults[Team Number],0))</f>
        <v>4</v>
      </c>
      <c r="K3" s="83">
        <f>INDEX(InnovationProjectResults[Innovation Project Rank],MATCH(TournamentData[[#This Row],[Team Number]],InnovationProjectResults[Team Number],0))</f>
        <v>4</v>
      </c>
      <c r="L3" s="83">
        <f>INDEX(RobotDesignResults[Robot Design Rank],MATCH(TournamentData[[#This Row],[Team Number]],RobotDesignResults[Team Number],0))</f>
        <v>6</v>
      </c>
      <c r="M3" s="83">
        <f>SUM(TournamentData[[#This Row],[Robot Game Rank]:[Robot Design Rank]])</f>
        <v>17</v>
      </c>
      <c r="N3" s="84">
        <f>RANK(TournamentData[[#This Row],[Champion''s Score]],TournamentData[Champion''s Score],1)</f>
        <v>4</v>
      </c>
      <c r="O3" s="130"/>
      <c r="P3" s="28"/>
      <c r="Q3" s="85">
        <f>IF(ISNA(INDEX(CoreValuesResults[Core Values Score],MATCH(TournamentData[[#This Row],[Team Number]],CoreValuesResults[Team Number],0))),0,INDEX(CoreValuesResults[Core Values Score],MATCH(TournamentData[[#This Row],[Team Number]],CoreValuesResults[Team Number],0)))</f>
        <v>37</v>
      </c>
      <c r="R3" s="85">
        <f>IF(ISNA(INDEX(InnovationProjectResults[Innovation Project Score],MATCH(TournamentData[[#This Row],[Team Number]],InnovationProjectResults[Team Number],0))),0,INDEX(InnovationProjectResults[Innovation Project Score],MATCH(TournamentData[[#This Row],[Team Number]],InnovationProjectResults[Team Number],0)))</f>
        <v>26</v>
      </c>
      <c r="S3" s="85">
        <f>IF(ISNA(INDEX(RobotDesignResults[Robot Design Score],MATCH(TournamentData[[#This Row],[Team Number]],RobotDesignResults[Team Number],0))),0,INDEX(RobotDesignResults[Robot Design Score],MATCH(TournamentData[[#This Row],[Team Number]],RobotDesignResults[Team Number],0)))</f>
        <v>24</v>
      </c>
      <c r="T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51.301895358323968</v>
      </c>
      <c r="U3" s="87">
        <f>IF(T3,_xlfn.RANK.EQ(T3,T$3:T$13,0),NumberOfTeams)</f>
        <v>3</v>
      </c>
      <c r="V3" s="27"/>
      <c r="W3" s="27"/>
      <c r="Z3" s="27"/>
      <c r="AA3" s="27"/>
      <c r="AB3" s="27"/>
    </row>
    <row r="4" spans="1:28" ht="20.25" customHeight="1" x14ac:dyDescent="0.25">
      <c r="A4" s="6">
        <v>6818</v>
      </c>
      <c r="B4" s="82" t="str">
        <f>INDEX(OfficialTeamList[Team Name],MATCH(TournamentData[[#This Row],[Team Number]], OfficialTeamList[Team Number],0))</f>
        <v>RG2 CV9 IP11 RD1 CR6</v>
      </c>
      <c r="C4" s="83">
        <f>IF(TournamentData[[#This Row],[Team Number]]="","",IF(ISNA(INDEX('Robot Game Scores'!C:C,MATCH(TournamentData[[#This Row],[Team Number]], 'Robot Game Scores'!$A:$A,0))),0,INDEX('Robot Game Scores'!C:C,MATCH(TournamentData[[#This Row],[Team Number]], 'Robot Game Scores'!$A:$A,0))))</f>
        <v>185</v>
      </c>
      <c r="D4" s="83">
        <f>IF(TournamentData[[#This Row],[Team Number]]="","",IF(ISNA(INDEX('Robot Game Scores'!D:D,MATCH(TournamentData[[#This Row],[Team Number]], 'Robot Game Scores'!$A:$A,0))),0,INDEX('Robot Game Scores'!D:D,MATCH(TournamentData[[#This Row],[Team Number]], 'Robot Game Scores'!$A:$A,0))))</f>
        <v>300</v>
      </c>
      <c r="E4" s="83">
        <f>IF(TournamentData[[#This Row],[Team Number]]="","",IF(ISNA(INDEX('Robot Game Scores'!E:E,MATCH(TournamentData[[#This Row],[Team Number]], 'Robot Game Scores'!$A:$A,0))),0,INDEX('Robot Game Scores'!E:E,MATCH(TournamentData[[#This Row],[Team Number]], 'Robot Game Scores'!$A:$A,0))))</f>
        <v>115</v>
      </c>
      <c r="F4" s="83" t="e">
        <f>IF(TournamentData[[#This Row],[Team Number]]="","",IF(ISNA(INDEX('Robot Game Scores'!#REF!,MATCH(TournamentData[[#This Row],[Team Number]], 'Robot Game Scores'!$A:$A,0))),0,INDEX('Robot Game Scores'!#REF!,MATCH(TournamentData[[#This Row],[Team Number]], 'Robot Game Scores'!$A:$A,0))))</f>
        <v>#REF!</v>
      </c>
      <c r="G4" s="83" t="e">
        <f>IF(TournamentData[[#This Row],[Team Number]]="","",IF(ISNA(INDEX('Robot Game Scores'!#REF!,MATCH(TournamentData[[#This Row],[Team Number]], 'Robot Game Scores'!$A:$A,0))),0,INDEX('Robot Game Scores'!#REF!,MATCH(TournamentData[[#This Row],[Team Number]], 'Robot Game Scores'!$A:$A,0))))</f>
        <v>#REF!</v>
      </c>
      <c r="H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300.01851150000005</v>
      </c>
      <c r="I4" s="83">
        <f>_xlfn.RANK.EQ(TournamentData[[#This Row],[Max Robot Game Score]],TournamentData[Max Robot Game Score])</f>
        <v>2</v>
      </c>
      <c r="J4" s="83">
        <f>INDEX(CoreValuesResults[Core Values Rank],MATCH(TournamentData[[#This Row],[Team Number]],CoreValuesResults[Team Number],0))</f>
        <v>9</v>
      </c>
      <c r="K4" s="83">
        <f>INDEX(InnovationProjectResults[Innovation Project Rank],MATCH(TournamentData[[#This Row],[Team Number]],InnovationProjectResults[Team Number],0))</f>
        <v>11</v>
      </c>
      <c r="L4" s="83">
        <f>INDEX(RobotDesignResults[Robot Design Rank],MATCH(TournamentData[[#This Row],[Team Number]],RobotDesignResults[Team Number],0))</f>
        <v>1</v>
      </c>
      <c r="M4" s="83">
        <f>SUM(TournamentData[[#This Row],[Robot Game Rank]:[Robot Design Rank]])</f>
        <v>23</v>
      </c>
      <c r="N4" s="84">
        <f>RANK(TournamentData[[#This Row],[Champion''s Score]],TournamentData[Champion''s Score],1)</f>
        <v>6</v>
      </c>
      <c r="O4" s="130"/>
      <c r="P4" s="28"/>
      <c r="Q4" s="85">
        <f>IF(ISNA(INDEX(CoreValuesResults[Core Values Score],MATCH(TournamentData[[#This Row],[Team Number]],CoreValuesResults[Team Number],0))),0,INDEX(CoreValuesResults[Core Values Score],MATCH(TournamentData[[#This Row],[Team Number]],CoreValuesResults[Team Number],0)))</f>
        <v>30</v>
      </c>
      <c r="R4" s="85">
        <f>IF(ISNA(INDEX(InnovationProjectResults[Innovation Project Score],MATCH(TournamentData[[#This Row],[Team Number]],InnovationProjectResults[Team Number],0))),0,INDEX(InnovationProjectResults[Innovation Project Score],MATCH(TournamentData[[#This Row],[Team Number]],InnovationProjectResults[Team Number],0)))</f>
        <v>19</v>
      </c>
      <c r="S4" s="85">
        <f>IF(ISNA(INDEX(RobotDesignResults[Robot Design Score],MATCH(TournamentData[[#This Row],[Team Number]],RobotDesignResults[Team Number],0))),0,INDEX(RobotDesignResults[Robot Design Score],MATCH(TournamentData[[#This Row],[Team Number]],RobotDesignResults[Team Number],0)))</f>
        <v>27</v>
      </c>
      <c r="T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46.355008811503055</v>
      </c>
      <c r="U4" s="87">
        <f>IF(T4,_xlfn.RANK.EQ(T4,T$3:T$13,0),NumberOfTeams)</f>
        <v>7</v>
      </c>
      <c r="V4" s="27"/>
      <c r="W4" s="27"/>
      <c r="Z4" s="27"/>
      <c r="AA4" s="27"/>
      <c r="AB4" s="27"/>
    </row>
    <row r="5" spans="1:28" ht="20.25" customHeight="1" x14ac:dyDescent="0.25">
      <c r="A5" s="6">
        <v>8913</v>
      </c>
      <c r="B5" s="82" t="str">
        <f>INDEX(OfficialTeamList[Team Name],MATCH(TournamentData[[#This Row],[Team Number]], OfficialTeamList[Team Number],0))</f>
        <v>RG6 CV3 IP2 RD1 CR2</v>
      </c>
      <c r="C5" s="83">
        <f>IF(TournamentData[[#This Row],[Team Number]]="","",IF(ISNA(INDEX('Robot Game Scores'!C:C,MATCH(TournamentData[[#This Row],[Team Number]], 'Robot Game Scores'!$A:$A,0))),0,INDEX('Robot Game Scores'!C:C,MATCH(TournamentData[[#This Row],[Team Number]], 'Robot Game Scores'!$A:$A,0))))</f>
        <v>203</v>
      </c>
      <c r="D5" s="83">
        <f>IF(TournamentData[[#This Row],[Team Number]]="","",IF(ISNA(INDEX('Robot Game Scores'!D:D,MATCH(TournamentData[[#This Row],[Team Number]], 'Robot Game Scores'!$A:$A,0))),0,INDEX('Robot Game Scores'!D:D,MATCH(TournamentData[[#This Row],[Team Number]], 'Robot Game Scores'!$A:$A,0))))</f>
        <v>76</v>
      </c>
      <c r="E5" s="83">
        <f>IF(TournamentData[[#This Row],[Team Number]]="","",IF(ISNA(INDEX('Robot Game Scores'!E:E,MATCH(TournamentData[[#This Row],[Team Number]], 'Robot Game Scores'!$A:$A,0))),0,INDEX('Robot Game Scores'!E:E,MATCH(TournamentData[[#This Row],[Team Number]], 'Robot Game Scores'!$A:$A,0))))</f>
        <v>238</v>
      </c>
      <c r="F5" s="83" t="e">
        <f>IF(TournamentData[[#This Row],[Team Number]]="","",IF(ISNA(INDEX('Robot Game Scores'!#REF!,MATCH(TournamentData[[#This Row],[Team Number]], 'Robot Game Scores'!$A:$A,0))),0,INDEX('Robot Game Scores'!#REF!,MATCH(TournamentData[[#This Row],[Team Number]], 'Robot Game Scores'!$A:$A,0))))</f>
        <v>#REF!</v>
      </c>
      <c r="G5" s="83" t="e">
        <f>IF(TournamentData[[#This Row],[Team Number]]="","",IF(ISNA(INDEX('Robot Game Scores'!#REF!,MATCH(TournamentData[[#This Row],[Team Number]], 'Robot Game Scores'!$A:$A,0))),0,INDEX('Robot Game Scores'!#REF!,MATCH(TournamentData[[#This Row],[Team Number]], 'Robot Game Scores'!$A:$A,0))))</f>
        <v>#REF!</v>
      </c>
      <c r="H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238.0203076</v>
      </c>
      <c r="I5" s="83">
        <f>_xlfn.RANK.EQ(TournamentData[[#This Row],[Max Robot Game Score]],TournamentData[Max Robot Game Score])</f>
        <v>6</v>
      </c>
      <c r="J5" s="83">
        <f>INDEX(CoreValuesResults[Core Values Rank],MATCH(TournamentData[[#This Row],[Team Number]],CoreValuesResults[Team Number],0))</f>
        <v>3</v>
      </c>
      <c r="K5" s="83">
        <f>INDEX(InnovationProjectResults[Innovation Project Rank],MATCH(TournamentData[[#This Row],[Team Number]],InnovationProjectResults[Team Number],0))</f>
        <v>2</v>
      </c>
      <c r="L5" s="83">
        <f>INDEX(RobotDesignResults[Robot Design Rank],MATCH(TournamentData[[#This Row],[Team Number]],RobotDesignResults[Team Number],0))</f>
        <v>1</v>
      </c>
      <c r="M5" s="83">
        <f>SUM(TournamentData[[#This Row],[Robot Game Rank]:[Robot Design Rank]])</f>
        <v>12</v>
      </c>
      <c r="N5" s="84">
        <f>RANK(TournamentData[[#This Row],[Champion''s Score]],TournamentData[Champion''s Score],1)</f>
        <v>2</v>
      </c>
      <c r="O5" s="130"/>
      <c r="P5" s="28"/>
      <c r="Q5" s="85">
        <f>IF(ISNA(INDEX(CoreValuesResults[Core Values Score],MATCH(TournamentData[[#This Row],[Team Number]],CoreValuesResults[Team Number],0))),0,INDEX(CoreValuesResults[Core Values Score],MATCH(TournamentData[[#This Row],[Team Number]],CoreValuesResults[Team Number],0)))</f>
        <v>38</v>
      </c>
      <c r="R5" s="85">
        <f>IF(ISNA(INDEX(InnovationProjectResults[Innovation Project Score],MATCH(TournamentData[[#This Row],[Team Number]],InnovationProjectResults[Team Number],0))),0,INDEX(InnovationProjectResults[Innovation Project Score],MATCH(TournamentData[[#This Row],[Team Number]],InnovationProjectResults[Team Number],0)))</f>
        <v>29</v>
      </c>
      <c r="S5" s="85">
        <f>IF(ISNA(INDEX(RobotDesignResults[Robot Design Score],MATCH(TournamentData[[#This Row],[Team Number]],RobotDesignResults[Team Number],0))),0,INDEX(RobotDesignResults[Robot Design Score],MATCH(TournamentData[[#This Row],[Team Number]],RobotDesignResults[Team Number],0)))</f>
        <v>27</v>
      </c>
      <c r="T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51.586948938616345</v>
      </c>
      <c r="U5" s="87">
        <f>IF(T5,_xlfn.RANK.EQ(T5,T$3:T$13,0),NumberOfTeams)</f>
        <v>2</v>
      </c>
      <c r="V5" s="27"/>
      <c r="W5" s="27"/>
      <c r="Z5" s="27"/>
      <c r="AA5" s="27"/>
      <c r="AB5" s="27"/>
    </row>
    <row r="6" spans="1:28" ht="20.25" customHeight="1" x14ac:dyDescent="0.25">
      <c r="A6" s="6">
        <v>29484</v>
      </c>
      <c r="B6" s="82" t="str">
        <f>INDEX(OfficialTeamList[Team Name],MATCH(TournamentData[[#This Row],[Team Number]], OfficialTeamList[Team Number],0))</f>
        <v>RG8 CV1 IP1 RD6 CR3</v>
      </c>
      <c r="C6" s="83">
        <f>IF(TournamentData[[#This Row],[Team Number]]="","",IF(ISNA(INDEX('Robot Game Scores'!C:C,MATCH(TournamentData[[#This Row],[Team Number]], 'Robot Game Scores'!$A:$A,0))),0,INDEX('Robot Game Scores'!C:C,MATCH(TournamentData[[#This Row],[Team Number]], 'Robot Game Scores'!$A:$A,0))))</f>
        <v>220</v>
      </c>
      <c r="D6" s="83">
        <f>IF(TournamentData[[#This Row],[Team Number]]="","",IF(ISNA(INDEX('Robot Game Scores'!D:D,MATCH(TournamentData[[#This Row],[Team Number]], 'Robot Game Scores'!$A:$A,0))),0,INDEX('Robot Game Scores'!D:D,MATCH(TournamentData[[#This Row],[Team Number]], 'Robot Game Scores'!$A:$A,0))))</f>
        <v>172</v>
      </c>
      <c r="E6" s="83">
        <f>IF(TournamentData[[#This Row],[Team Number]]="","",IF(ISNA(INDEX('Robot Game Scores'!E:E,MATCH(TournamentData[[#This Row],[Team Number]], 'Robot Game Scores'!$A:$A,0))),0,INDEX('Robot Game Scores'!E:E,MATCH(TournamentData[[#This Row],[Team Number]], 'Robot Game Scores'!$A:$A,0))))</f>
        <v>172</v>
      </c>
      <c r="F6" s="83" t="e">
        <f>IF(TournamentData[[#This Row],[Team Number]]="","",IF(ISNA(INDEX('Robot Game Scores'!#REF!,MATCH(TournamentData[[#This Row],[Team Number]], 'Robot Game Scores'!$A:$A,0))),0,INDEX('Robot Game Scores'!#REF!,MATCH(TournamentData[[#This Row],[Team Number]], 'Robot Game Scores'!$A:$A,0))))</f>
        <v>#REF!</v>
      </c>
      <c r="G6" s="83" t="e">
        <f>IF(TournamentData[[#This Row],[Team Number]]="","",IF(ISNA(INDEX('Robot Game Scores'!#REF!,MATCH(TournamentData[[#This Row],[Team Number]], 'Robot Game Scores'!$A:$A,0))),0,INDEX('Robot Game Scores'!#REF!,MATCH(TournamentData[[#This Row],[Team Number]], 'Robot Game Scores'!$A:$A,0))))</f>
        <v>#REF!</v>
      </c>
      <c r="H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220.0172172</v>
      </c>
      <c r="I6" s="83">
        <f>_xlfn.RANK.EQ(TournamentData[[#This Row],[Max Robot Game Score]],TournamentData[Max Robot Game Score])</f>
        <v>8</v>
      </c>
      <c r="J6" s="83">
        <f>INDEX(CoreValuesResults[Core Values Rank],MATCH(TournamentData[[#This Row],[Team Number]],CoreValuesResults[Team Number],0))</f>
        <v>1</v>
      </c>
      <c r="K6" s="83">
        <f>INDEX(InnovationProjectResults[Innovation Project Rank],MATCH(TournamentData[[#This Row],[Team Number]],InnovationProjectResults[Team Number],0))</f>
        <v>1</v>
      </c>
      <c r="L6" s="83">
        <f>INDEX(RobotDesignResults[Robot Design Rank],MATCH(TournamentData[[#This Row],[Team Number]],RobotDesignResults[Team Number],0))</f>
        <v>6</v>
      </c>
      <c r="M6" s="83">
        <f>SUM(TournamentData[[#This Row],[Robot Game Rank]:[Robot Design Rank]])</f>
        <v>16</v>
      </c>
      <c r="N6" s="84">
        <f>RANK(TournamentData[[#This Row],[Champion''s Score]],TournamentData[Champion''s Score],1)</f>
        <v>3</v>
      </c>
      <c r="O6" s="130"/>
      <c r="P6" s="28"/>
      <c r="Q6" s="85">
        <f>IF(ISNA(INDEX(CoreValuesResults[Core Values Score],MATCH(TournamentData[[#This Row],[Team Number]],CoreValuesResults[Team Number],0))),0,INDEX(CoreValuesResults[Core Values Score],MATCH(TournamentData[[#This Row],[Team Number]],CoreValuesResults[Team Number],0)))</f>
        <v>39</v>
      </c>
      <c r="R6" s="85">
        <f>IF(ISNA(INDEX(InnovationProjectResults[Innovation Project Score],MATCH(TournamentData[[#This Row],[Team Number]],InnovationProjectResults[Team Number],0))),0,INDEX(InnovationProjectResults[Innovation Project Score],MATCH(TournamentData[[#This Row],[Team Number]],InnovationProjectResults[Team Number],0)))</f>
        <v>31</v>
      </c>
      <c r="S6" s="85">
        <f>IF(ISNA(INDEX(RobotDesignResults[Robot Design Score],MATCH(TournamentData[[#This Row],[Team Number]],RobotDesignResults[Team Number],0))),0,INDEX(RobotDesignResults[Robot Design Score],MATCH(TournamentData[[#This Row],[Team Number]],RobotDesignResults[Team Number],0)))</f>
        <v>24</v>
      </c>
      <c r="T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50.265910368006111</v>
      </c>
      <c r="U6" s="87">
        <f>IF(T6,_xlfn.RANK.EQ(T6,T$3:T$13,0),NumberOfTeams)</f>
        <v>4</v>
      </c>
      <c r="V6" s="27"/>
    </row>
    <row r="7" spans="1:28" ht="20.25" customHeight="1" x14ac:dyDescent="0.25">
      <c r="A7" s="6">
        <v>34450</v>
      </c>
      <c r="B7" s="82" t="str">
        <f>INDEX(OfficialTeamList[Team Name],MATCH(TournamentData[[#This Row],[Team Number]], OfficialTeamList[Team Number],0))</f>
        <v>RG7 CV7 IP4 RD3 CR5</v>
      </c>
      <c r="C7" s="83">
        <f>IF(TournamentData[[#This Row],[Team Number]]="","",IF(ISNA(INDEX('Robot Game Scores'!C:C,MATCH(TournamentData[[#This Row],[Team Number]], 'Robot Game Scores'!$A:$A,0))),0,INDEX('Robot Game Scores'!C:C,MATCH(TournamentData[[#This Row],[Team Number]], 'Robot Game Scores'!$A:$A,0))))</f>
        <v>220</v>
      </c>
      <c r="D7" s="83">
        <f>IF(TournamentData[[#This Row],[Team Number]]="","",IF(ISNA(INDEX('Robot Game Scores'!D:D,MATCH(TournamentData[[#This Row],[Team Number]], 'Robot Game Scores'!$A:$A,0))),0,INDEX('Robot Game Scores'!D:D,MATCH(TournamentData[[#This Row],[Team Number]], 'Robot Game Scores'!$A:$A,0))))</f>
        <v>189</v>
      </c>
      <c r="E7" s="83">
        <f>IF(TournamentData[[#This Row],[Team Number]]="","",IF(ISNA(INDEX('Robot Game Scores'!E:E,MATCH(TournamentData[[#This Row],[Team Number]], 'Robot Game Scores'!$A:$A,0))),0,INDEX('Robot Game Scores'!E:E,MATCH(TournamentData[[#This Row],[Team Number]], 'Robot Game Scores'!$A:$A,0))))</f>
        <v>172</v>
      </c>
      <c r="F7" s="83" t="e">
        <f>IF(TournamentData[[#This Row],[Team Number]]="","",IF(ISNA(INDEX('Robot Game Scores'!#REF!,MATCH(TournamentData[[#This Row],[Team Number]], 'Robot Game Scores'!$A:$A,0))),0,INDEX('Robot Game Scores'!#REF!,MATCH(TournamentData[[#This Row],[Team Number]], 'Robot Game Scores'!$A:$A,0))))</f>
        <v>#REF!</v>
      </c>
      <c r="G7" s="83" t="e">
        <f>IF(TournamentData[[#This Row],[Team Number]]="","",IF(ISNA(INDEX('Robot Game Scores'!#REF!,MATCH(TournamentData[[#This Row],[Team Number]], 'Robot Game Scores'!$A:$A,0))),0,INDEX('Robot Game Scores'!#REF!,MATCH(TournamentData[[#This Row],[Team Number]], 'Robot Game Scores'!$A:$A,0))))</f>
        <v>#REF!</v>
      </c>
      <c r="H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220.0189172</v>
      </c>
      <c r="I7" s="83">
        <f>_xlfn.RANK.EQ(TournamentData[[#This Row],[Max Robot Game Score]],TournamentData[Max Robot Game Score])</f>
        <v>7</v>
      </c>
      <c r="J7" s="83">
        <f>INDEX(CoreValuesResults[Core Values Rank],MATCH(TournamentData[[#This Row],[Team Number]],CoreValuesResults[Team Number],0))</f>
        <v>7</v>
      </c>
      <c r="K7" s="83">
        <f>INDEX(InnovationProjectResults[Innovation Project Rank],MATCH(TournamentData[[#This Row],[Team Number]],InnovationProjectResults[Team Number],0))</f>
        <v>4</v>
      </c>
      <c r="L7" s="83">
        <f>INDEX(RobotDesignResults[Robot Design Rank],MATCH(TournamentData[[#This Row],[Team Number]],RobotDesignResults[Team Number],0))</f>
        <v>3</v>
      </c>
      <c r="M7" s="83">
        <f>SUM(TournamentData[[#This Row],[Robot Game Rank]:[Robot Design Rank]])</f>
        <v>21</v>
      </c>
      <c r="N7" s="84">
        <f>RANK(TournamentData[[#This Row],[Champion''s Score]],TournamentData[Champion''s Score],1)</f>
        <v>5</v>
      </c>
      <c r="O7" s="130"/>
      <c r="P7" s="28"/>
      <c r="Q7" s="85">
        <f>IF(ISNA(INDEX(CoreValuesResults[Core Values Score],MATCH(TournamentData[[#This Row],[Team Number]],CoreValuesResults[Team Number],0))),0,INDEX(CoreValuesResults[Core Values Score],MATCH(TournamentData[[#This Row],[Team Number]],CoreValuesResults[Team Number],0)))</f>
        <v>35</v>
      </c>
      <c r="R7" s="85">
        <f>IF(ISNA(INDEX(InnovationProjectResults[Innovation Project Score],MATCH(TournamentData[[#This Row],[Team Number]],InnovationProjectResults[Team Number],0))),0,INDEX(InnovationProjectResults[Innovation Project Score],MATCH(TournamentData[[#This Row],[Team Number]],InnovationProjectResults[Team Number],0)))</f>
        <v>26</v>
      </c>
      <c r="S7" s="85">
        <f>IF(ISNA(INDEX(RobotDesignResults[Robot Design Score],MATCH(TournamentData[[#This Row],[Team Number]],RobotDesignResults[Team Number],0))),0,INDEX(RobotDesignResults[Robot Design Score],MATCH(TournamentData[[#This Row],[Team Number]],RobotDesignResults[Team Number],0)))</f>
        <v>25</v>
      </c>
      <c r="T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47.299914532713238</v>
      </c>
      <c r="U7" s="87">
        <f>IF(T7,_xlfn.RANK.EQ(T7,T$3:T$13,0),NumberOfTeams)</f>
        <v>6</v>
      </c>
      <c r="V7" s="27"/>
    </row>
    <row r="8" spans="1:28" ht="20.25" customHeight="1" x14ac:dyDescent="0.25">
      <c r="A8" s="6">
        <v>43985</v>
      </c>
      <c r="B8" s="82" t="str">
        <f>INDEX(OfficialTeamList[Team Name],MATCH(TournamentData[[#This Row],[Team Number]], OfficialTeamList[Team Number],0))</f>
        <v>RG1 CV1 IP2 RD3 CR1</v>
      </c>
      <c r="C8" s="83">
        <f>IF(TournamentData[[#This Row],[Team Number]]="","",IF(ISNA(INDEX('Robot Game Scores'!C:C,MATCH(TournamentData[[#This Row],[Team Number]], 'Robot Game Scores'!$A:$A,0))),0,INDEX('Robot Game Scores'!C:C,MATCH(TournamentData[[#This Row],[Team Number]], 'Robot Game Scores'!$A:$A,0))))</f>
        <v>217</v>
      </c>
      <c r="D8" s="83">
        <f>IF(TournamentData[[#This Row],[Team Number]]="","",IF(ISNA(INDEX('Robot Game Scores'!D:D,MATCH(TournamentData[[#This Row],[Team Number]], 'Robot Game Scores'!$A:$A,0))),0,INDEX('Robot Game Scores'!D:D,MATCH(TournamentData[[#This Row],[Team Number]], 'Robot Game Scores'!$A:$A,0))))</f>
        <v>341</v>
      </c>
      <c r="E8" s="83">
        <f>IF(TournamentData[[#This Row],[Team Number]]="","",IF(ISNA(INDEX('Robot Game Scores'!E:E,MATCH(TournamentData[[#This Row],[Team Number]], 'Robot Game Scores'!$A:$A,0))),0,INDEX('Robot Game Scores'!E:E,MATCH(TournamentData[[#This Row],[Team Number]], 'Robot Game Scores'!$A:$A,0))))</f>
        <v>212</v>
      </c>
      <c r="F8" s="83" t="e">
        <f>IF(TournamentData[[#This Row],[Team Number]]="","",IF(ISNA(INDEX('Robot Game Scores'!#REF!,MATCH(TournamentData[[#This Row],[Team Number]], 'Robot Game Scores'!$A:$A,0))),0,INDEX('Robot Game Scores'!#REF!,MATCH(TournamentData[[#This Row],[Team Number]], 'Robot Game Scores'!$A:$A,0))))</f>
        <v>#REF!</v>
      </c>
      <c r="G8" s="83" t="e">
        <f>IF(TournamentData[[#This Row],[Team Number]]="","",IF(ISNA(INDEX('Robot Game Scores'!#REF!,MATCH(TournamentData[[#This Row],[Team Number]], 'Robot Game Scores'!$A:$A,0))),0,INDEX('Robot Game Scores'!#REF!,MATCH(TournamentData[[#This Row],[Team Number]], 'Robot Game Scores'!$A:$A,0))))</f>
        <v>#REF!</v>
      </c>
      <c r="H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341.0217212</v>
      </c>
      <c r="I8" s="83">
        <f>_xlfn.RANK.EQ(TournamentData[[#This Row],[Max Robot Game Score]],TournamentData[Max Robot Game Score])</f>
        <v>1</v>
      </c>
      <c r="J8" s="83">
        <f>INDEX(CoreValuesResults[Core Values Rank],MATCH(TournamentData[[#This Row],[Team Number]],CoreValuesResults[Team Number],0))</f>
        <v>1</v>
      </c>
      <c r="K8" s="83">
        <f>INDEX(InnovationProjectResults[Innovation Project Rank],MATCH(TournamentData[[#This Row],[Team Number]],InnovationProjectResults[Team Number],0))</f>
        <v>2</v>
      </c>
      <c r="L8" s="83">
        <f>INDEX(RobotDesignResults[Robot Design Rank],MATCH(TournamentData[[#This Row],[Team Number]],RobotDesignResults[Team Number],0))</f>
        <v>3</v>
      </c>
      <c r="M8" s="83">
        <f>SUM(TournamentData[[#This Row],[Robot Game Rank]:[Robot Design Rank]])</f>
        <v>7</v>
      </c>
      <c r="N8" s="84">
        <f>RANK(TournamentData[[#This Row],[Champion''s Score]],TournamentData[Champion''s Score],1)</f>
        <v>1</v>
      </c>
      <c r="O8" s="130"/>
      <c r="P8" s="28"/>
      <c r="Q8" s="85">
        <f>IF(ISNA(INDEX(CoreValuesResults[Core Values Score],MATCH(TournamentData[[#This Row],[Team Number]],CoreValuesResults[Team Number],0))),0,INDEX(CoreValuesResults[Core Values Score],MATCH(TournamentData[[#This Row],[Team Number]],CoreValuesResults[Team Number],0)))</f>
        <v>39</v>
      </c>
      <c r="R8" s="85">
        <f>IF(ISNA(INDEX(InnovationProjectResults[Innovation Project Score],MATCH(TournamentData[[#This Row],[Team Number]],InnovationProjectResults[Team Number],0))),0,INDEX(InnovationProjectResults[Innovation Project Score],MATCH(TournamentData[[#This Row],[Team Number]],InnovationProjectResults[Team Number],0)))</f>
        <v>29</v>
      </c>
      <c r="S8" s="85">
        <f>IF(ISNA(INDEX(RobotDesignResults[Robot Design Score],MATCH(TournamentData[[#This Row],[Team Number]],RobotDesignResults[Team Number],0))),0,INDEX(RobotDesignResults[Robot Design Score],MATCH(TournamentData[[#This Row],[Team Number]],RobotDesignResults[Team Number],0)))</f>
        <v>25</v>
      </c>
      <c r="T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55.72449788776364</v>
      </c>
      <c r="U8" s="87">
        <f>IF(T8,_xlfn.RANK.EQ(T8,T$3:T$13,0),NumberOfTeams)</f>
        <v>1</v>
      </c>
      <c r="V8" s="27"/>
    </row>
    <row r="9" spans="1:28" ht="20.25" customHeight="1" x14ac:dyDescent="0.25">
      <c r="A9" s="6">
        <v>48732</v>
      </c>
      <c r="B9" s="82" t="str">
        <f>INDEX(OfficialTeamList[Team Name],MATCH(TournamentData[[#This Row],[Team Number]], OfficialTeamList[Team Number],0))</f>
        <v>RG4 CV10 IP10 RD3 CR8</v>
      </c>
      <c r="C9" s="83">
        <f>IF(TournamentData[[#This Row],[Team Number]]="","",IF(ISNA(INDEX('Robot Game Scores'!C:C,MATCH(TournamentData[[#This Row],[Team Number]], 'Robot Game Scores'!$A:$A,0))),0,INDEX('Robot Game Scores'!C:C,MATCH(TournamentData[[#This Row],[Team Number]], 'Robot Game Scores'!$A:$A,0))))</f>
        <v>212</v>
      </c>
      <c r="D9" s="83">
        <f>IF(TournamentData[[#This Row],[Team Number]]="","",IF(ISNA(INDEX('Robot Game Scores'!D:D,MATCH(TournamentData[[#This Row],[Team Number]], 'Robot Game Scores'!$A:$A,0))),0,INDEX('Robot Game Scores'!D:D,MATCH(TournamentData[[#This Row],[Team Number]], 'Robot Game Scores'!$A:$A,0))))</f>
        <v>278</v>
      </c>
      <c r="E9" s="83">
        <f>IF(TournamentData[[#This Row],[Team Number]]="","",IF(ISNA(INDEX('Robot Game Scores'!E:E,MATCH(TournamentData[[#This Row],[Team Number]], 'Robot Game Scores'!$A:$A,0))),0,INDEX('Robot Game Scores'!E:E,MATCH(TournamentData[[#This Row],[Team Number]], 'Robot Game Scores'!$A:$A,0))))</f>
        <v>215</v>
      </c>
      <c r="F9" s="83" t="e">
        <f>IF(TournamentData[[#This Row],[Team Number]]="","",IF(ISNA(INDEX('Robot Game Scores'!#REF!,MATCH(TournamentData[[#This Row],[Team Number]], 'Robot Game Scores'!$A:$A,0))),0,INDEX('Robot Game Scores'!#REF!,MATCH(TournamentData[[#This Row],[Team Number]], 'Robot Game Scores'!$A:$A,0))))</f>
        <v>#REF!</v>
      </c>
      <c r="G9" s="83" t="e">
        <f>IF(TournamentData[[#This Row],[Team Number]]="","",IF(ISNA(INDEX('Robot Game Scores'!#REF!,MATCH(TournamentData[[#This Row],[Team Number]], 'Robot Game Scores'!$A:$A,0))),0,INDEX('Robot Game Scores'!#REF!,MATCH(TournamentData[[#This Row],[Team Number]], 'Robot Game Scores'!$A:$A,0))))</f>
        <v>#REF!</v>
      </c>
      <c r="H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278.0215212</v>
      </c>
      <c r="I9" s="83">
        <f>_xlfn.RANK.EQ(TournamentData[[#This Row],[Max Robot Game Score]],TournamentData[Max Robot Game Score])</f>
        <v>4</v>
      </c>
      <c r="J9" s="83">
        <f>INDEX(CoreValuesResults[Core Values Rank],MATCH(TournamentData[[#This Row],[Team Number]],CoreValuesResults[Team Number],0))</f>
        <v>10</v>
      </c>
      <c r="K9" s="83">
        <f>INDEX(InnovationProjectResults[Innovation Project Rank],MATCH(TournamentData[[#This Row],[Team Number]],InnovationProjectResults[Team Number],0))</f>
        <v>10</v>
      </c>
      <c r="L9" s="83">
        <f>INDEX(RobotDesignResults[Robot Design Rank],MATCH(TournamentData[[#This Row],[Team Number]],RobotDesignResults[Team Number],0))</f>
        <v>3</v>
      </c>
      <c r="M9" s="83">
        <f>SUM(TournamentData[[#This Row],[Robot Game Rank]:[Robot Design Rank]])</f>
        <v>27</v>
      </c>
      <c r="N9" s="84">
        <f>RANK(TournamentData[[#This Row],[Champion''s Score]],TournamentData[Champion''s Score],1)</f>
        <v>8</v>
      </c>
      <c r="O9" s="130"/>
      <c r="P9" s="28"/>
      <c r="Q9" s="85">
        <f>IF(ISNA(INDEX(CoreValuesResults[Core Values Score],MATCH(TournamentData[[#This Row],[Team Number]],CoreValuesResults[Team Number],0))),0,INDEX(CoreValuesResults[Core Values Score],MATCH(TournamentData[[#This Row],[Team Number]],CoreValuesResults[Team Number],0)))</f>
        <v>28</v>
      </c>
      <c r="R9" s="85">
        <f>IF(ISNA(INDEX(InnovationProjectResults[Innovation Project Score],MATCH(TournamentData[[#This Row],[Team Number]],InnovationProjectResults[Team Number],0))),0,INDEX(InnovationProjectResults[Innovation Project Score],MATCH(TournamentData[[#This Row],[Team Number]],InnovationProjectResults[Team Number],0)))</f>
        <v>21</v>
      </c>
      <c r="S9" s="85">
        <f>IF(ISNA(INDEX(RobotDesignResults[Robot Design Score],MATCH(TournamentData[[#This Row],[Team Number]],RobotDesignResults[Team Number],0))),0,INDEX(RobotDesignResults[Robot Design Score],MATCH(TournamentData[[#This Row],[Team Number]],RobotDesignResults[Team Number],0)))</f>
        <v>25</v>
      </c>
      <c r="T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44.962343325773709</v>
      </c>
      <c r="U9" s="27">
        <f>IF(T9,_xlfn.RANK.EQ(T9,T$3:T$15,0),NumberOfTeams)</f>
        <v>8</v>
      </c>
      <c r="V9" s="27"/>
    </row>
    <row r="10" spans="1:28" ht="20.25" customHeight="1" x14ac:dyDescent="0.25">
      <c r="A10" s="6">
        <v>58947</v>
      </c>
      <c r="B10" s="131" t="str">
        <f>INDEX(OfficialTeamList[Team Name],MATCH(TournamentData[[#This Row],[Team Number]], OfficialTeamList[Team Number],0))</f>
        <v>RG5 CV8 IP8 RD6 CR8</v>
      </c>
      <c r="C10" s="132">
        <f>IF(TournamentData[[#This Row],[Team Number]]="","",IF(ISNA(INDEX('Robot Game Scores'!C:C,MATCH(TournamentData[[#This Row],[Team Number]], 'Robot Game Scores'!$A:$A,0))),0,INDEX('Robot Game Scores'!C:C,MATCH(TournamentData[[#This Row],[Team Number]], 'Robot Game Scores'!$A:$A,0))))</f>
        <v>266</v>
      </c>
      <c r="D10" s="132">
        <f>IF(TournamentData[[#This Row],[Team Number]]="","",IF(ISNA(INDEX('Robot Game Scores'!D:D,MATCH(TournamentData[[#This Row],[Team Number]], 'Robot Game Scores'!$A:$A,0))),0,INDEX('Robot Game Scores'!D:D,MATCH(TournamentData[[#This Row],[Team Number]], 'Robot Game Scores'!$A:$A,0))))</f>
        <v>142</v>
      </c>
      <c r="E10" s="132">
        <f>IF(TournamentData[[#This Row],[Team Number]]="","",IF(ISNA(INDEX('Robot Game Scores'!E:E,MATCH(TournamentData[[#This Row],[Team Number]], 'Robot Game Scores'!$A:$A,0))),0,INDEX('Robot Game Scores'!E:E,MATCH(TournamentData[[#This Row],[Team Number]], 'Robot Game Scores'!$A:$A,0))))</f>
        <v>163</v>
      </c>
      <c r="F10" s="132" t="e">
        <f>IF(TournamentData[[#This Row],[Team Number]]="","",IF(ISNA(INDEX('Robot Game Scores'!#REF!,MATCH(TournamentData[[#This Row],[Team Number]], 'Robot Game Scores'!$A:$A,0))),0,INDEX('Robot Game Scores'!#REF!,MATCH(TournamentData[[#This Row],[Team Number]], 'Robot Game Scores'!$A:$A,0))))</f>
        <v>#REF!</v>
      </c>
      <c r="G10" s="132" t="e">
        <f>IF(TournamentData[[#This Row],[Team Number]]="","",IF(ISNA(INDEX('Robot Game Scores'!#REF!,MATCH(TournamentData[[#This Row],[Team Number]], 'Robot Game Scores'!$A:$A,0))),0,INDEX('Robot Game Scores'!#REF!,MATCH(TournamentData[[#This Row],[Team Number]], 'Robot Game Scores'!$A:$A,0))))</f>
        <v>#REF!</v>
      </c>
      <c r="H10" s="13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266.01631420000001</v>
      </c>
      <c r="I10" s="132">
        <f>_xlfn.RANK.EQ(TournamentData[[#This Row],[Max Robot Game Score]],TournamentData[Max Robot Game Score])</f>
        <v>5</v>
      </c>
      <c r="J10" s="132">
        <f>INDEX(CoreValuesResults[Core Values Rank],MATCH(TournamentData[[#This Row],[Team Number]],CoreValuesResults[Team Number],0))</f>
        <v>8</v>
      </c>
      <c r="K10" s="132">
        <f>INDEX(InnovationProjectResults[Innovation Project Rank],MATCH(TournamentData[[#This Row],[Team Number]],InnovationProjectResults[Team Number],0))</f>
        <v>8</v>
      </c>
      <c r="L10" s="132">
        <f>INDEX(RobotDesignResults[Robot Design Rank],MATCH(TournamentData[[#This Row],[Team Number]],RobotDesignResults[Team Number],0))</f>
        <v>6</v>
      </c>
      <c r="M10" s="132">
        <f>SUM(TournamentData[[#This Row],[Robot Game Rank]:[Robot Design Rank]])</f>
        <v>27</v>
      </c>
      <c r="N10" s="132">
        <f>RANK(TournamentData[[#This Row],[Champion''s Score]],TournamentData[Champion''s Score],1)</f>
        <v>8</v>
      </c>
      <c r="O10" s="130"/>
      <c r="P10" s="133"/>
      <c r="Q10" s="134">
        <f>IF(ISNA(INDEX(CoreValuesResults[Core Values Score],MATCH(TournamentData[[#This Row],[Team Number]],CoreValuesResults[Team Number],0))),0,INDEX(CoreValuesResults[Core Values Score],MATCH(TournamentData[[#This Row],[Team Number]],CoreValuesResults[Team Number],0)))</f>
        <v>32</v>
      </c>
      <c r="R10" s="134">
        <f>IF(ISNA(INDEX(InnovationProjectResults[Innovation Project Score],MATCH(TournamentData[[#This Row],[Team Number]],InnovationProjectResults[Team Number],0))),0,INDEX(InnovationProjectResults[Innovation Project Score],MATCH(TournamentData[[#This Row],[Team Number]],InnovationProjectResults[Team Number],0)))</f>
        <v>25</v>
      </c>
      <c r="S10" s="134">
        <f>IF(ISNA(INDEX(RobotDesignResults[Robot Design Score],MATCH(TournamentData[[#This Row],[Team Number]],RobotDesignResults[Team Number],0))),0,INDEX(RobotDesignResults[Robot Design Score],MATCH(TournamentData[[#This Row],[Team Number]],RobotDesignResults[Team Number],0)))</f>
        <v>24</v>
      </c>
      <c r="T10" s="13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47.539255395934518</v>
      </c>
      <c r="U10" s="136">
        <f>IF(T10,_xlfn.RANK.EQ(T10,T$3:T$16,0),NumberOfTeams)</f>
        <v>5</v>
      </c>
      <c r="V10" s="136"/>
    </row>
    <row r="11" spans="1:28" ht="20.25" customHeight="1" x14ac:dyDescent="0.25">
      <c r="A11" s="6">
        <v>69029</v>
      </c>
      <c r="B11" s="131" t="str">
        <f>INDEX(OfficialTeamList[Team Name],MATCH(TournamentData[[#This Row],[Team Number]], OfficialTeamList[Team Number],0))</f>
        <v>RG9 CV4 IP4 RD9 CR7</v>
      </c>
      <c r="C11" s="132">
        <f>IF(TournamentData[[#This Row],[Team Number]]="","",IF(ISNA(INDEX('Robot Game Scores'!C:C,MATCH(TournamentData[[#This Row],[Team Number]], 'Robot Game Scores'!$A:$A,0))),0,INDEX('Robot Game Scores'!C:C,MATCH(TournamentData[[#This Row],[Team Number]], 'Robot Game Scores'!$A:$A,0))))</f>
        <v>94</v>
      </c>
      <c r="D11" s="132">
        <f>IF(TournamentData[[#This Row],[Team Number]]="","",IF(ISNA(INDEX('Robot Game Scores'!D:D,MATCH(TournamentData[[#This Row],[Team Number]], 'Robot Game Scores'!$A:$A,0))),0,INDEX('Robot Game Scores'!D:D,MATCH(TournamentData[[#This Row],[Team Number]], 'Robot Game Scores'!$A:$A,0))))</f>
        <v>59</v>
      </c>
      <c r="E11" s="132">
        <f>IF(TournamentData[[#This Row],[Team Number]]="","",IF(ISNA(INDEX('Robot Game Scores'!E:E,MATCH(TournamentData[[#This Row],[Team Number]], 'Robot Game Scores'!$A:$A,0))),0,INDEX('Robot Game Scores'!E:E,MATCH(TournamentData[[#This Row],[Team Number]], 'Robot Game Scores'!$A:$A,0))))</f>
        <v>158</v>
      </c>
      <c r="F11" s="132" t="e">
        <f>IF(TournamentData[[#This Row],[Team Number]]="","",IF(ISNA(INDEX('Robot Game Scores'!#REF!,MATCH(TournamentData[[#This Row],[Team Number]], 'Robot Game Scores'!$A:$A,0))),0,INDEX('Robot Game Scores'!#REF!,MATCH(TournamentData[[#This Row],[Team Number]], 'Robot Game Scores'!$A:$A,0))))</f>
        <v>#REF!</v>
      </c>
      <c r="G11" s="132" t="e">
        <f>IF(TournamentData[[#This Row],[Team Number]]="","",IF(ISNA(INDEX('Robot Game Scores'!#REF!,MATCH(TournamentData[[#This Row],[Team Number]], 'Robot Game Scores'!$A:$A,0))),0,INDEX('Robot Game Scores'!#REF!,MATCH(TournamentData[[#This Row],[Team Number]], 'Robot Game Scores'!$A:$A,0))))</f>
        <v>#REF!</v>
      </c>
      <c r="H11" s="13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158.00940589999999</v>
      </c>
      <c r="I11" s="132">
        <f>_xlfn.RANK.EQ(TournamentData[[#This Row],[Max Robot Game Score]],TournamentData[Max Robot Game Score])</f>
        <v>9</v>
      </c>
      <c r="J11" s="132">
        <f>INDEX(CoreValuesResults[Core Values Rank],MATCH(TournamentData[[#This Row],[Team Number]],CoreValuesResults[Team Number],0))</f>
        <v>4</v>
      </c>
      <c r="K11" s="132">
        <f>INDEX(InnovationProjectResults[Innovation Project Rank],MATCH(TournamentData[[#This Row],[Team Number]],InnovationProjectResults[Team Number],0))</f>
        <v>4</v>
      </c>
      <c r="L11" s="132">
        <f>INDEX(RobotDesignResults[Robot Design Rank],MATCH(TournamentData[[#This Row],[Team Number]],RobotDesignResults[Team Number],0))</f>
        <v>9</v>
      </c>
      <c r="M11" s="132">
        <f>SUM(TournamentData[[#This Row],[Robot Game Rank]:[Robot Design Rank]])</f>
        <v>26</v>
      </c>
      <c r="N11" s="132">
        <f>RANK(TournamentData[[#This Row],[Champion''s Score]],TournamentData[Champion''s Score],1)</f>
        <v>7</v>
      </c>
      <c r="O11" s="130"/>
      <c r="P11" s="133"/>
      <c r="Q11" s="134">
        <f>IF(ISNA(INDEX(CoreValuesResults[Core Values Score],MATCH(TournamentData[[#This Row],[Team Number]],CoreValuesResults[Team Number],0))),0,INDEX(CoreValuesResults[Core Values Score],MATCH(TournamentData[[#This Row],[Team Number]],CoreValuesResults[Team Number],0)))</f>
        <v>37</v>
      </c>
      <c r="R11" s="134">
        <f>IF(ISNA(INDEX(InnovationProjectResults[Innovation Project Score],MATCH(TournamentData[[#This Row],[Team Number]],InnovationProjectResults[Team Number],0))),0,INDEX(InnovationProjectResults[Innovation Project Score],MATCH(TournamentData[[#This Row],[Team Number]],InnovationProjectResults[Team Number],0)))</f>
        <v>26</v>
      </c>
      <c r="S11" s="134">
        <f>IF(ISNA(INDEX(RobotDesignResults[Robot Design Score],MATCH(TournamentData[[#This Row],[Team Number]],RobotDesignResults[Team Number],0))),0,INDEX(RobotDesignResults[Robot Design Score],MATCH(TournamentData[[#This Row],[Team Number]],RobotDesignResults[Team Number],0)))</f>
        <v>22</v>
      </c>
      <c r="T11" s="13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42.76319773015441</v>
      </c>
      <c r="U11" s="136">
        <f>IF(T11,_xlfn.RANK.EQ(T11,T$3:T$16,0),NumberOfTeams)</f>
        <v>9</v>
      </c>
      <c r="V11" s="136"/>
    </row>
    <row r="12" spans="1:28" ht="20.25" customHeight="1" x14ac:dyDescent="0.25">
      <c r="A12" s="6">
        <v>88303</v>
      </c>
      <c r="B12" s="131" t="str">
        <f>INDEX(OfficialTeamList[Team Name],MATCH(TournamentData[[#This Row],[Team Number]], OfficialTeamList[Team Number],0))</f>
        <v>RG11 CV6 IP4 RD11 CR10</v>
      </c>
      <c r="C12" s="132">
        <f>IF(TournamentData[[#This Row],[Team Number]]="","",IF(ISNA(INDEX('Robot Game Scores'!C:C,MATCH(TournamentData[[#This Row],[Team Number]], 'Robot Game Scores'!$A:$A,0))),0,INDEX('Robot Game Scores'!C:C,MATCH(TournamentData[[#This Row],[Team Number]], 'Robot Game Scores'!$A:$A,0))))</f>
        <v>57</v>
      </c>
      <c r="D12" s="132">
        <f>IF(TournamentData[[#This Row],[Team Number]]="","",IF(ISNA(INDEX('Robot Game Scores'!D:D,MATCH(TournamentData[[#This Row],[Team Number]], 'Robot Game Scores'!$A:$A,0))),0,INDEX('Robot Game Scores'!D:D,MATCH(TournamentData[[#This Row],[Team Number]], 'Robot Game Scores'!$A:$A,0))))</f>
        <v>66</v>
      </c>
      <c r="E12" s="132">
        <f>IF(TournamentData[[#This Row],[Team Number]]="","",IF(ISNA(INDEX('Robot Game Scores'!E:E,MATCH(TournamentData[[#This Row],[Team Number]], 'Robot Game Scores'!$A:$A,0))),0,INDEX('Robot Game Scores'!E:E,MATCH(TournamentData[[#This Row],[Team Number]], 'Robot Game Scores'!$A:$A,0))))</f>
        <v>100</v>
      </c>
      <c r="F12" s="132" t="e">
        <f>IF(TournamentData[[#This Row],[Team Number]]="","",IF(ISNA(INDEX('Robot Game Scores'!#REF!,MATCH(TournamentData[[#This Row],[Team Number]], 'Robot Game Scores'!$A:$A,0))),0,INDEX('Robot Game Scores'!#REF!,MATCH(TournamentData[[#This Row],[Team Number]], 'Robot Game Scores'!$A:$A,0))))</f>
        <v>#REF!</v>
      </c>
      <c r="G12" s="132" t="e">
        <f>IF(TournamentData[[#This Row],[Team Number]]="","",IF(ISNA(INDEX('Robot Game Scores'!#REF!,MATCH(TournamentData[[#This Row],[Team Number]], 'Robot Game Scores'!$A:$A,0))),0,INDEX('Robot Game Scores'!#REF!,MATCH(TournamentData[[#This Row],[Team Number]], 'Robot Game Scores'!$A:$A,0))))</f>
        <v>#REF!</v>
      </c>
      <c r="H12" s="13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100.00660570000001</v>
      </c>
      <c r="I12" s="132">
        <f>_xlfn.RANK.EQ(TournamentData[[#This Row],[Max Robot Game Score]],TournamentData[Max Robot Game Score])</f>
        <v>11</v>
      </c>
      <c r="J12" s="132">
        <f>INDEX(CoreValuesResults[Core Values Rank],MATCH(TournamentData[[#This Row],[Team Number]],CoreValuesResults[Team Number],0))</f>
        <v>6</v>
      </c>
      <c r="K12" s="132">
        <f>INDEX(InnovationProjectResults[Innovation Project Rank],MATCH(TournamentData[[#This Row],[Team Number]],InnovationProjectResults[Team Number],0))</f>
        <v>4</v>
      </c>
      <c r="L12" s="132">
        <f>INDEX(RobotDesignResults[Robot Design Rank],MATCH(TournamentData[[#This Row],[Team Number]],RobotDesignResults[Team Number],0))</f>
        <v>11</v>
      </c>
      <c r="M12" s="132">
        <f>SUM(TournamentData[[#This Row],[Robot Game Rank]:[Robot Design Rank]])</f>
        <v>32</v>
      </c>
      <c r="N12" s="132">
        <f>RANK(TournamentData[[#This Row],[Champion''s Score]],TournamentData[Champion''s Score],1)</f>
        <v>10</v>
      </c>
      <c r="O12" s="130"/>
      <c r="P12" s="133"/>
      <c r="Q12" s="134">
        <f>IF(ISNA(INDEX(CoreValuesResults[Core Values Score],MATCH(TournamentData[[#This Row],[Team Number]],CoreValuesResults[Team Number],0))),0,INDEX(CoreValuesResults[Core Values Score],MATCH(TournamentData[[#This Row],[Team Number]],CoreValuesResults[Team Number],0)))</f>
        <v>36</v>
      </c>
      <c r="R12" s="134">
        <f>IF(ISNA(INDEX(InnovationProjectResults[Innovation Project Score],MATCH(TournamentData[[#This Row],[Team Number]],InnovationProjectResults[Team Number],0))),0,INDEX(InnovationProjectResults[Innovation Project Score],MATCH(TournamentData[[#This Row],[Team Number]],InnovationProjectResults[Team Number],0)))</f>
        <v>26</v>
      </c>
      <c r="S12" s="134">
        <f>IF(ISNA(INDEX(RobotDesignResults[Robot Design Score],MATCH(TournamentData[[#This Row],[Team Number]],RobotDesignResults[Team Number],0))),0,INDEX(RobotDesignResults[Robot Design Score],MATCH(TournamentData[[#This Row],[Team Number]],RobotDesignResults[Team Number],0)))</f>
        <v>21</v>
      </c>
      <c r="T12" s="13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37.443889736657333</v>
      </c>
      <c r="U12" s="136">
        <f>IF(T12,_xlfn.RANK.EQ(T12,T$3:T$17,0),NumberOfTeams)</f>
        <v>10</v>
      </c>
      <c r="V12" s="136"/>
    </row>
    <row r="13" spans="1:28" ht="20.25" customHeight="1" x14ac:dyDescent="0.25">
      <c r="A13" s="6">
        <v>89293</v>
      </c>
      <c r="B13" s="131" t="str">
        <f>INDEX(OfficialTeamList[Team Name],MATCH(TournamentData[[#This Row],[Team Number]], OfficialTeamList[Team Number],0))</f>
        <v>RG10 CV11 IP9 RD9 CR11</v>
      </c>
      <c r="C13" s="132">
        <f>IF(TournamentData[[#This Row],[Team Number]]="","",IF(ISNA(INDEX('Robot Game Scores'!C:C,MATCH(TournamentData[[#This Row],[Team Number]], 'Robot Game Scores'!$A:$A,0))),0,INDEX('Robot Game Scores'!C:C,MATCH(TournamentData[[#This Row],[Team Number]], 'Robot Game Scores'!$A:$A,0))))</f>
        <v>143</v>
      </c>
      <c r="D13" s="132">
        <f>IF(TournamentData[[#This Row],[Team Number]]="","",IF(ISNA(INDEX('Robot Game Scores'!D:D,MATCH(TournamentData[[#This Row],[Team Number]], 'Robot Game Scores'!$A:$A,0))),0,INDEX('Robot Game Scores'!D:D,MATCH(TournamentData[[#This Row],[Team Number]], 'Robot Game Scores'!$A:$A,0))))</f>
        <v>136</v>
      </c>
      <c r="E13" s="132">
        <f>IF(TournamentData[[#This Row],[Team Number]]="","",IF(ISNA(INDEX('Robot Game Scores'!E:E,MATCH(TournamentData[[#This Row],[Team Number]], 'Robot Game Scores'!$A:$A,0))),0,INDEX('Robot Game Scores'!E:E,MATCH(TournamentData[[#This Row],[Team Number]], 'Robot Game Scores'!$A:$A,0))))</f>
        <v>115</v>
      </c>
      <c r="F13" s="132" t="e">
        <f>IF(TournamentData[[#This Row],[Team Number]]="","",IF(ISNA(INDEX('Robot Game Scores'!#REF!,MATCH(TournamentData[[#This Row],[Team Number]], 'Robot Game Scores'!$A:$A,0))),0,INDEX('Robot Game Scores'!#REF!,MATCH(TournamentData[[#This Row],[Team Number]], 'Robot Game Scores'!$A:$A,0))))</f>
        <v>#REF!</v>
      </c>
      <c r="G13" s="132" t="e">
        <f>IF(TournamentData[[#This Row],[Team Number]]="","",IF(ISNA(INDEX('Robot Game Scores'!#REF!,MATCH(TournamentData[[#This Row],[Team Number]], 'Robot Game Scores'!$A:$A,0))),0,INDEX('Robot Game Scores'!#REF!,MATCH(TournamentData[[#This Row],[Team Number]], 'Robot Game Scores'!$A:$A,0))))</f>
        <v>#REF!</v>
      </c>
      <c r="H13" s="13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143.0136115</v>
      </c>
      <c r="I13" s="132">
        <f>_xlfn.RANK.EQ(TournamentData[[#This Row],[Max Robot Game Score]],TournamentData[Max Robot Game Score])</f>
        <v>10</v>
      </c>
      <c r="J13" s="132">
        <f>INDEX(CoreValuesResults[Core Values Rank],MATCH(TournamentData[[#This Row],[Team Number]],CoreValuesResults[Team Number],0))</f>
        <v>11</v>
      </c>
      <c r="K13" s="132">
        <f>INDEX(InnovationProjectResults[Innovation Project Rank],MATCH(TournamentData[[#This Row],[Team Number]],InnovationProjectResults[Team Number],0))</f>
        <v>9</v>
      </c>
      <c r="L13" s="132">
        <f>INDEX(RobotDesignResults[Robot Design Rank],MATCH(TournamentData[[#This Row],[Team Number]],RobotDesignResults[Team Number],0))</f>
        <v>9</v>
      </c>
      <c r="M13" s="132">
        <f>SUM(TournamentData[[#This Row],[Robot Game Rank]:[Robot Design Rank]])</f>
        <v>39</v>
      </c>
      <c r="N13" s="132">
        <f>RANK(TournamentData[[#This Row],[Champion''s Score]],TournamentData[Champion''s Score],1)</f>
        <v>11</v>
      </c>
      <c r="O13" s="130"/>
      <c r="P13" s="133"/>
      <c r="Q13" s="134">
        <f>IF(ISNA(INDEX(CoreValuesResults[Core Values Score],MATCH(TournamentData[[#This Row],[Team Number]],CoreValuesResults[Team Number],0))),0,INDEX(CoreValuesResults[Core Values Score],MATCH(TournamentData[[#This Row],[Team Number]],CoreValuesResults[Team Number],0)))</f>
        <v>25</v>
      </c>
      <c r="R13" s="134">
        <f>IF(ISNA(INDEX(InnovationProjectResults[Innovation Project Score],MATCH(TournamentData[[#This Row],[Team Number]],InnovationProjectResults[Team Number],0))),0,INDEX(InnovationProjectResults[Innovation Project Score],MATCH(TournamentData[[#This Row],[Team Number]],InnovationProjectResults[Team Number],0)))</f>
        <v>22</v>
      </c>
      <c r="S13" s="134">
        <f>IF(ISNA(INDEX(RobotDesignResults[Robot Design Score],MATCH(TournamentData[[#This Row],[Team Number]],RobotDesignResults[Team Number],0))),0,INDEX(RobotDesignResults[Robot Design Score],MATCH(TournamentData[[#This Row],[Team Number]],RobotDesignResults[Team Number],0)))</f>
        <v>22</v>
      </c>
      <c r="T13" s="13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36.269426298828328</v>
      </c>
      <c r="U13" s="136">
        <f>IF(T13,_xlfn.RANK.EQ(T13,T$3:T$17,0),NumberOfTeams)</f>
        <v>11</v>
      </c>
      <c r="V13" s="136"/>
    </row>
    <row r="15" spans="1:28" ht="20.25" customHeight="1" x14ac:dyDescent="0.25">
      <c r="O15" s="59"/>
    </row>
    <row r="30" spans="2:14" ht="20.25" customHeight="1" x14ac:dyDescent="0.25">
      <c r="B30" s="9"/>
      <c r="C30" s="9"/>
      <c r="D30" s="9"/>
      <c r="E30" s="9"/>
      <c r="F30" s="9"/>
      <c r="G30" s="9"/>
      <c r="H30" s="9"/>
      <c r="I30" s="9"/>
      <c r="J30" s="9"/>
      <c r="K30" s="9"/>
      <c r="L30" s="9"/>
      <c r="M30" s="9"/>
      <c r="N30" s="9"/>
    </row>
    <row r="31" spans="2:14" ht="20.25" customHeight="1" x14ac:dyDescent="0.25">
      <c r="B31" s="9"/>
      <c r="C31" s="9"/>
      <c r="D31" s="9"/>
      <c r="E31" s="9"/>
      <c r="F31" s="9"/>
      <c r="G31" s="9"/>
      <c r="H31" s="9"/>
      <c r="I31" s="9"/>
      <c r="J31" s="9"/>
      <c r="K31" s="9"/>
      <c r="L31" s="9"/>
      <c r="M31" s="9"/>
      <c r="N31" s="9"/>
    </row>
    <row r="32" spans="2:14" ht="20.25" customHeight="1" x14ac:dyDescent="0.25">
      <c r="B32" s="9"/>
      <c r="C32" s="9"/>
      <c r="D32" s="9"/>
      <c r="E32" s="9"/>
      <c r="F32" s="9"/>
      <c r="G32" s="9"/>
      <c r="H32" s="9"/>
      <c r="I32" s="9"/>
      <c r="J32" s="9"/>
      <c r="K32" s="9"/>
      <c r="L32" s="9"/>
      <c r="M32" s="9"/>
      <c r="N32" s="9"/>
    </row>
    <row r="33" spans="2:14" ht="20.25" customHeight="1" x14ac:dyDescent="0.25">
      <c r="B33" s="9"/>
      <c r="C33" s="9"/>
      <c r="D33" s="9"/>
      <c r="E33" s="9"/>
      <c r="F33" s="9"/>
      <c r="G33" s="9"/>
      <c r="H33" s="9"/>
      <c r="I33" s="9"/>
      <c r="J33" s="9"/>
      <c r="K33" s="9"/>
      <c r="L33" s="9"/>
      <c r="M33" s="9"/>
      <c r="N33" s="9"/>
    </row>
    <row r="34" spans="2:14" ht="20.25" customHeight="1" x14ac:dyDescent="0.25">
      <c r="B34" s="9"/>
      <c r="C34" s="9"/>
      <c r="D34" s="9"/>
      <c r="E34" s="9"/>
      <c r="F34" s="9"/>
      <c r="G34" s="9"/>
      <c r="H34" s="9"/>
      <c r="I34" s="9"/>
      <c r="J34" s="9"/>
      <c r="K34" s="9"/>
      <c r="L34" s="9"/>
      <c r="M34" s="9"/>
      <c r="N34" s="9"/>
    </row>
    <row r="35" spans="2:14" ht="20.25" customHeight="1" x14ac:dyDescent="0.25">
      <c r="B35" s="9"/>
      <c r="C35" s="9"/>
      <c r="D35" s="9"/>
      <c r="E35" s="9"/>
      <c r="F35" s="9"/>
      <c r="G35" s="9"/>
      <c r="H35" s="9"/>
      <c r="I35" s="9"/>
      <c r="J35" s="9"/>
      <c r="K35" s="9"/>
      <c r="L35" s="9"/>
      <c r="M35" s="9"/>
      <c r="N35" s="9"/>
    </row>
    <row r="36" spans="2:14" ht="20.25" customHeight="1" x14ac:dyDescent="0.25">
      <c r="B36" s="9"/>
      <c r="C36" s="9"/>
      <c r="D36" s="9"/>
      <c r="E36" s="9"/>
      <c r="F36" s="9"/>
      <c r="G36" s="9"/>
      <c r="H36" s="9"/>
      <c r="I36" s="9"/>
      <c r="J36" s="9"/>
      <c r="K36" s="9"/>
      <c r="L36" s="9"/>
      <c r="M36" s="9"/>
      <c r="N36" s="9"/>
    </row>
    <row r="37" spans="2:14" ht="20.25" customHeight="1" x14ac:dyDescent="0.25">
      <c r="B37" s="9"/>
      <c r="C37" s="9"/>
      <c r="D37" s="9"/>
      <c r="E37" s="9"/>
      <c r="F37" s="9"/>
      <c r="G37" s="9"/>
      <c r="H37" s="9"/>
      <c r="I37" s="9"/>
      <c r="J37" s="9"/>
      <c r="K37" s="9"/>
      <c r="L37" s="9"/>
      <c r="M37" s="9"/>
      <c r="N37" s="9"/>
    </row>
    <row r="38" spans="2:14" ht="20.25" customHeight="1" x14ac:dyDescent="0.25">
      <c r="B38" s="9"/>
      <c r="C38" s="9"/>
      <c r="D38" s="9"/>
      <c r="E38" s="9"/>
      <c r="F38" s="9"/>
      <c r="G38" s="9"/>
      <c r="H38" s="9"/>
      <c r="I38" s="9"/>
      <c r="J38" s="9"/>
      <c r="K38" s="9"/>
      <c r="L38" s="9"/>
      <c r="M38" s="9"/>
      <c r="N38" s="9"/>
    </row>
    <row r="39" spans="2:14" ht="20.25" customHeight="1" x14ac:dyDescent="0.25">
      <c r="B39" s="9"/>
      <c r="C39" s="9"/>
      <c r="D39" s="9"/>
      <c r="E39" s="9"/>
      <c r="F39" s="9"/>
      <c r="G39" s="9"/>
      <c r="H39" s="9"/>
      <c r="I39" s="9"/>
      <c r="J39" s="9"/>
      <c r="K39" s="9"/>
      <c r="L39" s="9"/>
      <c r="M39" s="9"/>
      <c r="N39" s="9"/>
    </row>
    <row r="40" spans="2:14" ht="20.25" customHeight="1" x14ac:dyDescent="0.25">
      <c r="B40" s="9"/>
      <c r="C40" s="9"/>
      <c r="D40" s="9"/>
      <c r="E40" s="9"/>
      <c r="F40" s="9"/>
      <c r="G40" s="9"/>
      <c r="H40" s="9"/>
      <c r="I40" s="9"/>
      <c r="J40" s="9"/>
      <c r="K40" s="9"/>
      <c r="L40" s="9"/>
      <c r="M40" s="9"/>
      <c r="N40" s="9"/>
    </row>
  </sheetData>
  <sheetProtection selectLockedCells="1" sort="0" autoFilter="0"/>
  <protectedRanges>
    <protectedRange sqref="A2:V13" name="EditRar"/>
  </protectedRanges>
  <mergeCells count="6">
    <mergeCell ref="J1:L1"/>
    <mergeCell ref="Q1:U1"/>
    <mergeCell ref="O1:P1"/>
    <mergeCell ref="A1:B1"/>
    <mergeCell ref="C1:I1"/>
    <mergeCell ref="M1:N1"/>
  </mergeCells>
  <conditionalFormatting sqref="O6:V9 A10:V13 O3:W5 A3:N13">
    <cfRule type="expression" dxfId="10" priority="17">
      <formula>ROW()-NumberOfTeams=2</formula>
    </cfRule>
  </conditionalFormatting>
  <conditionalFormatting sqref="A3:A13">
    <cfRule type="expression" dxfId="9" priority="11">
      <formula>IF($N3 &lt;= NumberofTeamsAdvancing,TRUE,FALSE)</formula>
    </cfRule>
  </conditionalFormatting>
  <conditionalFormatting sqref="P2">
    <cfRule type="expression" dxfId="8" priority="6">
      <formula>IF(COUNTIF($P:$P,"=Yes")&lt;&gt;NumberofTeamsAdvancing,1,0)</formula>
    </cfRule>
  </conditionalFormatting>
  <conditionalFormatting sqref="O6:V9 B10:V13 O3:W5 B3:N13">
    <cfRule type="expression" dxfId="7" priority="21">
      <formula>IF($O3&lt;&gt;"",TRUE,FALSE)</formula>
    </cfRule>
  </conditionalFormatting>
  <conditionalFormatting sqref="I1:I1048576">
    <cfRule type="expression" dxfId="6" priority="30">
      <formula>AND(I1=3,IF(VLOOKUP("Robot Performance 3rd Place",#REF!,1,FALSE)="Robot Performance 3rd Place", TRUE, FALSE))</formula>
    </cfRule>
    <cfRule type="expression" dxfId="5" priority="31">
      <formula>AND(I1=2,IF(VLOOKUP("Robot Performance 2nd Place",#REF!,1,FALSE)="Robot Performance 2nd Place", TRUE, FALSE))</formula>
    </cfRule>
    <cfRule type="expression" dxfId="4" priority="32">
      <formula>AND(I1=1,IF(VLOOKUP("Robot Performance 1st Place",#REF!,1,FALSE)="Robot Performance 1st Place", TRUE, FALSE))</formula>
    </cfRule>
  </conditionalFormatting>
  <conditionalFormatting sqref="P3:P13">
    <cfRule type="cellIs" dxfId="3" priority="77" operator="equal">
      <formula>#REF!</formula>
    </cfRule>
    <cfRule type="cellIs" dxfId="2" priority="78" operator="equal">
      <formula>"Yes"</formula>
    </cfRule>
  </conditionalFormatting>
  <conditionalFormatting sqref="O3:O13">
    <cfRule type="duplicateValues" dxfId="1" priority="231"/>
  </conditionalFormatting>
  <dataValidations count="2">
    <dataValidation type="list" allowBlank="1" showInputMessage="1" showErrorMessage="1" sqref="P3:P13" xr:uid="{00000000-0002-0000-0300-000000000000}">
      <formula1>$Y$2:$Y$2</formula1>
    </dataValidation>
    <dataValidation type="list" allowBlank="1" showInputMessage="1" showErrorMessage="1" sqref="O3:O13"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232" id="{BFED3AE6-6FBF-4AEB-8F7A-4C62E56E5629}">
            <xm:f>COUNTA(AwardList!$A$2:$A$40)=COUNTA($O$3:$O$298)</xm:f>
            <x14:dxf>
              <font>
                <color theme="9" tint="-0.499984740745262"/>
              </font>
              <fill>
                <patternFill>
                  <bgColor rgb="FF00B050"/>
                </patternFill>
              </fill>
            </x14:dxf>
          </x14:cfRule>
          <xm:sqref>O2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12"/>
  <sheetViews>
    <sheetView zoomScaleNormal="100" workbookViewId="0">
      <pane ySplit="1" topLeftCell="A2" activePane="bottomLeft" state="frozen"/>
      <selection pane="bottomLeft" activeCell="B3" sqref="B3"/>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61" customWidth="1"/>
    <col min="7" max="10" width="8.85546875" style="6" customWidth="1"/>
    <col min="11" max="16384" width="8.85546875" style="6"/>
  </cols>
  <sheetData>
    <row r="1" spans="1:6" s="44" customFormat="1" ht="99.95" customHeight="1" x14ac:dyDescent="0.25">
      <c r="A1" s="75" t="s">
        <v>21</v>
      </c>
      <c r="B1" s="75" t="s">
        <v>22</v>
      </c>
      <c r="C1" s="97" t="s">
        <v>59</v>
      </c>
      <c r="D1" s="97" t="s">
        <v>60</v>
      </c>
      <c r="E1" s="97" t="s">
        <v>61</v>
      </c>
      <c r="F1" s="76" t="s">
        <v>62</v>
      </c>
    </row>
    <row r="2" spans="1:6" ht="30" customHeight="1" x14ac:dyDescent="0.25">
      <c r="A2" s="6">
        <v>69029</v>
      </c>
      <c r="B2" s="137" t="str">
        <f>INDEX(OfficialTeamList[Team Name],MATCH(RobotGameScores[[#This Row],[Team Number]], OfficialTeamList[Team Number],0))</f>
        <v>RG9 CV4 IP4 RD9 CR7</v>
      </c>
      <c r="C2" s="137">
        <v>94</v>
      </c>
      <c r="D2" s="138">
        <v>59</v>
      </c>
      <c r="E2" s="138">
        <v>158</v>
      </c>
      <c r="F2" s="139">
        <f>MAX(C2:E2)</f>
        <v>158</v>
      </c>
    </row>
    <row r="3" spans="1:6" ht="30" customHeight="1" x14ac:dyDescent="0.25">
      <c r="A3" s="6">
        <v>88303</v>
      </c>
      <c r="B3" s="137" t="str">
        <f>INDEX(OfficialTeamList[Team Name],MATCH(RobotGameScores[[#This Row],[Team Number]], OfficialTeamList[Team Number],0))</f>
        <v>RG11 CV6 IP4 RD11 CR10</v>
      </c>
      <c r="C3" s="137">
        <v>57</v>
      </c>
      <c r="D3" s="138">
        <v>66</v>
      </c>
      <c r="E3" s="138">
        <v>100</v>
      </c>
      <c r="F3" s="139">
        <f>MAX(C3:E3)</f>
        <v>100</v>
      </c>
    </row>
    <row r="4" spans="1:6" ht="30" customHeight="1" x14ac:dyDescent="0.25">
      <c r="A4" s="6">
        <v>8913</v>
      </c>
      <c r="B4" s="59" t="str">
        <f>INDEX(OfficialTeamList[Team Name],MATCH(RobotGameScores[[#This Row],[Team Number]], OfficialTeamList[Team Number],0))</f>
        <v>RG6 CV3 IP2 RD1 CR2</v>
      </c>
      <c r="C4" s="59">
        <v>203</v>
      </c>
      <c r="D4" s="59">
        <v>76</v>
      </c>
      <c r="E4" s="59">
        <v>238</v>
      </c>
      <c r="F4" s="88">
        <f>MAX(C4:E4)</f>
        <v>238</v>
      </c>
    </row>
    <row r="5" spans="1:6" ht="30" customHeight="1" x14ac:dyDescent="0.25">
      <c r="A5" s="6">
        <v>89293</v>
      </c>
      <c r="B5" s="137" t="str">
        <f>INDEX(OfficialTeamList[Team Name],MATCH(RobotGameScores[[#This Row],[Team Number]], OfficialTeamList[Team Number],0))</f>
        <v>RG10 CV11 IP9 RD9 CR11</v>
      </c>
      <c r="C5" s="137">
        <v>143</v>
      </c>
      <c r="D5" s="138">
        <v>136</v>
      </c>
      <c r="E5" s="138">
        <v>115</v>
      </c>
      <c r="F5" s="139">
        <f>MAX(C5:E5)</f>
        <v>143</v>
      </c>
    </row>
    <row r="6" spans="1:6" ht="30" customHeight="1" x14ac:dyDescent="0.25">
      <c r="A6" s="6">
        <v>58947</v>
      </c>
      <c r="B6" s="137" t="str">
        <f>INDEX(OfficialTeamList[Team Name],MATCH(RobotGameScores[[#This Row],[Team Number]], OfficialTeamList[Team Number],0))</f>
        <v>RG5 CV8 IP8 RD6 CR8</v>
      </c>
      <c r="C6" s="137">
        <v>266</v>
      </c>
      <c r="D6" s="138">
        <v>142</v>
      </c>
      <c r="E6" s="138">
        <v>163</v>
      </c>
      <c r="F6" s="139">
        <f>MAX(C6:E6)</f>
        <v>266</v>
      </c>
    </row>
    <row r="7" spans="1:6" ht="30" customHeight="1" x14ac:dyDescent="0.25">
      <c r="A7" s="6">
        <v>29484</v>
      </c>
      <c r="B7" s="59" t="str">
        <f>INDEX(OfficialTeamList[Team Name],MATCH(RobotGameScores[[#This Row],[Team Number]], OfficialTeamList[Team Number],0))</f>
        <v>RG8 CV1 IP1 RD6 CR3</v>
      </c>
      <c r="C7" s="59">
        <v>220</v>
      </c>
      <c r="D7" s="59">
        <v>172</v>
      </c>
      <c r="E7" s="59">
        <v>172</v>
      </c>
      <c r="F7" s="88">
        <f>MAX(C7:E7)</f>
        <v>220</v>
      </c>
    </row>
    <row r="8" spans="1:6" ht="30" customHeight="1" x14ac:dyDescent="0.25">
      <c r="A8" s="6">
        <v>34450</v>
      </c>
      <c r="B8" s="59" t="str">
        <f>INDEX(OfficialTeamList[Team Name],MATCH(RobotGameScores[[#This Row],[Team Number]], OfficialTeamList[Team Number],0))</f>
        <v>RG7 CV7 IP4 RD3 CR5</v>
      </c>
      <c r="C8" s="59">
        <v>220</v>
      </c>
      <c r="D8" s="59">
        <v>189</v>
      </c>
      <c r="E8" s="59">
        <v>172</v>
      </c>
      <c r="F8" s="88">
        <f>MAX(C8:E8)</f>
        <v>220</v>
      </c>
    </row>
    <row r="9" spans="1:6" ht="30" customHeight="1" x14ac:dyDescent="0.25">
      <c r="A9" s="6">
        <v>48732</v>
      </c>
      <c r="B9" s="59" t="str">
        <f>INDEX(OfficialTeamList[Team Name],MATCH(RobotGameScores[[#This Row],[Team Number]], OfficialTeamList[Team Number],0))</f>
        <v>RG4 CV10 IP10 RD3 CR8</v>
      </c>
      <c r="C9" s="59">
        <v>212</v>
      </c>
      <c r="D9" s="59">
        <v>278</v>
      </c>
      <c r="E9" s="59">
        <v>215</v>
      </c>
      <c r="F9" s="88">
        <f>MAX(C9:E9)</f>
        <v>278</v>
      </c>
    </row>
    <row r="10" spans="1:6" ht="30" customHeight="1" x14ac:dyDescent="0.25">
      <c r="A10" s="6">
        <v>4079</v>
      </c>
      <c r="B10" s="59" t="str">
        <f>INDEX(OfficialTeamList[Team Name],MATCH(RobotGameScores[[#This Row],[Team Number]], OfficialTeamList[Team Number],0))</f>
        <v>RG3 CV4 IP4 RD6 CR4</v>
      </c>
      <c r="C10" s="59">
        <v>180</v>
      </c>
      <c r="D10" s="59">
        <v>300</v>
      </c>
      <c r="E10" s="59">
        <v>115</v>
      </c>
      <c r="F10" s="88">
        <f>MAX(C10:E10)</f>
        <v>300</v>
      </c>
    </row>
    <row r="11" spans="1:6" ht="30" customHeight="1" x14ac:dyDescent="0.25">
      <c r="A11" s="6">
        <v>6818</v>
      </c>
      <c r="B11" s="59" t="str">
        <f>INDEX(OfficialTeamList[Team Name],MATCH(RobotGameScores[[#This Row],[Team Number]], OfficialTeamList[Team Number],0))</f>
        <v>RG2 CV9 IP11 RD1 CR6</v>
      </c>
      <c r="C11" s="59">
        <v>185</v>
      </c>
      <c r="D11" s="59">
        <v>300</v>
      </c>
      <c r="E11" s="59">
        <v>115</v>
      </c>
      <c r="F11" s="88">
        <f>MAX(C11:E11)</f>
        <v>300</v>
      </c>
    </row>
    <row r="12" spans="1:6" ht="30" customHeight="1" x14ac:dyDescent="0.25">
      <c r="A12" s="6">
        <v>43985</v>
      </c>
      <c r="B12" s="59" t="str">
        <f>INDEX(OfficialTeamList[Team Name],MATCH(RobotGameScores[[#This Row],[Team Number]], OfficialTeamList[Team Number],0))</f>
        <v>RG1 CV1 IP2 RD3 CR1</v>
      </c>
      <c r="C12" s="59">
        <v>217</v>
      </c>
      <c r="D12" s="59">
        <v>341</v>
      </c>
      <c r="E12" s="59">
        <v>212</v>
      </c>
      <c r="F12" s="88">
        <f>MAX(C12:E12)</f>
        <v>341</v>
      </c>
    </row>
  </sheetData>
  <sheetProtection selectLockedCells="1" sort="0" autoFilter="0"/>
  <protectedRanges>
    <protectedRange sqref="A1:F12" name="EditRgScores"/>
  </protectedRanges>
  <pageMargins left="0.7" right="0.7" top="0.75" bottom="0.75" header="0.3" footer="0.3"/>
  <pageSetup paperSize="9"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12"/>
  <sheetViews>
    <sheetView showZeros="0" zoomScaleNormal="100" zoomScalePageLayoutView="130" workbookViewId="0">
      <pane ySplit="1" topLeftCell="A2" activePane="bottomLeft" state="frozen"/>
      <selection pane="bottomLeft" activeCell="H5" sqref="H5"/>
    </sheetView>
  </sheetViews>
  <sheetFormatPr defaultColWidth="8.42578125" defaultRowHeight="30" customHeight="1" x14ac:dyDescent="0.25"/>
  <cols>
    <col min="1" max="1" width="16.7109375" customWidth="1"/>
    <col min="2" max="2" width="32.7109375" customWidth="1"/>
    <col min="3" max="3" width="8.7109375" customWidth="1"/>
    <col min="4" max="13" width="7.42578125" customWidth="1"/>
    <col min="14" max="14" width="10.42578125" customWidth="1"/>
    <col min="15" max="15" width="15.42578125" customWidth="1"/>
    <col min="16" max="16" width="8.42578125" style="43" customWidth="1"/>
  </cols>
  <sheetData>
    <row r="1" spans="1:15" ht="99.95" customHeight="1" x14ac:dyDescent="0.25">
      <c r="A1" s="125" t="s">
        <v>21</v>
      </c>
      <c r="B1" s="126" t="s">
        <v>22</v>
      </c>
      <c r="C1" s="127" t="s">
        <v>126</v>
      </c>
      <c r="D1" s="96" t="s">
        <v>63</v>
      </c>
      <c r="E1" s="96" t="s">
        <v>64</v>
      </c>
      <c r="F1" s="96" t="s">
        <v>65</v>
      </c>
      <c r="G1" s="96" t="s">
        <v>66</v>
      </c>
      <c r="H1" s="96" t="s">
        <v>67</v>
      </c>
      <c r="I1" s="96" t="s">
        <v>68</v>
      </c>
      <c r="J1" s="96" t="s">
        <v>69</v>
      </c>
      <c r="K1" s="96" t="s">
        <v>70</v>
      </c>
      <c r="L1" s="96" t="s">
        <v>71</v>
      </c>
      <c r="M1" s="96" t="s">
        <v>72</v>
      </c>
      <c r="N1" s="77" t="s">
        <v>73</v>
      </c>
      <c r="O1" s="78" t="s">
        <v>43</v>
      </c>
    </row>
    <row r="2" spans="1:15" ht="30" customHeight="1" x14ac:dyDescent="0.25">
      <c r="A2" s="6">
        <v>29484</v>
      </c>
      <c r="B2" s="128" t="str">
        <f>INDEX(OfficialTeamList[Team Name],MATCH(InnovationProjectResults[[#This Row],[Team Number]], OfficialTeamList[Team Number],0))</f>
        <v>RG8 CV1 IP1 RD6 CR3</v>
      </c>
      <c r="C2" s="145">
        <f>VLOOKUP(InnovationProjectResults[[#This Row],[Team Number]],OfficialTeamList[],4,0)</f>
        <v>2</v>
      </c>
      <c r="D2" s="89">
        <v>2</v>
      </c>
      <c r="E2" s="89">
        <v>3</v>
      </c>
      <c r="F2" s="89">
        <v>4</v>
      </c>
      <c r="G2" s="89">
        <v>3</v>
      </c>
      <c r="H2" s="89">
        <v>4</v>
      </c>
      <c r="I2" s="89">
        <v>2</v>
      </c>
      <c r="J2" s="89">
        <v>4</v>
      </c>
      <c r="K2" s="89">
        <v>2</v>
      </c>
      <c r="L2" s="89">
        <v>4</v>
      </c>
      <c r="M2" s="89">
        <v>3</v>
      </c>
      <c r="N2" s="90">
        <f>SUM(InnovationProjectResults[[#This Row],[Identify - Define]:[Communicate - Fun (CV)]])</f>
        <v>31</v>
      </c>
      <c r="O2" s="91">
        <f>IF(InnovationProjectResults[[#This Row],[Team Number]]&gt;0,MIN(_xlfn.RANK.EQ(InnovationProjectResults[[#This Row],[Innovation Project Score]],InnovationProjectResults[Innovation Project Score],0),NumberOfTeams),NumberOfTeams+1)</f>
        <v>1</v>
      </c>
    </row>
    <row r="3" spans="1:15" ht="30" customHeight="1" x14ac:dyDescent="0.25">
      <c r="A3" s="6">
        <v>8913</v>
      </c>
      <c r="B3" s="128" t="str">
        <f>INDEX(OfficialTeamList[Team Name],MATCH(InnovationProjectResults[[#This Row],[Team Number]], OfficialTeamList[Team Number],0))</f>
        <v>RG6 CV3 IP2 RD1 CR2</v>
      </c>
      <c r="C3" s="145">
        <f>VLOOKUP(InnovationProjectResults[[#This Row],[Team Number]],OfficialTeamList[],4,0)</f>
        <v>1</v>
      </c>
      <c r="D3" s="89">
        <v>3</v>
      </c>
      <c r="E3" s="89">
        <v>4</v>
      </c>
      <c r="F3" s="89">
        <v>3</v>
      </c>
      <c r="G3" s="89">
        <v>3</v>
      </c>
      <c r="H3" s="89">
        <v>3</v>
      </c>
      <c r="I3" s="89">
        <v>3</v>
      </c>
      <c r="J3" s="89">
        <v>3</v>
      </c>
      <c r="K3" s="89">
        <v>2</v>
      </c>
      <c r="L3" s="89">
        <v>1</v>
      </c>
      <c r="M3" s="89">
        <v>4</v>
      </c>
      <c r="N3" s="90">
        <f>SUM(InnovationProjectResults[[#This Row],[Identify - Define]:[Communicate - Fun (CV)]])</f>
        <v>29</v>
      </c>
      <c r="O3" s="91">
        <f>IF(InnovationProjectResults[[#This Row],[Team Number]]&gt;0,MIN(_xlfn.RANK.EQ(InnovationProjectResults[[#This Row],[Innovation Project Score]],InnovationProjectResults[Innovation Project Score],0),NumberOfTeams),NumberOfTeams+1)</f>
        <v>2</v>
      </c>
    </row>
    <row r="4" spans="1:15" ht="30" customHeight="1" x14ac:dyDescent="0.25">
      <c r="A4" s="6">
        <v>43985</v>
      </c>
      <c r="B4" s="128" t="str">
        <f>INDEX(OfficialTeamList[Team Name],MATCH(InnovationProjectResults[[#This Row],[Team Number]], OfficialTeamList[Team Number],0))</f>
        <v>RG1 CV1 IP2 RD3 CR1</v>
      </c>
      <c r="C4" s="145">
        <f>VLOOKUP(InnovationProjectResults[[#This Row],[Team Number]],OfficialTeamList[],4,0)</f>
        <v>2</v>
      </c>
      <c r="D4" s="89">
        <v>3</v>
      </c>
      <c r="E4" s="89">
        <v>4</v>
      </c>
      <c r="F4" s="89">
        <v>3</v>
      </c>
      <c r="G4" s="89">
        <v>4</v>
      </c>
      <c r="H4" s="89">
        <v>1</v>
      </c>
      <c r="I4" s="89">
        <v>3</v>
      </c>
      <c r="J4" s="89">
        <v>3</v>
      </c>
      <c r="K4" s="89">
        <v>3</v>
      </c>
      <c r="L4" s="89">
        <v>2</v>
      </c>
      <c r="M4" s="89">
        <v>3</v>
      </c>
      <c r="N4" s="90">
        <f>SUM(InnovationProjectResults[[#This Row],[Identify - Define]:[Communicate - Fun (CV)]])</f>
        <v>29</v>
      </c>
      <c r="O4" s="91">
        <f>IF(InnovationProjectResults[[#This Row],[Team Number]]&gt;0,MIN(_xlfn.RANK.EQ(InnovationProjectResults[[#This Row],[Innovation Project Score]],InnovationProjectResults[Innovation Project Score],0),NumberOfTeams),NumberOfTeams+1)</f>
        <v>2</v>
      </c>
    </row>
    <row r="5" spans="1:15" ht="30" customHeight="1" x14ac:dyDescent="0.25">
      <c r="A5" s="6">
        <v>4079</v>
      </c>
      <c r="B5" s="128" t="str">
        <f>INDEX(OfficialTeamList[Team Name],MATCH(InnovationProjectResults[[#This Row],[Team Number]], OfficialTeamList[Team Number],0))</f>
        <v>RG3 CV4 IP4 RD6 CR4</v>
      </c>
      <c r="C5" s="145">
        <f>VLOOKUP(InnovationProjectResults[[#This Row],[Team Number]],OfficialTeamList[],4,0)</f>
        <v>1</v>
      </c>
      <c r="D5" s="89">
        <v>4</v>
      </c>
      <c r="E5" s="89">
        <v>2</v>
      </c>
      <c r="F5" s="89">
        <v>3</v>
      </c>
      <c r="G5" s="89">
        <v>3</v>
      </c>
      <c r="H5" s="89">
        <v>2</v>
      </c>
      <c r="I5" s="89">
        <v>1</v>
      </c>
      <c r="J5" s="89">
        <v>3</v>
      </c>
      <c r="K5" s="89">
        <v>2</v>
      </c>
      <c r="L5" s="89">
        <v>3</v>
      </c>
      <c r="M5" s="89">
        <v>3</v>
      </c>
      <c r="N5" s="90">
        <f>SUM(InnovationProjectResults[[#This Row],[Identify - Define]:[Communicate - Fun (CV)]])</f>
        <v>26</v>
      </c>
      <c r="O5" s="91">
        <f>IF(InnovationProjectResults[[#This Row],[Team Number]]&gt;0,MIN(_xlfn.RANK.EQ(InnovationProjectResults[[#This Row],[Innovation Project Score]],InnovationProjectResults[Innovation Project Score],0),NumberOfTeams),NumberOfTeams+1)</f>
        <v>4</v>
      </c>
    </row>
    <row r="6" spans="1:15" ht="30" customHeight="1" x14ac:dyDescent="0.25">
      <c r="A6" s="6">
        <v>34450</v>
      </c>
      <c r="B6" s="128" t="str">
        <f>INDEX(OfficialTeamList[Team Name],MATCH(InnovationProjectResults[[#This Row],[Team Number]], OfficialTeamList[Team Number],0))</f>
        <v>RG7 CV7 IP4 RD3 CR5</v>
      </c>
      <c r="C6" s="145">
        <f>VLOOKUP(InnovationProjectResults[[#This Row],[Team Number]],OfficialTeamList[],4,0)</f>
        <v>2</v>
      </c>
      <c r="D6" s="89">
        <v>2</v>
      </c>
      <c r="E6" s="89">
        <v>4</v>
      </c>
      <c r="F6" s="89">
        <v>1</v>
      </c>
      <c r="G6" s="89">
        <v>4</v>
      </c>
      <c r="H6" s="89">
        <v>1</v>
      </c>
      <c r="I6" s="89">
        <v>2</v>
      </c>
      <c r="J6" s="89">
        <v>4</v>
      </c>
      <c r="K6" s="89">
        <v>1</v>
      </c>
      <c r="L6" s="89">
        <v>3</v>
      </c>
      <c r="M6" s="89">
        <v>4</v>
      </c>
      <c r="N6" s="90">
        <f>SUM(InnovationProjectResults[[#This Row],[Identify - Define]:[Communicate - Fun (CV)]])</f>
        <v>26</v>
      </c>
      <c r="O6" s="91">
        <f>IF(InnovationProjectResults[[#This Row],[Team Number]]&gt;0,MIN(_xlfn.RANK.EQ(InnovationProjectResults[[#This Row],[Innovation Project Score]],InnovationProjectResults[Innovation Project Score],0),NumberOfTeams),NumberOfTeams+1)</f>
        <v>4</v>
      </c>
    </row>
    <row r="7" spans="1:15" ht="30" customHeight="1" x14ac:dyDescent="0.25">
      <c r="A7" s="6">
        <v>69029</v>
      </c>
      <c r="B7" s="140" t="str">
        <f>INDEX(OfficialTeamList[Team Name],MATCH(InnovationProjectResults[[#This Row],[Team Number]], OfficialTeamList[Team Number],0))</f>
        <v>RG9 CV4 IP4 RD9 CR7</v>
      </c>
      <c r="C7" s="146">
        <f>VLOOKUP(InnovationProjectResults[[#This Row],[Team Number]],OfficialTeamList[],4,0)</f>
        <v>3</v>
      </c>
      <c r="D7" s="141">
        <v>2</v>
      </c>
      <c r="E7" s="141">
        <v>3</v>
      </c>
      <c r="F7" s="141">
        <v>2</v>
      </c>
      <c r="G7" s="141">
        <v>3</v>
      </c>
      <c r="H7" s="141">
        <v>3</v>
      </c>
      <c r="I7" s="141">
        <v>3</v>
      </c>
      <c r="J7" s="141">
        <v>3</v>
      </c>
      <c r="K7" s="141">
        <v>2</v>
      </c>
      <c r="L7" s="141">
        <v>2</v>
      </c>
      <c r="M7" s="141">
        <v>3</v>
      </c>
      <c r="N7" s="142">
        <f>SUM(InnovationProjectResults[[#This Row],[Identify - Define]:[Communicate - Fun (CV)]])</f>
        <v>26</v>
      </c>
      <c r="O7" s="143">
        <f>IF(InnovationProjectResults[[#This Row],[Team Number]]&gt;0,MIN(_xlfn.RANK.EQ(InnovationProjectResults[[#This Row],[Innovation Project Score]],InnovationProjectResults[Innovation Project Score],0),NumberOfTeams),NumberOfTeams+1)</f>
        <v>4</v>
      </c>
    </row>
    <row r="8" spans="1:15" ht="30" customHeight="1" x14ac:dyDescent="0.25">
      <c r="A8" s="6">
        <v>88303</v>
      </c>
      <c r="B8" s="140" t="str">
        <f>INDEX(OfficialTeamList[Team Name],MATCH(InnovationProjectResults[[#This Row],[Team Number]], OfficialTeamList[Team Number],0))</f>
        <v>RG11 CV6 IP4 RD11 CR10</v>
      </c>
      <c r="C8" s="146">
        <f>VLOOKUP(InnovationProjectResults[[#This Row],[Team Number]],OfficialTeamList[],4,0)</f>
        <v>3</v>
      </c>
      <c r="D8" s="141">
        <v>1</v>
      </c>
      <c r="E8" s="141">
        <v>4</v>
      </c>
      <c r="F8" s="141">
        <v>3</v>
      </c>
      <c r="G8" s="141">
        <v>2</v>
      </c>
      <c r="H8" s="141">
        <v>4</v>
      </c>
      <c r="I8" s="141">
        <v>3</v>
      </c>
      <c r="J8" s="141">
        <v>2</v>
      </c>
      <c r="K8" s="141">
        <v>2</v>
      </c>
      <c r="L8" s="141">
        <v>2</v>
      </c>
      <c r="M8" s="141">
        <v>3</v>
      </c>
      <c r="N8" s="142">
        <f>SUM(InnovationProjectResults[[#This Row],[Identify - Define]:[Communicate - Fun (CV)]])</f>
        <v>26</v>
      </c>
      <c r="O8" s="143">
        <f>IF(InnovationProjectResults[[#This Row],[Team Number]]&gt;0,MIN(_xlfn.RANK.EQ(InnovationProjectResults[[#This Row],[Innovation Project Score]],InnovationProjectResults[Innovation Project Score],0),NumberOfTeams),NumberOfTeams+1)</f>
        <v>4</v>
      </c>
    </row>
    <row r="9" spans="1:15" ht="30" customHeight="1" x14ac:dyDescent="0.25">
      <c r="A9" s="6">
        <v>58947</v>
      </c>
      <c r="B9" s="140" t="str">
        <f>INDEX(OfficialTeamList[Team Name],MATCH(InnovationProjectResults[[#This Row],[Team Number]], OfficialTeamList[Team Number],0))</f>
        <v>RG5 CV8 IP8 RD6 CR8</v>
      </c>
      <c r="C9" s="146">
        <f>VLOOKUP(InnovationProjectResults[[#This Row],[Team Number]],OfficialTeamList[],4,0)</f>
        <v>3</v>
      </c>
      <c r="D9" s="141">
        <v>3</v>
      </c>
      <c r="E9" s="141">
        <v>1</v>
      </c>
      <c r="F9" s="141">
        <v>3</v>
      </c>
      <c r="G9" s="141">
        <v>4</v>
      </c>
      <c r="H9" s="141">
        <v>3</v>
      </c>
      <c r="I9" s="141">
        <v>1</v>
      </c>
      <c r="J9" s="141">
        <v>3</v>
      </c>
      <c r="K9" s="141">
        <v>2</v>
      </c>
      <c r="L9" s="141">
        <v>1</v>
      </c>
      <c r="M9" s="141">
        <v>4</v>
      </c>
      <c r="N9" s="142">
        <f>SUM(InnovationProjectResults[[#This Row],[Identify - Define]:[Communicate - Fun (CV)]])</f>
        <v>25</v>
      </c>
      <c r="O9" s="143">
        <f>IF(InnovationProjectResults[[#This Row],[Team Number]]&gt;0,MIN(_xlfn.RANK.EQ(InnovationProjectResults[[#This Row],[Innovation Project Score]],InnovationProjectResults[Innovation Project Score],0),NumberOfTeams),NumberOfTeams+1)</f>
        <v>8</v>
      </c>
    </row>
    <row r="10" spans="1:15" ht="30" customHeight="1" x14ac:dyDescent="0.25">
      <c r="A10" s="6">
        <v>89293</v>
      </c>
      <c r="B10" s="140" t="str">
        <f>INDEX(OfficialTeamList[Team Name],MATCH(InnovationProjectResults[[#This Row],[Team Number]], OfficialTeamList[Team Number],0))</f>
        <v>RG10 CV11 IP9 RD9 CR11</v>
      </c>
      <c r="C10" s="146">
        <f>VLOOKUP(InnovationProjectResults[[#This Row],[Team Number]],OfficialTeamList[],4,0)</f>
        <v>3</v>
      </c>
      <c r="D10" s="141">
        <v>2</v>
      </c>
      <c r="E10" s="141">
        <v>1</v>
      </c>
      <c r="F10" s="141">
        <v>2</v>
      </c>
      <c r="G10" s="141">
        <v>3</v>
      </c>
      <c r="H10" s="141">
        <v>4</v>
      </c>
      <c r="I10" s="141">
        <v>3</v>
      </c>
      <c r="J10" s="141">
        <v>4</v>
      </c>
      <c r="K10" s="141">
        <v>1</v>
      </c>
      <c r="L10" s="141">
        <v>1</v>
      </c>
      <c r="M10" s="141">
        <v>1</v>
      </c>
      <c r="N10" s="142">
        <f>SUM(InnovationProjectResults[[#This Row],[Identify - Define]:[Communicate - Fun (CV)]])</f>
        <v>22</v>
      </c>
      <c r="O10" s="143">
        <f>IF(InnovationProjectResults[[#This Row],[Team Number]]&gt;0,MIN(_xlfn.RANK.EQ(InnovationProjectResults[[#This Row],[Innovation Project Score]],InnovationProjectResults[Innovation Project Score],0),NumberOfTeams),NumberOfTeams+1)</f>
        <v>9</v>
      </c>
    </row>
    <row r="11" spans="1:15" ht="30" customHeight="1" x14ac:dyDescent="0.25">
      <c r="A11" s="6">
        <v>48732</v>
      </c>
      <c r="B11" s="128" t="str">
        <f>INDEX(OfficialTeamList[Team Name],MATCH(InnovationProjectResults[[#This Row],[Team Number]], OfficialTeamList[Team Number],0))</f>
        <v>RG4 CV10 IP10 RD3 CR8</v>
      </c>
      <c r="C11" s="145">
        <f>VLOOKUP(InnovationProjectResults[[#This Row],[Team Number]],OfficialTeamList[],4,0)</f>
        <v>2</v>
      </c>
      <c r="D11" s="89">
        <v>3</v>
      </c>
      <c r="E11" s="89">
        <v>1</v>
      </c>
      <c r="F11" s="89">
        <v>3</v>
      </c>
      <c r="G11" s="89">
        <v>2</v>
      </c>
      <c r="H11" s="89">
        <v>1</v>
      </c>
      <c r="I11" s="89">
        <v>4</v>
      </c>
      <c r="J11" s="89">
        <v>2</v>
      </c>
      <c r="K11" s="89">
        <v>1</v>
      </c>
      <c r="L11" s="89">
        <v>2</v>
      </c>
      <c r="M11" s="89">
        <v>2</v>
      </c>
      <c r="N11" s="90">
        <f>SUM(InnovationProjectResults[[#This Row],[Identify - Define]:[Communicate - Fun (CV)]])</f>
        <v>21</v>
      </c>
      <c r="O11" s="91">
        <f>IF(InnovationProjectResults[[#This Row],[Team Number]]&gt;0,MIN(_xlfn.RANK.EQ(InnovationProjectResults[[#This Row],[Innovation Project Score]],InnovationProjectResults[Innovation Project Score],0),NumberOfTeams),NumberOfTeams+1)</f>
        <v>10</v>
      </c>
    </row>
    <row r="12" spans="1:15" ht="30" customHeight="1" x14ac:dyDescent="0.25">
      <c r="A12" s="6">
        <v>6818</v>
      </c>
      <c r="B12" s="128" t="str">
        <f>INDEX(OfficialTeamList[Team Name],MATCH(InnovationProjectResults[[#This Row],[Team Number]], OfficialTeamList[Team Number],0))</f>
        <v>RG2 CV9 IP11 RD1 CR6</v>
      </c>
      <c r="C12" s="145">
        <f>VLOOKUP(InnovationProjectResults[[#This Row],[Team Number]],OfficialTeamList[],4,0)</f>
        <v>1</v>
      </c>
      <c r="D12" s="89">
        <v>1</v>
      </c>
      <c r="E12" s="89">
        <v>2</v>
      </c>
      <c r="F12" s="89">
        <v>2</v>
      </c>
      <c r="G12" s="89">
        <v>3</v>
      </c>
      <c r="H12" s="89">
        <v>1</v>
      </c>
      <c r="I12" s="89">
        <v>3</v>
      </c>
      <c r="J12" s="89">
        <v>2</v>
      </c>
      <c r="K12" s="89">
        <v>2</v>
      </c>
      <c r="L12" s="89">
        <v>2</v>
      </c>
      <c r="M12" s="89">
        <v>1</v>
      </c>
      <c r="N12" s="90">
        <f>SUM(InnovationProjectResults[[#This Row],[Identify - Define]:[Communicate - Fun (CV)]])</f>
        <v>19</v>
      </c>
      <c r="O12" s="91">
        <f>IF(InnovationProjectResults[[#This Row],[Team Number]]&gt;0,MIN(_xlfn.RANK.EQ(InnovationProjectResults[[#This Row],[Innovation Project Score]],InnovationProjectResults[Innovation Project Score],0),NumberOfTeams),NumberOfTeams+1)</f>
        <v>11</v>
      </c>
    </row>
  </sheetData>
  <sheetProtection selectLockedCells="1" sort="0" autoFilter="0"/>
  <protectedRanges>
    <protectedRange sqref="A1:O1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12"/>
  <sheetViews>
    <sheetView showZeros="0" zoomScaleNormal="100" zoomScalePageLayoutView="130" workbookViewId="0">
      <pane ySplit="1" topLeftCell="A2" activePane="bottomLeft" state="frozen"/>
      <selection pane="bottomLeft" activeCell="D5" sqref="D5"/>
    </sheetView>
  </sheetViews>
  <sheetFormatPr defaultColWidth="8.42578125" defaultRowHeight="30" customHeight="1" x14ac:dyDescent="0.25"/>
  <cols>
    <col min="1" max="1" width="16.7109375" customWidth="1"/>
    <col min="2" max="2" width="32.7109375" customWidth="1"/>
    <col min="3" max="3" width="8.7109375" customWidth="1"/>
    <col min="4" max="13" width="7.42578125" customWidth="1"/>
    <col min="14" max="14" width="10.42578125" customWidth="1"/>
    <col min="15" max="15" width="15.42578125" customWidth="1"/>
    <col min="16" max="16" width="8.42578125" style="43" customWidth="1"/>
  </cols>
  <sheetData>
    <row r="1" spans="1:15" ht="99.95" customHeight="1" x14ac:dyDescent="0.25">
      <c r="A1" s="125" t="s">
        <v>21</v>
      </c>
      <c r="B1" s="126" t="s">
        <v>22</v>
      </c>
      <c r="C1" s="127" t="s">
        <v>126</v>
      </c>
      <c r="D1" s="95" t="s">
        <v>74</v>
      </c>
      <c r="E1" s="95" t="s">
        <v>64</v>
      </c>
      <c r="F1" s="95" t="s">
        <v>75</v>
      </c>
      <c r="G1" s="95" t="s">
        <v>76</v>
      </c>
      <c r="H1" s="95" t="s">
        <v>77</v>
      </c>
      <c r="I1" s="95" t="s">
        <v>78</v>
      </c>
      <c r="J1" s="95" t="s">
        <v>79</v>
      </c>
      <c r="K1" s="95" t="s">
        <v>80</v>
      </c>
      <c r="L1" s="95" t="s">
        <v>71</v>
      </c>
      <c r="M1" s="95" t="s">
        <v>72</v>
      </c>
      <c r="N1" s="93" t="s">
        <v>51</v>
      </c>
      <c r="O1" s="94" t="s">
        <v>44</v>
      </c>
    </row>
    <row r="2" spans="1:15" ht="30" customHeight="1" x14ac:dyDescent="0.25">
      <c r="A2" s="6">
        <v>6818</v>
      </c>
      <c r="B2" s="129" t="str">
        <f>INDEX(OfficialTeamList[Team Name],MATCH(RobotDesignResults[[#This Row],[Team Number]], OfficialTeamList[Team Number],0))</f>
        <v>RG2 CV9 IP11 RD1 CR6</v>
      </c>
      <c r="C2" s="146">
        <f>VLOOKUP(RobotDesignResults[[#This Row],[Team Number]],OfficialTeamList[],4,0)</f>
        <v>1</v>
      </c>
      <c r="D2" s="123">
        <v>2</v>
      </c>
      <c r="E2" s="123">
        <v>3</v>
      </c>
      <c r="F2" s="123">
        <v>1</v>
      </c>
      <c r="G2" s="123">
        <v>4</v>
      </c>
      <c r="H2" s="123">
        <v>3</v>
      </c>
      <c r="I2" s="123">
        <v>3</v>
      </c>
      <c r="J2" s="123">
        <v>3</v>
      </c>
      <c r="K2" s="123">
        <v>2</v>
      </c>
      <c r="L2" s="123">
        <v>4</v>
      </c>
      <c r="M2" s="123">
        <v>2</v>
      </c>
      <c r="N2" s="124">
        <f>SUM(RobotDesignResults[[#This Row],[Identify - Strategy]:[Communicate - Fun (CV)]])</f>
        <v>27</v>
      </c>
      <c r="O2" s="124">
        <f>IF(RobotDesignResults[[#This Row],[Team Number]]&gt;0,MIN(_xlfn.RANK.EQ(RobotDesignResults[[#This Row],[Robot Design Score]],RobotDesignResults[Robot Design Score],0),NumberOfTeams),NumberOfTeams+1)</f>
        <v>1</v>
      </c>
    </row>
    <row r="3" spans="1:15" ht="30" customHeight="1" x14ac:dyDescent="0.25">
      <c r="A3" s="6">
        <v>8913</v>
      </c>
      <c r="B3" s="129" t="str">
        <f>INDEX(OfficialTeamList[Team Name],MATCH(RobotDesignResults[[#This Row],[Team Number]], OfficialTeamList[Team Number],0))</f>
        <v>RG6 CV3 IP2 RD1 CR2</v>
      </c>
      <c r="C3" s="146">
        <f>VLOOKUP(RobotDesignResults[[#This Row],[Team Number]],OfficialTeamList[],4,0)</f>
        <v>1</v>
      </c>
      <c r="D3" s="123">
        <v>2</v>
      </c>
      <c r="E3" s="123">
        <v>3</v>
      </c>
      <c r="F3" s="123">
        <v>3</v>
      </c>
      <c r="G3" s="123">
        <v>4</v>
      </c>
      <c r="H3" s="123">
        <v>2</v>
      </c>
      <c r="I3" s="123">
        <v>3</v>
      </c>
      <c r="J3" s="123">
        <v>2</v>
      </c>
      <c r="K3" s="123">
        <v>4</v>
      </c>
      <c r="L3" s="123">
        <v>2</v>
      </c>
      <c r="M3" s="123">
        <v>2</v>
      </c>
      <c r="N3" s="124">
        <f>SUM(RobotDesignResults[[#This Row],[Identify - Strategy]:[Communicate - Fun (CV)]])</f>
        <v>27</v>
      </c>
      <c r="O3" s="124">
        <f>IF(RobotDesignResults[[#This Row],[Team Number]]&gt;0,MIN(_xlfn.RANK.EQ(RobotDesignResults[[#This Row],[Robot Design Score]],RobotDesignResults[Robot Design Score],0),NumberOfTeams),NumberOfTeams+1)</f>
        <v>1</v>
      </c>
    </row>
    <row r="4" spans="1:15" ht="30" customHeight="1" x14ac:dyDescent="0.25">
      <c r="A4" s="6">
        <v>34450</v>
      </c>
      <c r="B4" s="129" t="str">
        <f>INDEX(OfficialTeamList[Team Name],MATCH(RobotDesignResults[[#This Row],[Team Number]], OfficialTeamList[Team Number],0))</f>
        <v>RG7 CV7 IP4 RD3 CR5</v>
      </c>
      <c r="C4" s="146">
        <f>VLOOKUP(RobotDesignResults[[#This Row],[Team Number]],OfficialTeamList[],4,0)</f>
        <v>2</v>
      </c>
      <c r="D4" s="123">
        <v>1</v>
      </c>
      <c r="E4" s="123">
        <v>2</v>
      </c>
      <c r="F4" s="123">
        <v>3</v>
      </c>
      <c r="G4" s="123">
        <v>2</v>
      </c>
      <c r="H4" s="123">
        <v>3</v>
      </c>
      <c r="I4" s="123">
        <v>2</v>
      </c>
      <c r="J4" s="123">
        <v>4</v>
      </c>
      <c r="K4" s="123">
        <v>2</v>
      </c>
      <c r="L4" s="123">
        <v>2</v>
      </c>
      <c r="M4" s="123">
        <v>4</v>
      </c>
      <c r="N4" s="124">
        <f>SUM(RobotDesignResults[[#This Row],[Identify - Strategy]:[Communicate - Fun (CV)]])</f>
        <v>25</v>
      </c>
      <c r="O4" s="124">
        <f>IF(RobotDesignResults[[#This Row],[Team Number]]&gt;0,MIN(_xlfn.RANK.EQ(RobotDesignResults[[#This Row],[Robot Design Score]],RobotDesignResults[Robot Design Score],0),NumberOfTeams),NumberOfTeams+1)</f>
        <v>3</v>
      </c>
    </row>
    <row r="5" spans="1:15" ht="30" customHeight="1" x14ac:dyDescent="0.25">
      <c r="A5" s="6">
        <v>43985</v>
      </c>
      <c r="B5" s="129" t="str">
        <f>INDEX(OfficialTeamList[Team Name],MATCH(RobotDesignResults[[#This Row],[Team Number]], OfficialTeamList[Team Number],0))</f>
        <v>RG1 CV1 IP2 RD3 CR1</v>
      </c>
      <c r="C5" s="146">
        <f>VLOOKUP(RobotDesignResults[[#This Row],[Team Number]],OfficialTeamList[],4,0)</f>
        <v>2</v>
      </c>
      <c r="D5" s="123">
        <v>3</v>
      </c>
      <c r="E5" s="123">
        <v>1</v>
      </c>
      <c r="F5" s="123">
        <v>4</v>
      </c>
      <c r="G5" s="123">
        <v>3</v>
      </c>
      <c r="H5" s="123">
        <v>2</v>
      </c>
      <c r="I5" s="123">
        <v>2</v>
      </c>
      <c r="J5" s="123">
        <v>2</v>
      </c>
      <c r="K5" s="123">
        <v>4</v>
      </c>
      <c r="L5" s="123">
        <v>3</v>
      </c>
      <c r="M5" s="123">
        <v>1</v>
      </c>
      <c r="N5" s="124">
        <f>SUM(RobotDesignResults[[#This Row],[Identify - Strategy]:[Communicate - Fun (CV)]])</f>
        <v>25</v>
      </c>
      <c r="O5" s="124">
        <f>IF(RobotDesignResults[[#This Row],[Team Number]]&gt;0,MIN(_xlfn.RANK.EQ(RobotDesignResults[[#This Row],[Robot Design Score]],RobotDesignResults[Robot Design Score],0),NumberOfTeams),NumberOfTeams+1)</f>
        <v>3</v>
      </c>
    </row>
    <row r="6" spans="1:15" ht="30" customHeight="1" x14ac:dyDescent="0.25">
      <c r="A6" s="6">
        <v>48732</v>
      </c>
      <c r="B6" s="129" t="str">
        <f>INDEX(OfficialTeamList[Team Name],MATCH(RobotDesignResults[[#This Row],[Team Number]], OfficialTeamList[Team Number],0))</f>
        <v>RG4 CV10 IP10 RD3 CR8</v>
      </c>
      <c r="C6" s="146">
        <f>VLOOKUP(RobotDesignResults[[#This Row],[Team Number]],OfficialTeamList[],4,0)</f>
        <v>2</v>
      </c>
      <c r="D6" s="123">
        <v>3</v>
      </c>
      <c r="E6" s="123">
        <v>2</v>
      </c>
      <c r="F6" s="123">
        <v>2</v>
      </c>
      <c r="G6" s="123">
        <v>3</v>
      </c>
      <c r="H6" s="123">
        <v>2</v>
      </c>
      <c r="I6" s="123">
        <v>3</v>
      </c>
      <c r="J6" s="123">
        <v>3</v>
      </c>
      <c r="K6" s="123">
        <v>4</v>
      </c>
      <c r="L6" s="123">
        <v>1</v>
      </c>
      <c r="M6" s="123">
        <v>2</v>
      </c>
      <c r="N6" s="124">
        <f>SUM(RobotDesignResults[[#This Row],[Identify - Strategy]:[Communicate - Fun (CV)]])</f>
        <v>25</v>
      </c>
      <c r="O6" s="124">
        <f>IF(RobotDesignResults[[#This Row],[Team Number]]&gt;0,MIN(_xlfn.RANK.EQ(RobotDesignResults[[#This Row],[Robot Design Score]],RobotDesignResults[Robot Design Score],0),NumberOfTeams),NumberOfTeams+1)</f>
        <v>3</v>
      </c>
    </row>
    <row r="7" spans="1:15" ht="30" customHeight="1" x14ac:dyDescent="0.25">
      <c r="A7" s="6">
        <v>4079</v>
      </c>
      <c r="B7" s="129" t="str">
        <f>INDEX(OfficialTeamList[Team Name],MATCH(RobotDesignResults[[#This Row],[Team Number]], OfficialTeamList[Team Number],0))</f>
        <v>RG3 CV4 IP4 RD6 CR4</v>
      </c>
      <c r="C7" s="146">
        <f>VLOOKUP(RobotDesignResults[[#This Row],[Team Number]],OfficialTeamList[],4,0)</f>
        <v>1</v>
      </c>
      <c r="D7" s="123">
        <v>3</v>
      </c>
      <c r="E7" s="123">
        <v>3</v>
      </c>
      <c r="F7" s="123">
        <v>1</v>
      </c>
      <c r="G7" s="123">
        <v>1</v>
      </c>
      <c r="H7" s="123">
        <v>1</v>
      </c>
      <c r="I7" s="123">
        <v>3</v>
      </c>
      <c r="J7" s="123">
        <v>4</v>
      </c>
      <c r="K7" s="123">
        <v>3</v>
      </c>
      <c r="L7" s="123">
        <v>3</v>
      </c>
      <c r="M7" s="123">
        <v>2</v>
      </c>
      <c r="N7" s="124">
        <f>SUM(RobotDesignResults[[#This Row],[Identify - Strategy]:[Communicate - Fun (CV)]])</f>
        <v>24</v>
      </c>
      <c r="O7" s="124">
        <f>IF(RobotDesignResults[[#This Row],[Team Number]]&gt;0,MIN(_xlfn.RANK.EQ(RobotDesignResults[[#This Row],[Robot Design Score]],RobotDesignResults[Robot Design Score],0),NumberOfTeams),NumberOfTeams+1)</f>
        <v>6</v>
      </c>
    </row>
    <row r="8" spans="1:15" ht="30" customHeight="1" x14ac:dyDescent="0.25">
      <c r="A8" s="6">
        <v>29484</v>
      </c>
      <c r="B8" s="129" t="str">
        <f>INDEX(OfficialTeamList[Team Name],MATCH(RobotDesignResults[[#This Row],[Team Number]], OfficialTeamList[Team Number],0))</f>
        <v>RG8 CV1 IP1 RD6 CR3</v>
      </c>
      <c r="C8" s="146">
        <f>VLOOKUP(RobotDesignResults[[#This Row],[Team Number]],OfficialTeamList[],4,0)</f>
        <v>2</v>
      </c>
      <c r="D8" s="123">
        <v>3</v>
      </c>
      <c r="E8" s="123">
        <v>3</v>
      </c>
      <c r="F8" s="123">
        <v>2</v>
      </c>
      <c r="G8" s="123">
        <v>2</v>
      </c>
      <c r="H8" s="123">
        <v>2</v>
      </c>
      <c r="I8" s="123">
        <v>3</v>
      </c>
      <c r="J8" s="123">
        <v>4</v>
      </c>
      <c r="K8" s="123">
        <v>1</v>
      </c>
      <c r="L8" s="123">
        <v>1</v>
      </c>
      <c r="M8" s="123">
        <v>3</v>
      </c>
      <c r="N8" s="124">
        <f>SUM(RobotDesignResults[[#This Row],[Identify - Strategy]:[Communicate - Fun (CV)]])</f>
        <v>24</v>
      </c>
      <c r="O8" s="124">
        <f>IF(RobotDesignResults[[#This Row],[Team Number]]&gt;0,MIN(_xlfn.RANK.EQ(RobotDesignResults[[#This Row],[Robot Design Score]],RobotDesignResults[Robot Design Score],0),NumberOfTeams),NumberOfTeams+1)</f>
        <v>6</v>
      </c>
    </row>
    <row r="9" spans="1:15" ht="30" customHeight="1" x14ac:dyDescent="0.25">
      <c r="A9" s="6">
        <v>58947</v>
      </c>
      <c r="B9" s="147" t="str">
        <f>INDEX(OfficialTeamList[Team Name],MATCH(RobotDesignResults[[#This Row],[Team Number]], OfficialTeamList[Team Number],0))</f>
        <v>RG5 CV8 IP8 RD6 CR8</v>
      </c>
      <c r="C9" s="146">
        <f>VLOOKUP(RobotDesignResults[[#This Row],[Team Number]],OfficialTeamList[],4,0)</f>
        <v>3</v>
      </c>
      <c r="D9" s="141">
        <v>4</v>
      </c>
      <c r="E9" s="141">
        <v>1</v>
      </c>
      <c r="F9" s="141">
        <v>2</v>
      </c>
      <c r="G9" s="141">
        <v>3</v>
      </c>
      <c r="H9" s="141">
        <v>2</v>
      </c>
      <c r="I9" s="141">
        <v>3</v>
      </c>
      <c r="J9" s="141">
        <v>2</v>
      </c>
      <c r="K9" s="141">
        <v>3</v>
      </c>
      <c r="L9" s="141">
        <v>2</v>
      </c>
      <c r="M9" s="141">
        <v>2</v>
      </c>
      <c r="N9" s="143">
        <f>SUM(RobotDesignResults[[#This Row],[Identify - Strategy]:[Communicate - Fun (CV)]])</f>
        <v>24</v>
      </c>
      <c r="O9" s="143">
        <f>IF(RobotDesignResults[[#This Row],[Team Number]]&gt;0,MIN(_xlfn.RANK.EQ(RobotDesignResults[[#This Row],[Robot Design Score]],RobotDesignResults[Robot Design Score],0),NumberOfTeams),NumberOfTeams+1)</f>
        <v>6</v>
      </c>
    </row>
    <row r="10" spans="1:15" ht="30" customHeight="1" x14ac:dyDescent="0.25">
      <c r="A10" s="6">
        <v>69029</v>
      </c>
      <c r="B10" s="147" t="str">
        <f>INDEX(OfficialTeamList[Team Name],MATCH(RobotDesignResults[[#This Row],[Team Number]], OfficialTeamList[Team Number],0))</f>
        <v>RG9 CV4 IP4 RD9 CR7</v>
      </c>
      <c r="C10" s="146">
        <f>VLOOKUP(RobotDesignResults[[#This Row],[Team Number]],OfficialTeamList[],4,0)</f>
        <v>3</v>
      </c>
      <c r="D10" s="141">
        <v>3</v>
      </c>
      <c r="E10" s="141">
        <v>3</v>
      </c>
      <c r="F10" s="141">
        <v>2</v>
      </c>
      <c r="G10" s="141">
        <v>1</v>
      </c>
      <c r="H10" s="141">
        <v>1</v>
      </c>
      <c r="I10" s="141">
        <v>2</v>
      </c>
      <c r="J10" s="141">
        <v>1</v>
      </c>
      <c r="K10" s="141">
        <v>3</v>
      </c>
      <c r="L10" s="141">
        <v>3</v>
      </c>
      <c r="M10" s="141">
        <v>3</v>
      </c>
      <c r="N10" s="143">
        <f>SUM(RobotDesignResults[[#This Row],[Identify - Strategy]:[Communicate - Fun (CV)]])</f>
        <v>22</v>
      </c>
      <c r="O10" s="143">
        <f>IF(RobotDesignResults[[#This Row],[Team Number]]&gt;0,MIN(_xlfn.RANK.EQ(RobotDesignResults[[#This Row],[Robot Design Score]],RobotDesignResults[Robot Design Score],0),NumberOfTeams),NumberOfTeams+1)</f>
        <v>9</v>
      </c>
    </row>
    <row r="11" spans="1:15" ht="30" customHeight="1" x14ac:dyDescent="0.25">
      <c r="A11" s="6">
        <v>89293</v>
      </c>
      <c r="B11" s="147" t="str">
        <f>INDEX(OfficialTeamList[Team Name],MATCH(RobotDesignResults[[#This Row],[Team Number]], OfficialTeamList[Team Number],0))</f>
        <v>RG10 CV11 IP9 RD9 CR11</v>
      </c>
      <c r="C11" s="146">
        <f>VLOOKUP(RobotDesignResults[[#This Row],[Team Number]],OfficialTeamList[],4,0)</f>
        <v>3</v>
      </c>
      <c r="D11" s="141">
        <v>2</v>
      </c>
      <c r="E11" s="141">
        <v>2</v>
      </c>
      <c r="F11" s="141">
        <v>1</v>
      </c>
      <c r="G11" s="141">
        <v>2</v>
      </c>
      <c r="H11" s="141">
        <v>4</v>
      </c>
      <c r="I11" s="141">
        <v>4</v>
      </c>
      <c r="J11" s="141">
        <v>1</v>
      </c>
      <c r="K11" s="141">
        <v>2</v>
      </c>
      <c r="L11" s="141">
        <v>3</v>
      </c>
      <c r="M11" s="141">
        <v>1</v>
      </c>
      <c r="N11" s="143">
        <f>SUM(RobotDesignResults[[#This Row],[Identify - Strategy]:[Communicate - Fun (CV)]])</f>
        <v>22</v>
      </c>
      <c r="O11" s="143">
        <f>IF(RobotDesignResults[[#This Row],[Team Number]]&gt;0,MIN(_xlfn.RANK.EQ(RobotDesignResults[[#This Row],[Robot Design Score]],RobotDesignResults[Robot Design Score],0),NumberOfTeams),NumberOfTeams+1)</f>
        <v>9</v>
      </c>
    </row>
    <row r="12" spans="1:15" ht="30" customHeight="1" x14ac:dyDescent="0.25">
      <c r="A12" s="6">
        <v>88303</v>
      </c>
      <c r="B12" s="147" t="str">
        <f>INDEX(OfficialTeamList[Team Name],MATCH(RobotDesignResults[[#This Row],[Team Number]], OfficialTeamList[Team Number],0))</f>
        <v>RG11 CV6 IP4 RD11 CR10</v>
      </c>
      <c r="C12" s="146">
        <f>VLOOKUP(RobotDesignResults[[#This Row],[Team Number]],OfficialTeamList[],4,0)</f>
        <v>3</v>
      </c>
      <c r="D12" s="141">
        <v>2</v>
      </c>
      <c r="E12" s="141">
        <v>2</v>
      </c>
      <c r="F12" s="141">
        <v>3</v>
      </c>
      <c r="G12" s="141">
        <v>1</v>
      </c>
      <c r="H12" s="141">
        <v>3</v>
      </c>
      <c r="I12" s="141">
        <v>2</v>
      </c>
      <c r="J12" s="141">
        <v>1</v>
      </c>
      <c r="K12" s="141">
        <v>3</v>
      </c>
      <c r="L12" s="141">
        <v>1</v>
      </c>
      <c r="M12" s="141">
        <v>3</v>
      </c>
      <c r="N12" s="143">
        <f>SUM(RobotDesignResults[[#This Row],[Identify - Strategy]:[Communicate - Fun (CV)]])</f>
        <v>21</v>
      </c>
      <c r="O12" s="143">
        <f>IF(RobotDesignResults[[#This Row],[Team Number]]&gt;0,MIN(_xlfn.RANK.EQ(RobotDesignResults[[#This Row],[Robot Design Score]],RobotDesignResults[Robot Design Score],0),NumberOfTeams),NumberOfTeams+1)</f>
        <v>11</v>
      </c>
    </row>
  </sheetData>
  <sheetProtection selectLockedCells="1" sort="0" autoFilter="0"/>
  <protectedRanges>
    <protectedRange sqref="A1:O1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AA12"/>
  <sheetViews>
    <sheetView showZeros="0" zoomScaleNormal="100" zoomScalePageLayoutView="140" workbookViewId="0">
      <pane ySplit="1" topLeftCell="A2" activePane="bottomLeft" state="frozen"/>
      <selection pane="bottomLeft" activeCell="O2" sqref="O2"/>
    </sheetView>
  </sheetViews>
  <sheetFormatPr defaultColWidth="8.42578125" defaultRowHeight="30" customHeight="1" x14ac:dyDescent="0.25"/>
  <cols>
    <col min="1" max="1" width="16.7109375" customWidth="1"/>
    <col min="2" max="2" width="32.7109375" customWidth="1"/>
    <col min="3" max="3" width="8.7109375" customWidth="1"/>
    <col min="4" max="4" width="7" style="60" customWidth="1"/>
    <col min="5" max="6" width="5.85546875" style="60" customWidth="1"/>
    <col min="7" max="7" width="6.28515625" style="60" customWidth="1"/>
    <col min="8" max="14" width="5.85546875" style="60" customWidth="1"/>
    <col min="15" max="19" width="7.42578125" customWidth="1"/>
    <col min="20" max="20" width="10.42578125" customWidth="1"/>
    <col min="21" max="21" width="15.42578125" customWidth="1"/>
    <col min="22" max="22" width="8.42578125" style="43" customWidth="1"/>
  </cols>
  <sheetData>
    <row r="1" spans="1:21" ht="99.95" customHeight="1" x14ac:dyDescent="0.25">
      <c r="A1" s="125" t="s">
        <v>21</v>
      </c>
      <c r="B1" s="126" t="s">
        <v>22</v>
      </c>
      <c r="C1" s="127" t="s">
        <v>126</v>
      </c>
      <c r="D1" s="98" t="s">
        <v>81</v>
      </c>
      <c r="E1" s="98" t="s">
        <v>82</v>
      </c>
      <c r="F1" s="98" t="s">
        <v>83</v>
      </c>
      <c r="G1" s="98" t="s">
        <v>84</v>
      </c>
      <c r="H1" s="98" t="s">
        <v>85</v>
      </c>
      <c r="I1" s="98" t="s">
        <v>86</v>
      </c>
      <c r="J1" s="98" t="s">
        <v>87</v>
      </c>
      <c r="K1" s="98" t="s">
        <v>88</v>
      </c>
      <c r="L1" s="98" t="s">
        <v>89</v>
      </c>
      <c r="M1" s="98" t="s">
        <v>90</v>
      </c>
      <c r="N1" s="98" t="s">
        <v>131</v>
      </c>
      <c r="O1" s="99" t="s">
        <v>91</v>
      </c>
      <c r="P1" s="99" t="s">
        <v>92</v>
      </c>
      <c r="Q1" s="99" t="s">
        <v>93</v>
      </c>
      <c r="R1" s="99" t="s">
        <v>94</v>
      </c>
      <c r="S1" s="100" t="s">
        <v>95</v>
      </c>
      <c r="T1" s="100" t="s">
        <v>49</v>
      </c>
      <c r="U1" s="100" t="s">
        <v>42</v>
      </c>
    </row>
    <row r="2" spans="1:21" ht="30" customHeight="1" x14ac:dyDescent="0.25">
      <c r="A2" s="6">
        <v>43985</v>
      </c>
      <c r="B2" s="128" t="str">
        <f>INDEX(OfficialTeamList[Team Name],MATCH(CoreValuesResults[[#This Row],[Team Number]], OfficialTeamList[Team Number],0))</f>
        <v>RG1 CV1 IP2 RD3 CR1</v>
      </c>
      <c r="C2" s="145">
        <f>VLOOKUP(CoreValuesResults[[#This Row],[Team Number]],OfficialTeamList[],4,0)</f>
        <v>2</v>
      </c>
      <c r="D2" s="92">
        <f>INDEX(InnovationProjectResults[Identify - Research (CV)],MATCH(CoreValuesResults[[#This Row],[Team Number]],InnovationProjectResults[Team Number],0))</f>
        <v>4</v>
      </c>
      <c r="E2" s="92">
        <f>INDEX(InnovationProjectResults[Design - Teamwork (CV)],MATCH(CoreValuesResults[[#This Row],[Team Number]],InnovationProjectResults[Team Number],0))</f>
        <v>4</v>
      </c>
      <c r="F2" s="92">
        <f>INDEX(InnovationProjectResults[Create - Innovation (CV)],MATCH(CoreValuesResults[[#This Row],[Team Number]],InnovationProjectResults[Team Number],0))</f>
        <v>1</v>
      </c>
      <c r="G2" s="92">
        <f>INDEX(InnovationProjectResults[Communicate - Impact (CV)],MATCH(CoreValuesResults[[#This Row],[Team Number]],InnovationProjectResults[Team Number],0))</f>
        <v>2</v>
      </c>
      <c r="H2" s="92">
        <f>INDEX(InnovationProjectResults[Communicate - Fun (CV)],MATCH(CoreValuesResults[[#This Row],[Team Number]],InnovationProjectResults[Team Number],0))</f>
        <v>3</v>
      </c>
      <c r="I2" s="92">
        <f>INDEX(RobotDesignResults[Identify - Research (CV)],MATCH(CoreValuesResults[[#This Row],[Team Number]],RobotDesignResults[Team Number],0))</f>
        <v>1</v>
      </c>
      <c r="J2" s="92">
        <f>INDEX(RobotDesignResults[Design - Ideas (CV)],MATCH(CoreValuesResults[[#This Row],[Team Number]],RobotDesignResults[Team Number],0))</f>
        <v>4</v>
      </c>
      <c r="K2" s="92">
        <f>INDEX(RobotDesignResults[Iterate - Improvements (CV)],MATCH(CoreValuesResults[[#This Row],[Team Number]],RobotDesignResults[Team Number],0))</f>
        <v>4</v>
      </c>
      <c r="L2" s="92">
        <f>INDEX(RobotDesignResults[Communicate - Impact (CV)],MATCH(CoreValuesResults[[#This Row],[Team Number]],RobotDesignResults[Team Number],0))</f>
        <v>3</v>
      </c>
      <c r="M2" s="92">
        <f>INDEX(RobotDesignResults[Communicate - Fun (CV)],MATCH(CoreValuesResults[[#This Row],[Team Number]],RobotDesignResults[Team Number],0))</f>
        <v>1</v>
      </c>
      <c r="N2" s="92">
        <f>SUM(CoreValuesResults[[#This Row],[Identify - Research (CV-IP)]:[Communicate - Fun (CV-RD)]])</f>
        <v>27</v>
      </c>
      <c r="O2" s="89">
        <v>4</v>
      </c>
      <c r="P2" s="89">
        <v>4</v>
      </c>
      <c r="Q2" s="89">
        <v>4</v>
      </c>
      <c r="R2" s="59">
        <f>SUM(CoreValuesResults[[#This Row],[Gracious Professionalism 1]:[Gracious Professionalism 3]])</f>
        <v>12</v>
      </c>
      <c r="S2" s="59">
        <f>SUM(CoreValuesResults[[#This Row],[Identify - Research (CV-IP)]:[Gracious Professionalism 3]])</f>
        <v>66</v>
      </c>
      <c r="T2" s="90">
        <f>SUM(CoreValuesResults[[#This Row],[Gracious Professionalism Total]],CoreValuesResults[[#This Row],[CV Total]])</f>
        <v>39</v>
      </c>
      <c r="U2" s="91">
        <f>IF(CoreValuesResults[[#This Row],[Team Number]]&gt;0,MIN(_xlfn.RANK.EQ(CoreValuesResults[[#This Row],[Core Values Score]],CoreValuesResults[Core Values Score],0),NumberOfTeams),NumberOfTeams+1)</f>
        <v>1</v>
      </c>
    </row>
    <row r="3" spans="1:21" ht="30" customHeight="1" x14ac:dyDescent="0.25">
      <c r="A3" s="6">
        <v>89293</v>
      </c>
      <c r="B3" s="147" t="str">
        <f>INDEX(OfficialTeamList[Team Name],MATCH(CoreValuesResults[[#This Row],[Team Number]], OfficialTeamList[Team Number],0))</f>
        <v>RG10 CV11 IP9 RD9 CR11</v>
      </c>
      <c r="C3" s="146">
        <f>VLOOKUP(CoreValuesResults[[#This Row],[Team Number]],OfficialTeamList[],4,0)</f>
        <v>3</v>
      </c>
      <c r="D3" s="144">
        <f>INDEX(InnovationProjectResults[Identify - Research (CV)],MATCH(CoreValuesResults[[#This Row],[Team Number]],InnovationProjectResults[Team Number],0))</f>
        <v>1</v>
      </c>
      <c r="E3" s="144">
        <f>INDEX(InnovationProjectResults[Design - Teamwork (CV)],MATCH(CoreValuesResults[[#This Row],[Team Number]],InnovationProjectResults[Team Number],0))</f>
        <v>3</v>
      </c>
      <c r="F3" s="144">
        <f>INDEX(InnovationProjectResults[Create - Innovation (CV)],MATCH(CoreValuesResults[[#This Row],[Team Number]],InnovationProjectResults[Team Number],0))</f>
        <v>4</v>
      </c>
      <c r="G3" s="144">
        <f>INDEX(InnovationProjectResults[Communicate - Impact (CV)],MATCH(CoreValuesResults[[#This Row],[Team Number]],InnovationProjectResults[Team Number],0))</f>
        <v>1</v>
      </c>
      <c r="H3" s="144">
        <f>INDEX(InnovationProjectResults[Communicate - Fun (CV)],MATCH(CoreValuesResults[[#This Row],[Team Number]],InnovationProjectResults[Team Number],0))</f>
        <v>1</v>
      </c>
      <c r="I3" s="144">
        <f>INDEX(RobotDesignResults[Identify - Research (CV)],MATCH(CoreValuesResults[[#This Row],[Team Number]],RobotDesignResults[Team Number],0))</f>
        <v>2</v>
      </c>
      <c r="J3" s="144">
        <f>INDEX(RobotDesignResults[Design - Ideas (CV)],MATCH(CoreValuesResults[[#This Row],[Team Number]],RobotDesignResults[Team Number],0))</f>
        <v>1</v>
      </c>
      <c r="K3" s="144">
        <f>INDEX(RobotDesignResults[Iterate - Improvements (CV)],MATCH(CoreValuesResults[[#This Row],[Team Number]],RobotDesignResults[Team Number],0))</f>
        <v>2</v>
      </c>
      <c r="L3" s="144">
        <f>INDEX(RobotDesignResults[Communicate - Impact (CV)],MATCH(CoreValuesResults[[#This Row],[Team Number]],RobotDesignResults[Team Number],0))</f>
        <v>3</v>
      </c>
      <c r="M3" s="144">
        <f>INDEX(RobotDesignResults[Communicate - Fun (CV)],MATCH(CoreValuesResults[[#This Row],[Team Number]],RobotDesignResults[Team Number],0))</f>
        <v>1</v>
      </c>
      <c r="N3" s="144">
        <f>SUM(CoreValuesResults[[#This Row],[Identify - Research (CV-IP)]:[Communicate - Fun (CV-RD)]])</f>
        <v>19</v>
      </c>
      <c r="O3" s="141">
        <v>2</v>
      </c>
      <c r="P3" s="141">
        <v>2</v>
      </c>
      <c r="Q3" s="141">
        <v>2</v>
      </c>
      <c r="R3" s="137">
        <f>SUM(CoreValuesResults[[#This Row],[Gracious Professionalism 1]:[Gracious Professionalism 3]])</f>
        <v>6</v>
      </c>
      <c r="S3" s="137">
        <f>SUM(CoreValuesResults[[#This Row],[Identify - Research (CV-IP)]:[Gracious Professionalism 3]])</f>
        <v>44</v>
      </c>
      <c r="T3" s="142">
        <f>SUM(CoreValuesResults[[#This Row],[Gracious Professionalism Total]],CoreValuesResults[[#This Row],[CV Total]])</f>
        <v>25</v>
      </c>
      <c r="U3" s="143">
        <f>IF(CoreValuesResults[[#This Row],[Team Number]]&gt;0,MIN(_xlfn.RANK.EQ(CoreValuesResults[[#This Row],[Core Values Score]],CoreValuesResults[Core Values Score],0),NumberOfTeams),NumberOfTeams+1)</f>
        <v>11</v>
      </c>
    </row>
    <row r="4" spans="1:21" ht="30" customHeight="1" x14ac:dyDescent="0.25">
      <c r="A4" s="6">
        <v>88303</v>
      </c>
      <c r="B4" s="147" t="str">
        <f>INDEX(OfficialTeamList[Team Name],MATCH(CoreValuesResults[[#This Row],[Team Number]], OfficialTeamList[Team Number],0))</f>
        <v>RG11 CV6 IP4 RD11 CR10</v>
      </c>
      <c r="C4" s="146">
        <f>VLOOKUP(CoreValuesResults[[#This Row],[Team Number]],OfficialTeamList[],4,0)</f>
        <v>3</v>
      </c>
      <c r="D4" s="144">
        <f>INDEX(InnovationProjectResults[Identify - Research (CV)],MATCH(CoreValuesResults[[#This Row],[Team Number]],InnovationProjectResults[Team Number],0))</f>
        <v>4</v>
      </c>
      <c r="E4" s="144">
        <f>INDEX(InnovationProjectResults[Design - Teamwork (CV)],MATCH(CoreValuesResults[[#This Row],[Team Number]],InnovationProjectResults[Team Number],0))</f>
        <v>2</v>
      </c>
      <c r="F4" s="144">
        <f>INDEX(InnovationProjectResults[Create - Innovation (CV)],MATCH(CoreValuesResults[[#This Row],[Team Number]],InnovationProjectResults[Team Number],0))</f>
        <v>4</v>
      </c>
      <c r="G4" s="144">
        <f>INDEX(InnovationProjectResults[Communicate - Impact (CV)],MATCH(CoreValuesResults[[#This Row],[Team Number]],InnovationProjectResults[Team Number],0))</f>
        <v>2</v>
      </c>
      <c r="H4" s="144">
        <f>INDEX(InnovationProjectResults[Communicate - Fun (CV)],MATCH(CoreValuesResults[[#This Row],[Team Number]],InnovationProjectResults[Team Number],0))</f>
        <v>3</v>
      </c>
      <c r="I4" s="144">
        <f>INDEX(RobotDesignResults[Identify - Research (CV)],MATCH(CoreValuesResults[[#This Row],[Team Number]],RobotDesignResults[Team Number],0))</f>
        <v>2</v>
      </c>
      <c r="J4" s="144">
        <f>INDEX(RobotDesignResults[Design - Ideas (CV)],MATCH(CoreValuesResults[[#This Row],[Team Number]],RobotDesignResults[Team Number],0))</f>
        <v>3</v>
      </c>
      <c r="K4" s="144">
        <f>INDEX(RobotDesignResults[Iterate - Improvements (CV)],MATCH(CoreValuesResults[[#This Row],[Team Number]],RobotDesignResults[Team Number],0))</f>
        <v>3</v>
      </c>
      <c r="L4" s="144">
        <f>INDEX(RobotDesignResults[Communicate - Impact (CV)],MATCH(CoreValuesResults[[#This Row],[Team Number]],RobotDesignResults[Team Number],0))</f>
        <v>1</v>
      </c>
      <c r="M4" s="144">
        <f>INDEX(RobotDesignResults[Communicate - Fun (CV)],MATCH(CoreValuesResults[[#This Row],[Team Number]],RobotDesignResults[Team Number],0))</f>
        <v>3</v>
      </c>
      <c r="N4" s="144">
        <f>SUM(CoreValuesResults[[#This Row],[Identify - Research (CV-IP)]:[Communicate - Fun (CV-RD)]])</f>
        <v>27</v>
      </c>
      <c r="O4" s="141">
        <v>3</v>
      </c>
      <c r="P4" s="141">
        <v>3</v>
      </c>
      <c r="Q4" s="141">
        <v>3</v>
      </c>
      <c r="R4" s="137">
        <f>SUM(CoreValuesResults[[#This Row],[Gracious Professionalism 1]:[Gracious Professionalism 3]])</f>
        <v>9</v>
      </c>
      <c r="S4" s="137">
        <f>SUM(CoreValuesResults[[#This Row],[Identify - Research (CV-IP)]:[Gracious Professionalism 3]])</f>
        <v>63</v>
      </c>
      <c r="T4" s="142">
        <f>SUM(CoreValuesResults[[#This Row],[Gracious Professionalism Total]],CoreValuesResults[[#This Row],[CV Total]])</f>
        <v>36</v>
      </c>
      <c r="U4" s="143">
        <f>IF(CoreValuesResults[[#This Row],[Team Number]]&gt;0,MIN(_xlfn.RANK.EQ(CoreValuesResults[[#This Row],[Core Values Score]],CoreValuesResults[Core Values Score],0),NumberOfTeams),NumberOfTeams+1)</f>
        <v>6</v>
      </c>
    </row>
    <row r="5" spans="1:21" ht="30" customHeight="1" x14ac:dyDescent="0.25">
      <c r="A5" s="6">
        <v>6818</v>
      </c>
      <c r="B5" s="128" t="str">
        <f>INDEX(OfficialTeamList[Team Name],MATCH(CoreValuesResults[[#This Row],[Team Number]], OfficialTeamList[Team Number],0))</f>
        <v>RG2 CV9 IP11 RD1 CR6</v>
      </c>
      <c r="C5" s="145">
        <f>VLOOKUP(CoreValuesResults[[#This Row],[Team Number]],OfficialTeamList[],4,0)</f>
        <v>1</v>
      </c>
      <c r="D5" s="92">
        <f>INDEX(InnovationProjectResults[Identify - Research (CV)],MATCH(CoreValuesResults[[#This Row],[Team Number]],InnovationProjectResults[Team Number],0))</f>
        <v>2</v>
      </c>
      <c r="E5" s="92">
        <f>INDEX(InnovationProjectResults[Design - Teamwork (CV)],MATCH(CoreValuesResults[[#This Row],[Team Number]],InnovationProjectResults[Team Number],0))</f>
        <v>3</v>
      </c>
      <c r="F5" s="92">
        <f>INDEX(InnovationProjectResults[Create - Innovation (CV)],MATCH(CoreValuesResults[[#This Row],[Team Number]],InnovationProjectResults[Team Number],0))</f>
        <v>1</v>
      </c>
      <c r="G5" s="92">
        <f>INDEX(InnovationProjectResults[Communicate - Impact (CV)],MATCH(CoreValuesResults[[#This Row],[Team Number]],InnovationProjectResults[Team Number],0))</f>
        <v>2</v>
      </c>
      <c r="H5" s="92">
        <f>INDEX(InnovationProjectResults[Communicate - Fun (CV)],MATCH(CoreValuesResults[[#This Row],[Team Number]],InnovationProjectResults[Team Number],0))</f>
        <v>1</v>
      </c>
      <c r="I5" s="92">
        <f>INDEX(RobotDesignResults[Identify - Research (CV)],MATCH(CoreValuesResults[[#This Row],[Team Number]],RobotDesignResults[Team Number],0))</f>
        <v>3</v>
      </c>
      <c r="J5" s="92">
        <f>INDEX(RobotDesignResults[Design - Ideas (CV)],MATCH(CoreValuesResults[[#This Row],[Team Number]],RobotDesignResults[Team Number],0))</f>
        <v>1</v>
      </c>
      <c r="K5" s="92">
        <f>INDEX(RobotDesignResults[Iterate - Improvements (CV)],MATCH(CoreValuesResults[[#This Row],[Team Number]],RobotDesignResults[Team Number],0))</f>
        <v>2</v>
      </c>
      <c r="L5" s="92">
        <f>INDEX(RobotDesignResults[Communicate - Impact (CV)],MATCH(CoreValuesResults[[#This Row],[Team Number]],RobotDesignResults[Team Number],0))</f>
        <v>4</v>
      </c>
      <c r="M5" s="92">
        <f>INDEX(RobotDesignResults[Communicate - Fun (CV)],MATCH(CoreValuesResults[[#This Row],[Team Number]],RobotDesignResults[Team Number],0))</f>
        <v>2</v>
      </c>
      <c r="N5" s="92">
        <f>SUM(CoreValuesResults[[#This Row],[Identify - Research (CV-IP)]:[Communicate - Fun (CV-RD)]])</f>
        <v>21</v>
      </c>
      <c r="O5" s="89">
        <v>3</v>
      </c>
      <c r="P5" s="89">
        <v>3</v>
      </c>
      <c r="Q5" s="89">
        <v>3</v>
      </c>
      <c r="R5" s="59">
        <f>SUM(CoreValuesResults[[#This Row],[Gracious Professionalism 1]:[Gracious Professionalism 3]])</f>
        <v>9</v>
      </c>
      <c r="S5" s="59">
        <f>SUM(CoreValuesResults[[#This Row],[Identify - Research (CV-IP)]:[Gracious Professionalism 3]])</f>
        <v>51</v>
      </c>
      <c r="T5" s="90">
        <f>SUM(CoreValuesResults[[#This Row],[Gracious Professionalism Total]],CoreValuesResults[[#This Row],[CV Total]])</f>
        <v>30</v>
      </c>
      <c r="U5" s="91">
        <f>IF(CoreValuesResults[[#This Row],[Team Number]]&gt;0,MIN(_xlfn.RANK.EQ(CoreValuesResults[[#This Row],[Core Values Score]],CoreValuesResults[Core Values Score],0),NumberOfTeams),NumberOfTeams+1)</f>
        <v>9</v>
      </c>
    </row>
    <row r="6" spans="1:21" ht="30" customHeight="1" x14ac:dyDescent="0.25">
      <c r="A6" s="6">
        <v>4079</v>
      </c>
      <c r="B6" s="128" t="str">
        <f>INDEX(OfficialTeamList[Team Name],MATCH(CoreValuesResults[[#This Row],[Team Number]], OfficialTeamList[Team Number],0))</f>
        <v>RG3 CV4 IP4 RD6 CR4</v>
      </c>
      <c r="C6" s="145">
        <f>VLOOKUP(CoreValuesResults[[#This Row],[Team Number]],OfficialTeamList[],4,0)</f>
        <v>1</v>
      </c>
      <c r="D6" s="92">
        <f>INDEX(InnovationProjectResults[Identify - Research (CV)],MATCH(CoreValuesResults[[#This Row],[Team Number]],InnovationProjectResults[Team Number],0))</f>
        <v>2</v>
      </c>
      <c r="E6" s="92">
        <f>INDEX(InnovationProjectResults[Design - Teamwork (CV)],MATCH(CoreValuesResults[[#This Row],[Team Number]],InnovationProjectResults[Team Number],0))</f>
        <v>3</v>
      </c>
      <c r="F6" s="92">
        <f>INDEX(InnovationProjectResults[Create - Innovation (CV)],MATCH(CoreValuesResults[[#This Row],[Team Number]],InnovationProjectResults[Team Number],0))</f>
        <v>2</v>
      </c>
      <c r="G6" s="92">
        <f>INDEX(InnovationProjectResults[Communicate - Impact (CV)],MATCH(CoreValuesResults[[#This Row],[Team Number]],InnovationProjectResults[Team Number],0))</f>
        <v>3</v>
      </c>
      <c r="H6" s="92">
        <f>INDEX(InnovationProjectResults[Communicate - Fun (CV)],MATCH(CoreValuesResults[[#This Row],[Team Number]],InnovationProjectResults[Team Number],0))</f>
        <v>3</v>
      </c>
      <c r="I6" s="92">
        <f>INDEX(RobotDesignResults[Identify - Research (CV)],MATCH(CoreValuesResults[[#This Row],[Team Number]],RobotDesignResults[Team Number],0))</f>
        <v>3</v>
      </c>
      <c r="J6" s="92">
        <f>INDEX(RobotDesignResults[Design - Ideas (CV)],MATCH(CoreValuesResults[[#This Row],[Team Number]],RobotDesignResults[Team Number],0))</f>
        <v>1</v>
      </c>
      <c r="K6" s="92">
        <f>INDEX(RobotDesignResults[Iterate - Improvements (CV)],MATCH(CoreValuesResults[[#This Row],[Team Number]],RobotDesignResults[Team Number],0))</f>
        <v>3</v>
      </c>
      <c r="L6" s="92">
        <f>INDEX(RobotDesignResults[Communicate - Impact (CV)],MATCH(CoreValuesResults[[#This Row],[Team Number]],RobotDesignResults[Team Number],0))</f>
        <v>3</v>
      </c>
      <c r="M6" s="92">
        <f>INDEX(RobotDesignResults[Communicate - Fun (CV)],MATCH(CoreValuesResults[[#This Row],[Team Number]],RobotDesignResults[Team Number],0))</f>
        <v>2</v>
      </c>
      <c r="N6" s="92">
        <f>SUM(CoreValuesResults[[#This Row],[Identify - Research (CV-IP)]:[Communicate - Fun (CV-RD)]])</f>
        <v>25</v>
      </c>
      <c r="O6" s="89">
        <v>4</v>
      </c>
      <c r="P6" s="89">
        <v>4</v>
      </c>
      <c r="Q6" s="89">
        <v>4</v>
      </c>
      <c r="R6" s="59">
        <f>SUM(CoreValuesResults[[#This Row],[Gracious Professionalism 1]:[Gracious Professionalism 3]])</f>
        <v>12</v>
      </c>
      <c r="S6" s="59">
        <f>SUM(CoreValuesResults[[#This Row],[Identify - Research (CV-IP)]:[Gracious Professionalism 3]])</f>
        <v>62</v>
      </c>
      <c r="T6" s="90">
        <f>SUM(CoreValuesResults[[#This Row],[Gracious Professionalism Total]],CoreValuesResults[[#This Row],[CV Total]])</f>
        <v>37</v>
      </c>
      <c r="U6" s="91">
        <f>IF(CoreValuesResults[[#This Row],[Team Number]]&gt;0,MIN(_xlfn.RANK.EQ(CoreValuesResults[[#This Row],[Core Values Score]],CoreValuesResults[Core Values Score],0),NumberOfTeams),NumberOfTeams+1)</f>
        <v>4</v>
      </c>
    </row>
    <row r="7" spans="1:21" ht="30" customHeight="1" x14ac:dyDescent="0.25">
      <c r="A7" s="6">
        <v>48732</v>
      </c>
      <c r="B7" s="128" t="str">
        <f>INDEX(OfficialTeamList[Team Name],MATCH(CoreValuesResults[[#This Row],[Team Number]], OfficialTeamList[Team Number],0))</f>
        <v>RG4 CV10 IP10 RD3 CR8</v>
      </c>
      <c r="C7" s="145">
        <f>VLOOKUP(CoreValuesResults[[#This Row],[Team Number]],OfficialTeamList[],4,0)</f>
        <v>2</v>
      </c>
      <c r="D7" s="92">
        <f>INDEX(InnovationProjectResults[Identify - Research (CV)],MATCH(CoreValuesResults[[#This Row],[Team Number]],InnovationProjectResults[Team Number],0))</f>
        <v>1</v>
      </c>
      <c r="E7" s="92">
        <f>INDEX(InnovationProjectResults[Design - Teamwork (CV)],MATCH(CoreValuesResults[[#This Row],[Team Number]],InnovationProjectResults[Team Number],0))</f>
        <v>2</v>
      </c>
      <c r="F7" s="92">
        <f>INDEX(InnovationProjectResults[Create - Innovation (CV)],MATCH(CoreValuesResults[[#This Row],[Team Number]],InnovationProjectResults[Team Number],0))</f>
        <v>1</v>
      </c>
      <c r="G7" s="92">
        <f>INDEX(InnovationProjectResults[Communicate - Impact (CV)],MATCH(CoreValuesResults[[#This Row],[Team Number]],InnovationProjectResults[Team Number],0))</f>
        <v>2</v>
      </c>
      <c r="H7" s="92">
        <f>INDEX(InnovationProjectResults[Communicate - Fun (CV)],MATCH(CoreValuesResults[[#This Row],[Team Number]],InnovationProjectResults[Team Number],0))</f>
        <v>2</v>
      </c>
      <c r="I7" s="92">
        <f>INDEX(RobotDesignResults[Identify - Research (CV)],MATCH(CoreValuesResults[[#This Row],[Team Number]],RobotDesignResults[Team Number],0))</f>
        <v>2</v>
      </c>
      <c r="J7" s="92">
        <f>INDEX(RobotDesignResults[Design - Ideas (CV)],MATCH(CoreValuesResults[[#This Row],[Team Number]],RobotDesignResults[Team Number],0))</f>
        <v>2</v>
      </c>
      <c r="K7" s="92">
        <f>INDEX(RobotDesignResults[Iterate - Improvements (CV)],MATCH(CoreValuesResults[[#This Row],[Team Number]],RobotDesignResults[Team Number],0))</f>
        <v>4</v>
      </c>
      <c r="L7" s="92">
        <f>INDEX(RobotDesignResults[Communicate - Impact (CV)],MATCH(CoreValuesResults[[#This Row],[Team Number]],RobotDesignResults[Team Number],0))</f>
        <v>1</v>
      </c>
      <c r="M7" s="92">
        <f>INDEX(RobotDesignResults[Communicate - Fun (CV)],MATCH(CoreValuesResults[[#This Row],[Team Number]],RobotDesignResults[Team Number],0))</f>
        <v>2</v>
      </c>
      <c r="N7" s="92">
        <f>SUM(CoreValuesResults[[#This Row],[Identify - Research (CV-IP)]:[Communicate - Fun (CV-RD)]])</f>
        <v>19</v>
      </c>
      <c r="O7" s="89">
        <v>3</v>
      </c>
      <c r="P7" s="89">
        <v>3</v>
      </c>
      <c r="Q7" s="89">
        <v>3</v>
      </c>
      <c r="R7" s="59">
        <f>SUM(CoreValuesResults[[#This Row],[Gracious Professionalism 1]:[Gracious Professionalism 3]])</f>
        <v>9</v>
      </c>
      <c r="S7" s="59">
        <f>SUM(CoreValuesResults[[#This Row],[Identify - Research (CV-IP)]:[Gracious Professionalism 3]])</f>
        <v>47</v>
      </c>
      <c r="T7" s="90">
        <f>SUM(CoreValuesResults[[#This Row],[Gracious Professionalism Total]],CoreValuesResults[[#This Row],[CV Total]])</f>
        <v>28</v>
      </c>
      <c r="U7" s="91">
        <f>IF(CoreValuesResults[[#This Row],[Team Number]]&gt;0,MIN(_xlfn.RANK.EQ(CoreValuesResults[[#This Row],[Core Values Score]],CoreValuesResults[Core Values Score],0),NumberOfTeams),NumberOfTeams+1)</f>
        <v>10</v>
      </c>
    </row>
    <row r="8" spans="1:21" ht="30" customHeight="1" x14ac:dyDescent="0.25">
      <c r="A8" s="6">
        <v>58947</v>
      </c>
      <c r="B8" s="147" t="str">
        <f>INDEX(OfficialTeamList[Team Name],MATCH(CoreValuesResults[[#This Row],[Team Number]], OfficialTeamList[Team Number],0))</f>
        <v>RG5 CV8 IP8 RD6 CR8</v>
      </c>
      <c r="C8" s="146">
        <f>VLOOKUP(CoreValuesResults[[#This Row],[Team Number]],OfficialTeamList[],4,0)</f>
        <v>3</v>
      </c>
      <c r="D8" s="144">
        <f>INDEX(InnovationProjectResults[Identify - Research (CV)],MATCH(CoreValuesResults[[#This Row],[Team Number]],InnovationProjectResults[Team Number],0))</f>
        <v>1</v>
      </c>
      <c r="E8" s="144">
        <f>INDEX(InnovationProjectResults[Design - Teamwork (CV)],MATCH(CoreValuesResults[[#This Row],[Team Number]],InnovationProjectResults[Team Number],0))</f>
        <v>4</v>
      </c>
      <c r="F8" s="144">
        <f>INDEX(InnovationProjectResults[Create - Innovation (CV)],MATCH(CoreValuesResults[[#This Row],[Team Number]],InnovationProjectResults[Team Number],0))</f>
        <v>3</v>
      </c>
      <c r="G8" s="144">
        <f>INDEX(InnovationProjectResults[Communicate - Impact (CV)],MATCH(CoreValuesResults[[#This Row],[Team Number]],InnovationProjectResults[Team Number],0))</f>
        <v>1</v>
      </c>
      <c r="H8" s="144">
        <f>INDEX(InnovationProjectResults[Communicate - Fun (CV)],MATCH(CoreValuesResults[[#This Row],[Team Number]],InnovationProjectResults[Team Number],0))</f>
        <v>4</v>
      </c>
      <c r="I8" s="144">
        <f>INDEX(RobotDesignResults[Identify - Research (CV)],MATCH(CoreValuesResults[[#This Row],[Team Number]],RobotDesignResults[Team Number],0))</f>
        <v>1</v>
      </c>
      <c r="J8" s="144">
        <f>INDEX(RobotDesignResults[Design - Ideas (CV)],MATCH(CoreValuesResults[[#This Row],[Team Number]],RobotDesignResults[Team Number],0))</f>
        <v>2</v>
      </c>
      <c r="K8" s="144">
        <f>INDEX(RobotDesignResults[Iterate - Improvements (CV)],MATCH(CoreValuesResults[[#This Row],[Team Number]],RobotDesignResults[Team Number],0))</f>
        <v>3</v>
      </c>
      <c r="L8" s="144">
        <f>INDEX(RobotDesignResults[Communicate - Impact (CV)],MATCH(CoreValuesResults[[#This Row],[Team Number]],RobotDesignResults[Team Number],0))</f>
        <v>2</v>
      </c>
      <c r="M8" s="144">
        <f>INDEX(RobotDesignResults[Communicate - Fun (CV)],MATCH(CoreValuesResults[[#This Row],[Team Number]],RobotDesignResults[Team Number],0))</f>
        <v>2</v>
      </c>
      <c r="N8" s="144">
        <f>SUM(CoreValuesResults[[#This Row],[Identify - Research (CV-IP)]:[Communicate - Fun (CV-RD)]])</f>
        <v>23</v>
      </c>
      <c r="O8" s="141">
        <v>3</v>
      </c>
      <c r="P8" s="141">
        <v>3</v>
      </c>
      <c r="Q8" s="141">
        <v>3</v>
      </c>
      <c r="R8" s="137">
        <f>SUM(CoreValuesResults[[#This Row],[Gracious Professionalism 1]:[Gracious Professionalism 3]])</f>
        <v>9</v>
      </c>
      <c r="S8" s="137">
        <f>SUM(CoreValuesResults[[#This Row],[Identify - Research (CV-IP)]:[Gracious Professionalism 3]])</f>
        <v>55</v>
      </c>
      <c r="T8" s="142">
        <f>SUM(CoreValuesResults[[#This Row],[Gracious Professionalism Total]],CoreValuesResults[[#This Row],[CV Total]])</f>
        <v>32</v>
      </c>
      <c r="U8" s="143">
        <f>IF(CoreValuesResults[[#This Row],[Team Number]]&gt;0,MIN(_xlfn.RANK.EQ(CoreValuesResults[[#This Row],[Core Values Score]],CoreValuesResults[Core Values Score],0),NumberOfTeams),NumberOfTeams+1)</f>
        <v>8</v>
      </c>
    </row>
    <row r="9" spans="1:21" ht="30" customHeight="1" x14ac:dyDescent="0.25">
      <c r="A9" s="6">
        <v>8913</v>
      </c>
      <c r="B9" s="128" t="str">
        <f>INDEX(OfficialTeamList[Team Name],MATCH(CoreValuesResults[[#This Row],[Team Number]], OfficialTeamList[Team Number],0))</f>
        <v>RG6 CV3 IP2 RD1 CR2</v>
      </c>
      <c r="C9" s="145">
        <f>VLOOKUP(CoreValuesResults[[#This Row],[Team Number]],OfficialTeamList[],4,0)</f>
        <v>1</v>
      </c>
      <c r="D9" s="92">
        <f>INDEX(InnovationProjectResults[Identify - Research (CV)],MATCH(CoreValuesResults[[#This Row],[Team Number]],InnovationProjectResults[Team Number],0))</f>
        <v>4</v>
      </c>
      <c r="E9" s="92">
        <f>INDEX(InnovationProjectResults[Design - Teamwork (CV)],MATCH(CoreValuesResults[[#This Row],[Team Number]],InnovationProjectResults[Team Number],0))</f>
        <v>3</v>
      </c>
      <c r="F9" s="92">
        <f>INDEX(InnovationProjectResults[Create - Innovation (CV)],MATCH(CoreValuesResults[[#This Row],[Team Number]],InnovationProjectResults[Team Number],0))</f>
        <v>3</v>
      </c>
      <c r="G9" s="92">
        <f>INDEX(InnovationProjectResults[Communicate - Impact (CV)],MATCH(CoreValuesResults[[#This Row],[Team Number]],InnovationProjectResults[Team Number],0))</f>
        <v>1</v>
      </c>
      <c r="H9" s="92">
        <f>INDEX(InnovationProjectResults[Communicate - Fun (CV)],MATCH(CoreValuesResults[[#This Row],[Team Number]],InnovationProjectResults[Team Number],0))</f>
        <v>4</v>
      </c>
      <c r="I9" s="92">
        <f>INDEX(RobotDesignResults[Identify - Research (CV)],MATCH(CoreValuesResults[[#This Row],[Team Number]],RobotDesignResults[Team Number],0))</f>
        <v>3</v>
      </c>
      <c r="J9" s="92">
        <f>INDEX(RobotDesignResults[Design - Ideas (CV)],MATCH(CoreValuesResults[[#This Row],[Team Number]],RobotDesignResults[Team Number],0))</f>
        <v>3</v>
      </c>
      <c r="K9" s="92">
        <f>INDEX(RobotDesignResults[Iterate - Improvements (CV)],MATCH(CoreValuesResults[[#This Row],[Team Number]],RobotDesignResults[Team Number],0))</f>
        <v>4</v>
      </c>
      <c r="L9" s="92">
        <f>INDEX(RobotDesignResults[Communicate - Impact (CV)],MATCH(CoreValuesResults[[#This Row],[Team Number]],RobotDesignResults[Team Number],0))</f>
        <v>2</v>
      </c>
      <c r="M9" s="92">
        <f>INDEX(RobotDesignResults[Communicate - Fun (CV)],MATCH(CoreValuesResults[[#This Row],[Team Number]],RobotDesignResults[Team Number],0))</f>
        <v>2</v>
      </c>
      <c r="N9" s="92">
        <f>SUM(CoreValuesResults[[#This Row],[Identify - Research (CV-IP)]:[Communicate - Fun (CV-RD)]])</f>
        <v>29</v>
      </c>
      <c r="O9" s="89">
        <v>3</v>
      </c>
      <c r="P9" s="89">
        <v>3</v>
      </c>
      <c r="Q9" s="89">
        <v>3</v>
      </c>
      <c r="R9" s="59">
        <f>SUM(CoreValuesResults[[#This Row],[Gracious Professionalism 1]:[Gracious Professionalism 3]])</f>
        <v>9</v>
      </c>
      <c r="S9" s="59">
        <f>SUM(CoreValuesResults[[#This Row],[Identify - Research (CV-IP)]:[Gracious Professionalism 3]])</f>
        <v>67</v>
      </c>
      <c r="T9" s="90">
        <f>SUM(CoreValuesResults[[#This Row],[Gracious Professionalism Total]],CoreValuesResults[[#This Row],[CV Total]])</f>
        <v>38</v>
      </c>
      <c r="U9" s="91">
        <f>IF(CoreValuesResults[[#This Row],[Team Number]]&gt;0,MIN(_xlfn.RANK.EQ(CoreValuesResults[[#This Row],[Core Values Score]],CoreValuesResults[Core Values Score],0),NumberOfTeams),NumberOfTeams+1)</f>
        <v>3</v>
      </c>
    </row>
    <row r="10" spans="1:21" ht="30" customHeight="1" x14ac:dyDescent="0.25">
      <c r="A10" s="6">
        <v>34450</v>
      </c>
      <c r="B10" s="128" t="str">
        <f>INDEX(OfficialTeamList[Team Name],MATCH(CoreValuesResults[[#This Row],[Team Number]], OfficialTeamList[Team Number],0))</f>
        <v>RG7 CV7 IP4 RD3 CR5</v>
      </c>
      <c r="C10" s="145">
        <f>VLOOKUP(CoreValuesResults[[#This Row],[Team Number]],OfficialTeamList[],4,0)</f>
        <v>2</v>
      </c>
      <c r="D10" s="92">
        <f>INDEX(InnovationProjectResults[Identify - Research (CV)],MATCH(CoreValuesResults[[#This Row],[Team Number]],InnovationProjectResults[Team Number],0))</f>
        <v>4</v>
      </c>
      <c r="E10" s="92">
        <f>INDEX(InnovationProjectResults[Design - Teamwork (CV)],MATCH(CoreValuesResults[[#This Row],[Team Number]],InnovationProjectResults[Team Number],0))</f>
        <v>4</v>
      </c>
      <c r="F10" s="92">
        <f>INDEX(InnovationProjectResults[Create - Innovation (CV)],MATCH(CoreValuesResults[[#This Row],[Team Number]],InnovationProjectResults[Team Number],0))</f>
        <v>1</v>
      </c>
      <c r="G10" s="92">
        <f>INDEX(InnovationProjectResults[Communicate - Impact (CV)],MATCH(CoreValuesResults[[#This Row],[Team Number]],InnovationProjectResults[Team Number],0))</f>
        <v>3</v>
      </c>
      <c r="H10" s="92">
        <f>INDEX(InnovationProjectResults[Communicate - Fun (CV)],MATCH(CoreValuesResults[[#This Row],[Team Number]],InnovationProjectResults[Team Number],0))</f>
        <v>4</v>
      </c>
      <c r="I10" s="92">
        <f>INDEX(RobotDesignResults[Identify - Research (CV)],MATCH(CoreValuesResults[[#This Row],[Team Number]],RobotDesignResults[Team Number],0))</f>
        <v>2</v>
      </c>
      <c r="J10" s="92">
        <f>INDEX(RobotDesignResults[Design - Ideas (CV)],MATCH(CoreValuesResults[[#This Row],[Team Number]],RobotDesignResults[Team Number],0))</f>
        <v>3</v>
      </c>
      <c r="K10" s="92">
        <f>INDEX(RobotDesignResults[Iterate - Improvements (CV)],MATCH(CoreValuesResults[[#This Row],[Team Number]],RobotDesignResults[Team Number],0))</f>
        <v>2</v>
      </c>
      <c r="L10" s="92">
        <f>INDEX(RobotDesignResults[Communicate - Impact (CV)],MATCH(CoreValuesResults[[#This Row],[Team Number]],RobotDesignResults[Team Number],0))</f>
        <v>2</v>
      </c>
      <c r="M10" s="92">
        <f>INDEX(RobotDesignResults[Communicate - Fun (CV)],MATCH(CoreValuesResults[[#This Row],[Team Number]],RobotDesignResults[Team Number],0))</f>
        <v>4</v>
      </c>
      <c r="N10" s="92">
        <f>SUM(CoreValuesResults[[#This Row],[Identify - Research (CV-IP)]:[Communicate - Fun (CV-RD)]])</f>
        <v>29</v>
      </c>
      <c r="O10" s="89">
        <v>2</v>
      </c>
      <c r="P10" s="89">
        <v>2</v>
      </c>
      <c r="Q10" s="89">
        <v>2</v>
      </c>
      <c r="R10" s="59">
        <f>SUM(CoreValuesResults[[#This Row],[Gracious Professionalism 1]:[Gracious Professionalism 3]])</f>
        <v>6</v>
      </c>
      <c r="S10" s="59">
        <f>SUM(CoreValuesResults[[#This Row],[Identify - Research (CV-IP)]:[Gracious Professionalism 3]])</f>
        <v>64</v>
      </c>
      <c r="T10" s="90">
        <f>SUM(CoreValuesResults[[#This Row],[Gracious Professionalism Total]],CoreValuesResults[[#This Row],[CV Total]])</f>
        <v>35</v>
      </c>
      <c r="U10" s="91">
        <f>IF(CoreValuesResults[[#This Row],[Team Number]]&gt;0,MIN(_xlfn.RANK.EQ(CoreValuesResults[[#This Row],[Core Values Score]],CoreValuesResults[Core Values Score],0),NumberOfTeams),NumberOfTeams+1)</f>
        <v>7</v>
      </c>
    </row>
    <row r="11" spans="1:21" ht="30" customHeight="1" x14ac:dyDescent="0.25">
      <c r="A11" s="6">
        <v>29484</v>
      </c>
      <c r="B11" s="128" t="str">
        <f>INDEX(OfficialTeamList[Team Name],MATCH(CoreValuesResults[[#This Row],[Team Number]], OfficialTeamList[Team Number],0))</f>
        <v>RG8 CV1 IP1 RD6 CR3</v>
      </c>
      <c r="C11" s="145">
        <f>VLOOKUP(CoreValuesResults[[#This Row],[Team Number]],OfficialTeamList[],4,0)</f>
        <v>2</v>
      </c>
      <c r="D11" s="92">
        <f>INDEX(InnovationProjectResults[Identify - Research (CV)],MATCH(CoreValuesResults[[#This Row],[Team Number]],InnovationProjectResults[Team Number],0))</f>
        <v>3</v>
      </c>
      <c r="E11" s="92">
        <f>INDEX(InnovationProjectResults[Design - Teamwork (CV)],MATCH(CoreValuesResults[[#This Row],[Team Number]],InnovationProjectResults[Team Number],0))</f>
        <v>3</v>
      </c>
      <c r="F11" s="92">
        <f>INDEX(InnovationProjectResults[Create - Innovation (CV)],MATCH(CoreValuesResults[[#This Row],[Team Number]],InnovationProjectResults[Team Number],0))</f>
        <v>4</v>
      </c>
      <c r="G11" s="92">
        <f>INDEX(InnovationProjectResults[Communicate - Impact (CV)],MATCH(CoreValuesResults[[#This Row],[Team Number]],InnovationProjectResults[Team Number],0))</f>
        <v>4</v>
      </c>
      <c r="H11" s="92">
        <f>INDEX(InnovationProjectResults[Communicate - Fun (CV)],MATCH(CoreValuesResults[[#This Row],[Team Number]],InnovationProjectResults[Team Number],0))</f>
        <v>3</v>
      </c>
      <c r="I11" s="92">
        <f>INDEX(RobotDesignResults[Identify - Research (CV)],MATCH(CoreValuesResults[[#This Row],[Team Number]],RobotDesignResults[Team Number],0))</f>
        <v>3</v>
      </c>
      <c r="J11" s="92">
        <f>INDEX(RobotDesignResults[Design - Ideas (CV)],MATCH(CoreValuesResults[[#This Row],[Team Number]],RobotDesignResults[Team Number],0))</f>
        <v>2</v>
      </c>
      <c r="K11" s="92">
        <f>INDEX(RobotDesignResults[Iterate - Improvements (CV)],MATCH(CoreValuesResults[[#This Row],[Team Number]],RobotDesignResults[Team Number],0))</f>
        <v>1</v>
      </c>
      <c r="L11" s="92">
        <f>INDEX(RobotDesignResults[Communicate - Impact (CV)],MATCH(CoreValuesResults[[#This Row],[Team Number]],RobotDesignResults[Team Number],0))</f>
        <v>1</v>
      </c>
      <c r="M11" s="92">
        <f>INDEX(RobotDesignResults[Communicate - Fun (CV)],MATCH(CoreValuesResults[[#This Row],[Team Number]],RobotDesignResults[Team Number],0))</f>
        <v>3</v>
      </c>
      <c r="N11" s="92">
        <f>SUM(CoreValuesResults[[#This Row],[Identify - Research (CV-IP)]:[Communicate - Fun (CV-RD)]])</f>
        <v>27</v>
      </c>
      <c r="O11" s="89">
        <v>4</v>
      </c>
      <c r="P11" s="89">
        <v>4</v>
      </c>
      <c r="Q11" s="89">
        <v>4</v>
      </c>
      <c r="R11" s="59">
        <f>SUM(CoreValuesResults[[#This Row],[Gracious Professionalism 1]:[Gracious Professionalism 3]])</f>
        <v>12</v>
      </c>
      <c r="S11" s="59">
        <f>SUM(CoreValuesResults[[#This Row],[Identify - Research (CV-IP)]:[Gracious Professionalism 3]])</f>
        <v>66</v>
      </c>
      <c r="T11" s="90">
        <f>SUM(CoreValuesResults[[#This Row],[Gracious Professionalism Total]],CoreValuesResults[[#This Row],[CV Total]])</f>
        <v>39</v>
      </c>
      <c r="U11" s="91">
        <f>IF(CoreValuesResults[[#This Row],[Team Number]]&gt;0,MIN(_xlfn.RANK.EQ(CoreValuesResults[[#This Row],[Core Values Score]],CoreValuesResults[Core Values Score],0),NumberOfTeams),NumberOfTeams+1)</f>
        <v>1</v>
      </c>
    </row>
    <row r="12" spans="1:21" ht="30" customHeight="1" x14ac:dyDescent="0.25">
      <c r="A12" s="6">
        <v>69029</v>
      </c>
      <c r="B12" s="147" t="str">
        <f>INDEX(OfficialTeamList[Team Name],MATCH(CoreValuesResults[[#This Row],[Team Number]], OfficialTeamList[Team Number],0))</f>
        <v>RG9 CV4 IP4 RD9 CR7</v>
      </c>
      <c r="C12" s="146">
        <f>VLOOKUP(CoreValuesResults[[#This Row],[Team Number]],OfficialTeamList[],4,0)</f>
        <v>3</v>
      </c>
      <c r="D12" s="144">
        <f>INDEX(InnovationProjectResults[Identify - Research (CV)],MATCH(CoreValuesResults[[#This Row],[Team Number]],InnovationProjectResults[Team Number],0))</f>
        <v>3</v>
      </c>
      <c r="E12" s="144">
        <f>INDEX(InnovationProjectResults[Design - Teamwork (CV)],MATCH(CoreValuesResults[[#This Row],[Team Number]],InnovationProjectResults[Team Number],0))</f>
        <v>3</v>
      </c>
      <c r="F12" s="144">
        <f>INDEX(InnovationProjectResults[Create - Innovation (CV)],MATCH(CoreValuesResults[[#This Row],[Team Number]],InnovationProjectResults[Team Number],0))</f>
        <v>3</v>
      </c>
      <c r="G12" s="144">
        <f>INDEX(InnovationProjectResults[Communicate - Impact (CV)],MATCH(CoreValuesResults[[#This Row],[Team Number]],InnovationProjectResults[Team Number],0))</f>
        <v>2</v>
      </c>
      <c r="H12" s="144">
        <f>INDEX(InnovationProjectResults[Communicate - Fun (CV)],MATCH(CoreValuesResults[[#This Row],[Team Number]],InnovationProjectResults[Team Number],0))</f>
        <v>3</v>
      </c>
      <c r="I12" s="144">
        <f>INDEX(RobotDesignResults[Identify - Research (CV)],MATCH(CoreValuesResults[[#This Row],[Team Number]],RobotDesignResults[Team Number],0))</f>
        <v>3</v>
      </c>
      <c r="J12" s="144">
        <f>INDEX(RobotDesignResults[Design - Ideas (CV)],MATCH(CoreValuesResults[[#This Row],[Team Number]],RobotDesignResults[Team Number],0))</f>
        <v>2</v>
      </c>
      <c r="K12" s="144">
        <f>INDEX(RobotDesignResults[Iterate - Improvements (CV)],MATCH(CoreValuesResults[[#This Row],[Team Number]],RobotDesignResults[Team Number],0))</f>
        <v>3</v>
      </c>
      <c r="L12" s="144">
        <f>INDEX(RobotDesignResults[Communicate - Impact (CV)],MATCH(CoreValuesResults[[#This Row],[Team Number]],RobotDesignResults[Team Number],0))</f>
        <v>3</v>
      </c>
      <c r="M12" s="144">
        <f>INDEX(RobotDesignResults[Communicate - Fun (CV)],MATCH(CoreValuesResults[[#This Row],[Team Number]],RobotDesignResults[Team Number],0))</f>
        <v>3</v>
      </c>
      <c r="N12" s="144">
        <f>SUM(CoreValuesResults[[#This Row],[Identify - Research (CV-IP)]:[Communicate - Fun (CV-RD)]])</f>
        <v>28</v>
      </c>
      <c r="O12" s="141">
        <v>3</v>
      </c>
      <c r="P12" s="141">
        <v>3</v>
      </c>
      <c r="Q12" s="141">
        <v>3</v>
      </c>
      <c r="R12" s="137">
        <f>SUM(CoreValuesResults[[#This Row],[Gracious Professionalism 1]:[Gracious Professionalism 3]])</f>
        <v>9</v>
      </c>
      <c r="S12" s="137">
        <f>SUM(CoreValuesResults[[#This Row],[Identify - Research (CV-IP)]:[Gracious Professionalism 3]])</f>
        <v>65</v>
      </c>
      <c r="T12" s="142">
        <f>SUM(CoreValuesResults[[#This Row],[Gracious Professionalism Total]],CoreValuesResults[[#This Row],[CV Total]])</f>
        <v>37</v>
      </c>
      <c r="U12" s="143">
        <f>IF(CoreValuesResults[[#This Row],[Team Number]]&gt;0,MIN(_xlfn.RANK.EQ(CoreValuesResults[[#This Row],[Core Values Score]],CoreValuesResults[Core Values Score],0),NumberOfTeams),NumberOfTeams+1)</f>
        <v>4</v>
      </c>
    </row>
  </sheetData>
  <sheetProtection selectLockedCells="1" sort="0" autoFilter="0"/>
  <protectedRanges>
    <protectedRange sqref="A1:U1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9" t="s">
        <v>96</v>
      </c>
      <c r="B1" s="29" t="s">
        <v>97</v>
      </c>
      <c r="C1" s="29" t="s">
        <v>98</v>
      </c>
      <c r="D1" s="29">
        <v>1</v>
      </c>
      <c r="E1" s="29">
        <v>2</v>
      </c>
      <c r="F1" s="29">
        <v>3</v>
      </c>
      <c r="G1" s="29">
        <v>4</v>
      </c>
      <c r="H1" s="29">
        <v>5</v>
      </c>
    </row>
    <row r="2" spans="1:8" x14ac:dyDescent="0.25">
      <c r="A2" s="29"/>
      <c r="B2" s="29"/>
      <c r="C2" s="29"/>
      <c r="D2" s="29"/>
      <c r="E2" s="29"/>
      <c r="F2" s="29"/>
      <c r="G2" s="29"/>
      <c r="H2" s="29"/>
    </row>
    <row r="3" spans="1:8" x14ac:dyDescent="0.25">
      <c r="A3" s="29"/>
      <c r="B3" s="29"/>
      <c r="C3" s="29"/>
      <c r="D3" s="29"/>
      <c r="E3" s="29"/>
      <c r="F3" s="29"/>
      <c r="G3" s="29"/>
      <c r="H3" s="29"/>
    </row>
    <row r="4" spans="1:8" x14ac:dyDescent="0.25">
      <c r="A4" s="29"/>
      <c r="B4" s="29"/>
      <c r="C4" s="29"/>
      <c r="D4" s="29"/>
      <c r="E4" s="29"/>
      <c r="F4" s="29"/>
      <c r="G4" s="29"/>
      <c r="H4" s="29"/>
    </row>
    <row r="5" spans="1:8" x14ac:dyDescent="0.25">
      <c r="A5" s="29"/>
      <c r="B5" s="29"/>
      <c r="C5" s="29"/>
      <c r="D5" s="29"/>
      <c r="E5" s="29"/>
      <c r="F5" s="29"/>
      <c r="G5" s="29"/>
      <c r="H5" s="29"/>
    </row>
    <row r="6" spans="1:8" x14ac:dyDescent="0.25">
      <c r="A6" s="29"/>
      <c r="B6" s="29"/>
      <c r="C6" s="29"/>
      <c r="D6" s="29"/>
      <c r="E6" s="29"/>
      <c r="F6" s="29"/>
      <c r="G6" s="29"/>
      <c r="H6" s="29"/>
    </row>
    <row r="7" spans="1:8" x14ac:dyDescent="0.25">
      <c r="A7" s="29"/>
      <c r="B7" s="29"/>
      <c r="C7" s="29"/>
      <c r="D7" s="29"/>
      <c r="E7" s="29"/>
      <c r="F7" s="29"/>
      <c r="G7" s="29"/>
      <c r="H7" s="29"/>
    </row>
    <row r="8" spans="1:8" x14ac:dyDescent="0.25">
      <c r="A8" s="29"/>
      <c r="B8" s="29"/>
      <c r="C8" s="29"/>
      <c r="D8" s="29"/>
      <c r="E8" s="29"/>
      <c r="F8" s="29"/>
      <c r="G8" s="29"/>
      <c r="H8" s="29"/>
    </row>
    <row r="9" spans="1:8" x14ac:dyDescent="0.25">
      <c r="A9" s="29"/>
      <c r="B9" s="29"/>
      <c r="C9" s="29"/>
      <c r="D9" s="29"/>
      <c r="E9" s="29"/>
      <c r="F9" s="29"/>
      <c r="G9" s="29"/>
      <c r="H9" s="29"/>
    </row>
    <row r="10" spans="1:8" x14ac:dyDescent="0.25">
      <c r="A10" s="29"/>
      <c r="B10" s="29"/>
      <c r="C10" s="29"/>
      <c r="D10" s="29"/>
      <c r="E10" s="29"/>
      <c r="F10" s="29"/>
      <c r="G10" s="29"/>
      <c r="H10" s="29"/>
    </row>
    <row r="11" spans="1:8" x14ac:dyDescent="0.25">
      <c r="A11" s="29"/>
      <c r="B11" s="29"/>
      <c r="C11" s="29"/>
      <c r="D11" s="29"/>
      <c r="E11" s="29"/>
      <c r="F11" s="29"/>
      <c r="G11" s="29"/>
      <c r="H11" s="29"/>
    </row>
    <row r="12" spans="1:8" x14ac:dyDescent="0.25">
      <c r="A12" s="29"/>
      <c r="B12" s="29"/>
      <c r="C12" s="29"/>
      <c r="D12" s="29"/>
      <c r="E12" s="29"/>
      <c r="F12" s="29"/>
      <c r="G12" s="29"/>
      <c r="H12" s="29"/>
    </row>
    <row r="13" spans="1:8" x14ac:dyDescent="0.25">
      <c r="A13" s="29"/>
      <c r="B13" s="29"/>
      <c r="C13" s="29"/>
      <c r="D13" s="29"/>
      <c r="E13" s="29"/>
      <c r="F13" s="29"/>
      <c r="G13" s="29"/>
      <c r="H13" s="29"/>
    </row>
    <row r="14" spans="1:8" x14ac:dyDescent="0.25">
      <c r="A14" s="29"/>
      <c r="B14" s="29"/>
      <c r="C14" s="29"/>
      <c r="D14" s="29"/>
      <c r="E14" s="29"/>
      <c r="F14" s="29"/>
      <c r="G14" s="29"/>
      <c r="H14" s="29"/>
    </row>
    <row r="15" spans="1:8" x14ac:dyDescent="0.25">
      <c r="A15" s="29"/>
      <c r="B15" s="29"/>
      <c r="C15" s="29"/>
      <c r="D15" s="29"/>
      <c r="E15" s="29"/>
      <c r="F15" s="29"/>
      <c r="G15" s="29"/>
      <c r="H15" s="29"/>
    </row>
    <row r="16" spans="1:8" x14ac:dyDescent="0.25">
      <c r="A16" s="29"/>
      <c r="B16" s="29"/>
      <c r="C16" s="29"/>
      <c r="D16" s="29"/>
      <c r="E16" s="29"/>
      <c r="F16" s="29"/>
      <c r="G16" s="29"/>
      <c r="H16" s="29"/>
    </row>
    <row r="17" spans="1:8" x14ac:dyDescent="0.25">
      <c r="A17" s="29"/>
      <c r="B17" s="29"/>
      <c r="C17" s="29"/>
      <c r="D17" s="29"/>
      <c r="E17" s="29"/>
      <c r="F17" s="29"/>
      <c r="G17" s="29"/>
      <c r="H17" s="29"/>
    </row>
    <row r="18" spans="1:8" x14ac:dyDescent="0.25">
      <c r="A18" s="29"/>
      <c r="B18" s="29"/>
      <c r="C18" s="29"/>
      <c r="D18" s="29"/>
      <c r="E18" s="29"/>
      <c r="F18" s="29"/>
      <c r="G18" s="29"/>
      <c r="H18" s="29"/>
    </row>
    <row r="19" spans="1:8" x14ac:dyDescent="0.25">
      <c r="A19" s="29"/>
      <c r="B19" s="29"/>
      <c r="C19" s="29"/>
      <c r="D19" s="29"/>
      <c r="E19" s="29"/>
      <c r="F19" s="29"/>
      <c r="G19" s="29"/>
      <c r="H19" s="29"/>
    </row>
    <row r="20" spans="1:8" x14ac:dyDescent="0.25">
      <c r="A20" s="29"/>
      <c r="B20" s="29"/>
      <c r="C20" s="29"/>
      <c r="D20" s="29"/>
      <c r="E20" s="29"/>
      <c r="F20" s="29"/>
      <c r="G20" s="29"/>
      <c r="H20" s="29"/>
    </row>
    <row r="21" spans="1:8" x14ac:dyDescent="0.25">
      <c r="A21" s="29"/>
      <c r="B21" s="29"/>
      <c r="C21" s="29"/>
      <c r="D21" s="29"/>
      <c r="E21" s="29"/>
      <c r="F21" s="29"/>
      <c r="G21" s="29"/>
      <c r="H21" s="29"/>
    </row>
    <row r="22" spans="1:8" x14ac:dyDescent="0.25">
      <c r="A22" s="29"/>
      <c r="B22" s="29"/>
      <c r="C22" s="29"/>
      <c r="D22" s="29"/>
      <c r="E22" s="29"/>
      <c r="F22" s="29"/>
      <c r="G22" s="29"/>
      <c r="H22" s="29"/>
    </row>
    <row r="23" spans="1:8" x14ac:dyDescent="0.25">
      <c r="A23" s="29"/>
      <c r="B23" s="29"/>
      <c r="C23" s="29"/>
      <c r="D23" s="29"/>
      <c r="E23" s="29"/>
      <c r="F23" s="29"/>
      <c r="G23" s="29"/>
      <c r="H23" s="29"/>
    </row>
    <row r="24" spans="1:8" x14ac:dyDescent="0.25">
      <c r="A24" s="29"/>
      <c r="B24" s="29"/>
      <c r="C24" s="29"/>
      <c r="D24" s="29"/>
      <c r="E24" s="29"/>
      <c r="F24" s="29"/>
      <c r="G24" s="29"/>
      <c r="H24" s="29"/>
    </row>
    <row r="25" spans="1:8" x14ac:dyDescent="0.25">
      <c r="A25" s="29"/>
      <c r="B25" s="29"/>
      <c r="C25" s="29"/>
      <c r="D25" s="29"/>
      <c r="E25" s="29"/>
      <c r="F25" s="29"/>
      <c r="G25" s="29"/>
      <c r="H25" s="29"/>
    </row>
    <row r="26" spans="1:8" x14ac:dyDescent="0.25">
      <c r="A26" s="29"/>
      <c r="B26" s="29"/>
      <c r="C26" s="29"/>
      <c r="D26" s="29"/>
      <c r="E26" s="29"/>
      <c r="F26" s="29"/>
      <c r="G26" s="29"/>
      <c r="H26" s="29"/>
    </row>
    <row r="27" spans="1:8" x14ac:dyDescent="0.25">
      <c r="A27" s="29"/>
      <c r="B27" s="29"/>
      <c r="C27" s="29"/>
      <c r="D27" s="29"/>
      <c r="E27" s="29"/>
      <c r="F27" s="29"/>
      <c r="G27" s="29"/>
      <c r="H27" s="29"/>
    </row>
    <row r="28" spans="1:8" x14ac:dyDescent="0.25">
      <c r="A28" s="29"/>
      <c r="B28" s="29"/>
      <c r="C28" s="29"/>
      <c r="D28" s="29"/>
      <c r="E28" s="29"/>
      <c r="F28" s="29"/>
      <c r="G28" s="29"/>
      <c r="H28" s="29"/>
    </row>
    <row r="29" spans="1:8" x14ac:dyDescent="0.25">
      <c r="A29" s="29"/>
      <c r="B29" s="29"/>
      <c r="C29" s="29"/>
      <c r="D29" s="29"/>
      <c r="E29" s="29"/>
      <c r="F29" s="29"/>
      <c r="G29" s="29"/>
      <c r="H29" s="29"/>
    </row>
    <row r="30" spans="1:8" x14ac:dyDescent="0.25">
      <c r="A30" s="29"/>
      <c r="B30" s="29"/>
      <c r="C30" s="29"/>
      <c r="D30" s="29"/>
      <c r="E30" s="29"/>
      <c r="F30" s="29"/>
      <c r="G30" s="29"/>
      <c r="H30" s="29"/>
    </row>
    <row r="31" spans="1:8" x14ac:dyDescent="0.25">
      <c r="A31" s="29"/>
      <c r="B31" s="29"/>
      <c r="C31" s="29"/>
      <c r="D31" s="29"/>
      <c r="E31" s="29"/>
      <c r="F31" s="29"/>
      <c r="G31" s="29"/>
      <c r="H31" s="29"/>
    </row>
    <row r="32" spans="1:8" x14ac:dyDescent="0.25">
      <c r="A32" s="29"/>
      <c r="B32" s="29"/>
      <c r="C32" s="29"/>
      <c r="D32" s="29"/>
      <c r="E32" s="29"/>
      <c r="F32" s="29"/>
      <c r="G32" s="29"/>
      <c r="H32" s="29"/>
    </row>
    <row r="33" spans="1:8" x14ac:dyDescent="0.25">
      <c r="A33" s="29"/>
      <c r="B33" s="29"/>
      <c r="C33" s="29"/>
      <c r="D33" s="29"/>
      <c r="E33" s="29"/>
      <c r="F33" s="29"/>
      <c r="G33" s="29"/>
      <c r="H33" s="29"/>
    </row>
    <row r="34" spans="1:8" x14ac:dyDescent="0.25">
      <c r="A34" s="29"/>
      <c r="B34" s="29"/>
      <c r="C34" s="29"/>
      <c r="D34" s="29"/>
      <c r="E34" s="29"/>
      <c r="F34" s="29"/>
      <c r="G34" s="29"/>
      <c r="H34" s="29"/>
    </row>
    <row r="35" spans="1:8" x14ac:dyDescent="0.25">
      <c r="A35" s="29"/>
      <c r="B35" s="29"/>
      <c r="C35" s="29"/>
      <c r="D35" s="29"/>
      <c r="E35" s="29"/>
      <c r="F35" s="29"/>
      <c r="G35" s="29"/>
      <c r="H35" s="29"/>
    </row>
    <row r="36" spans="1:8" x14ac:dyDescent="0.25">
      <c r="A36" s="29"/>
      <c r="B36" s="29"/>
      <c r="C36" s="29"/>
      <c r="D36" s="29"/>
      <c r="E36" s="29"/>
      <c r="F36" s="29"/>
      <c r="G36" s="29"/>
      <c r="H36" s="29"/>
    </row>
    <row r="37" spans="1:8" x14ac:dyDescent="0.25">
      <c r="A37" s="29"/>
      <c r="B37" s="29"/>
      <c r="C37" s="29"/>
      <c r="D37" s="29"/>
      <c r="E37" s="29"/>
      <c r="F37" s="29"/>
      <c r="G37" s="29"/>
      <c r="H37" s="29"/>
    </row>
    <row r="38" spans="1:8" x14ac:dyDescent="0.25">
      <c r="A38" s="29"/>
      <c r="B38" s="29"/>
      <c r="C38" s="29"/>
      <c r="D38" s="29"/>
      <c r="E38" s="29"/>
      <c r="F38" s="29"/>
      <c r="G38" s="29"/>
      <c r="H38" s="29"/>
    </row>
    <row r="39" spans="1:8" x14ac:dyDescent="0.25">
      <c r="A39" s="29"/>
      <c r="B39" s="29"/>
      <c r="C39" s="29"/>
      <c r="D39" s="29"/>
      <c r="E39" s="29"/>
      <c r="F39" s="29"/>
      <c r="G39" s="29"/>
      <c r="H39" s="29"/>
    </row>
    <row r="40" spans="1:8" x14ac:dyDescent="0.25">
      <c r="A40" s="29"/>
      <c r="B40" s="29"/>
      <c r="C40" s="29"/>
      <c r="D40" s="29"/>
      <c r="E40" s="29"/>
      <c r="F40" s="29"/>
      <c r="G40" s="29"/>
      <c r="H40" s="29"/>
    </row>
    <row r="41" spans="1:8" x14ac:dyDescent="0.25">
      <c r="A41" s="29"/>
      <c r="B41" s="29"/>
      <c r="C41" s="29"/>
      <c r="D41" s="29"/>
      <c r="E41" s="29"/>
      <c r="F41" s="29"/>
      <c r="G41" s="29"/>
      <c r="H41" s="29"/>
    </row>
    <row r="42" spans="1:8" x14ac:dyDescent="0.25">
      <c r="A42" s="29"/>
      <c r="B42" s="29"/>
      <c r="C42" s="29"/>
      <c r="D42" s="29"/>
      <c r="E42" s="29"/>
      <c r="F42" s="29"/>
      <c r="G42" s="29"/>
      <c r="H42" s="29"/>
    </row>
    <row r="43" spans="1:8" x14ac:dyDescent="0.25">
      <c r="A43" s="29"/>
      <c r="B43" s="29"/>
      <c r="C43" s="29"/>
      <c r="D43" s="29"/>
      <c r="E43" s="29"/>
      <c r="F43" s="29"/>
      <c r="G43" s="29"/>
      <c r="H43" s="29"/>
    </row>
    <row r="44" spans="1:8" x14ac:dyDescent="0.25">
      <c r="A44" s="29"/>
      <c r="B44" s="29"/>
      <c r="C44" s="29"/>
      <c r="D44" s="29"/>
      <c r="E44" s="29"/>
      <c r="F44" s="29"/>
      <c r="G44" s="29"/>
      <c r="H44" s="29"/>
    </row>
    <row r="45" spans="1:8" x14ac:dyDescent="0.25">
      <c r="A45" s="29"/>
      <c r="B45" s="29"/>
      <c r="C45" s="29"/>
      <c r="D45" s="29"/>
      <c r="E45" s="29"/>
      <c r="F45" s="29"/>
      <c r="G45" s="29"/>
      <c r="H45" s="29"/>
    </row>
    <row r="46" spans="1:8" x14ac:dyDescent="0.25">
      <c r="A46" s="29"/>
      <c r="B46" s="29"/>
      <c r="C46" s="29"/>
      <c r="D46" s="29"/>
      <c r="E46" s="29"/>
      <c r="F46" s="29"/>
      <c r="G46" s="29"/>
      <c r="H46" s="29"/>
    </row>
    <row r="47" spans="1:8" x14ac:dyDescent="0.25">
      <c r="A47" s="29"/>
      <c r="B47" s="29"/>
      <c r="C47" s="29"/>
      <c r="D47" s="29"/>
      <c r="E47" s="29"/>
      <c r="F47" s="29"/>
      <c r="G47" s="29"/>
      <c r="H47" s="29"/>
    </row>
    <row r="48" spans="1:8" x14ac:dyDescent="0.25">
      <c r="A48" s="29"/>
      <c r="B48" s="29"/>
      <c r="C48" s="29"/>
      <c r="D48" s="29"/>
      <c r="E48" s="29"/>
      <c r="F48" s="29"/>
      <c r="G48" s="29"/>
      <c r="H48" s="29"/>
    </row>
    <row r="49" spans="1:8" x14ac:dyDescent="0.25">
      <c r="A49" s="29"/>
      <c r="B49" s="29"/>
      <c r="C49" s="29"/>
      <c r="D49" s="29"/>
      <c r="E49" s="29"/>
      <c r="F49" s="29"/>
      <c r="G49" s="29"/>
      <c r="H49" s="29"/>
    </row>
    <row r="50" spans="1:8" x14ac:dyDescent="0.25">
      <c r="A50" s="29"/>
      <c r="B50" s="29"/>
      <c r="C50" s="29"/>
      <c r="D50" s="29"/>
      <c r="E50" s="29"/>
      <c r="F50" s="29"/>
      <c r="G50" s="29"/>
      <c r="H50" s="29"/>
    </row>
    <row r="51" spans="1:8" x14ac:dyDescent="0.25">
      <c r="A51" s="29"/>
      <c r="B51" s="29"/>
      <c r="C51" s="29"/>
      <c r="D51" s="29"/>
      <c r="E51" s="29"/>
      <c r="F51" s="29"/>
      <c r="G51" s="29"/>
      <c r="H51" s="29"/>
    </row>
    <row r="52" spans="1:8" x14ac:dyDescent="0.25">
      <c r="A52" s="29"/>
      <c r="B52" s="29"/>
      <c r="C52" s="29"/>
      <c r="D52" s="29"/>
      <c r="E52" s="29"/>
      <c r="F52" s="29"/>
      <c r="G52" s="29"/>
      <c r="H52" s="29"/>
    </row>
    <row r="53" spans="1:8" x14ac:dyDescent="0.25">
      <c r="A53" s="29"/>
      <c r="B53" s="29"/>
      <c r="C53" s="29"/>
      <c r="D53" s="29"/>
      <c r="E53" s="29"/>
      <c r="F53" s="29"/>
      <c r="G53" s="29"/>
      <c r="H53" s="29"/>
    </row>
    <row r="54" spans="1:8" x14ac:dyDescent="0.25">
      <c r="A54" s="29"/>
      <c r="B54" s="29"/>
      <c r="C54" s="29"/>
      <c r="D54" s="29"/>
      <c r="E54" s="29"/>
      <c r="F54" s="29"/>
      <c r="G54" s="29"/>
      <c r="H54" s="29"/>
    </row>
    <row r="55" spans="1:8" x14ac:dyDescent="0.25">
      <c r="A55" s="29"/>
      <c r="B55" s="29"/>
      <c r="C55" s="29"/>
      <c r="D55" s="29"/>
      <c r="E55" s="29"/>
      <c r="F55" s="29"/>
      <c r="G55" s="29"/>
      <c r="H55" s="29"/>
    </row>
    <row r="56" spans="1:8" x14ac:dyDescent="0.25">
      <c r="A56" s="29"/>
      <c r="B56" s="29"/>
      <c r="C56" s="29"/>
      <c r="D56" s="29"/>
      <c r="E56" s="29"/>
      <c r="F56" s="29"/>
      <c r="G56" s="29"/>
      <c r="H56" s="29"/>
    </row>
    <row r="57" spans="1:8" x14ac:dyDescent="0.25">
      <c r="A57" s="29"/>
      <c r="B57" s="29"/>
      <c r="C57" s="29"/>
      <c r="D57" s="29"/>
      <c r="E57" s="29"/>
      <c r="F57" s="29"/>
      <c r="G57" s="29"/>
      <c r="H57" s="29"/>
    </row>
    <row r="58" spans="1:8" x14ac:dyDescent="0.25">
      <c r="A58" s="29"/>
      <c r="B58" s="29"/>
      <c r="C58" s="29"/>
      <c r="D58" s="29"/>
      <c r="E58" s="29"/>
      <c r="F58" s="29"/>
      <c r="G58" s="29"/>
      <c r="H58" s="29"/>
    </row>
    <row r="59" spans="1:8" x14ac:dyDescent="0.25">
      <c r="A59" s="29"/>
      <c r="B59" s="29"/>
      <c r="C59" s="29"/>
      <c r="D59" s="29"/>
      <c r="E59" s="29"/>
      <c r="F59" s="29"/>
      <c r="G59" s="29"/>
      <c r="H59" s="29"/>
    </row>
    <row r="60" spans="1:8" x14ac:dyDescent="0.25">
      <c r="A60" s="29"/>
      <c r="B60" s="29"/>
      <c r="C60" s="29"/>
      <c r="D60" s="29"/>
      <c r="E60" s="29"/>
      <c r="F60" s="29"/>
      <c r="G60" s="29"/>
      <c r="H60" s="29"/>
    </row>
    <row r="61" spans="1:8" x14ac:dyDescent="0.25">
      <c r="A61" s="29"/>
      <c r="B61" s="29"/>
      <c r="C61" s="29"/>
      <c r="D61" s="29"/>
      <c r="E61" s="29"/>
      <c r="F61" s="29"/>
      <c r="G61" s="29"/>
      <c r="H61" s="29"/>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99</v>
      </c>
      <c r="G2" s="6" t="s">
        <v>100</v>
      </c>
    </row>
    <row r="3" spans="2:10" ht="39.950000000000003" customHeight="1" x14ac:dyDescent="0.25">
      <c r="B3" s="11" t="s">
        <v>21</v>
      </c>
      <c r="C3" s="11" t="s">
        <v>22</v>
      </c>
      <c r="D3" s="12" t="s">
        <v>46</v>
      </c>
      <c r="E3" s="12" t="s">
        <v>101</v>
      </c>
      <c r="G3" s="22" t="s">
        <v>21</v>
      </c>
      <c r="H3" s="22" t="s">
        <v>22</v>
      </c>
      <c r="I3" s="23" t="s">
        <v>46</v>
      </c>
      <c r="J3" s="23" t="s">
        <v>101</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f>IF(ISNA(INDEX(TournamentData[Champion''s Rank],MATCH(ChampionsDelib[[#This Row],[Team Number]],TournamentData[Team Number],0))),NumberOfTeams+1,INDEX(TournamentData[Champion''s Rank],MATCH(ChampionsDelib[[#This Row],[Team Number]],TournamentData[Team Number],0)))</f>
        <v>1</v>
      </c>
      <c r="H4" s="6" t="str">
        <f>IF(ISNA(INDEX(OfficialTeamList[Team Name],MATCH(RobotGameDelib[[#This Row],[Team Number]], OfficialTeamList[Team Number],0))),"",INDEX(OfficialTeamList[Team Name],MATCH(RobotGameDelib[[#This Row],[Team Number]], OfficialTeamList[Team Number],0)))</f>
        <v/>
      </c>
      <c r="I4" s="6">
        <f>IF(ISNA(INDEX(TournamentData[Champion''s Rank],MATCH(RobotGameDelib[[#This Row],[Team Number]],TournamentData[Team Number],0))),NumberOfTeams+1,INDEX(TournamentData[Champion''s Rank],MATCH(RobotGameDelib[[#This Row],[Team Number]],TournamentData[Team Number],0)))</f>
        <v>1</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f>IF(ISNA(INDEX(TournamentData[Champion''s Rank],MATCH(ChampionsDelib[[#This Row],[Team Number]],TournamentData[Team Number],0))),NumberOfTeams+1,INDEX(TournamentData[Champion''s Rank],MATCH(ChampionsDelib[[#This Row],[Team Number]],TournamentData[Team Number],0)))</f>
        <v>1</v>
      </c>
      <c r="H5" s="6" t="str">
        <f>IF(ISNA(INDEX(OfficialTeamList[Team Name],MATCH(RobotGameDelib[[#This Row],[Team Number]], OfficialTeamList[Team Number],0))),"",INDEX(OfficialTeamList[Team Name],MATCH(RobotGameDelib[[#This Row],[Team Number]], OfficialTeamList[Team Number],0)))</f>
        <v/>
      </c>
      <c r="I5" s="6">
        <f>IF(ISNA(INDEX(TournamentData[Champion''s Rank],MATCH(RobotGameDelib[[#This Row],[Team Number]],TournamentData[Team Number],0))),NumberOfTeams+1,INDEX(TournamentData[Champion''s Rank],MATCH(RobotGameDelib[[#This Row],[Team Number]],TournamentData[Team Number],0)))</f>
        <v>1</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f>IF(ISNA(INDEX(TournamentData[Champion''s Rank],MATCH(ChampionsDelib[[#This Row],[Team Number]],TournamentData[Team Number],0))),NumberOfTeams+1,INDEX(TournamentData[Champion''s Rank],MATCH(ChampionsDelib[[#This Row],[Team Number]],TournamentData[Team Number],0)))</f>
        <v>1</v>
      </c>
      <c r="H6" s="6" t="str">
        <f>IF(ISNA(INDEX(OfficialTeamList[Team Name],MATCH(RobotGameDelib[[#This Row],[Team Number]], OfficialTeamList[Team Number],0))),"",INDEX(OfficialTeamList[Team Name],MATCH(RobotGameDelib[[#This Row],[Team Number]], OfficialTeamList[Team Number],0)))</f>
        <v/>
      </c>
      <c r="I6" s="6">
        <f>IF(ISNA(INDEX(TournamentData[Champion''s Rank],MATCH(RobotGameDelib[[#This Row],[Team Number]],TournamentData[Team Number],0))),NumberOfTeams+1,INDEX(TournamentData[Champion''s Rank],MATCH(RobotGameDelib[[#This Row],[Team Number]],TournamentData[Team Number],0)))</f>
        <v>1</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f>IF(ISNA(INDEX(TournamentData[Champion''s Rank],MATCH(ChampionsDelib[[#This Row],[Team Number]],TournamentData[Team Number],0))),NumberOfTeams+1,INDEX(TournamentData[Champion''s Rank],MATCH(ChampionsDelib[[#This Row],[Team Number]],TournamentData[Team Number],0)))</f>
        <v>1</v>
      </c>
      <c r="H7" s="6" t="str">
        <f>IF(ISNA(INDEX(OfficialTeamList[Team Name],MATCH(RobotGameDelib[[#This Row],[Team Number]], OfficialTeamList[Team Number],0))),"",INDEX(OfficialTeamList[Team Name],MATCH(RobotGameDelib[[#This Row],[Team Number]], OfficialTeamList[Team Number],0)))</f>
        <v/>
      </c>
      <c r="I7" s="6">
        <f>IF(ISNA(INDEX(TournamentData[Champion''s Rank],MATCH(RobotGameDelib[[#This Row],[Team Number]],TournamentData[Team Number],0))),NumberOfTeams+1,INDEX(TournamentData[Champion''s Rank],MATCH(RobotGameDelib[[#This Row],[Team Number]],TournamentData[Team Number],0)))</f>
        <v>1</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f>IF(ISNA(INDEX(TournamentData[Champion''s Rank],MATCH(ChampionsDelib[[#This Row],[Team Number]],TournamentData[Team Number],0))),NumberOfTeams+1,INDEX(TournamentData[Champion''s Rank],MATCH(ChampionsDelib[[#This Row],[Team Number]],TournamentData[Team Number],0)))</f>
        <v>1</v>
      </c>
      <c r="H8" s="6" t="str">
        <f>IF(ISNA(INDEX(OfficialTeamList[Team Name],MATCH(RobotGameDelib[[#This Row],[Team Number]], OfficialTeamList[Team Number],0))),"",INDEX(OfficialTeamList[Team Name],MATCH(RobotGameDelib[[#This Row],[Team Number]], OfficialTeamList[Team Number],0)))</f>
        <v/>
      </c>
      <c r="I8" s="6">
        <f>IF(ISNA(INDEX(TournamentData[Champion''s Rank],MATCH(RobotGameDelib[[#This Row],[Team Number]],TournamentData[Team Number],0))),NumberOfTeams+1,INDEX(TournamentData[Champion''s Rank],MATCH(RobotGameDelib[[#This Row],[Team Number]],TournamentData[Team Number],0)))</f>
        <v>1</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f>IF(ISNA(INDEX(TournamentData[Champion''s Rank],MATCH(ChampionsDelib[[#This Row],[Team Number]],TournamentData[Team Number],0))),NumberOfTeams+1,INDEX(TournamentData[Champion''s Rank],MATCH(ChampionsDelib[[#This Row],[Team Number]],TournamentData[Team Number],0)))</f>
        <v>1</v>
      </c>
      <c r="H9" s="6" t="str">
        <f>IF(ISNA(INDEX(OfficialTeamList[Team Name],MATCH(RobotGameDelib[[#This Row],[Team Number]], OfficialTeamList[Team Number],0))),"",INDEX(OfficialTeamList[Team Name],MATCH(RobotGameDelib[[#This Row],[Team Number]], OfficialTeamList[Team Number],0)))</f>
        <v/>
      </c>
      <c r="I9" s="6">
        <f>IF(ISNA(INDEX(TournamentData[Champion''s Rank],MATCH(RobotGameDelib[[#This Row],[Team Number]],TournamentData[Team Number],0))),NumberOfTeams+1,INDEX(TournamentData[Champion''s Rank],MATCH(RobotGameDelib[[#This Row],[Team Number]],TournamentData[Team Number],0)))</f>
        <v>1</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f>IF(ISNA(INDEX(TournamentData[Champion''s Rank],MATCH(ChampionsDelib[[#This Row],[Team Number]],TournamentData[Team Number],0))),NumberOfTeams+1,INDEX(TournamentData[Champion''s Rank],MATCH(ChampionsDelib[[#This Row],[Team Number]],TournamentData[Team Number],0)))</f>
        <v>1</v>
      </c>
      <c r="H10" s="6" t="str">
        <f>IF(ISNA(INDEX(OfficialTeamList[Team Name],MATCH(RobotGameDelib[[#This Row],[Team Number]], OfficialTeamList[Team Number],0))),"",INDEX(OfficialTeamList[Team Name],MATCH(RobotGameDelib[[#This Row],[Team Number]], OfficialTeamList[Team Number],0)))</f>
        <v/>
      </c>
      <c r="I10" s="6">
        <f>IF(ISNA(INDEX(TournamentData[Champion''s Rank],MATCH(RobotGameDelib[[#This Row],[Team Number]],TournamentData[Team Number],0))),NumberOfTeams+1,INDEX(TournamentData[Champion''s Rank],MATCH(RobotGameDelib[[#This Row],[Team Number]],TournamentData[Team Number],0)))</f>
        <v>1</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f>IF(ISNA(INDEX(TournamentData[Champion''s Rank],MATCH(ChampionsDelib[[#This Row],[Team Number]],TournamentData[Team Number],0))),NumberOfTeams+1,INDEX(TournamentData[Champion''s Rank],MATCH(ChampionsDelib[[#This Row],[Team Number]],TournamentData[Team Number],0)))</f>
        <v>1</v>
      </c>
      <c r="H11" s="6" t="str">
        <f>IF(ISNA(INDEX(OfficialTeamList[Team Name],MATCH(RobotGameDelib[[#This Row],[Team Number]], OfficialTeamList[Team Number],0))),"",INDEX(OfficialTeamList[Team Name],MATCH(RobotGameDelib[[#This Row],[Team Number]], OfficialTeamList[Team Number],0)))</f>
        <v/>
      </c>
      <c r="I11" s="6">
        <f>IF(ISNA(INDEX(TournamentData[Champion''s Rank],MATCH(RobotGameDelib[[#This Row],[Team Number]],TournamentData[Team Number],0))),NumberOfTeams+1,INDEX(TournamentData[Champion''s Rank],MATCH(RobotGameDelib[[#This Row],[Team Number]],TournamentData[Team Number],0)))</f>
        <v>1</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f>IF(ISNA(INDEX(TournamentData[Champion''s Rank],MATCH(ChampionsDelib[[#This Row],[Team Number]],TournamentData[Team Number],0))),NumberOfTeams+1,INDEX(TournamentData[Champion''s Rank],MATCH(ChampionsDelib[[#This Row],[Team Number]],TournamentData[Team Number],0)))</f>
        <v>1</v>
      </c>
      <c r="H12" s="6" t="str">
        <f>IF(ISNA(INDEX(OfficialTeamList[Team Name],MATCH(RobotGameDelib[[#This Row],[Team Number]], OfficialTeamList[Team Number],0))),"",INDEX(OfficialTeamList[Team Name],MATCH(RobotGameDelib[[#This Row],[Team Number]], OfficialTeamList[Team Number],0)))</f>
        <v/>
      </c>
      <c r="I12" s="6">
        <f>IF(ISNA(INDEX(TournamentData[Champion''s Rank],MATCH(RobotGameDelib[[#This Row],[Team Number]],TournamentData[Team Number],0))),NumberOfTeams+1,INDEX(TournamentData[Champion''s Rank],MATCH(RobotGameDelib[[#This Row],[Team Number]],TournamentData[Team Number],0)))</f>
        <v>1</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f>IF(ISNA(INDEX(TournamentData[Champion''s Rank],MATCH(ChampionsDelib[[#This Row],[Team Number]],TournamentData[Team Number],0))),NumberOfTeams+1,INDEX(TournamentData[Champion''s Rank],MATCH(ChampionsDelib[[#This Row],[Team Number]],TournamentData[Team Number],0)))</f>
        <v>1</v>
      </c>
      <c r="H13" s="6" t="str">
        <f>IF(ISNA(INDEX(OfficialTeamList[Team Name],MATCH(RobotGameDelib[[#This Row],[Team Number]], OfficialTeamList[Team Number],0))),"",INDEX(OfficialTeamList[Team Name],MATCH(RobotGameDelib[[#This Row],[Team Number]], OfficialTeamList[Team Number],0)))</f>
        <v/>
      </c>
      <c r="I13" s="6">
        <f>IF(ISNA(INDEX(TournamentData[Champion''s Rank],MATCH(RobotGameDelib[[#This Row],[Team Number]],TournamentData[Team Number],0))),NumberOfTeams+1,INDEX(TournamentData[Champion''s Rank],MATCH(RobotGameDelib[[#This Row],[Team Number]],TournamentData[Team Number],0)))</f>
        <v>1</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f>IF(ISNA(INDEX(TournamentData[Champion''s Rank],MATCH(ChampionsDelib[[#This Row],[Team Number]],TournamentData[Team Number],0))),NumberOfTeams+1,INDEX(TournamentData[Champion''s Rank],MATCH(ChampionsDelib[[#This Row],[Team Number]],TournamentData[Team Number],0)))</f>
        <v>1</v>
      </c>
      <c r="H14" s="6" t="str">
        <f>IF(ISNA(INDEX(OfficialTeamList[Team Name],MATCH(RobotGameDelib[[#This Row],[Team Number]], OfficialTeamList[Team Number],0))),"",INDEX(OfficialTeamList[Team Name],MATCH(RobotGameDelib[[#This Row],[Team Number]], OfficialTeamList[Team Number],0)))</f>
        <v/>
      </c>
      <c r="I14" s="6">
        <f>IF(ISNA(INDEX(TournamentData[Champion''s Rank],MATCH(RobotGameDelib[[#This Row],[Team Number]],TournamentData[Team Number],0))),NumberOfTeams+1,INDEX(TournamentData[Champion''s Rank],MATCH(RobotGameDelib[[#This Row],[Team Number]],TournamentData[Team Number],0)))</f>
        <v>1</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f>IF(ISNA(INDEX(TournamentData[Champion''s Rank],MATCH(ChampionsDelib[[#This Row],[Team Number]],TournamentData[Team Number],0))),NumberOfTeams+1,INDEX(TournamentData[Champion''s Rank],MATCH(ChampionsDelib[[#This Row],[Team Number]],TournamentData[Team Number],0)))</f>
        <v>1</v>
      </c>
      <c r="H15" s="6" t="str">
        <f>IF(ISNA(INDEX(OfficialTeamList[Team Name],MATCH(RobotGameDelib[[#This Row],[Team Number]], OfficialTeamList[Team Number],0))),"",INDEX(OfficialTeamList[Team Name],MATCH(RobotGameDelib[[#This Row],[Team Number]], OfficialTeamList[Team Number],0)))</f>
        <v/>
      </c>
      <c r="I15" s="6">
        <f>IF(ISNA(INDEX(TournamentData[Champion''s Rank],MATCH(RobotGameDelib[[#This Row],[Team Number]],TournamentData[Team Number],0))),NumberOfTeams+1,INDEX(TournamentData[Champion''s Rank],MATCH(RobotGameDelib[[#This Row],[Team Number]],TournamentData[Team Number],0)))</f>
        <v>1</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f>IF(ISNA(INDEX(TournamentData[Champion''s Rank],MATCH(ChampionsDelib[[#This Row],[Team Number]],TournamentData[Team Number],0))),NumberOfTeams+1,INDEX(TournamentData[Champion''s Rank],MATCH(ChampionsDelib[[#This Row],[Team Number]],TournamentData[Team Number],0)))</f>
        <v>1</v>
      </c>
      <c r="H16" s="6" t="str">
        <f>IF(ISNA(INDEX(OfficialTeamList[Team Name],MATCH(RobotGameDelib[[#This Row],[Team Number]], OfficialTeamList[Team Number],0))),"",INDEX(OfficialTeamList[Team Name],MATCH(RobotGameDelib[[#This Row],[Team Number]], OfficialTeamList[Team Number],0)))</f>
        <v/>
      </c>
      <c r="I16" s="6">
        <f>IF(ISNA(INDEX(TournamentData[Champion''s Rank],MATCH(RobotGameDelib[[#This Row],[Team Number]],TournamentData[Team Number],0))),NumberOfTeams+1,INDEX(TournamentData[Champion''s Rank],MATCH(RobotGameDelib[[#This Row],[Team Number]],TournamentData[Team Number],0)))</f>
        <v>1</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f>IF(ISNA(INDEX(TournamentData[Champion''s Rank],MATCH(ChampionsDelib[[#This Row],[Team Number]],TournamentData[Team Number],0))),NumberOfTeams+1,INDEX(TournamentData[Champion''s Rank],MATCH(ChampionsDelib[[#This Row],[Team Number]],TournamentData[Team Number],0)))</f>
        <v>1</v>
      </c>
      <c r="H17" s="6" t="str">
        <f>IF(ISNA(INDEX(OfficialTeamList[Team Name],MATCH(RobotGameDelib[[#This Row],[Team Number]], OfficialTeamList[Team Number],0))),"",INDEX(OfficialTeamList[Team Name],MATCH(RobotGameDelib[[#This Row],[Team Number]], OfficialTeamList[Team Number],0)))</f>
        <v/>
      </c>
      <c r="I17" s="6">
        <f>IF(ISNA(INDEX(TournamentData[Champion''s Rank],MATCH(RobotGameDelib[[#This Row],[Team Number]],TournamentData[Team Number],0))),NumberOfTeams+1,INDEX(TournamentData[Champion''s Rank],MATCH(RobotGameDelib[[#This Row],[Team Number]],TournamentData[Team Number],0)))</f>
        <v>1</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f>IF(ISNA(INDEX(TournamentData[Champion''s Rank],MATCH(ChampionsDelib[[#This Row],[Team Number]],TournamentData[Team Number],0))),NumberOfTeams+1,INDEX(TournamentData[Champion''s Rank],MATCH(ChampionsDelib[[#This Row],[Team Number]],TournamentData[Team Number],0)))</f>
        <v>1</v>
      </c>
      <c r="H18" s="6" t="str">
        <f>IF(ISNA(INDEX(OfficialTeamList[Team Name],MATCH(RobotGameDelib[[#This Row],[Team Number]], OfficialTeamList[Team Number],0))),"",INDEX(OfficialTeamList[Team Name],MATCH(RobotGameDelib[[#This Row],[Team Number]], OfficialTeamList[Team Number],0)))</f>
        <v/>
      </c>
      <c r="I18" s="6">
        <f>IF(ISNA(INDEX(TournamentData[Champion''s Rank],MATCH(RobotGameDelib[[#This Row],[Team Number]],TournamentData[Team Number],0))),NumberOfTeams+1,INDEX(TournamentData[Champion''s Rank],MATCH(RobotGameDelib[[#This Row],[Team Number]],TournamentData[Team Number],0)))</f>
        <v>1</v>
      </c>
    </row>
    <row r="20" spans="2:15" ht="20.25" customHeight="1" x14ac:dyDescent="0.25">
      <c r="B20" s="6" t="s">
        <v>102</v>
      </c>
      <c r="G20" s="6" t="s">
        <v>103</v>
      </c>
      <c r="L20" s="6" t="s">
        <v>104</v>
      </c>
    </row>
    <row r="21" spans="2:15" ht="39.950000000000003" customHeight="1" x14ac:dyDescent="0.25">
      <c r="B21" s="15" t="s">
        <v>21</v>
      </c>
      <c r="C21" s="15" t="s">
        <v>22</v>
      </c>
      <c r="D21" s="16" t="s">
        <v>42</v>
      </c>
      <c r="E21" s="16" t="s">
        <v>101</v>
      </c>
      <c r="G21" s="19" t="s">
        <v>21</v>
      </c>
      <c r="H21" s="19" t="s">
        <v>22</v>
      </c>
      <c r="I21" s="20" t="s">
        <v>44</v>
      </c>
      <c r="J21" s="20" t="s">
        <v>101</v>
      </c>
      <c r="L21" s="17" t="s">
        <v>21</v>
      </c>
      <c r="M21" s="17" t="s">
        <v>22</v>
      </c>
      <c r="N21" s="18" t="s">
        <v>43</v>
      </c>
      <c r="O21" s="18" t="s">
        <v>101</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f>IF(ISNA(INDEX(CoreValuesResults[Core Values Rank],MATCH(CoreValuesDelib[[#This Row],[Team Number]],CoreValuesResults[Team Number],0))),NumberOfTeams+1,INDEX(CoreValuesResults[Core Values Rank],MATCH(CoreValuesDelib[[#This Row],[Team Number]],CoreValuesResults[Team Number],0)))</f>
        <v>1</v>
      </c>
      <c r="H22" s="6" t="str">
        <f>IF(ISNA(INDEX(OfficialTeamList[Team Name],MATCH(RobotDesignDelib[[#This Row],[Team Number]], OfficialTeamList[Team Number],0))),"",INDEX(OfficialTeamList[Team Name],MATCH(RobotDesignDelib[[#This Row],[Team Number]], OfficialTeamList[Team Number],0)))</f>
        <v/>
      </c>
      <c r="I22" s="6">
        <f>IF(ISNA(INDEX(RobotDesignResults[Robot Design Rank],MATCH(RobotDesignDelib[[#This Row],[Team Number]],RobotDesignResults[Team Number],0))),NumberOfTeams+1,INDEX(RobotDesignResults[Robot Design Rank],MATCH(RobotDesignDelib[[#This Row],[Team Number]],RobotDesignResults[Team Number],0)))</f>
        <v>1</v>
      </c>
      <c r="M22" s="6" t="str">
        <f>IF(ISNA(INDEX(OfficialTeamList[Team Name],MATCH(InnovationProjectDelib[[#This Row],[Team Number]], OfficialTeamList[Team Number],0))),"",INDEX(OfficialTeamList[Team Name],MATCH(InnovationProjectDelib[[#This Row],[Team Number]], OfficialTeamList[Team Number],0)))</f>
        <v/>
      </c>
      <c r="N2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f>IF(ISNA(INDEX(CoreValuesResults[Core Values Rank],MATCH(CoreValuesDelib[[#This Row],[Team Number]],CoreValuesResults[Team Number],0))),NumberOfTeams+1,INDEX(CoreValuesResults[Core Values Rank],MATCH(CoreValuesDelib[[#This Row],[Team Number]],CoreValuesResults[Team Number],0)))</f>
        <v>1</v>
      </c>
      <c r="H23" s="6" t="str">
        <f>IF(ISNA(INDEX(OfficialTeamList[Team Name],MATCH(RobotDesignDelib[[#This Row],[Team Number]], OfficialTeamList[Team Number],0))),"",INDEX(OfficialTeamList[Team Name],MATCH(RobotDesignDelib[[#This Row],[Team Number]], OfficialTeamList[Team Number],0)))</f>
        <v/>
      </c>
      <c r="I23" s="6">
        <f>IF(ISNA(INDEX(RobotDesignResults[Robot Design Rank],MATCH(RobotDesignDelib[[#This Row],[Team Number]],RobotDesignResults[Team Number],0))),NumberOfTeams+1,INDEX(RobotDesignResults[Robot Design Rank],MATCH(RobotDesignDelib[[#This Row],[Team Number]],RobotDesignResults[Team Number],0)))</f>
        <v>1</v>
      </c>
      <c r="M23" s="6" t="str">
        <f>IF(ISNA(INDEX(OfficialTeamList[Team Name],MATCH(InnovationProjectDelib[[#This Row],[Team Number]], OfficialTeamList[Team Number],0))),"",INDEX(OfficialTeamList[Team Name],MATCH(InnovationProjectDelib[[#This Row],[Team Number]], OfficialTeamList[Team Number],0)))</f>
        <v/>
      </c>
      <c r="N2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f>IF(ISNA(INDEX(CoreValuesResults[Core Values Rank],MATCH(CoreValuesDelib[[#This Row],[Team Number]],CoreValuesResults[Team Number],0))),NumberOfTeams+1,INDEX(CoreValuesResults[Core Values Rank],MATCH(CoreValuesDelib[[#This Row],[Team Number]],CoreValuesResults[Team Number],0)))</f>
        <v>1</v>
      </c>
      <c r="H24" s="6" t="str">
        <f>IF(ISNA(INDEX(OfficialTeamList[Team Name],MATCH(RobotDesignDelib[[#This Row],[Team Number]], OfficialTeamList[Team Number],0))),"",INDEX(OfficialTeamList[Team Name],MATCH(RobotDesignDelib[[#This Row],[Team Number]], OfficialTeamList[Team Number],0)))</f>
        <v/>
      </c>
      <c r="I24" s="6">
        <f>IF(ISNA(INDEX(RobotDesignResults[Robot Design Rank],MATCH(RobotDesignDelib[[#This Row],[Team Number]],RobotDesignResults[Team Number],0))),NumberOfTeams+1,INDEX(RobotDesignResults[Robot Design Rank],MATCH(RobotDesignDelib[[#This Row],[Team Number]],RobotDesignResults[Team Number],0)))</f>
        <v>1</v>
      </c>
      <c r="M24" s="6" t="str">
        <f>IF(ISNA(INDEX(OfficialTeamList[Team Name],MATCH(InnovationProjectDelib[[#This Row],[Team Number]], OfficialTeamList[Team Number],0))),"",INDEX(OfficialTeamList[Team Name],MATCH(InnovationProjectDelib[[#This Row],[Team Number]], OfficialTeamList[Team Number],0)))</f>
        <v/>
      </c>
      <c r="N2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f>IF(ISNA(INDEX(CoreValuesResults[Core Values Rank],MATCH(CoreValuesDelib[[#This Row],[Team Number]],CoreValuesResults[Team Number],0))),NumberOfTeams+1,INDEX(CoreValuesResults[Core Values Rank],MATCH(CoreValuesDelib[[#This Row],[Team Number]],CoreValuesResults[Team Number],0)))</f>
        <v>1</v>
      </c>
      <c r="H25" s="6" t="str">
        <f>IF(ISNA(INDEX(OfficialTeamList[Team Name],MATCH(RobotDesignDelib[[#This Row],[Team Number]], OfficialTeamList[Team Number],0))),"",INDEX(OfficialTeamList[Team Name],MATCH(RobotDesignDelib[[#This Row],[Team Number]], OfficialTeamList[Team Number],0)))</f>
        <v/>
      </c>
      <c r="I25" s="6">
        <f>IF(ISNA(INDEX(RobotDesignResults[Robot Design Rank],MATCH(RobotDesignDelib[[#This Row],[Team Number]],RobotDesignResults[Team Number],0))),NumberOfTeams+1,INDEX(RobotDesignResults[Robot Design Rank],MATCH(RobotDesignDelib[[#This Row],[Team Number]],RobotDesignResults[Team Number],0)))</f>
        <v>1</v>
      </c>
      <c r="M25" s="6" t="str">
        <f>IF(ISNA(INDEX(OfficialTeamList[Team Name],MATCH(InnovationProjectDelib[[#This Row],[Team Number]], OfficialTeamList[Team Number],0))),"",INDEX(OfficialTeamList[Team Name],MATCH(InnovationProjectDelib[[#This Row],[Team Number]], OfficialTeamList[Team Number],0)))</f>
        <v/>
      </c>
      <c r="N2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f>IF(ISNA(INDEX(CoreValuesResults[Core Values Rank],MATCH(CoreValuesDelib[[#This Row],[Team Number]],CoreValuesResults[Team Number],0))),NumberOfTeams+1,INDEX(CoreValuesResults[Core Values Rank],MATCH(CoreValuesDelib[[#This Row],[Team Number]],CoreValuesResults[Team Number],0)))</f>
        <v>1</v>
      </c>
      <c r="H26" s="6" t="str">
        <f>IF(ISNA(INDEX(OfficialTeamList[Team Name],MATCH(RobotDesignDelib[[#This Row],[Team Number]], OfficialTeamList[Team Number],0))),"",INDEX(OfficialTeamList[Team Name],MATCH(RobotDesignDelib[[#This Row],[Team Number]], OfficialTeamList[Team Number],0)))</f>
        <v/>
      </c>
      <c r="I26" s="6">
        <f>IF(ISNA(INDEX(RobotDesignResults[Robot Design Rank],MATCH(RobotDesignDelib[[#This Row],[Team Number]],RobotDesignResults[Team Number],0))),NumberOfTeams+1,INDEX(RobotDesignResults[Robot Design Rank],MATCH(RobotDesignDelib[[#This Row],[Team Number]],RobotDesignResults[Team Number],0)))</f>
        <v>1</v>
      </c>
      <c r="M26" s="6" t="str">
        <f>IF(ISNA(INDEX(OfficialTeamList[Team Name],MATCH(InnovationProjectDelib[[#This Row],[Team Number]], OfficialTeamList[Team Number],0))),"",INDEX(OfficialTeamList[Team Name],MATCH(InnovationProjectDelib[[#This Row],[Team Number]], OfficialTeamList[Team Number],0)))</f>
        <v/>
      </c>
      <c r="N2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f>IF(ISNA(INDEX(CoreValuesResults[Core Values Rank],MATCH(CoreValuesDelib[[#This Row],[Team Number]],CoreValuesResults[Team Number],0))),NumberOfTeams+1,INDEX(CoreValuesResults[Core Values Rank],MATCH(CoreValuesDelib[[#This Row],[Team Number]],CoreValuesResults[Team Number],0)))</f>
        <v>1</v>
      </c>
      <c r="H27" s="6" t="str">
        <f>IF(ISNA(INDEX(OfficialTeamList[Team Name],MATCH(RobotDesignDelib[[#This Row],[Team Number]], OfficialTeamList[Team Number],0))),"",INDEX(OfficialTeamList[Team Name],MATCH(RobotDesignDelib[[#This Row],[Team Number]], OfficialTeamList[Team Number],0)))</f>
        <v/>
      </c>
      <c r="I27" s="6">
        <f>IF(ISNA(INDEX(RobotDesignResults[Robot Design Rank],MATCH(RobotDesignDelib[[#This Row],[Team Number]],RobotDesignResults[Team Number],0))),NumberOfTeams+1,INDEX(RobotDesignResults[Robot Design Rank],MATCH(RobotDesignDelib[[#This Row],[Team Number]],RobotDesignResults[Team Number],0)))</f>
        <v>1</v>
      </c>
      <c r="M27" s="6" t="str">
        <f>IF(ISNA(INDEX(OfficialTeamList[Team Name],MATCH(InnovationProjectDelib[[#This Row],[Team Number]], OfficialTeamList[Team Number],0))),"",INDEX(OfficialTeamList[Team Name],MATCH(InnovationProjectDelib[[#This Row],[Team Number]], OfficialTeamList[Team Number],0)))</f>
        <v/>
      </c>
      <c r="N27"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f>IF(ISNA(INDEX(CoreValuesResults[Core Values Rank],MATCH(CoreValuesDelib[[#This Row],[Team Number]],CoreValuesResults[Team Number],0))),NumberOfTeams+1,INDEX(CoreValuesResults[Core Values Rank],MATCH(CoreValuesDelib[[#This Row],[Team Number]],CoreValuesResults[Team Number],0)))</f>
        <v>1</v>
      </c>
      <c r="H28" s="6" t="str">
        <f>IF(ISNA(INDEX(OfficialTeamList[Team Name],MATCH(RobotDesignDelib[[#This Row],[Team Number]], OfficialTeamList[Team Number],0))),"",INDEX(OfficialTeamList[Team Name],MATCH(RobotDesignDelib[[#This Row],[Team Number]], OfficialTeamList[Team Number],0)))</f>
        <v/>
      </c>
      <c r="I28" s="6">
        <f>IF(ISNA(INDEX(RobotDesignResults[Robot Design Rank],MATCH(RobotDesignDelib[[#This Row],[Team Number]],RobotDesignResults[Team Number],0))),NumberOfTeams+1,INDEX(RobotDesignResults[Robot Design Rank],MATCH(RobotDesignDelib[[#This Row],[Team Number]],RobotDesignResults[Team Number],0)))</f>
        <v>1</v>
      </c>
      <c r="M28" s="6" t="str">
        <f>IF(ISNA(INDEX(OfficialTeamList[Team Name],MATCH(InnovationProjectDelib[[#This Row],[Team Number]], OfficialTeamList[Team Number],0))),"",INDEX(OfficialTeamList[Team Name],MATCH(InnovationProjectDelib[[#This Row],[Team Number]], OfficialTeamList[Team Number],0)))</f>
        <v/>
      </c>
      <c r="N28"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f>IF(ISNA(INDEX(CoreValuesResults[Core Values Rank],MATCH(CoreValuesDelib[[#This Row],[Team Number]],CoreValuesResults[Team Number],0))),NumberOfTeams+1,INDEX(CoreValuesResults[Core Values Rank],MATCH(CoreValuesDelib[[#This Row],[Team Number]],CoreValuesResults[Team Number],0)))</f>
        <v>1</v>
      </c>
      <c r="H29" s="6" t="str">
        <f>IF(ISNA(INDEX(OfficialTeamList[Team Name],MATCH(RobotDesignDelib[[#This Row],[Team Number]], OfficialTeamList[Team Number],0))),"",INDEX(OfficialTeamList[Team Name],MATCH(RobotDesignDelib[[#This Row],[Team Number]], OfficialTeamList[Team Number],0)))</f>
        <v/>
      </c>
      <c r="I29" s="6">
        <f>IF(ISNA(INDEX(RobotDesignResults[Robot Design Rank],MATCH(RobotDesignDelib[[#This Row],[Team Number]],RobotDesignResults[Team Number],0))),NumberOfTeams+1,INDEX(RobotDesignResults[Robot Design Rank],MATCH(RobotDesignDelib[[#This Row],[Team Number]],RobotDesignResults[Team Number],0)))</f>
        <v>1</v>
      </c>
      <c r="M29" s="6" t="str">
        <f>IF(ISNA(INDEX(OfficialTeamList[Team Name],MATCH(InnovationProjectDelib[[#This Row],[Team Number]], OfficialTeamList[Team Number],0))),"",INDEX(OfficialTeamList[Team Name],MATCH(InnovationProjectDelib[[#This Row],[Team Number]], OfficialTeamList[Team Number],0)))</f>
        <v/>
      </c>
      <c r="N29"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f>IF(ISNA(INDEX(CoreValuesResults[Core Values Rank],MATCH(CoreValuesDelib[[#This Row],[Team Number]],CoreValuesResults[Team Number],0))),NumberOfTeams+1,INDEX(CoreValuesResults[Core Values Rank],MATCH(CoreValuesDelib[[#This Row],[Team Number]],CoreValuesResults[Team Number],0)))</f>
        <v>1</v>
      </c>
      <c r="H30" s="6" t="str">
        <f>IF(ISNA(INDEX(OfficialTeamList[Team Name],MATCH(RobotDesignDelib[[#This Row],[Team Number]], OfficialTeamList[Team Number],0))),"",INDEX(OfficialTeamList[Team Name],MATCH(RobotDesignDelib[[#This Row],[Team Number]], OfficialTeamList[Team Number],0)))</f>
        <v/>
      </c>
      <c r="I30" s="6">
        <f>IF(ISNA(INDEX(RobotDesignResults[Robot Design Rank],MATCH(RobotDesignDelib[[#This Row],[Team Number]],RobotDesignResults[Team Number],0))),NumberOfTeams+1,INDEX(RobotDesignResults[Robot Design Rank],MATCH(RobotDesignDelib[[#This Row],[Team Number]],RobotDesignResults[Team Number],0)))</f>
        <v>1</v>
      </c>
      <c r="M30" s="6" t="str">
        <f>IF(ISNA(INDEX(OfficialTeamList[Team Name],MATCH(InnovationProjectDelib[[#This Row],[Team Number]], OfficialTeamList[Team Number],0))),"",INDEX(OfficialTeamList[Team Name],MATCH(InnovationProjectDelib[[#This Row],[Team Number]], OfficialTeamList[Team Number],0)))</f>
        <v/>
      </c>
      <c r="N30"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f>IF(ISNA(INDEX(CoreValuesResults[Core Values Rank],MATCH(CoreValuesDelib[[#This Row],[Team Number]],CoreValuesResults[Team Number],0))),NumberOfTeams+1,INDEX(CoreValuesResults[Core Values Rank],MATCH(CoreValuesDelib[[#This Row],[Team Number]],CoreValuesResults[Team Number],0)))</f>
        <v>1</v>
      </c>
      <c r="H31" s="6" t="str">
        <f>IF(ISNA(INDEX(OfficialTeamList[Team Name],MATCH(RobotDesignDelib[[#This Row],[Team Number]], OfficialTeamList[Team Number],0))),"",INDEX(OfficialTeamList[Team Name],MATCH(RobotDesignDelib[[#This Row],[Team Number]], OfficialTeamList[Team Number],0)))</f>
        <v/>
      </c>
      <c r="I31" s="6">
        <f>IF(ISNA(INDEX(RobotDesignResults[Robot Design Rank],MATCH(RobotDesignDelib[[#This Row],[Team Number]],RobotDesignResults[Team Number],0))),NumberOfTeams+1,INDEX(RobotDesignResults[Robot Design Rank],MATCH(RobotDesignDelib[[#This Row],[Team Number]],RobotDesignResults[Team Number],0)))</f>
        <v>1</v>
      </c>
      <c r="M31" s="6" t="str">
        <f>IF(ISNA(INDEX(OfficialTeamList[Team Name],MATCH(InnovationProjectDelib[[#This Row],[Team Number]], OfficialTeamList[Team Number],0))),"",INDEX(OfficialTeamList[Team Name],MATCH(InnovationProjectDelib[[#This Row],[Team Number]], OfficialTeamList[Team Number],0)))</f>
        <v/>
      </c>
      <c r="N31"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f>IF(ISNA(INDEX(CoreValuesResults[Core Values Rank],MATCH(CoreValuesDelib[[#This Row],[Team Number]],CoreValuesResults[Team Number],0))),NumberOfTeams+1,INDEX(CoreValuesResults[Core Values Rank],MATCH(CoreValuesDelib[[#This Row],[Team Number]],CoreValuesResults[Team Number],0)))</f>
        <v>1</v>
      </c>
      <c r="H32" s="6" t="str">
        <f>IF(ISNA(INDEX(OfficialTeamList[Team Name],MATCH(RobotDesignDelib[[#This Row],[Team Number]], OfficialTeamList[Team Number],0))),"",INDEX(OfficialTeamList[Team Name],MATCH(RobotDesignDelib[[#This Row],[Team Number]], OfficialTeamList[Team Number],0)))</f>
        <v/>
      </c>
      <c r="I32" s="6">
        <f>IF(ISNA(INDEX(RobotDesignResults[Robot Design Rank],MATCH(RobotDesignDelib[[#This Row],[Team Number]],RobotDesignResults[Team Number],0))),NumberOfTeams+1,INDEX(RobotDesignResults[Robot Design Rank],MATCH(RobotDesignDelib[[#This Row],[Team Number]],RobotDesignResults[Team Number],0)))</f>
        <v>1</v>
      </c>
      <c r="M32" s="6" t="str">
        <f>IF(ISNA(INDEX(OfficialTeamList[Team Name],MATCH(InnovationProjectDelib[[#This Row],[Team Number]], OfficialTeamList[Team Number],0))),"",INDEX(OfficialTeamList[Team Name],MATCH(InnovationProjectDelib[[#This Row],[Team Number]], OfficialTeamList[Team Number],0)))</f>
        <v/>
      </c>
      <c r="N32"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f>IF(ISNA(INDEX(CoreValuesResults[Core Values Rank],MATCH(CoreValuesDelib[[#This Row],[Team Number]],CoreValuesResults[Team Number],0))),NumberOfTeams+1,INDEX(CoreValuesResults[Core Values Rank],MATCH(CoreValuesDelib[[#This Row],[Team Number]],CoreValuesResults[Team Number],0)))</f>
        <v>1</v>
      </c>
      <c r="H33" s="6" t="str">
        <f>IF(ISNA(INDEX(OfficialTeamList[Team Name],MATCH(RobotDesignDelib[[#This Row],[Team Number]], OfficialTeamList[Team Number],0))),"",INDEX(OfficialTeamList[Team Name],MATCH(RobotDesignDelib[[#This Row],[Team Number]], OfficialTeamList[Team Number],0)))</f>
        <v/>
      </c>
      <c r="I33" s="6">
        <f>IF(ISNA(INDEX(RobotDesignResults[Robot Design Rank],MATCH(RobotDesignDelib[[#This Row],[Team Number]],RobotDesignResults[Team Number],0))),NumberOfTeams+1,INDEX(RobotDesignResults[Robot Design Rank],MATCH(RobotDesignDelib[[#This Row],[Team Number]],RobotDesignResults[Team Number],0)))</f>
        <v>1</v>
      </c>
      <c r="M33" s="6" t="str">
        <f>IF(ISNA(INDEX(OfficialTeamList[Team Name],MATCH(InnovationProjectDelib[[#This Row],[Team Number]], OfficialTeamList[Team Number],0))),"",INDEX(OfficialTeamList[Team Name],MATCH(InnovationProjectDelib[[#This Row],[Team Number]], OfficialTeamList[Team Number],0)))</f>
        <v/>
      </c>
      <c r="N33"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f>IF(ISNA(INDEX(CoreValuesResults[Core Values Rank],MATCH(CoreValuesDelib[[#This Row],[Team Number]],CoreValuesResults[Team Number],0))),NumberOfTeams+1,INDEX(CoreValuesResults[Core Values Rank],MATCH(CoreValuesDelib[[#This Row],[Team Number]],CoreValuesResults[Team Number],0)))</f>
        <v>1</v>
      </c>
      <c r="H34" s="6" t="str">
        <f>IF(ISNA(INDEX(OfficialTeamList[Team Name],MATCH(RobotDesignDelib[[#This Row],[Team Number]], OfficialTeamList[Team Number],0))),"",INDEX(OfficialTeamList[Team Name],MATCH(RobotDesignDelib[[#This Row],[Team Number]], OfficialTeamList[Team Number],0)))</f>
        <v/>
      </c>
      <c r="I34" s="6">
        <f>IF(ISNA(INDEX(RobotDesignResults[Robot Design Rank],MATCH(RobotDesignDelib[[#This Row],[Team Number]],RobotDesignResults[Team Number],0))),NumberOfTeams+1,INDEX(RobotDesignResults[Robot Design Rank],MATCH(RobotDesignDelib[[#This Row],[Team Number]],RobotDesignResults[Team Number],0)))</f>
        <v>1</v>
      </c>
      <c r="M34" s="6" t="str">
        <f>IF(ISNA(INDEX(OfficialTeamList[Team Name],MATCH(InnovationProjectDelib[[#This Row],[Team Number]], OfficialTeamList[Team Number],0))),"",INDEX(OfficialTeamList[Team Name],MATCH(InnovationProjectDelib[[#This Row],[Team Number]], OfficialTeamList[Team Number],0)))</f>
        <v/>
      </c>
      <c r="N34"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f>IF(ISNA(INDEX(CoreValuesResults[Core Values Rank],MATCH(CoreValuesDelib[[#This Row],[Team Number]],CoreValuesResults[Team Number],0))),NumberOfTeams+1,INDEX(CoreValuesResults[Core Values Rank],MATCH(CoreValuesDelib[[#This Row],[Team Number]],CoreValuesResults[Team Number],0)))</f>
        <v>1</v>
      </c>
      <c r="H35" s="6" t="str">
        <f>IF(ISNA(INDEX(OfficialTeamList[Team Name],MATCH(RobotDesignDelib[[#This Row],[Team Number]], OfficialTeamList[Team Number],0))),"",INDEX(OfficialTeamList[Team Name],MATCH(RobotDesignDelib[[#This Row],[Team Number]], OfficialTeamList[Team Number],0)))</f>
        <v/>
      </c>
      <c r="I35" s="6">
        <f>IF(ISNA(INDEX(RobotDesignResults[Robot Design Rank],MATCH(RobotDesignDelib[[#This Row],[Team Number]],RobotDesignResults[Team Number],0))),NumberOfTeams+1,INDEX(RobotDesignResults[Robot Design Rank],MATCH(RobotDesignDelib[[#This Row],[Team Number]],RobotDesignResults[Team Number],0)))</f>
        <v>1</v>
      </c>
      <c r="M35" s="6" t="str">
        <f>IF(ISNA(INDEX(OfficialTeamList[Team Name],MATCH(InnovationProjectDelib[[#This Row],[Team Number]], OfficialTeamList[Team Number],0))),"",INDEX(OfficialTeamList[Team Name],MATCH(InnovationProjectDelib[[#This Row],[Team Number]], OfficialTeamList[Team Number],0)))</f>
        <v/>
      </c>
      <c r="N35"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f>IF(ISNA(INDEX(CoreValuesResults[Core Values Rank],MATCH(CoreValuesDelib[[#This Row],[Team Number]],CoreValuesResults[Team Number],0))),NumberOfTeams+1,INDEX(CoreValuesResults[Core Values Rank],MATCH(CoreValuesDelib[[#This Row],[Team Number]],CoreValuesResults[Team Number],0)))</f>
        <v>1</v>
      </c>
      <c r="H36" s="6" t="str">
        <f>IF(ISNA(INDEX(OfficialTeamList[Team Name],MATCH(RobotDesignDelib[[#This Row],[Team Number]], OfficialTeamList[Team Number],0))),"",INDEX(OfficialTeamList[Team Name],MATCH(RobotDesignDelib[[#This Row],[Team Number]], OfficialTeamList[Team Number],0)))</f>
        <v/>
      </c>
      <c r="I36" s="6">
        <f>IF(ISNA(INDEX(RobotDesignResults[Robot Design Rank],MATCH(RobotDesignDelib[[#This Row],[Team Number]],RobotDesignResults[Team Number],0))),NumberOfTeams+1,INDEX(RobotDesignResults[Robot Design Rank],MATCH(RobotDesignDelib[[#This Row],[Team Number]],RobotDesignResults[Team Number],0)))</f>
        <v>1</v>
      </c>
      <c r="M36" s="6" t="str">
        <f>IF(ISNA(INDEX(OfficialTeamList[Team Name],MATCH(InnovationProjectDelib[[#This Row],[Team Number]], OfficialTeamList[Team Number],0))),"",INDEX(OfficialTeamList[Team Name],MATCH(InnovationProjectDelib[[#This Row],[Team Number]], OfficialTeamList[Team Number],0)))</f>
        <v/>
      </c>
      <c r="N36" s="6">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1</v>
      </c>
    </row>
    <row r="38" spans="2:15" ht="20.25" customHeight="1" x14ac:dyDescent="0.25">
      <c r="B38" s="6" t="s">
        <v>105</v>
      </c>
      <c r="G38" s="6" t="s">
        <v>106</v>
      </c>
      <c r="L38" s="6" t="s">
        <v>107</v>
      </c>
    </row>
    <row r="39" spans="2:15" ht="39.950000000000003" customHeight="1" x14ac:dyDescent="0.25">
      <c r="B39" s="13" t="s">
        <v>21</v>
      </c>
      <c r="C39" s="13" t="s">
        <v>22</v>
      </c>
      <c r="D39" s="14" t="s">
        <v>46</v>
      </c>
      <c r="E39" s="14" t="s">
        <v>101</v>
      </c>
      <c r="G39" s="13" t="s">
        <v>21</v>
      </c>
      <c r="H39" s="13" t="s">
        <v>22</v>
      </c>
      <c r="I39" s="14" t="s">
        <v>46</v>
      </c>
      <c r="J39" s="14" t="s">
        <v>101</v>
      </c>
      <c r="L39" s="13" t="s">
        <v>21</v>
      </c>
      <c r="M39" s="13" t="s">
        <v>22</v>
      </c>
      <c r="N39" s="14" t="s">
        <v>46</v>
      </c>
      <c r="O39" s="14" t="s">
        <v>101</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f>IF(ISNA(INDEX(TournamentData[Champion''s Rank],MATCH(BreakthroughDelib[[#This Row],[Team Number]],TournamentData[Team Number],0))),NumberOfTeams+1,INDEX(TournamentData[Champion''s Rank],MATCH(BreakthroughDelib[[#This Row],[Team Number]],TournamentData[Team Number],0)))</f>
        <v>1</v>
      </c>
      <c r="H40" s="6" t="str">
        <f>IF(ISNA(INDEX(OfficialTeamList[Team Name],MATCH(RookiAllStarDelib[[#This Row],[Team Number]], OfficialTeamList[Team Number],0))),"",INDEX(OfficialTeamList[Team Name],MATCH(RookiAllStarDelib[[#This Row],[Team Number]], OfficialTeamList[Team Number],0)))</f>
        <v/>
      </c>
      <c r="I40" s="6">
        <f>IF(ISNA(INDEX(TournamentData[Champion''s Rank],MATCH(RookiAllStarDelib[[#This Row],[Team Number]],TournamentData[Team Number],0))),NumberOfTeams+1,INDEX(TournamentData[Champion''s Rank],MATCH(RookiAllStarDelib[[#This Row],[Team Number]],TournamentData[Team Number],0)))</f>
        <v>1</v>
      </c>
      <c r="M40" s="6" t="str">
        <f>IF(ISNA(INDEX(OfficialTeamList[Team Name],MATCH(MotivateDelib[[#This Row],[Team Number]], OfficialTeamList[Team Number],0))),"",INDEX(OfficialTeamList[Team Name],MATCH(MotivateDelib[[#This Row],[Team Number]], OfficialTeamList[Team Number],0)))</f>
        <v/>
      </c>
      <c r="N40" s="6">
        <f>IF(ISNA(INDEX(TournamentData[Champion''s Rank],MATCH(MotivateDelib[[#This Row],[Team Number]],TournamentData[Team Number],0))),NumberOfTeams+1,INDEX(TournamentData[Champion''s Rank],MATCH(MotivateDelib[[#This Row],[Team Number]],TournamentData[Team Number],0)))</f>
        <v>1</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f>IF(ISNA(INDEX(TournamentData[Champion''s Rank],MATCH(BreakthroughDelib[[#This Row],[Team Number]],TournamentData[Team Number],0))),NumberOfTeams+1,INDEX(TournamentData[Champion''s Rank],MATCH(BreakthroughDelib[[#This Row],[Team Number]],TournamentData[Team Number],0)))</f>
        <v>1</v>
      </c>
      <c r="H41" s="6" t="str">
        <f>IF(ISNA(INDEX(OfficialTeamList[Team Name],MATCH(RookiAllStarDelib[[#This Row],[Team Number]], OfficialTeamList[Team Number],0))),"",INDEX(OfficialTeamList[Team Name],MATCH(RookiAllStarDelib[[#This Row],[Team Number]], OfficialTeamList[Team Number],0)))</f>
        <v/>
      </c>
      <c r="I41" s="6">
        <f>IF(ISNA(INDEX(TournamentData[Champion''s Rank],MATCH(RookiAllStarDelib[[#This Row],[Team Number]],TournamentData[Team Number],0))),NumberOfTeams+1,INDEX(TournamentData[Champion''s Rank],MATCH(RookiAllStarDelib[[#This Row],[Team Number]],TournamentData[Team Number],0)))</f>
        <v>1</v>
      </c>
      <c r="M41" s="6" t="str">
        <f>IF(ISNA(INDEX(OfficialTeamList[Team Name],MATCH(MotivateDelib[[#This Row],[Team Number]], OfficialTeamList[Team Number],0))),"",INDEX(OfficialTeamList[Team Name],MATCH(MotivateDelib[[#This Row],[Team Number]], OfficialTeamList[Team Number],0)))</f>
        <v/>
      </c>
      <c r="N41" s="6">
        <f>IF(ISNA(INDEX(TournamentData[Champion''s Rank],MATCH(MotivateDelib[[#This Row],[Team Number]],TournamentData[Team Number],0))),NumberOfTeams+1,INDEX(TournamentData[Champion''s Rank],MATCH(MotivateDelib[[#This Row],[Team Number]],TournamentData[Team Number],0)))</f>
        <v>1</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f>IF(ISNA(INDEX(TournamentData[Champion''s Rank],MATCH(BreakthroughDelib[[#This Row],[Team Number]],TournamentData[Team Number],0))),NumberOfTeams+1,INDEX(TournamentData[Champion''s Rank],MATCH(BreakthroughDelib[[#This Row],[Team Number]],TournamentData[Team Number],0)))</f>
        <v>1</v>
      </c>
      <c r="H42" s="6" t="str">
        <f>IF(ISNA(INDEX(OfficialTeamList[Team Name],MATCH(RookiAllStarDelib[[#This Row],[Team Number]], OfficialTeamList[Team Number],0))),"",INDEX(OfficialTeamList[Team Name],MATCH(RookiAllStarDelib[[#This Row],[Team Number]], OfficialTeamList[Team Number],0)))</f>
        <v/>
      </c>
      <c r="I42" s="6">
        <f>IF(ISNA(INDEX(TournamentData[Champion''s Rank],MATCH(RookiAllStarDelib[[#This Row],[Team Number]],TournamentData[Team Number],0))),NumberOfTeams+1,INDEX(TournamentData[Champion''s Rank],MATCH(RookiAllStarDelib[[#This Row],[Team Number]],TournamentData[Team Number],0)))</f>
        <v>1</v>
      </c>
      <c r="M42" s="6" t="str">
        <f>IF(ISNA(INDEX(OfficialTeamList[Team Name],MATCH(MotivateDelib[[#This Row],[Team Number]], OfficialTeamList[Team Number],0))),"",INDEX(OfficialTeamList[Team Name],MATCH(MotivateDelib[[#This Row],[Team Number]], OfficialTeamList[Team Number],0)))</f>
        <v/>
      </c>
      <c r="N42" s="6">
        <f>IF(ISNA(INDEX(TournamentData[Champion''s Rank],MATCH(MotivateDelib[[#This Row],[Team Number]],TournamentData[Team Number],0))),NumberOfTeams+1,INDEX(TournamentData[Champion''s Rank],MATCH(MotivateDelib[[#This Row],[Team Number]],TournamentData[Team Number],0)))</f>
        <v>1</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f>IF(ISNA(INDEX(TournamentData[Champion''s Rank],MATCH(BreakthroughDelib[[#This Row],[Team Number]],TournamentData[Team Number],0))),NumberOfTeams+1,INDEX(TournamentData[Champion''s Rank],MATCH(BreakthroughDelib[[#This Row],[Team Number]],TournamentData[Team Number],0)))</f>
        <v>1</v>
      </c>
      <c r="H43" s="6" t="str">
        <f>IF(ISNA(INDEX(OfficialTeamList[Team Name],MATCH(RookiAllStarDelib[[#This Row],[Team Number]], OfficialTeamList[Team Number],0))),"",INDEX(OfficialTeamList[Team Name],MATCH(RookiAllStarDelib[[#This Row],[Team Number]], OfficialTeamList[Team Number],0)))</f>
        <v/>
      </c>
      <c r="I43" s="6">
        <f>IF(ISNA(INDEX(TournamentData[Champion''s Rank],MATCH(RookiAllStarDelib[[#This Row],[Team Number]],TournamentData[Team Number],0))),NumberOfTeams+1,INDEX(TournamentData[Champion''s Rank],MATCH(RookiAllStarDelib[[#This Row],[Team Number]],TournamentData[Team Number],0)))</f>
        <v>1</v>
      </c>
      <c r="M43" s="6" t="str">
        <f>IF(ISNA(INDEX(OfficialTeamList[Team Name],MATCH(MotivateDelib[[#This Row],[Team Number]], OfficialTeamList[Team Number],0))),"",INDEX(OfficialTeamList[Team Name],MATCH(MotivateDelib[[#This Row],[Team Number]], OfficialTeamList[Team Number],0)))</f>
        <v/>
      </c>
      <c r="N43" s="6">
        <f>IF(ISNA(INDEX(TournamentData[Champion''s Rank],MATCH(MotivateDelib[[#This Row],[Team Number]],TournamentData[Team Number],0))),NumberOfTeams+1,INDEX(TournamentData[Champion''s Rank],MATCH(MotivateDelib[[#This Row],[Team Number]],TournamentData[Team Number],0)))</f>
        <v>1</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f>IF(ISNA(INDEX(TournamentData[Champion''s Rank],MATCH(BreakthroughDelib[[#This Row],[Team Number]],TournamentData[Team Number],0))),NumberOfTeams+1,INDEX(TournamentData[Champion''s Rank],MATCH(BreakthroughDelib[[#This Row],[Team Number]],TournamentData[Team Number],0)))</f>
        <v>1</v>
      </c>
      <c r="H44" s="6" t="str">
        <f>IF(ISNA(INDEX(OfficialTeamList[Team Name],MATCH(RookiAllStarDelib[[#This Row],[Team Number]], OfficialTeamList[Team Number],0))),"",INDEX(OfficialTeamList[Team Name],MATCH(RookiAllStarDelib[[#This Row],[Team Number]], OfficialTeamList[Team Number],0)))</f>
        <v/>
      </c>
      <c r="I44" s="6">
        <f>IF(ISNA(INDEX(TournamentData[Champion''s Rank],MATCH(RookiAllStarDelib[[#This Row],[Team Number]],TournamentData[Team Number],0))),NumberOfTeams+1,INDEX(TournamentData[Champion''s Rank],MATCH(RookiAllStarDelib[[#This Row],[Team Number]],TournamentData[Team Number],0)))</f>
        <v>1</v>
      </c>
      <c r="M44" s="6" t="str">
        <f>IF(ISNA(INDEX(OfficialTeamList[Team Name],MATCH(MotivateDelib[[#This Row],[Team Number]], OfficialTeamList[Team Number],0))),"",INDEX(OfficialTeamList[Team Name],MATCH(MotivateDelib[[#This Row],[Team Number]], OfficialTeamList[Team Number],0)))</f>
        <v/>
      </c>
      <c r="N44" s="6">
        <f>IF(ISNA(INDEX(TournamentData[Champion''s Rank],MATCH(MotivateDelib[[#This Row],[Team Number]],TournamentData[Team Number],0))),NumberOfTeams+1,INDEX(TournamentData[Champion''s Rank],MATCH(MotivateDelib[[#This Row],[Team Number]],TournamentData[Team Number],0)))</f>
        <v>1</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f>IF(ISNA(INDEX(TournamentData[Champion''s Rank],MATCH(BreakthroughDelib[[#This Row],[Team Number]],TournamentData[Team Number],0))),NumberOfTeams+1,INDEX(TournamentData[Champion''s Rank],MATCH(BreakthroughDelib[[#This Row],[Team Number]],TournamentData[Team Number],0)))</f>
        <v>1</v>
      </c>
      <c r="H45" s="6" t="str">
        <f>IF(ISNA(INDEX(OfficialTeamList[Team Name],MATCH(RookiAllStarDelib[[#This Row],[Team Number]], OfficialTeamList[Team Number],0))),"",INDEX(OfficialTeamList[Team Name],MATCH(RookiAllStarDelib[[#This Row],[Team Number]], OfficialTeamList[Team Number],0)))</f>
        <v/>
      </c>
      <c r="I45" s="6">
        <f>IF(ISNA(INDEX(TournamentData[Champion''s Rank],MATCH(RookiAllStarDelib[[#This Row],[Team Number]],TournamentData[Team Number],0))),NumberOfTeams+1,INDEX(TournamentData[Champion''s Rank],MATCH(RookiAllStarDelib[[#This Row],[Team Number]],TournamentData[Team Number],0)))</f>
        <v>1</v>
      </c>
      <c r="M45" s="6" t="str">
        <f>IF(ISNA(INDEX(OfficialTeamList[Team Name],MATCH(MotivateDelib[[#This Row],[Team Number]], OfficialTeamList[Team Number],0))),"",INDEX(OfficialTeamList[Team Name],MATCH(MotivateDelib[[#This Row],[Team Number]], OfficialTeamList[Team Number],0)))</f>
        <v/>
      </c>
      <c r="N45" s="6">
        <f>IF(ISNA(INDEX(TournamentData[Champion''s Rank],MATCH(MotivateDelib[[#This Row],[Team Number]],TournamentData[Team Number],0))),NumberOfTeams+1,INDEX(TournamentData[Champion''s Rank],MATCH(MotivateDelib[[#This Row],[Team Number]],TournamentData[Team Number],0)))</f>
        <v>1</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f>IF(ISNA(INDEX(TournamentData[Champion''s Rank],MATCH(BreakthroughDelib[[#This Row],[Team Number]],TournamentData[Team Number],0))),NumberOfTeams+1,INDEX(TournamentData[Champion''s Rank],MATCH(BreakthroughDelib[[#This Row],[Team Number]],TournamentData[Team Number],0)))</f>
        <v>1</v>
      </c>
      <c r="H46" s="6" t="str">
        <f>IF(ISNA(INDEX(OfficialTeamList[Team Name],MATCH(RookiAllStarDelib[[#This Row],[Team Number]], OfficialTeamList[Team Number],0))),"",INDEX(OfficialTeamList[Team Name],MATCH(RookiAllStarDelib[[#This Row],[Team Number]], OfficialTeamList[Team Number],0)))</f>
        <v/>
      </c>
      <c r="I46" s="6">
        <f>IF(ISNA(INDEX(TournamentData[Champion''s Rank],MATCH(RookiAllStarDelib[[#This Row],[Team Number]],TournamentData[Team Number],0))),NumberOfTeams+1,INDEX(TournamentData[Champion''s Rank],MATCH(RookiAllStarDelib[[#This Row],[Team Number]],TournamentData[Team Number],0)))</f>
        <v>1</v>
      </c>
      <c r="M46" s="6" t="str">
        <f>IF(ISNA(INDEX(OfficialTeamList[Team Name],MATCH(MotivateDelib[[#This Row],[Team Number]], OfficialTeamList[Team Number],0))),"",INDEX(OfficialTeamList[Team Name],MATCH(MotivateDelib[[#This Row],[Team Number]], OfficialTeamList[Team Number],0)))</f>
        <v/>
      </c>
      <c r="N46" s="6">
        <f>IF(ISNA(INDEX(TournamentData[Champion''s Rank],MATCH(MotivateDelib[[#This Row],[Team Number]],TournamentData[Team Number],0))),NumberOfTeams+1,INDEX(TournamentData[Champion''s Rank],MATCH(MotivateDelib[[#This Row],[Team Number]],TournamentData[Team Number],0)))</f>
        <v>1</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f>IF(ISNA(INDEX(TournamentData[Champion''s Rank],MATCH(BreakthroughDelib[[#This Row],[Team Number]],TournamentData[Team Number],0))),NumberOfTeams+1,INDEX(TournamentData[Champion''s Rank],MATCH(BreakthroughDelib[[#This Row],[Team Number]],TournamentData[Team Number],0)))</f>
        <v>1</v>
      </c>
      <c r="H47" s="6" t="str">
        <f>IF(ISNA(INDEX(OfficialTeamList[Team Name],MATCH(RookiAllStarDelib[[#This Row],[Team Number]], OfficialTeamList[Team Number],0))),"",INDEX(OfficialTeamList[Team Name],MATCH(RookiAllStarDelib[[#This Row],[Team Number]], OfficialTeamList[Team Number],0)))</f>
        <v/>
      </c>
      <c r="I47" s="6">
        <f>IF(ISNA(INDEX(TournamentData[Champion''s Rank],MATCH(RookiAllStarDelib[[#This Row],[Team Number]],TournamentData[Team Number],0))),NumberOfTeams+1,INDEX(TournamentData[Champion''s Rank],MATCH(RookiAllStarDelib[[#This Row],[Team Number]],TournamentData[Team Number],0)))</f>
        <v>1</v>
      </c>
      <c r="M47" s="6" t="str">
        <f>IF(ISNA(INDEX(OfficialTeamList[Team Name],MATCH(MotivateDelib[[#This Row],[Team Number]], OfficialTeamList[Team Number],0))),"",INDEX(OfficialTeamList[Team Name],MATCH(MotivateDelib[[#This Row],[Team Number]], OfficialTeamList[Team Number],0)))</f>
        <v/>
      </c>
      <c r="N47" s="6">
        <f>IF(ISNA(INDEX(TournamentData[Champion''s Rank],MATCH(MotivateDelib[[#This Row],[Team Number]],TournamentData[Team Number],0))),NumberOfTeams+1,INDEX(TournamentData[Champion''s Rank],MATCH(MotivateDelib[[#This Row],[Team Number]],TournamentData[Team Number],0)))</f>
        <v>1</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f>IF(ISNA(INDEX(TournamentData[Champion''s Rank],MATCH(BreakthroughDelib[[#This Row],[Team Number]],TournamentData[Team Number],0))),NumberOfTeams+1,INDEX(TournamentData[Champion''s Rank],MATCH(BreakthroughDelib[[#This Row],[Team Number]],TournamentData[Team Number],0)))</f>
        <v>1</v>
      </c>
      <c r="H48" s="6" t="str">
        <f>IF(ISNA(INDEX(OfficialTeamList[Team Name],MATCH(RookiAllStarDelib[[#This Row],[Team Number]], OfficialTeamList[Team Number],0))),"",INDEX(OfficialTeamList[Team Name],MATCH(RookiAllStarDelib[[#This Row],[Team Number]], OfficialTeamList[Team Number],0)))</f>
        <v/>
      </c>
      <c r="I48" s="6">
        <f>IF(ISNA(INDEX(TournamentData[Champion''s Rank],MATCH(RookiAllStarDelib[[#This Row],[Team Number]],TournamentData[Team Number],0))),NumberOfTeams+1,INDEX(TournamentData[Champion''s Rank],MATCH(RookiAllStarDelib[[#This Row],[Team Number]],TournamentData[Team Number],0)))</f>
        <v>1</v>
      </c>
      <c r="M48" s="6" t="str">
        <f>IF(ISNA(INDEX(OfficialTeamList[Team Name],MATCH(MotivateDelib[[#This Row],[Team Number]], OfficialTeamList[Team Number],0))),"",INDEX(OfficialTeamList[Team Name],MATCH(MotivateDelib[[#This Row],[Team Number]], OfficialTeamList[Team Number],0)))</f>
        <v/>
      </c>
      <c r="N48" s="6">
        <f>IF(ISNA(INDEX(TournamentData[Champion''s Rank],MATCH(MotivateDelib[[#This Row],[Team Number]],TournamentData[Team Number],0))),NumberOfTeams+1,INDEX(TournamentData[Champion''s Rank],MATCH(MotivateDelib[[#This Row],[Team Number]],TournamentData[Team Number],0)))</f>
        <v>1</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f>IF(ISNA(INDEX(TournamentData[Champion''s Rank],MATCH(BreakthroughDelib[[#This Row],[Team Number]],TournamentData[Team Number],0))),NumberOfTeams+1,INDEX(TournamentData[Champion''s Rank],MATCH(BreakthroughDelib[[#This Row],[Team Number]],TournamentData[Team Number],0)))</f>
        <v>1</v>
      </c>
      <c r="H49" s="6" t="str">
        <f>IF(ISNA(INDEX(OfficialTeamList[Team Name],MATCH(RookiAllStarDelib[[#This Row],[Team Number]], OfficialTeamList[Team Number],0))),"",INDEX(OfficialTeamList[Team Name],MATCH(RookiAllStarDelib[[#This Row],[Team Number]], OfficialTeamList[Team Number],0)))</f>
        <v/>
      </c>
      <c r="I49" s="6">
        <f>IF(ISNA(INDEX(TournamentData[Champion''s Rank],MATCH(RookiAllStarDelib[[#This Row],[Team Number]],TournamentData[Team Number],0))),NumberOfTeams+1,INDEX(TournamentData[Champion''s Rank],MATCH(RookiAllStarDelib[[#This Row],[Team Number]],TournamentData[Team Number],0)))</f>
        <v>1</v>
      </c>
      <c r="M49" s="6" t="str">
        <f>IF(ISNA(INDEX(OfficialTeamList[Team Name],MATCH(MotivateDelib[[#This Row],[Team Number]], OfficialTeamList[Team Number],0))),"",INDEX(OfficialTeamList[Team Name],MATCH(MotivateDelib[[#This Row],[Team Number]], OfficialTeamList[Team Number],0)))</f>
        <v/>
      </c>
      <c r="N49" s="6">
        <f>IF(ISNA(INDEX(TournamentData[Champion''s Rank],MATCH(MotivateDelib[[#This Row],[Team Number]],TournamentData[Team Number],0))),NumberOfTeams+1,INDEX(TournamentData[Champion''s Rank],MATCH(MotivateDelib[[#This Row],[Team Number]],TournamentData[Team Number],0)))</f>
        <v>1</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f>IF(ISNA(INDEX(TournamentData[Champion''s Rank],MATCH(BreakthroughDelib[[#This Row],[Team Number]],TournamentData[Team Number],0))),NumberOfTeams+1,INDEX(TournamentData[Champion''s Rank],MATCH(BreakthroughDelib[[#This Row],[Team Number]],TournamentData[Team Number],0)))</f>
        <v>1</v>
      </c>
      <c r="H50" s="6" t="str">
        <f>IF(ISNA(INDEX(OfficialTeamList[Team Name],MATCH(RookiAllStarDelib[[#This Row],[Team Number]], OfficialTeamList[Team Number],0))),"",INDEX(OfficialTeamList[Team Name],MATCH(RookiAllStarDelib[[#This Row],[Team Number]], OfficialTeamList[Team Number],0)))</f>
        <v/>
      </c>
      <c r="I50" s="6">
        <f>IF(ISNA(INDEX(TournamentData[Champion''s Rank],MATCH(RookiAllStarDelib[[#This Row],[Team Number]],TournamentData[Team Number],0))),NumberOfTeams+1,INDEX(TournamentData[Champion''s Rank],MATCH(RookiAllStarDelib[[#This Row],[Team Number]],TournamentData[Team Number],0)))</f>
        <v>1</v>
      </c>
      <c r="M50" s="6" t="str">
        <f>IF(ISNA(INDEX(OfficialTeamList[Team Name],MATCH(MotivateDelib[[#This Row],[Team Number]], OfficialTeamList[Team Number],0))),"",INDEX(OfficialTeamList[Team Name],MATCH(MotivateDelib[[#This Row],[Team Number]], OfficialTeamList[Team Number],0)))</f>
        <v/>
      </c>
      <c r="N50" s="6">
        <f>IF(ISNA(INDEX(TournamentData[Champion''s Rank],MATCH(MotivateDelib[[#This Row],[Team Number]],TournamentData[Team Number],0))),NumberOfTeams+1,INDEX(TournamentData[Champion''s Rank],MATCH(MotivateDelib[[#This Row],[Team Number]],TournamentData[Team Number],0)))</f>
        <v>1</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f>IF(ISNA(INDEX(TournamentData[Champion''s Rank],MATCH(BreakthroughDelib[[#This Row],[Team Number]],TournamentData[Team Number],0))),NumberOfTeams+1,INDEX(TournamentData[Champion''s Rank],MATCH(BreakthroughDelib[[#This Row],[Team Number]],TournamentData[Team Number],0)))</f>
        <v>1</v>
      </c>
      <c r="H51" s="6" t="str">
        <f>IF(ISNA(INDEX(OfficialTeamList[Team Name],MATCH(RookiAllStarDelib[[#This Row],[Team Number]], OfficialTeamList[Team Number],0))),"",INDEX(OfficialTeamList[Team Name],MATCH(RookiAllStarDelib[[#This Row],[Team Number]], OfficialTeamList[Team Number],0)))</f>
        <v/>
      </c>
      <c r="I51" s="6">
        <f>IF(ISNA(INDEX(TournamentData[Champion''s Rank],MATCH(RookiAllStarDelib[[#This Row],[Team Number]],TournamentData[Team Number],0))),NumberOfTeams+1,INDEX(TournamentData[Champion''s Rank],MATCH(RookiAllStarDelib[[#This Row],[Team Number]],TournamentData[Team Number],0)))</f>
        <v>1</v>
      </c>
      <c r="M51" s="6" t="str">
        <f>IF(ISNA(INDEX(OfficialTeamList[Team Name],MATCH(MotivateDelib[[#This Row],[Team Number]], OfficialTeamList[Team Number],0))),"",INDEX(OfficialTeamList[Team Name],MATCH(MotivateDelib[[#This Row],[Team Number]], OfficialTeamList[Team Number],0)))</f>
        <v/>
      </c>
      <c r="N51" s="6">
        <f>IF(ISNA(INDEX(TournamentData[Champion''s Rank],MATCH(MotivateDelib[[#This Row],[Team Number]],TournamentData[Team Number],0))),NumberOfTeams+1,INDEX(TournamentData[Champion''s Rank],MATCH(MotivateDelib[[#This Row],[Team Number]],TournamentData[Team Number],0)))</f>
        <v>1</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f>IF(ISNA(INDEX(TournamentData[Champion''s Rank],MATCH(BreakthroughDelib[[#This Row],[Team Number]],TournamentData[Team Number],0))),NumberOfTeams+1,INDEX(TournamentData[Champion''s Rank],MATCH(BreakthroughDelib[[#This Row],[Team Number]],TournamentData[Team Number],0)))</f>
        <v>1</v>
      </c>
      <c r="H52" s="6" t="str">
        <f>IF(ISNA(INDEX(OfficialTeamList[Team Name],MATCH(RookiAllStarDelib[[#This Row],[Team Number]], OfficialTeamList[Team Number],0))),"",INDEX(OfficialTeamList[Team Name],MATCH(RookiAllStarDelib[[#This Row],[Team Number]], OfficialTeamList[Team Number],0)))</f>
        <v/>
      </c>
      <c r="I52" s="6">
        <f>IF(ISNA(INDEX(TournamentData[Champion''s Rank],MATCH(RookiAllStarDelib[[#This Row],[Team Number]],TournamentData[Team Number],0))),NumberOfTeams+1,INDEX(TournamentData[Champion''s Rank],MATCH(RookiAllStarDelib[[#This Row],[Team Number]],TournamentData[Team Number],0)))</f>
        <v>1</v>
      </c>
      <c r="M52" s="6" t="str">
        <f>IF(ISNA(INDEX(OfficialTeamList[Team Name],MATCH(MotivateDelib[[#This Row],[Team Number]], OfficialTeamList[Team Number],0))),"",INDEX(OfficialTeamList[Team Name],MATCH(MotivateDelib[[#This Row],[Team Number]], OfficialTeamList[Team Number],0)))</f>
        <v/>
      </c>
      <c r="N52" s="6">
        <f>IF(ISNA(INDEX(TournamentData[Champion''s Rank],MATCH(MotivateDelib[[#This Row],[Team Number]],TournamentData[Team Number],0))),NumberOfTeams+1,INDEX(TournamentData[Champion''s Rank],MATCH(MotivateDelib[[#This Row],[Team Number]],TournamentData[Team Number],0)))</f>
        <v>1</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f>IF(ISNA(INDEX(TournamentData[Champion''s Rank],MATCH(BreakthroughDelib[[#This Row],[Team Number]],TournamentData[Team Number],0))),NumberOfTeams+1,INDEX(TournamentData[Champion''s Rank],MATCH(BreakthroughDelib[[#This Row],[Team Number]],TournamentData[Team Number],0)))</f>
        <v>1</v>
      </c>
      <c r="H53" s="6" t="str">
        <f>IF(ISNA(INDEX(OfficialTeamList[Team Name],MATCH(RookiAllStarDelib[[#This Row],[Team Number]], OfficialTeamList[Team Number],0))),"",INDEX(OfficialTeamList[Team Name],MATCH(RookiAllStarDelib[[#This Row],[Team Number]], OfficialTeamList[Team Number],0)))</f>
        <v/>
      </c>
      <c r="I53" s="6">
        <f>IF(ISNA(INDEX(TournamentData[Champion''s Rank],MATCH(RookiAllStarDelib[[#This Row],[Team Number]],TournamentData[Team Number],0))),NumberOfTeams+1,INDEX(TournamentData[Champion''s Rank],MATCH(RookiAllStarDelib[[#This Row],[Team Number]],TournamentData[Team Number],0)))</f>
        <v>1</v>
      </c>
      <c r="M53" s="6" t="str">
        <f>IF(ISNA(INDEX(OfficialTeamList[Team Name],MATCH(MotivateDelib[[#This Row],[Team Number]], OfficialTeamList[Team Number],0))),"",INDEX(OfficialTeamList[Team Name],MATCH(MotivateDelib[[#This Row],[Team Number]], OfficialTeamList[Team Number],0)))</f>
        <v/>
      </c>
      <c r="N53" s="6">
        <f>IF(ISNA(INDEX(TournamentData[Champion''s Rank],MATCH(MotivateDelib[[#This Row],[Team Number]],TournamentData[Team Number],0))),NumberOfTeams+1,INDEX(TournamentData[Champion''s Rank],MATCH(MotivateDelib[[#This Row],[Team Number]],TournamentData[Team Number],0)))</f>
        <v>1</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f>IF(ISNA(INDEX(TournamentData[Champion''s Rank],MATCH(BreakthroughDelib[[#This Row],[Team Number]],TournamentData[Team Number],0))),NumberOfTeams+1,INDEX(TournamentData[Champion''s Rank],MATCH(BreakthroughDelib[[#This Row],[Team Number]],TournamentData[Team Number],0)))</f>
        <v>1</v>
      </c>
      <c r="H54" s="6" t="str">
        <f>IF(ISNA(INDEX(OfficialTeamList[Team Name],MATCH(RookiAllStarDelib[[#This Row],[Team Number]], OfficialTeamList[Team Number],0))),"",INDEX(OfficialTeamList[Team Name],MATCH(RookiAllStarDelib[[#This Row],[Team Number]], OfficialTeamList[Team Number],0)))</f>
        <v/>
      </c>
      <c r="I54" s="6">
        <f>IF(ISNA(INDEX(TournamentData[Champion''s Rank],MATCH(RookiAllStarDelib[[#This Row],[Team Number]],TournamentData[Team Number],0))),NumberOfTeams+1,INDEX(TournamentData[Champion''s Rank],MATCH(RookiAllStarDelib[[#This Row],[Team Number]],TournamentData[Team Number],0)))</f>
        <v>1</v>
      </c>
      <c r="M54" s="6" t="str">
        <f>IF(ISNA(INDEX(OfficialTeamList[Team Name],MATCH(MotivateDelib[[#This Row],[Team Number]], OfficialTeamList[Team Number],0))),"",INDEX(OfficialTeamList[Team Name],MATCH(MotivateDelib[[#This Row],[Team Number]], OfficialTeamList[Team Number],0)))</f>
        <v/>
      </c>
      <c r="N54" s="6">
        <f>IF(ISNA(INDEX(TournamentData[Champion''s Rank],MATCH(MotivateDelib[[#This Row],[Team Number]],TournamentData[Team Number],0))),NumberOfTeams+1,INDEX(TournamentData[Champion''s Rank],MATCH(MotivateDelib[[#This Row],[Team Number]],TournamentData[Team Number],0)))</f>
        <v>1</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Instructions</vt:lpstr>
      <vt:lpstr>Team and Program Information</vt:lpstr>
      <vt:lpstr>Review</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CVRDSplit</vt:lpstr>
      <vt:lpstr>GPScores</vt:lpstr>
      <vt:lpstr>NumberOfTeams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2024-12-23T18:50:32Z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