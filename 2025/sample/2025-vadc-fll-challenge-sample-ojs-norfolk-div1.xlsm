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tournaments\smaple\"/>
    </mc:Choice>
  </mc:AlternateContent>
  <xr:revisionPtr revIDLastSave="0" documentId="13_ncr:1_{FC42F14D-15B2-4937-82D7-A91EE40DC771}"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6" i="11"/>
  <c r="R6" i="11" s="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Q3" i="11"/>
  <c r="R3" i="11" s="1"/>
  <c r="M3" i="11"/>
  <c r="L3" i="11"/>
  <c r="K3" i="11"/>
  <c r="J3" i="11"/>
  <c r="I3" i="11"/>
  <c r="H3" i="11"/>
  <c r="G3" i="11"/>
  <c r="F3" i="11"/>
  <c r="E3" i="11"/>
  <c r="D3" i="11"/>
  <c r="C3" i="11"/>
  <c r="B3" i="11"/>
  <c r="F38" i="6" s="1"/>
  <c r="Q2" i="11"/>
  <c r="R2" i="11" s="1"/>
  <c r="M2" i="11"/>
  <c r="L2" i="11"/>
  <c r="K2" i="11"/>
  <c r="J2" i="11"/>
  <c r="I2" i="11"/>
  <c r="H2" i="11"/>
  <c r="G2" i="11"/>
  <c r="F2" i="11"/>
  <c r="E2" i="11"/>
  <c r="D2" i="11"/>
  <c r="C2" i="11"/>
  <c r="B2" i="11"/>
  <c r="N6" i="10"/>
  <c r="T7" i="7" s="1"/>
  <c r="C6" i="10"/>
  <c r="B6" i="10"/>
  <c r="N5" i="10"/>
  <c r="C5" i="10"/>
  <c r="B5" i="10"/>
  <c r="N4" i="10"/>
  <c r="T5" i="7" s="1"/>
  <c r="C4" i="10"/>
  <c r="B4" i="10"/>
  <c r="N3" i="10"/>
  <c r="T4" i="7" s="1"/>
  <c r="C3" i="10"/>
  <c r="B3" i="10"/>
  <c r="N2" i="10"/>
  <c r="T3" i="7" s="1"/>
  <c r="C2" i="10"/>
  <c r="B2" i="10"/>
  <c r="E38" i="6" s="1"/>
  <c r="N6" i="9"/>
  <c r="S7" i="7" s="1"/>
  <c r="C6" i="9"/>
  <c r="B6" i="9"/>
  <c r="N5" i="9"/>
  <c r="S6" i="7" s="1"/>
  <c r="C5" i="9"/>
  <c r="B5" i="9"/>
  <c r="N4" i="9"/>
  <c r="S5" i="7" s="1"/>
  <c r="C4" i="9"/>
  <c r="B4" i="9"/>
  <c r="D40" i="6" s="1"/>
  <c r="N3" i="9"/>
  <c r="C3" i="9"/>
  <c r="B3" i="9"/>
  <c r="N2" i="9"/>
  <c r="C2" i="9"/>
  <c r="B2" i="9"/>
  <c r="F6" i="8"/>
  <c r="B6" i="8"/>
  <c r="F5" i="8"/>
  <c r="B5" i="8"/>
  <c r="F4" i="8"/>
  <c r="B4" i="8"/>
  <c r="F3" i="8"/>
  <c r="B3" i="8"/>
  <c r="F2" i="8"/>
  <c r="B2" i="8"/>
  <c r="H7" i="7"/>
  <c r="G7" i="7"/>
  <c r="F7" i="7"/>
  <c r="E7" i="7"/>
  <c r="D7" i="7"/>
  <c r="C7" i="7"/>
  <c r="B7" i="7"/>
  <c r="C24" i="6" s="1"/>
  <c r="H6" i="7"/>
  <c r="G6" i="7"/>
  <c r="F6" i="7"/>
  <c r="E6" i="7"/>
  <c r="D6" i="7"/>
  <c r="C6" i="7"/>
  <c r="B6" i="7"/>
  <c r="H5" i="7"/>
  <c r="G5" i="7"/>
  <c r="F5" i="7"/>
  <c r="E5" i="7"/>
  <c r="D5" i="7"/>
  <c r="I5" i="7" s="1"/>
  <c r="C5" i="7"/>
  <c r="B5" i="7"/>
  <c r="H4" i="7"/>
  <c r="G4" i="7"/>
  <c r="F4" i="7"/>
  <c r="E4" i="7"/>
  <c r="D4" i="7"/>
  <c r="C4" i="7"/>
  <c r="B4" i="7"/>
  <c r="H3" i="7"/>
  <c r="G3" i="7"/>
  <c r="F3" i="7"/>
  <c r="E3" i="7"/>
  <c r="D3" i="7"/>
  <c r="C3" i="7"/>
  <c r="B3" i="7"/>
  <c r="C40" i="6" s="1"/>
  <c r="W1" i="7"/>
  <c r="Q1" i="7"/>
  <c r="E40" i="6"/>
  <c r="F39" i="6"/>
  <c r="E39" i="6"/>
  <c r="D39" i="6"/>
  <c r="D38" i="6"/>
  <c r="E37" i="6"/>
  <c r="F36" i="6"/>
  <c r="E36" i="6"/>
  <c r="D36" i="6"/>
  <c r="D35" i="6"/>
  <c r="F34" i="6"/>
  <c r="E34" i="6"/>
  <c r="F33" i="6"/>
  <c r="E33" i="6"/>
  <c r="D33" i="6"/>
  <c r="D32" i="6"/>
  <c r="F31" i="6"/>
  <c r="E31" i="6"/>
  <c r="F30" i="6"/>
  <c r="E30" i="6"/>
  <c r="D30" i="6"/>
  <c r="D29" i="6"/>
  <c r="F28" i="6"/>
  <c r="E28" i="6"/>
  <c r="F27" i="6"/>
  <c r="E27" i="6"/>
  <c r="D27" i="6"/>
  <c r="E26" i="6"/>
  <c r="D26" i="6"/>
  <c r="F25" i="6"/>
  <c r="E25" i="6"/>
  <c r="D25" i="6"/>
  <c r="F24" i="6"/>
  <c r="E24" i="6"/>
  <c r="D24" i="6"/>
  <c r="E23" i="6"/>
  <c r="D23" i="6"/>
  <c r="F22" i="6"/>
  <c r="E22" i="6"/>
  <c r="D22" i="6"/>
  <c r="F21" i="6"/>
  <c r="E21" i="6"/>
  <c r="D21" i="6"/>
  <c r="E20" i="6"/>
  <c r="D20" i="6"/>
  <c r="F19" i="6"/>
  <c r="E19" i="6"/>
  <c r="D19" i="6"/>
  <c r="F18" i="6"/>
  <c r="E18" i="6"/>
  <c r="D18" i="6"/>
  <c r="E17" i="6"/>
  <c r="D17" i="6"/>
  <c r="F16" i="6"/>
  <c r="E16" i="6"/>
  <c r="D16" i="6"/>
  <c r="F15" i="6"/>
  <c r="E15" i="6"/>
  <c r="D15" i="6"/>
  <c r="E14" i="6"/>
  <c r="D14" i="6"/>
  <c r="F13" i="6"/>
  <c r="E13" i="6"/>
  <c r="D13" i="6"/>
  <c r="F12" i="6"/>
  <c r="E12" i="6"/>
  <c r="D12" i="6"/>
  <c r="E11" i="6"/>
  <c r="D11" i="6"/>
  <c r="F10" i="6"/>
  <c r="E10" i="6"/>
  <c r="D10" i="6"/>
  <c r="F9" i="6"/>
  <c r="E9" i="6"/>
  <c r="D9" i="6"/>
  <c r="C9" i="6"/>
  <c r="E8" i="6"/>
  <c r="D8" i="6"/>
  <c r="F7" i="6"/>
  <c r="E7" i="6"/>
  <c r="D7" i="6"/>
  <c r="F6" i="6"/>
  <c r="E6" i="6"/>
  <c r="D6" i="6"/>
  <c r="C6" i="6"/>
  <c r="E5" i="6"/>
  <c r="D5" i="6"/>
  <c r="F4" i="6"/>
  <c r="E4" i="6"/>
  <c r="D4" i="6"/>
  <c r="F3" i="6"/>
  <c r="E3" i="6"/>
  <c r="D3" i="6"/>
  <c r="C3" i="6"/>
  <c r="H1" i="2"/>
  <c r="F1" i="2"/>
  <c r="S6" i="11" l="1"/>
  <c r="O2" i="9"/>
  <c r="L3" i="7" s="1"/>
  <c r="D2" i="6"/>
  <c r="O5" i="9"/>
  <c r="L6" i="7" s="1"/>
  <c r="O3" i="9"/>
  <c r="L4" i="7" s="1"/>
  <c r="S3" i="7"/>
  <c r="O4" i="9"/>
  <c r="L5" i="7" s="1"/>
  <c r="O5" i="10"/>
  <c r="M6" i="7" s="1"/>
  <c r="S2" i="11"/>
  <c r="R3" i="7" s="1"/>
  <c r="S5" i="11"/>
  <c r="R6" i="7" s="1"/>
  <c r="O2" i="10"/>
  <c r="M3" i="7" s="1"/>
  <c r="O6" i="10"/>
  <c r="M7" i="7" s="1"/>
  <c r="O3" i="10"/>
  <c r="M4" i="7" s="1"/>
  <c r="E2" i="6"/>
  <c r="I4" i="7"/>
  <c r="I3" i="7"/>
  <c r="I6" i="7"/>
  <c r="I7" i="7"/>
  <c r="S3" i="11"/>
  <c r="R7" i="7"/>
  <c r="S4" i="11"/>
  <c r="F37" i="6"/>
  <c r="F40" i="6"/>
  <c r="C5" i="6"/>
  <c r="C8" i="6"/>
  <c r="C11" i="6"/>
  <c r="C14" i="6"/>
  <c r="C17" i="6"/>
  <c r="C20" i="6"/>
  <c r="C23" i="6"/>
  <c r="C26" i="6"/>
  <c r="C29" i="6"/>
  <c r="C32" i="6"/>
  <c r="C35" i="6"/>
  <c r="C38" i="6"/>
  <c r="S4" i="7"/>
  <c r="E29" i="6"/>
  <c r="E32" i="6"/>
  <c r="E35" i="6"/>
  <c r="F5" i="6"/>
  <c r="F8" i="6"/>
  <c r="F11" i="6"/>
  <c r="F14" i="6"/>
  <c r="F17" i="6"/>
  <c r="F20" i="6"/>
  <c r="F23" i="6"/>
  <c r="F26" i="6"/>
  <c r="F29" i="6"/>
  <c r="F32" i="6"/>
  <c r="F35" i="6"/>
  <c r="T6" i="7"/>
  <c r="C12" i="6"/>
  <c r="C15" i="6"/>
  <c r="C18" i="6"/>
  <c r="C21" i="6"/>
  <c r="C27" i="6"/>
  <c r="C30" i="6"/>
  <c r="C33" i="6"/>
  <c r="C36" i="6"/>
  <c r="C39" i="6"/>
  <c r="O6" i="9"/>
  <c r="L7" i="7" s="1"/>
  <c r="O4" i="10"/>
  <c r="M5" i="7" s="1"/>
  <c r="C4" i="6"/>
  <c r="C7" i="6"/>
  <c r="C10" i="6"/>
  <c r="C13" i="6"/>
  <c r="C16" i="6"/>
  <c r="C19" i="6"/>
  <c r="C22" i="6"/>
  <c r="C25" i="6"/>
  <c r="C28" i="6"/>
  <c r="C31" i="6"/>
  <c r="C34" i="6"/>
  <c r="C37" i="6"/>
  <c r="D28" i="6"/>
  <c r="D31" i="6"/>
  <c r="D34" i="6"/>
  <c r="D37" i="6"/>
  <c r="F2" i="6" l="1"/>
  <c r="T5" i="11"/>
  <c r="K6" i="7" s="1"/>
  <c r="T2" i="11"/>
  <c r="K3" i="7" s="1"/>
  <c r="J3" i="7"/>
  <c r="J6" i="7"/>
  <c r="U3" i="7"/>
  <c r="U6" i="7"/>
  <c r="J5" i="7"/>
  <c r="U7" i="7"/>
  <c r="J7" i="7"/>
  <c r="J4" i="7"/>
  <c r="T6" i="11"/>
  <c r="K7" i="7" s="1"/>
  <c r="T3" i="11"/>
  <c r="K4" i="7" s="1"/>
  <c r="R4" i="7"/>
  <c r="U4" i="7" s="1"/>
  <c r="R5" i="7"/>
  <c r="U5" i="7" s="1"/>
  <c r="T4" i="11"/>
  <c r="K5" i="7" s="1"/>
  <c r="N6" i="7" l="1"/>
  <c r="V4" i="7"/>
  <c r="V7" i="7"/>
  <c r="V6" i="7"/>
  <c r="V5" i="7"/>
  <c r="V3" i="7"/>
  <c r="N3" i="7"/>
  <c r="N5" i="7"/>
  <c r="N4" i="7"/>
  <c r="N7" i="7"/>
  <c r="C2" i="6"/>
  <c r="O6" i="7" l="1"/>
  <c r="O3" i="7"/>
  <c r="O4" i="7"/>
  <c r="O7" i="7"/>
  <c r="O5" i="7"/>
</calcChain>
</file>

<file path=xl/sharedStrings.xml><?xml version="1.0" encoding="utf-8"?>
<sst xmlns="http://schemas.openxmlformats.org/spreadsheetml/2006/main" count="220" uniqueCount="152">
  <si>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</si>
  <si>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</si>
  <si>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</si>
  <si>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</si>
  <si>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</si>
  <si>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</si>
  <si>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</si>
  <si>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</si>
  <si>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</si>
  <si>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</si>
  <si>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</si>
  <si>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</si>
  <si>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</si>
  <si>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</si>
  <si>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</si>
  <si>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</si>
  <si>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</si>
  <si>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</si>
  <si>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</si>
  <si>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</si>
  <si>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</si>
  <si>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</si>
  <si>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</si>
  <si>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</si>
  <si>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</si>
  <si>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</si>
  <si>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</si>
  <si>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</si>
  <si>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</si>
  <si>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</si>
  <si>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</si>
  <si>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Greenbrier Panthers</t>
  </si>
  <si>
    <t>John Sammons</t>
  </si>
  <si>
    <t>Dynamite Dolphins</t>
  </si>
  <si>
    <t>Jonathan Torch</t>
  </si>
  <si>
    <t>OLMC Aquinas</t>
  </si>
  <si>
    <t>Patrick McFadden</t>
  </si>
  <si>
    <t>MCH Monarchs</t>
  </si>
  <si>
    <t>Kathy Hendrickson</t>
  </si>
  <si>
    <t>Kempsville Dino-Nuggets</t>
  </si>
  <si>
    <t>Kiel Phillips</t>
  </si>
  <si>
    <t>Advance</t>
  </si>
  <si>
    <t>Yes</t>
  </si>
  <si>
    <t>No</t>
  </si>
  <si>
    <t>Alt</t>
  </si>
  <si>
    <t>Key</t>
  </si>
  <si>
    <t>Value</t>
  </si>
  <si>
    <t>Comment</t>
  </si>
  <si>
    <t>Tournament Year</t>
  </si>
  <si>
    <t>FLL Season Title</t>
  </si>
  <si>
    <t>Unearthed</t>
  </si>
  <si>
    <t>Tournament Short Name</t>
  </si>
  <si>
    <t>Norfolk</t>
  </si>
  <si>
    <t>Tournament Long Name</t>
  </si>
  <si>
    <t>Norfolk 2025 Unearthed Qualifier Tournament</t>
  </si>
  <si>
    <t>Completed Script File</t>
  </si>
  <si>
    <t>2025-Unearthed-Norfolk-script.html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</si>
  <si>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</si>
  <si>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</si>
  <si>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</si>
  <si>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</si>
  <si>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</si>
  <si>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</si>
  <si>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</si>
  <si>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</si>
  <si>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</si>
  <si>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</si>
  <si>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dual_emcee</t>
  </si>
  <si>
    <t>Award</t>
  </si>
  <si>
    <t>Robot Game Awards</t>
  </si>
  <si>
    <t>Champions 1st Place</t>
  </si>
  <si>
    <t>Robot Game 1st Place</t>
  </si>
  <si>
    <t>Robot Design 1st Place</t>
  </si>
  <si>
    <t>Robot Game 2nd Place</t>
  </si>
  <si>
    <t>Innovation Project 1st Place</t>
  </si>
  <si>
    <t>Core Values 1st Place</t>
  </si>
  <si>
    <t>Judges Award 1</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</si>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</sst>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4" fillId="0" borderId="0" xfId="0" applyFont="1" applyAlignment="1">
      <alignment horizontal="left"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7" totalsRowShown="0" headerRowDxfId="160" dataDxfId="159">
  <autoFilter ref="A2:D7"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5" totalsRowShown="0" headerRowDxfId="154" dataDxfId="153">
  <autoFilter ref="A1:C15"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6" totalsRowShown="0">
  <autoFilter ref="A1:A6"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2" totalsRowShown="0">
  <autoFilter ref="C1:C2"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7" totalsRowShown="0" headerRowDxfId="138" dataDxfId="136" headerRowBorderDxfId="137">
  <autoFilter ref="A2:W7" xr:uid="{00000000-0009-0000-0100-000006000000}"/>
  <sortState xmlns:xlrd2="http://schemas.microsoft.com/office/spreadsheetml/2017/richdata2" ref="A3:W3">
    <sortCondition ref="A3"/>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6" totalsRowShown="0" headerRowDxfId="112" dataDxfId="110" headerRowBorderDxfId="111">
  <autoFilter ref="A1:F6"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6" totalsRowShown="0" headerRowDxfId="103" dataDxfId="102">
  <autoFilter ref="A1:O6"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6" totalsRowShown="0" headerRowDxfId="86" dataDxfId="85">
  <autoFilter ref="A1:O6"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6" totalsRowShown="0" headerRowDxfId="69" dataDxfId="68">
  <autoFilter ref="A1:T6"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7" t="s">
        <v>24</v>
      </c>
      <c r="B1" s="108"/>
      <c r="C1" s="108"/>
      <c r="D1" s="108"/>
      <c r="E1" s="7" t="s">
        <v>25</v>
      </c>
      <c r="F1" s="88">
        <f>COUNT(OfficialTeamList[Team Number])</f>
        <v>5</v>
      </c>
      <c r="G1" s="88" t="s">
        <v>26</v>
      </c>
      <c r="H1" s="89">
        <f>MAX(OfficialTeamList[Pod Number])</f>
        <v>1</v>
      </c>
      <c r="I1" s="87"/>
    </row>
    <row r="2" spans="1:9" s="2" customFormat="1" ht="21" customHeight="1" x14ac:dyDescent="0.25">
      <c r="A2" s="7" t="s">
        <v>27</v>
      </c>
      <c r="B2" s="7" t="s">
        <v>28</v>
      </c>
      <c r="C2" s="6" t="s">
        <v>29</v>
      </c>
      <c r="D2" s="6" t="s">
        <v>30</v>
      </c>
      <c r="H2" s="3"/>
    </row>
    <row r="3" spans="1:9" s="2" customFormat="1" ht="21" customHeight="1" x14ac:dyDescent="0.25">
      <c r="A3" s="69">
        <v>9021</v>
      </c>
      <c r="B3" s="69" t="s">
        <v>31</v>
      </c>
      <c r="C3" s="69" t="s">
        <v>32</v>
      </c>
      <c r="D3" s="70">
        <v>1</v>
      </c>
      <c r="H3" s="3"/>
    </row>
    <row r="4" spans="1:9" ht="21" customHeight="1" x14ac:dyDescent="0.25">
      <c r="A4" s="69">
        <v>62149</v>
      </c>
      <c r="B4" s="69" t="s">
        <v>33</v>
      </c>
      <c r="C4" s="69" t="s">
        <v>34</v>
      </c>
      <c r="D4" s="70"/>
    </row>
    <row r="5" spans="1:9" ht="21" customHeight="1" x14ac:dyDescent="0.25">
      <c r="A5" s="69">
        <v>62706</v>
      </c>
      <c r="B5" s="69" t="s">
        <v>35</v>
      </c>
      <c r="C5" s="69" t="s">
        <v>36</v>
      </c>
      <c r="D5" s="70"/>
    </row>
    <row r="6" spans="1:9" ht="21" customHeight="1" x14ac:dyDescent="0.25">
      <c r="A6" s="69">
        <v>73002</v>
      </c>
      <c r="B6" s="69" t="s">
        <v>37</v>
      </c>
      <c r="C6" s="69" t="s">
        <v>38</v>
      </c>
      <c r="D6" s="70"/>
    </row>
    <row r="7" spans="1:9" ht="21" customHeight="1" x14ac:dyDescent="0.25">
      <c r="A7" s="69">
        <v>73106</v>
      </c>
      <c r="B7" s="69" t="s">
        <v>39</v>
      </c>
      <c r="C7" s="69" t="s">
        <v>40</v>
      </c>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41</v>
      </c>
    </row>
    <row r="2" spans="1:1" x14ac:dyDescent="0.25">
      <c r="A2" t="s">
        <v>42</v>
      </c>
    </row>
    <row r="3" spans="1:1" x14ac:dyDescent="0.25">
      <c r="A3" t="s">
        <v>43</v>
      </c>
    </row>
    <row r="4" spans="1:1" x14ac:dyDescent="0.25">
      <c r="A4" t="s">
        <v>44</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5"/>
  <sheetViews>
    <sheetView workbookViewId="0">
      <selection activeCell="A15" sqref="A15"/>
    </sheetView>
  </sheetViews>
  <sheetFormatPr defaultRowHeight="15" x14ac:dyDescent="0.25"/>
  <cols>
    <col min="1" max="1" width="29.42578125" customWidth="1"/>
    <col min="2" max="2" width="75.85546875" customWidth="1"/>
    <col min="3" max="3" width="49.7109375" customWidth="1"/>
  </cols>
  <sheetData>
    <row r="1" spans="1:3" x14ac:dyDescent="0.25">
      <c r="A1" t="s">
        <v>45</v>
      </c>
      <c r="B1" t="s">
        <v>46</v>
      </c>
      <c r="C1" t="s">
        <v>47</v>
      </c>
    </row>
    <row r="2" spans="1:3" x14ac:dyDescent="0.25">
      <c r="A2" t="s">
        <v>48</v>
      </c>
      <c r="B2">
        <v>2025</v>
      </c>
    </row>
    <row r="3" spans="1:3" x14ac:dyDescent="0.25">
      <c r="A3" t="s">
        <v>49</v>
      </c>
      <c r="B3" t="s">
        <v>50</v>
      </c>
    </row>
    <row r="4" spans="1:3" x14ac:dyDescent="0.25">
      <c r="A4" t="s">
        <v>51</v>
      </c>
      <c r="B4" t="s">
        <v>52</v>
      </c>
    </row>
    <row r="5" spans="1:3" x14ac:dyDescent="0.25">
      <c r="A5" t="s">
        <v>53</v>
      </c>
      <c r="B5" t="s">
        <v>54</v>
      </c>
    </row>
    <row r="6" spans="1:3" x14ac:dyDescent="0.25">
      <c r="A6" t="s">
        <v>55</v>
      </c>
      <c r="B6" t="s">
        <v>56</v>
      </c>
    </row>
    <row r="7" spans="1:3" x14ac:dyDescent="0.25">
      <c r="A7" t="s">
        <v>57</v>
      </c>
      <c r="B7">
        <v>1</v>
      </c>
      <c r="C7" t="s">
        <v>58</v>
      </c>
    </row>
    <row r="8" spans="1:3" x14ac:dyDescent="0.25">
      <c r="A8" t="s">
        <v>59</v>
      </c>
      <c r="B8">
        <v>1</v>
      </c>
    </row>
    <row r="9" spans="1:3" x14ac:dyDescent="0.25">
      <c r="A9" t="s">
        <v>60</v>
      </c>
      <c r="B9">
        <v>1</v>
      </c>
    </row>
    <row r="10" spans="1:3" x14ac:dyDescent="0.25">
      <c r="A10" t="s">
        <v>61</v>
      </c>
      <c r="B10">
        <v>1</v>
      </c>
    </row>
    <row r="11" spans="1:3" x14ac:dyDescent="0.25">
      <c r="A11" t="s">
        <v>62</v>
      </c>
      <c r="B11">
        <v>1</v>
      </c>
    </row>
    <row r="12" spans="1:3" x14ac:dyDescent="0.25">
      <c r="A12" t="s">
        <v>63</v>
      </c>
      <c r="B12">
        <v>1</v>
      </c>
    </row>
    <row r="13" spans="1:3" x14ac:dyDescent="0.25">
      <c r="A13" t="s">
        <v>64</v>
      </c>
      <c r="B13">
        <v>1</v>
      </c>
    </row>
    <row r="14" spans="1:3" ht="90" customHeight="1" x14ac:dyDescent="0.25">
      <c r="A14" t="s">
        <v>65</v>
      </c>
      <c r="B14">
        <v>1</v>
      </c>
      <c r="C14" s="60" t="s">
        <v>66</v>
      </c>
    </row>
    <row r="15" spans="1:3" x14ac:dyDescent="0.25">
      <c r="A15" t="s">
        <v>67</v>
      </c>
      <c r="B15" t="b">
        <v>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6"/>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68</v>
      </c>
      <c r="C1" t="s">
        <v>69</v>
      </c>
    </row>
    <row r="2" spans="1:3" x14ac:dyDescent="0.25">
      <c r="A2" t="s">
        <v>70</v>
      </c>
      <c r="C2" t="s">
        <v>71</v>
      </c>
    </row>
    <row r="3" spans="1:3" x14ac:dyDescent="0.25">
      <c r="A3" t="s">
        <v>72</v>
      </c>
      <c r="C3" t="s">
        <v>73</v>
      </c>
    </row>
    <row r="4" spans="1:3" x14ac:dyDescent="0.25">
      <c r="A4" t="s">
        <v>74</v>
      </c>
    </row>
    <row r="5" spans="1:3" x14ac:dyDescent="0.25">
      <c r="A5" t="s">
        <v>75</v>
      </c>
    </row>
    <row r="6" spans="1:3" x14ac:dyDescent="0.25">
      <c r="A6" t="s">
        <v>76</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77</v>
      </c>
      <c r="C1" s="60" t="s">
        <v>78</v>
      </c>
      <c r="D1" t="s">
        <v>79</v>
      </c>
      <c r="E1" t="s">
        <v>80</v>
      </c>
      <c r="F1" t="s">
        <v>81</v>
      </c>
    </row>
    <row r="2" spans="2:6" x14ac:dyDescent="0.25">
      <c r="B2">
        <v>1</v>
      </c>
      <c r="C2">
        <f>IF(ISERR(AVERAGEIF(TournamentData[POD],'Pod Analysis'!B2,TournamentData[Champion''s Score])),"",AVERAGEIF(TournamentData[POD],'Pod Analysis'!B2,TournamentData[Champion''s Score]))</f>
        <v>16</v>
      </c>
      <c r="D2">
        <f>IF(ISERR(AVERAGEIF(InnovationProjectResults[POD],'Pod Analysis'!B2,InnovationProjectResults[Innovation Project Score])),"",AVERAGEIF(InnovationProjectResults[POD],'Pod Analysis'!B2,InnovationProjectResults[Innovation Project Score]))</f>
        <v>24</v>
      </c>
      <c r="E2">
        <f>IF(ISERR(AVERAGEIF(RobotDesignResults[POD],'Pod Analysis'!B2,RobotDesignResults[Robot Design Score])),"",AVERAGEIF(RobotDesignResults[POD],'Pod Analysis'!B2,RobotDesignResults[Robot Design Score]))</f>
        <v>24</v>
      </c>
      <c r="F2">
        <f>IF(ISERR(AVERAGEIF(CoreValuesResults[POD],'Pod Analysis'!B2,CoreValuesResults[Core Values Score])),"",AVERAGEIF(CoreValuesResults[POD],'Pod Analysis'!B2,CoreValuesResults[Core Values Score]))</f>
        <v>36</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Q5" sqref="Q5"/>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54.75" customHeight="1" x14ac:dyDescent="0.25">
      <c r="A1" s="109" t="s">
        <v>82</v>
      </c>
      <c r="B1" s="110"/>
      <c r="C1" s="110"/>
      <c r="D1" s="109" t="s">
        <v>59</v>
      </c>
      <c r="E1" s="110"/>
      <c r="F1" s="110"/>
      <c r="G1" s="110"/>
      <c r="H1" s="110"/>
      <c r="I1" s="110"/>
      <c r="J1" s="110"/>
      <c r="K1" s="109" t="s">
        <v>83</v>
      </c>
      <c r="L1" s="110"/>
      <c r="M1" s="110"/>
      <c r="N1" s="109" t="s">
        <v>84</v>
      </c>
      <c r="O1" s="110"/>
      <c r="P1" s="4" t="s">
        <v>85</v>
      </c>
      <c r="Q1" s="105">
        <f>Meta!B13</f>
        <v>1</v>
      </c>
      <c r="R1" s="109" t="s">
        <v>86</v>
      </c>
      <c r="S1" s="110"/>
      <c r="T1" s="110"/>
      <c r="U1" s="110"/>
      <c r="V1" s="110"/>
      <c r="W1" s="10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1 of 1 permitted advancing teams
You have selected an alternative advancing team</v>
      </c>
      <c r="X1" s="4"/>
      <c r="Z1" s="46"/>
    </row>
    <row r="2" spans="1:26" s="9" customFormat="1" ht="118.5" customHeight="1" x14ac:dyDescent="0.25">
      <c r="A2" s="48" t="s">
        <v>27</v>
      </c>
      <c r="B2" s="48" t="s">
        <v>77</v>
      </c>
      <c r="C2" s="48" t="s">
        <v>28</v>
      </c>
      <c r="D2" s="49" t="s">
        <v>87</v>
      </c>
      <c r="E2" s="49" t="s">
        <v>88</v>
      </c>
      <c r="F2" s="49" t="s">
        <v>89</v>
      </c>
      <c r="G2" s="49" t="s">
        <v>90</v>
      </c>
      <c r="H2" s="49" t="s">
        <v>91</v>
      </c>
      <c r="I2" s="49" t="s">
        <v>92</v>
      </c>
      <c r="J2" s="50" t="s">
        <v>93</v>
      </c>
      <c r="K2" s="51" t="s">
        <v>94</v>
      </c>
      <c r="L2" s="52" t="s">
        <v>95</v>
      </c>
      <c r="M2" s="53" t="s">
        <v>96</v>
      </c>
      <c r="N2" s="54" t="s">
        <v>97</v>
      </c>
      <c r="O2" s="55" t="s">
        <v>98</v>
      </c>
      <c r="P2" s="48" t="s">
        <v>68</v>
      </c>
      <c r="Q2" s="48" t="s">
        <v>99</v>
      </c>
      <c r="R2" s="27" t="s">
        <v>100</v>
      </c>
      <c r="S2" s="28" t="s">
        <v>101</v>
      </c>
      <c r="T2" s="29" t="s">
        <v>102</v>
      </c>
      <c r="U2" s="30" t="s">
        <v>103</v>
      </c>
      <c r="V2" s="31" t="s">
        <v>104</v>
      </c>
      <c r="W2" s="32" t="s">
        <v>105</v>
      </c>
      <c r="Z2" s="45"/>
    </row>
    <row r="3" spans="1:26" ht="21" customHeight="1" x14ac:dyDescent="0.25">
      <c r="A3" s="69">
        <v>9021</v>
      </c>
      <c r="B3" s="69">
        <f>INDEX(OfficialTeamList[Pod Number],MATCH(TournamentData[[#This Row],[Team Number]], OfficialTeamList[Team Number],0))</f>
        <v>1</v>
      </c>
      <c r="C3" s="103" t="str">
        <f>INDEX(OfficialTeamList[Team Name],MATCH(TournamentData[[#This Row],[Team Number]], OfficialTeamList[Team Number],0))</f>
        <v>Greenbrier Panthers</v>
      </c>
      <c r="D3" s="79">
        <f>IF(TournamentData[[#This Row],[Team Number]]="","",IF(ISNA(INDEX('Robot Game Scores'!C:C,MATCH(TournamentData[[#This Row],[Team Number]], 'Robot Game Scores'!$A:$A,0))),0,INDEX('Robot Game Scores'!C:C,MATCH(TournamentData[[#This Row],[Team Number]], 'Robot Game Scores'!$A:$A,0))))</f>
        <v>178</v>
      </c>
      <c r="E3" s="79">
        <f>IF(TournamentData[[#This Row],[Team Number]]="","",IF(ISNA(INDEX('Robot Game Scores'!D:D,MATCH(TournamentData[[#This Row],[Team Number]], 'Robot Game Scores'!$A:$A,0))),0,INDEX('Robot Game Scores'!D:D,MATCH(TournamentData[[#This Row],[Team Number]], 'Robot Game Scores'!$A:$A,0))))</f>
        <v>191</v>
      </c>
      <c r="F3" s="79">
        <f>IF(TournamentData[[#This Row],[Team Number]]="","",IF(ISNA(INDEX('Robot Game Scores'!E:E,MATCH(TournamentData[[#This Row],[Team Number]], 'Robot Game Scores'!$A:$A,0))),0,INDEX('Robot Game Scores'!E:E,MATCH(TournamentData[[#This Row],[Team Number]], 'Robot Game Scores'!$A:$A,0))))</f>
        <v>164</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191.01781639999999</v>
      </c>
      <c r="J3" s="79">
        <f>_xlfn.RANK.EQ(TournamentData[[#This Row],[Max Robot Game Score]],TournamentData[Max Robot Game Score])</f>
        <v>5</v>
      </c>
      <c r="K3" s="79">
        <f>INDEX(CoreValuesResults[Core Values Rank],MATCH(TournamentData[[#This Row],[Team Number]],CoreValuesResults[Team Number],0))</f>
        <v>4</v>
      </c>
      <c r="L3" s="79">
        <f>INDEX(InnovationProjectResults[Innovation Project Rank],MATCH(TournamentData[[#This Row],[Team Number]],InnovationProjectResults[Team Number],0))</f>
        <v>4</v>
      </c>
      <c r="M3" s="79">
        <f>INDEX(RobotDesignResults[Robot Design Rank],MATCH(TournamentData[[#This Row],[Team Number]],RobotDesignResults[Team Number],0))</f>
        <v>3</v>
      </c>
      <c r="N3" s="79">
        <f>SUM(TournamentData[[#This Row],[Robot Game Rank]:[Robot Design Rank]])</f>
        <v>16</v>
      </c>
      <c r="O3" s="78">
        <f>RANK(TournamentData[[#This Row],[Champion''s Score]],TournamentData[Champion''s Score],1)</f>
        <v>5</v>
      </c>
      <c r="P3" s="80" t="s">
        <v>76</v>
      </c>
      <c r="Q3" s="86" t="s">
        <v>43</v>
      </c>
      <c r="R3" s="81">
        <f>IF(ISNA(INDEX(CoreValuesResults[Core Values Score],MATCH(TournamentData[[#This Row],[Team Number]],CoreValuesResults[Team Number],0))),0,INDEX(CoreValuesResults[Core Values Score],MATCH(TournamentData[[#This Row],[Team Number]],CoreValuesResults[Team Number],0)))</f>
        <v>36</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3" s="81">
        <f>IF(ISNA(INDEX(RobotDesignResults[Robot Design Score],MATCH(TournamentData[[#This Row],[Team Number]],RobotDesignResults[Team Number],0))),0,INDEX(RobotDesignResults[Robot Design Score],MATCH(TournamentData[[#This Row],[Team Number]],RobotDesignResults[Team Number],0)))</f>
        <v>24</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44.611796769385528</v>
      </c>
      <c r="V3" s="80">
        <f>IF(U3,_xlfn.RANK.EQ(U3,U$3:U$5,0),NumberOfTeams)</f>
        <v>3</v>
      </c>
      <c r="W3" s="80"/>
    </row>
    <row r="4" spans="1:26" ht="20.25" customHeight="1" x14ac:dyDescent="0.25">
      <c r="A4" s="79">
        <v>62149</v>
      </c>
      <c r="B4" s="79">
        <f>INDEX(OfficialTeamList[Pod Number],MATCH(TournamentData[[#This Row],[Team Number]], OfficialTeamList[Team Number],0))</f>
        <v>0</v>
      </c>
      <c r="C4" s="103" t="str">
        <f>INDEX(OfficialTeamList[Team Name],MATCH(TournamentData[[#This Row],[Team Number]], OfficialTeamList[Team Number],0))</f>
        <v>Dynamite Dolphins</v>
      </c>
      <c r="D4" s="79">
        <f>IF(TournamentData[[#This Row],[Team Number]]="","",IF(ISNA(INDEX('Robot Game Scores'!C:C,MATCH(TournamentData[[#This Row],[Team Number]], 'Robot Game Scores'!$A:$A,0))),0,INDEX('Robot Game Scores'!C:C,MATCH(TournamentData[[#This Row],[Team Number]], 'Robot Game Scores'!$A:$A,0))))</f>
        <v>235</v>
      </c>
      <c r="E4" s="79">
        <f>IF(TournamentData[[#This Row],[Team Number]]="","",IF(ISNA(INDEX('Robot Game Scores'!D:D,MATCH(TournamentData[[#This Row],[Team Number]], 'Robot Game Scores'!$A:$A,0))),0,INDEX('Robot Game Scores'!D:D,MATCH(TournamentData[[#This Row],[Team Number]], 'Robot Game Scores'!$A:$A,0))))</f>
        <v>253</v>
      </c>
      <c r="F4" s="79">
        <f>IF(TournamentData[[#This Row],[Team Number]]="","",IF(ISNA(INDEX('Robot Game Scores'!E:E,MATCH(TournamentData[[#This Row],[Team Number]], 'Robot Game Scores'!$A:$A,0))),0,INDEX('Robot Game Scores'!E:E,MATCH(TournamentData[[#This Row],[Team Number]], 'Robot Game Scores'!$A:$A,0))))</f>
        <v>104</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253.02351040000002</v>
      </c>
      <c r="J4" s="79">
        <f>_xlfn.RANK.EQ(TournamentData[[#This Row],[Max Robot Game Score]],TournamentData[Max Robot Game Score])</f>
        <v>3</v>
      </c>
      <c r="K4" s="79">
        <f>INDEX(CoreValuesResults[Core Values Rank],MATCH(TournamentData[[#This Row],[Team Number]],CoreValuesResults[Team Number],0))</f>
        <v>3</v>
      </c>
      <c r="L4" s="79">
        <f>INDEX(InnovationProjectResults[Innovation Project Rank],MATCH(TournamentData[[#This Row],[Team Number]],InnovationProjectResults[Team Number],0))</f>
        <v>2</v>
      </c>
      <c r="M4" s="79">
        <f>INDEX(RobotDesignResults[Robot Design Rank],MATCH(TournamentData[[#This Row],[Team Number]],RobotDesignResults[Team Number],0))</f>
        <v>5</v>
      </c>
      <c r="N4" s="79">
        <f>SUM(TournamentData[[#This Row],[Robot Game Rank]:[Robot Design Rank]])</f>
        <v>13</v>
      </c>
      <c r="O4" s="79">
        <f>RANK(TournamentData[[#This Row],[Champion''s Score]],TournamentData[Champion''s Score],1)</f>
        <v>3</v>
      </c>
      <c r="P4" s="80" t="s">
        <v>75</v>
      </c>
      <c r="Q4" s="86" t="s">
        <v>43</v>
      </c>
      <c r="R4" s="81">
        <f>IF(ISNA(INDEX(CoreValuesResults[Core Values Score],MATCH(TournamentData[[#This Row],[Team Number]],CoreValuesResults[Team Number],0))),0,INDEX(CoreValuesResults[Core Values Score],MATCH(TournamentData[[#This Row],[Team Number]],CoreValuesResults[Team Number],0)))</f>
        <v>42</v>
      </c>
      <c r="S4"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4" s="81">
        <f>IF(ISNA(INDEX(RobotDesignResults[Robot Design Score],MATCH(TournamentData[[#This Row],[Team Number]],RobotDesignResults[Team Number],0))),0,INDEX(RobotDesignResults[Robot Design Score],MATCH(TournamentData[[#This Row],[Team Number]],RobotDesignResults[Team Number],0)))</f>
        <v>21</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49.079564730425751</v>
      </c>
      <c r="V4" s="80">
        <f>IF(U4,_xlfn.RANK.EQ(U4,U$3:U$17,0),NumberOfTeams)</f>
        <v>3</v>
      </c>
      <c r="W4" s="80"/>
    </row>
    <row r="5" spans="1:26" ht="20.25" customHeight="1" x14ac:dyDescent="0.25">
      <c r="A5" s="79">
        <v>62706</v>
      </c>
      <c r="B5" s="79">
        <f>INDEX(OfficialTeamList[Pod Number],MATCH(TournamentData[[#This Row],[Team Number]], OfficialTeamList[Team Number],0))</f>
        <v>0</v>
      </c>
      <c r="C5" s="103" t="str">
        <f>INDEX(OfficialTeamList[Team Name],MATCH(TournamentData[[#This Row],[Team Number]], OfficialTeamList[Team Number],0))</f>
        <v>OLMC Aquinas</v>
      </c>
      <c r="D5" s="79">
        <f>IF(TournamentData[[#This Row],[Team Number]]="","",IF(ISNA(INDEX('Robot Game Scores'!C:C,MATCH(TournamentData[[#This Row],[Team Number]], 'Robot Game Scores'!$A:$A,0))),0,INDEX('Robot Game Scores'!C:C,MATCH(TournamentData[[#This Row],[Team Number]], 'Robot Game Scores'!$A:$A,0))))</f>
        <v>184</v>
      </c>
      <c r="E5" s="79">
        <f>IF(TournamentData[[#This Row],[Team Number]]="","",IF(ISNA(INDEX('Robot Game Scores'!D:D,MATCH(TournamentData[[#This Row],[Team Number]], 'Robot Game Scores'!$A:$A,0))),0,INDEX('Robot Game Scores'!D:D,MATCH(TournamentData[[#This Row],[Team Number]], 'Robot Game Scores'!$A:$A,0))))</f>
        <v>298</v>
      </c>
      <c r="F5" s="79">
        <f>IF(TournamentData[[#This Row],[Team Number]]="","",IF(ISNA(INDEX('Robot Game Scores'!E:E,MATCH(TournamentData[[#This Row],[Team Number]], 'Robot Game Scores'!$A:$A,0))),0,INDEX('Robot Game Scores'!E:E,MATCH(TournamentData[[#This Row],[Team Number]], 'Robot Game Scores'!$A:$A,0))))</f>
        <v>224</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298.02241839999999</v>
      </c>
      <c r="J5" s="79">
        <f>_xlfn.RANK.EQ(TournamentData[[#This Row],[Max Robot Game Score]],TournamentData[Max Robot Game Score])</f>
        <v>1</v>
      </c>
      <c r="K5" s="79">
        <f>INDEX(CoreValuesResults[Core Values Rank],MATCH(TournamentData[[#This Row],[Team Number]],CoreValuesResults[Team Number],0))</f>
        <v>2</v>
      </c>
      <c r="L5" s="79">
        <f>INDEX(InnovationProjectResults[Innovation Project Rank],MATCH(TournamentData[[#This Row],[Team Number]],InnovationProjectResults[Team Number],0))</f>
        <v>3</v>
      </c>
      <c r="M5" s="79">
        <f>INDEX(RobotDesignResults[Robot Design Rank],MATCH(TournamentData[[#This Row],[Team Number]],RobotDesignResults[Team Number],0))</f>
        <v>4</v>
      </c>
      <c r="N5" s="79">
        <f>SUM(TournamentData[[#This Row],[Robot Game Rank]:[Robot Design Rank]])</f>
        <v>10</v>
      </c>
      <c r="O5" s="79">
        <f>RANK(TournamentData[[#This Row],[Champion''s Score]],TournamentData[Champion''s Score],1)</f>
        <v>2</v>
      </c>
      <c r="P5" s="80" t="s">
        <v>74</v>
      </c>
      <c r="Q5" s="86" t="s">
        <v>43</v>
      </c>
      <c r="R5" s="81">
        <f>IF(ISNA(INDEX(CoreValuesResults[Core Values Score],MATCH(TournamentData[[#This Row],[Team Number]],CoreValuesResults[Team Number],0))),0,INDEX(CoreValuesResults[Core Values Score],MATCH(TournamentData[[#This Row],[Team Number]],CoreValuesResults[Team Number],0)))</f>
        <v>47</v>
      </c>
      <c r="S5" s="81">
        <f>IF(ISNA(INDEX(InnovationProjectResults[Innovation Project Score],MATCH(TournamentData[[#This Row],[Team Number]],InnovationProjectResults[Team Number],0))),0,INDEX(InnovationProjectResults[Innovation Project Score],MATCH(TournamentData[[#This Row],[Team Number]],InnovationProjectResults[Team Number],0)))</f>
        <v>25</v>
      </c>
      <c r="T5" s="81">
        <f>IF(ISNA(INDEX(RobotDesignResults[Robot Design Score],MATCH(TournamentData[[#This Row],[Team Number]],RobotDesignResults[Team Number],0))),0,INDEX(RobotDesignResults[Robot Design Score],MATCH(TournamentData[[#This Row],[Team Number]],RobotDesignResults[Team Number],0)))</f>
        <v>22</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52.683833737400121</v>
      </c>
      <c r="V5" s="80">
        <f>IF(U5,_xlfn.RANK.EQ(U5,U$3:U$17,0),NumberOfTeams)</f>
        <v>2</v>
      </c>
      <c r="W5" s="80"/>
    </row>
    <row r="6" spans="1:26" ht="20.25" customHeight="1" x14ac:dyDescent="0.25">
      <c r="A6" s="79">
        <v>73002</v>
      </c>
      <c r="B6" s="79">
        <f>INDEX(OfficialTeamList[Pod Number],MATCH(TournamentData[[#This Row],[Team Number]], OfficialTeamList[Team Number],0))</f>
        <v>0</v>
      </c>
      <c r="C6" s="103" t="str">
        <f>INDEX(OfficialTeamList[Team Name],MATCH(TournamentData[[#This Row],[Team Number]], OfficialTeamList[Team Number],0))</f>
        <v>MCH Monarchs</v>
      </c>
      <c r="D6" s="79">
        <f>IF(TournamentData[[#This Row],[Team Number]]="","",IF(ISNA(INDEX('Robot Game Scores'!C:C,MATCH(TournamentData[[#This Row],[Team Number]], 'Robot Game Scores'!$A:$A,0))),0,INDEX('Robot Game Scores'!C:C,MATCH(TournamentData[[#This Row],[Team Number]], 'Robot Game Scores'!$A:$A,0))))</f>
        <v>275</v>
      </c>
      <c r="E6" s="79">
        <f>IF(TournamentData[[#This Row],[Team Number]]="","",IF(ISNA(INDEX('Robot Game Scores'!D:D,MATCH(TournamentData[[#This Row],[Team Number]], 'Robot Game Scores'!$A:$A,0))),0,INDEX('Robot Game Scores'!D:D,MATCH(TournamentData[[#This Row],[Team Number]], 'Robot Game Scores'!$A:$A,0))))</f>
        <v>222</v>
      </c>
      <c r="F6" s="79">
        <f>IF(TournamentData[[#This Row],[Team Number]]="","",IF(ISNA(INDEX('Robot Game Scores'!E:E,MATCH(TournamentData[[#This Row],[Team Number]], 'Robot Game Scores'!$A:$A,0))),0,INDEX('Robot Game Scores'!E:E,MATCH(TournamentData[[#This Row],[Team Number]], 'Robot Game Scores'!$A:$A,0))))</f>
        <v>93</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275.02220929999999</v>
      </c>
      <c r="J6" s="79">
        <f>_xlfn.RANK.EQ(TournamentData[[#This Row],[Max Robot Game Score]],TournamentData[Max Robot Game Score])</f>
        <v>2</v>
      </c>
      <c r="K6" s="79">
        <f>INDEX(CoreValuesResults[Core Values Rank],MATCH(TournamentData[[#This Row],[Team Number]],CoreValuesResults[Team Number],0))</f>
        <v>5</v>
      </c>
      <c r="L6" s="79">
        <f>INDEX(InnovationProjectResults[Innovation Project Rank],MATCH(TournamentData[[#This Row],[Team Number]],InnovationProjectResults[Team Number],0))</f>
        <v>5</v>
      </c>
      <c r="M6" s="79">
        <f>INDEX(RobotDesignResults[Robot Design Rank],MATCH(TournamentData[[#This Row],[Team Number]],RobotDesignResults[Team Number],0))</f>
        <v>1</v>
      </c>
      <c r="N6" s="79">
        <f>SUM(TournamentData[[#This Row],[Robot Game Rank]:[Robot Design Rank]])</f>
        <v>13</v>
      </c>
      <c r="O6" s="79">
        <f>RANK(TournamentData[[#This Row],[Champion''s Score]],TournamentData[Champion''s Score],1)</f>
        <v>3</v>
      </c>
      <c r="P6" s="80" t="s">
        <v>72</v>
      </c>
      <c r="Q6" s="86" t="s">
        <v>44</v>
      </c>
      <c r="R6" s="81">
        <f>IF(ISNA(INDEX(CoreValuesResults[Core Values Score],MATCH(TournamentData[[#This Row],[Team Number]],CoreValuesResults[Team Number],0))),0,INDEX(CoreValuesResults[Core Values Score],MATCH(TournamentData[[#This Row],[Team Number]],CoreValuesResults[Team Number],0)))</f>
        <v>34</v>
      </c>
      <c r="S6"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6" s="81">
        <f>IF(ISNA(INDEX(RobotDesignResults[Robot Design Score],MATCH(TournamentData[[#This Row],[Team Number]],RobotDesignResults[Team Number],0))),0,INDEX(RobotDesignResults[Robot Design Score],MATCH(TournamentData[[#This Row],[Team Number]],RobotDesignResults[Team Number],0)))</f>
        <v>26</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48.090653431331624</v>
      </c>
      <c r="V6" s="80">
        <f>IF(U6,_xlfn.RANK.EQ(U6,U$3:U$17,0),NumberOfTeams)</f>
        <v>4</v>
      </c>
      <c r="W6" s="80"/>
    </row>
    <row r="7" spans="1:26" ht="20.25" customHeight="1" x14ac:dyDescent="0.25">
      <c r="A7" s="79">
        <v>73106</v>
      </c>
      <c r="B7" s="79">
        <f>INDEX(OfficialTeamList[Pod Number],MATCH(TournamentData[[#This Row],[Team Number]], OfficialTeamList[Team Number],0))</f>
        <v>0</v>
      </c>
      <c r="C7" s="103" t="str">
        <f>INDEX(OfficialTeamList[Team Name],MATCH(TournamentData[[#This Row],[Team Number]], OfficialTeamList[Team Number],0))</f>
        <v>Kempsville Dino-Nuggets</v>
      </c>
      <c r="D7" s="79">
        <f>IF(TournamentData[[#This Row],[Team Number]]="","",IF(ISNA(INDEX('Robot Game Scores'!C:C,MATCH(TournamentData[[#This Row],[Team Number]], 'Robot Game Scores'!$A:$A,0))),0,INDEX('Robot Game Scores'!C:C,MATCH(TournamentData[[#This Row],[Team Number]], 'Robot Game Scores'!$A:$A,0))))</f>
        <v>232</v>
      </c>
      <c r="E7" s="79">
        <f>IF(TournamentData[[#This Row],[Team Number]]="","",IF(ISNA(INDEX('Robot Game Scores'!D:D,MATCH(TournamentData[[#This Row],[Team Number]], 'Robot Game Scores'!$A:$A,0))),0,INDEX('Robot Game Scores'!D:D,MATCH(TournamentData[[#This Row],[Team Number]], 'Robot Game Scores'!$A:$A,0))))</f>
        <v>221</v>
      </c>
      <c r="F7" s="79">
        <f>IF(TournamentData[[#This Row],[Team Number]]="","",IF(ISNA(INDEX('Robot Game Scores'!E:E,MATCH(TournamentData[[#This Row],[Team Number]], 'Robot Game Scores'!$A:$A,0))),0,INDEX('Robot Game Scores'!E:E,MATCH(TournamentData[[#This Row],[Team Number]], 'Robot Game Scores'!$A:$A,0))))</f>
        <v>149</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232.02211489999999</v>
      </c>
      <c r="J7" s="79">
        <f>_xlfn.RANK.EQ(TournamentData[[#This Row],[Max Robot Game Score]],TournamentData[Max Robot Game Score])</f>
        <v>4</v>
      </c>
      <c r="K7" s="79">
        <f>INDEX(CoreValuesResults[Core Values Rank],MATCH(TournamentData[[#This Row],[Team Number]],CoreValuesResults[Team Number],0))</f>
        <v>1</v>
      </c>
      <c r="L7" s="79">
        <f>INDEX(InnovationProjectResults[Innovation Project Rank],MATCH(TournamentData[[#This Row],[Team Number]],InnovationProjectResults[Team Number],0))</f>
        <v>1</v>
      </c>
      <c r="M7" s="79">
        <f>INDEX(RobotDesignResults[Robot Design Rank],MATCH(TournamentData[[#This Row],[Team Number]],RobotDesignResults[Team Number],0))</f>
        <v>2</v>
      </c>
      <c r="N7" s="79">
        <f>SUM(TournamentData[[#This Row],[Robot Game Rank]:[Robot Design Rank]])</f>
        <v>8</v>
      </c>
      <c r="O7" s="79">
        <f>RANK(TournamentData[[#This Row],[Champion''s Score]],TournamentData[Champion''s Score],1)</f>
        <v>1</v>
      </c>
      <c r="P7" s="80" t="s">
        <v>70</v>
      </c>
      <c r="Q7" s="86" t="s">
        <v>42</v>
      </c>
      <c r="R7" s="81">
        <f>IF(ISNA(INDEX(CoreValuesResults[Core Values Score],MATCH(TournamentData[[#This Row],[Team Number]],CoreValuesResults[Team Number],0))),0,INDEX(CoreValuesResults[Core Values Score],MATCH(TournamentData[[#This Row],[Team Number]],CoreValuesResults[Team Number],0)))</f>
        <v>51</v>
      </c>
      <c r="S7" s="81">
        <f>IF(ISNA(INDEX(InnovationProjectResults[Innovation Project Score],MATCH(TournamentData[[#This Row],[Team Number]],InnovationProjectResults[Team Number],0))),0,INDEX(InnovationProjectResults[Innovation Project Score],MATCH(TournamentData[[#This Row],[Team Number]],InnovationProjectResults[Team Number],0)))</f>
        <v>27</v>
      </c>
      <c r="T7" s="81">
        <f>IF(ISNA(INDEX(RobotDesignResults[Robot Design Score],MATCH(TournamentData[[#This Row],[Team Number]],RobotDesignResults[Team Number],0))),0,INDEX(RobotDesignResults[Robot Design Score],MATCH(TournamentData[[#This Row],[Team Number]],RobotDesignResults[Team Number],0)))</f>
        <v>25</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53.161941414526645</v>
      </c>
      <c r="V7" s="80">
        <f>IF(U7,_xlfn.RANK.EQ(U7,U$3:U$17,0),NumberOfTeams)</f>
        <v>1</v>
      </c>
      <c r="W7" s="80"/>
    </row>
    <row r="8" spans="1:26" ht="20.25" customHeight="1" x14ac:dyDescent="0.25">
      <c r="A8" s="71"/>
      <c r="B8" s="71"/>
      <c r="C8" s="72"/>
      <c r="G8" s="72"/>
      <c r="H8" s="72"/>
      <c r="I8" s="72"/>
      <c r="J8" s="72"/>
      <c r="K8" s="72"/>
      <c r="L8" s="72"/>
      <c r="M8" s="72"/>
      <c r="N8" s="72"/>
      <c r="O8" s="72"/>
      <c r="P8" s="72"/>
      <c r="W8" s="71"/>
    </row>
    <row r="9" spans="1:26" ht="20.25" customHeight="1" x14ac:dyDescent="0.25">
      <c r="A9" s="71"/>
      <c r="B9" s="71"/>
      <c r="C9" s="72"/>
      <c r="G9" s="72"/>
      <c r="H9" s="72"/>
      <c r="I9" s="72"/>
      <c r="J9" s="72"/>
      <c r="K9" s="72"/>
      <c r="L9" s="72"/>
      <c r="M9" s="72"/>
      <c r="N9" s="72"/>
      <c r="O9" s="72"/>
      <c r="P9" s="72"/>
      <c r="W9" s="71"/>
    </row>
    <row r="10" spans="1:26" ht="20.25" customHeight="1" x14ac:dyDescent="0.25">
      <c r="A10" s="71"/>
      <c r="B10" s="71"/>
      <c r="C10" s="72"/>
      <c r="G10" s="72"/>
      <c r="H10" s="72"/>
      <c r="I10" s="72"/>
      <c r="J10" s="72"/>
      <c r="K10" s="72"/>
      <c r="L10" s="72"/>
      <c r="M10" s="72"/>
      <c r="N10" s="72"/>
      <c r="O10" s="72"/>
      <c r="P10" s="72"/>
      <c r="W10" s="71"/>
    </row>
    <row r="11" spans="1:26" ht="20.25" customHeight="1" x14ac:dyDescent="0.25">
      <c r="A11" s="71"/>
      <c r="B11" s="71"/>
      <c r="C11" s="72"/>
      <c r="G11" s="72"/>
      <c r="H11" s="72"/>
      <c r="I11" s="72"/>
      <c r="J11" s="72"/>
      <c r="K11" s="72"/>
      <c r="L11" s="72"/>
      <c r="M11" s="72"/>
      <c r="N11" s="72"/>
      <c r="O11" s="72"/>
      <c r="P11" s="72"/>
      <c r="W11" s="71"/>
    </row>
    <row r="12" spans="1:26" ht="20.25" customHeight="1" x14ac:dyDescent="0.25">
      <c r="A12" s="71"/>
      <c r="B12" s="71"/>
      <c r="C12" s="72"/>
      <c r="G12" s="72"/>
      <c r="H12" s="72"/>
      <c r="I12" s="72"/>
      <c r="J12" s="72"/>
      <c r="K12" s="72"/>
      <c r="L12" s="72"/>
      <c r="M12" s="72"/>
      <c r="N12" s="72"/>
      <c r="O12" s="72"/>
      <c r="P12" s="72"/>
      <c r="W12" s="71"/>
    </row>
    <row r="13" spans="1:26" ht="20.25" customHeight="1" x14ac:dyDescent="0.25">
      <c r="A13" s="71"/>
      <c r="B13" s="71"/>
      <c r="C13" s="72"/>
      <c r="G13" s="72"/>
      <c r="H13" s="72"/>
      <c r="I13" s="72"/>
      <c r="J13" s="72"/>
      <c r="K13" s="72"/>
      <c r="L13" s="72"/>
      <c r="M13" s="72"/>
      <c r="N13" s="72"/>
      <c r="O13" s="72"/>
      <c r="P13" s="72"/>
      <c r="W13" s="71"/>
    </row>
    <row r="14" spans="1:26" ht="20.25" customHeight="1" x14ac:dyDescent="0.25">
      <c r="A14" s="71"/>
      <c r="B14" s="71"/>
      <c r="C14" s="72"/>
      <c r="G14" s="72"/>
      <c r="H14" s="72"/>
      <c r="I14" s="72"/>
      <c r="J14" s="72"/>
      <c r="K14" s="72"/>
      <c r="L14" s="72"/>
      <c r="M14" s="72"/>
      <c r="N14" s="72"/>
      <c r="O14" s="72"/>
      <c r="P14" s="72"/>
      <c r="W14" s="71"/>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106</v>
      </c>
      <c r="D1" s="65" t="s">
        <v>107</v>
      </c>
      <c r="E1" s="65" t="s">
        <v>108</v>
      </c>
      <c r="F1" s="59" t="s">
        <v>109</v>
      </c>
    </row>
    <row r="2" spans="1:6" ht="21" customHeight="1" x14ac:dyDescent="0.25">
      <c r="A2" s="69">
        <v>9021</v>
      </c>
      <c r="B2" s="104" t="str">
        <f>INDEX(OfficialTeamList[Team Name],MATCH(RobotGameScores[[#This Row],[Team Number]], OfficialTeamList[Team Number],0))</f>
        <v>Greenbrier Panthers</v>
      </c>
      <c r="C2" s="70">
        <v>178</v>
      </c>
      <c r="D2" s="70">
        <v>191</v>
      </c>
      <c r="E2" s="70">
        <v>164</v>
      </c>
      <c r="F2" s="74">
        <f>MAX(C2:E2)</f>
        <v>191</v>
      </c>
    </row>
    <row r="3" spans="1:6" ht="21" customHeight="1" x14ac:dyDescent="0.25">
      <c r="A3" s="69">
        <v>62149</v>
      </c>
      <c r="B3" s="104" t="str">
        <f>INDEX(OfficialTeamList[Team Name],MATCH(RobotGameScores[[#This Row],[Team Number]], OfficialTeamList[Team Number],0))</f>
        <v>Dynamite Dolphins</v>
      </c>
      <c r="C3" s="70">
        <v>235</v>
      </c>
      <c r="D3" s="70">
        <v>253</v>
      </c>
      <c r="E3" s="70">
        <v>104</v>
      </c>
      <c r="F3" s="74">
        <f>MAX(C3:E3)</f>
        <v>253</v>
      </c>
    </row>
    <row r="4" spans="1:6" ht="21" customHeight="1" x14ac:dyDescent="0.25">
      <c r="A4" s="69">
        <v>62706</v>
      </c>
      <c r="B4" s="104" t="str">
        <f>INDEX(OfficialTeamList[Team Name],MATCH(RobotGameScores[[#This Row],[Team Number]], OfficialTeamList[Team Number],0))</f>
        <v>OLMC Aquinas</v>
      </c>
      <c r="C4" s="70">
        <v>184</v>
      </c>
      <c r="D4" s="70">
        <v>298</v>
      </c>
      <c r="E4" s="70">
        <v>224</v>
      </c>
      <c r="F4" s="74">
        <f>MAX(C4:E4)</f>
        <v>298</v>
      </c>
    </row>
    <row r="5" spans="1:6" ht="21" customHeight="1" x14ac:dyDescent="0.25">
      <c r="A5" s="69">
        <v>73002</v>
      </c>
      <c r="B5" s="104" t="str">
        <f>INDEX(OfficialTeamList[Team Name],MATCH(RobotGameScores[[#This Row],[Team Number]], OfficialTeamList[Team Number],0))</f>
        <v>MCH Monarchs</v>
      </c>
      <c r="C5" s="70">
        <v>275</v>
      </c>
      <c r="D5" s="70">
        <v>222</v>
      </c>
      <c r="E5" s="70">
        <v>93</v>
      </c>
      <c r="F5" s="74">
        <f>MAX(C5:E5)</f>
        <v>275</v>
      </c>
    </row>
    <row r="6" spans="1:6" ht="21" customHeight="1" x14ac:dyDescent="0.25">
      <c r="A6" s="69">
        <v>73106</v>
      </c>
      <c r="B6" s="104" t="str">
        <f>INDEX(OfficialTeamList[Team Name],MATCH(RobotGameScores[[#This Row],[Team Number]], OfficialTeamList[Team Number],0))</f>
        <v>Kempsville Dino-Nuggets</v>
      </c>
      <c r="C6" s="70">
        <v>232</v>
      </c>
      <c r="D6" s="70">
        <v>221</v>
      </c>
      <c r="E6" s="70">
        <v>149</v>
      </c>
      <c r="F6" s="74">
        <f>MAX(C6:E6)</f>
        <v>232</v>
      </c>
    </row>
    <row r="7" spans="1:6" ht="21" customHeight="1" x14ac:dyDescent="0.25">
      <c r="A7" s="69"/>
      <c r="B7" s="69"/>
      <c r="C7" s="69"/>
      <c r="D7" s="69"/>
      <c r="E7" s="69"/>
      <c r="F7" s="84"/>
    </row>
    <row r="8" spans="1:6" ht="21" customHeight="1" x14ac:dyDescent="0.25">
      <c r="A8" s="69"/>
      <c r="B8" s="69"/>
      <c r="C8" s="69"/>
      <c r="D8" s="69"/>
      <c r="E8" s="69"/>
      <c r="F8" s="84"/>
    </row>
    <row r="9" spans="1:6" ht="21" customHeight="1" x14ac:dyDescent="0.25">
      <c r="A9" s="69"/>
      <c r="B9" s="69"/>
      <c r="C9" s="69"/>
      <c r="D9" s="69"/>
      <c r="E9" s="69"/>
      <c r="F9" s="84"/>
    </row>
    <row r="10" spans="1:6" ht="21" customHeight="1" x14ac:dyDescent="0.25">
      <c r="A10" s="69"/>
      <c r="B10" s="69"/>
      <c r="C10" s="69"/>
      <c r="D10" s="69"/>
      <c r="E10" s="69"/>
      <c r="F10" s="84"/>
    </row>
    <row r="11" spans="1:6" ht="21" customHeight="1" x14ac:dyDescent="0.25">
      <c r="A11" s="69"/>
      <c r="B11" s="69"/>
      <c r="C11" s="69"/>
      <c r="D11" s="69"/>
      <c r="E11" s="69"/>
      <c r="F11" s="84"/>
    </row>
    <row r="12" spans="1:6" ht="21" customHeight="1" x14ac:dyDescent="0.25">
      <c r="A12" s="69"/>
      <c r="B12" s="69"/>
      <c r="C12" s="69"/>
      <c r="D12" s="69"/>
      <c r="E12" s="69"/>
      <c r="F12" s="84"/>
    </row>
    <row r="13" spans="1:6" ht="21" customHeight="1" x14ac:dyDescent="0.25">
      <c r="A13" s="69"/>
      <c r="B13" s="69"/>
      <c r="C13" s="69"/>
      <c r="D13" s="69"/>
      <c r="E13" s="69"/>
      <c r="F13" s="84"/>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77</v>
      </c>
      <c r="C1" s="57" t="s">
        <v>28</v>
      </c>
      <c r="D1" s="64" t="s">
        <v>110</v>
      </c>
      <c r="E1" s="64" t="s">
        <v>111</v>
      </c>
      <c r="F1" s="64" t="s">
        <v>112</v>
      </c>
      <c r="G1" s="64" t="s">
        <v>113</v>
      </c>
      <c r="H1" s="64" t="s">
        <v>114</v>
      </c>
      <c r="I1" s="64" t="s">
        <v>115</v>
      </c>
      <c r="J1" s="64" t="s">
        <v>116</v>
      </c>
      <c r="K1" s="64" t="s">
        <v>117</v>
      </c>
      <c r="L1" s="64" t="s">
        <v>118</v>
      </c>
      <c r="M1" s="64" t="s">
        <v>119</v>
      </c>
      <c r="N1" s="101" t="s">
        <v>120</v>
      </c>
      <c r="O1" s="102" t="s">
        <v>95</v>
      </c>
    </row>
    <row r="2" spans="1:15" ht="21" customHeight="1" x14ac:dyDescent="0.25">
      <c r="A2" s="69">
        <v>9021</v>
      </c>
      <c r="B2" s="69">
        <f>INDEX(OfficialTeamList[Pod Number],MATCH(InnovationProjectResults[[#This Row],[Team Number]], OfficialTeamList[Team Number],0))</f>
        <v>1</v>
      </c>
      <c r="C2" s="104" t="str">
        <f>INDEX(OfficialTeamList[Team Name],MATCH(InnovationProjectResults[[#This Row],[Team Number]], OfficialTeamList[Team Number],0))</f>
        <v>Greenbrier Panthers</v>
      </c>
      <c r="D2" s="70">
        <v>3</v>
      </c>
      <c r="E2" s="70">
        <v>4</v>
      </c>
      <c r="F2" s="70">
        <v>4</v>
      </c>
      <c r="G2" s="70">
        <v>1</v>
      </c>
      <c r="H2" s="70">
        <v>1</v>
      </c>
      <c r="I2" s="70">
        <v>3</v>
      </c>
      <c r="J2" s="70">
        <v>2</v>
      </c>
      <c r="K2" s="70">
        <v>2</v>
      </c>
      <c r="L2" s="70">
        <v>2</v>
      </c>
      <c r="M2" s="70">
        <v>2</v>
      </c>
      <c r="N2" s="83">
        <f>SUM(InnovationProjectResults[[#This Row],[Identify - Define]:[Communicate - Fun (CV)]])</f>
        <v>24</v>
      </c>
      <c r="O2" s="73">
        <f>_xlfn.RANK.EQ(InnovationProjectResults[[#This Row],[Innovation Project Score]],InnovationProjectResults[Innovation Project Score],0)</f>
        <v>4</v>
      </c>
    </row>
    <row r="3" spans="1:15" ht="21" customHeight="1" x14ac:dyDescent="0.25">
      <c r="A3" s="69">
        <v>62149</v>
      </c>
      <c r="B3" s="69">
        <f>INDEX(OfficialTeamList[Pod Number],MATCH(InnovationProjectResults[[#This Row],[Team Number]], OfficialTeamList[Team Number],0))</f>
        <v>0</v>
      </c>
      <c r="C3" s="104" t="str">
        <f>INDEX(OfficialTeamList[Team Name],MATCH(InnovationProjectResults[[#This Row],[Team Number]], OfficialTeamList[Team Number],0))</f>
        <v>Dynamite Dolphins</v>
      </c>
      <c r="D3" s="70">
        <v>3</v>
      </c>
      <c r="E3" s="70">
        <v>2</v>
      </c>
      <c r="F3" s="70">
        <v>2</v>
      </c>
      <c r="G3" s="70">
        <v>2</v>
      </c>
      <c r="H3" s="70">
        <v>2</v>
      </c>
      <c r="I3" s="70">
        <v>4</v>
      </c>
      <c r="J3" s="70">
        <v>3</v>
      </c>
      <c r="K3" s="70">
        <v>2</v>
      </c>
      <c r="L3" s="70">
        <v>3</v>
      </c>
      <c r="M3" s="70">
        <v>3</v>
      </c>
      <c r="N3" s="83">
        <f>SUM(InnovationProjectResults[[#This Row],[Identify - Define]:[Communicate - Fun (CV)]])</f>
        <v>26</v>
      </c>
      <c r="O3" s="73">
        <f>_xlfn.RANK.EQ(InnovationProjectResults[[#This Row],[Innovation Project Score]],InnovationProjectResults[Innovation Project Score],0)</f>
        <v>2</v>
      </c>
    </row>
    <row r="4" spans="1:15" ht="21" customHeight="1" x14ac:dyDescent="0.25">
      <c r="A4" s="69">
        <v>62706</v>
      </c>
      <c r="B4" s="69">
        <f>INDEX(OfficialTeamList[Pod Number],MATCH(InnovationProjectResults[[#This Row],[Team Number]], OfficialTeamList[Team Number],0))</f>
        <v>0</v>
      </c>
      <c r="C4" s="104" t="str">
        <f>INDEX(OfficialTeamList[Team Name],MATCH(InnovationProjectResults[[#This Row],[Team Number]], OfficialTeamList[Team Number],0))</f>
        <v>OLMC Aquinas</v>
      </c>
      <c r="D4" s="70">
        <v>1</v>
      </c>
      <c r="E4" s="70">
        <v>4</v>
      </c>
      <c r="F4" s="70">
        <v>4</v>
      </c>
      <c r="G4" s="70">
        <v>1</v>
      </c>
      <c r="H4" s="70">
        <v>3</v>
      </c>
      <c r="I4" s="70">
        <v>2</v>
      </c>
      <c r="J4" s="70">
        <v>1</v>
      </c>
      <c r="K4" s="70">
        <v>2</v>
      </c>
      <c r="L4" s="70">
        <v>4</v>
      </c>
      <c r="M4" s="70">
        <v>3</v>
      </c>
      <c r="N4" s="83">
        <f>SUM(InnovationProjectResults[[#This Row],[Identify - Define]:[Communicate - Fun (CV)]])</f>
        <v>25</v>
      </c>
      <c r="O4" s="73">
        <f>_xlfn.RANK.EQ(InnovationProjectResults[[#This Row],[Innovation Project Score]],InnovationProjectResults[Innovation Project Score],0)</f>
        <v>3</v>
      </c>
    </row>
    <row r="5" spans="1:15" ht="21" customHeight="1" x14ac:dyDescent="0.25">
      <c r="A5" s="69">
        <v>73002</v>
      </c>
      <c r="B5" s="69">
        <f>INDEX(OfficialTeamList[Pod Number],MATCH(InnovationProjectResults[[#This Row],[Team Number]], OfficialTeamList[Team Number],0))</f>
        <v>0</v>
      </c>
      <c r="C5" s="104" t="str">
        <f>INDEX(OfficialTeamList[Team Name],MATCH(InnovationProjectResults[[#This Row],[Team Number]], OfficialTeamList[Team Number],0))</f>
        <v>MCH Monarchs</v>
      </c>
      <c r="D5" s="70">
        <v>3</v>
      </c>
      <c r="E5" s="70">
        <v>1</v>
      </c>
      <c r="F5" s="70">
        <v>4</v>
      </c>
      <c r="G5" s="70">
        <v>2</v>
      </c>
      <c r="H5" s="70">
        <v>1</v>
      </c>
      <c r="I5" s="70">
        <v>2</v>
      </c>
      <c r="J5" s="70">
        <v>2</v>
      </c>
      <c r="K5" s="70">
        <v>3</v>
      </c>
      <c r="L5" s="70">
        <v>1</v>
      </c>
      <c r="M5" s="70">
        <v>3</v>
      </c>
      <c r="N5" s="83">
        <f>SUM(InnovationProjectResults[[#This Row],[Identify - Define]:[Communicate - Fun (CV)]])</f>
        <v>22</v>
      </c>
      <c r="O5" s="73">
        <f>_xlfn.RANK.EQ(InnovationProjectResults[[#This Row],[Innovation Project Score]],InnovationProjectResults[Innovation Project Score],0)</f>
        <v>5</v>
      </c>
    </row>
    <row r="6" spans="1:15" ht="21" customHeight="1" x14ac:dyDescent="0.25">
      <c r="A6" s="69">
        <v>73106</v>
      </c>
      <c r="B6" s="69">
        <f>INDEX(OfficialTeamList[Pod Number],MATCH(InnovationProjectResults[[#This Row],[Team Number]], OfficialTeamList[Team Number],0))</f>
        <v>0</v>
      </c>
      <c r="C6" s="104" t="str">
        <f>INDEX(OfficialTeamList[Team Name],MATCH(InnovationProjectResults[[#This Row],[Team Number]], OfficialTeamList[Team Number],0))</f>
        <v>Kempsville Dino-Nuggets</v>
      </c>
      <c r="D6" s="70">
        <v>3</v>
      </c>
      <c r="E6" s="70">
        <v>4</v>
      </c>
      <c r="F6" s="70">
        <v>2</v>
      </c>
      <c r="G6" s="70">
        <v>3</v>
      </c>
      <c r="H6" s="70">
        <v>1</v>
      </c>
      <c r="I6" s="70">
        <v>2</v>
      </c>
      <c r="J6" s="70">
        <v>2</v>
      </c>
      <c r="K6" s="70">
        <v>3</v>
      </c>
      <c r="L6" s="70">
        <v>4</v>
      </c>
      <c r="M6" s="70">
        <v>3</v>
      </c>
      <c r="N6" s="83">
        <f>SUM(InnovationProjectResults[[#This Row],[Identify - Define]:[Communicate - Fun (CV)]])</f>
        <v>27</v>
      </c>
      <c r="O6" s="73">
        <f>_xlfn.RANK.EQ(InnovationProjectResults[[#This Row],[Innovation Project Score]],InnovationProjectResults[Innovation Project Score],0)</f>
        <v>1</v>
      </c>
    </row>
    <row r="7" spans="1:15" ht="21" customHeight="1" x14ac:dyDescent="0.25"/>
    <row r="8" spans="1:15" ht="21" customHeight="1" x14ac:dyDescent="0.25"/>
    <row r="9" spans="1:15" ht="21" customHeight="1" x14ac:dyDescent="0.25"/>
    <row r="10" spans="1:15" ht="21" customHeight="1" x14ac:dyDescent="0.25"/>
    <row r="11" spans="1:15" ht="21" customHeight="1" x14ac:dyDescent="0.25"/>
    <row r="12" spans="1:15" ht="21" customHeight="1" x14ac:dyDescent="0.25"/>
    <row r="13" spans="1:15" ht="21" customHeight="1" x14ac:dyDescent="0.25"/>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77</v>
      </c>
      <c r="C1" s="57" t="s">
        <v>28</v>
      </c>
      <c r="D1" s="63" t="s">
        <v>121</v>
      </c>
      <c r="E1" s="63" t="s">
        <v>111</v>
      </c>
      <c r="F1" s="63" t="s">
        <v>122</v>
      </c>
      <c r="G1" s="63" t="s">
        <v>123</v>
      </c>
      <c r="H1" s="63" t="s">
        <v>124</v>
      </c>
      <c r="I1" s="63" t="s">
        <v>125</v>
      </c>
      <c r="J1" s="63" t="s">
        <v>126</v>
      </c>
      <c r="K1" s="63" t="s">
        <v>127</v>
      </c>
      <c r="L1" s="63" t="s">
        <v>118</v>
      </c>
      <c r="M1" s="63" t="s">
        <v>119</v>
      </c>
      <c r="N1" s="61" t="s">
        <v>102</v>
      </c>
      <c r="O1" s="62" t="s">
        <v>96</v>
      </c>
    </row>
    <row r="2" spans="1:15" ht="21" customHeight="1" x14ac:dyDescent="0.25">
      <c r="A2" s="69">
        <v>9021</v>
      </c>
      <c r="B2" s="69">
        <f>INDEX(OfficialTeamList[Pod Number],MATCH(RobotDesignResults[[#This Row],[Team Number]], OfficialTeamList[Team Number],0))</f>
        <v>1</v>
      </c>
      <c r="C2" s="104" t="str">
        <f>INDEX(OfficialTeamList[Team Name],MATCH(RobotDesignResults[[#This Row],[Team Number]], OfficialTeamList[Team Number],0))</f>
        <v>Greenbrier Panthers</v>
      </c>
      <c r="D2" s="70">
        <v>4</v>
      </c>
      <c r="E2" s="70">
        <v>2</v>
      </c>
      <c r="F2" s="70">
        <v>2</v>
      </c>
      <c r="G2" s="70">
        <v>4</v>
      </c>
      <c r="H2" s="70">
        <v>2</v>
      </c>
      <c r="I2" s="70">
        <v>2</v>
      </c>
      <c r="J2" s="70">
        <v>2</v>
      </c>
      <c r="K2" s="70">
        <v>2</v>
      </c>
      <c r="L2" s="70">
        <v>2</v>
      </c>
      <c r="M2" s="70">
        <v>2</v>
      </c>
      <c r="N2" s="83">
        <f>SUM(RobotDesignResults[[#This Row],[Identify - Strategy]:[Communicate - Fun (CV)]])</f>
        <v>24</v>
      </c>
      <c r="O2" s="73">
        <f>_xlfn.RANK.EQ(RobotDesignResults[[#This Row],[Robot Design Score]],RobotDesignResults[Robot Design Score],0)</f>
        <v>3</v>
      </c>
    </row>
    <row r="3" spans="1:15" ht="21" customHeight="1" x14ac:dyDescent="0.25">
      <c r="A3" s="69">
        <v>62149</v>
      </c>
      <c r="B3" s="69">
        <f>INDEX(OfficialTeamList[Pod Number],MATCH(RobotDesignResults[[#This Row],[Team Number]], OfficialTeamList[Team Number],0))</f>
        <v>0</v>
      </c>
      <c r="C3" s="104" t="str">
        <f>INDEX(OfficialTeamList[Team Name],MATCH(RobotDesignResults[[#This Row],[Team Number]], OfficialTeamList[Team Number],0))</f>
        <v>Dynamite Dolphins</v>
      </c>
      <c r="D3" s="70">
        <v>3</v>
      </c>
      <c r="E3" s="70">
        <v>2</v>
      </c>
      <c r="F3" s="70">
        <v>1</v>
      </c>
      <c r="G3" s="70">
        <v>2</v>
      </c>
      <c r="H3" s="70">
        <v>2</v>
      </c>
      <c r="I3" s="70">
        <v>3</v>
      </c>
      <c r="J3" s="70">
        <v>1</v>
      </c>
      <c r="K3" s="70">
        <v>1</v>
      </c>
      <c r="L3" s="70">
        <v>2</v>
      </c>
      <c r="M3" s="70">
        <v>4</v>
      </c>
      <c r="N3" s="83">
        <f>SUM(RobotDesignResults[[#This Row],[Identify - Strategy]:[Communicate - Fun (CV)]])</f>
        <v>21</v>
      </c>
      <c r="O3" s="73">
        <f>_xlfn.RANK.EQ(RobotDesignResults[[#This Row],[Robot Design Score]],RobotDesignResults[Robot Design Score],0)</f>
        <v>5</v>
      </c>
    </row>
    <row r="4" spans="1:15" ht="21" customHeight="1" x14ac:dyDescent="0.25">
      <c r="A4" s="69">
        <v>62706</v>
      </c>
      <c r="B4" s="69">
        <f>INDEX(OfficialTeamList[Pod Number],MATCH(RobotDesignResults[[#This Row],[Team Number]], OfficialTeamList[Team Number],0))</f>
        <v>0</v>
      </c>
      <c r="C4" s="104" t="str">
        <f>INDEX(OfficialTeamList[Team Name],MATCH(RobotDesignResults[[#This Row],[Team Number]], OfficialTeamList[Team Number],0))</f>
        <v>OLMC Aquinas</v>
      </c>
      <c r="D4" s="70">
        <v>4</v>
      </c>
      <c r="E4" s="70">
        <v>2</v>
      </c>
      <c r="F4" s="70">
        <v>2</v>
      </c>
      <c r="G4" s="70">
        <v>2</v>
      </c>
      <c r="H4" s="70">
        <v>3</v>
      </c>
      <c r="I4" s="70">
        <v>1</v>
      </c>
      <c r="J4" s="70">
        <v>2</v>
      </c>
      <c r="K4" s="70">
        <v>2</v>
      </c>
      <c r="L4" s="70">
        <v>2</v>
      </c>
      <c r="M4" s="70">
        <v>2</v>
      </c>
      <c r="N4" s="83">
        <f>SUM(RobotDesignResults[[#This Row],[Identify - Strategy]:[Communicate - Fun (CV)]])</f>
        <v>22</v>
      </c>
      <c r="O4" s="73">
        <f>_xlfn.RANK.EQ(RobotDesignResults[[#This Row],[Robot Design Score]],RobotDesignResults[Robot Design Score],0)</f>
        <v>4</v>
      </c>
    </row>
    <row r="5" spans="1:15" ht="21" customHeight="1" x14ac:dyDescent="0.25">
      <c r="A5" s="69">
        <v>73002</v>
      </c>
      <c r="B5" s="69">
        <f>INDEX(OfficialTeamList[Pod Number],MATCH(RobotDesignResults[[#This Row],[Team Number]], OfficialTeamList[Team Number],0))</f>
        <v>0</v>
      </c>
      <c r="C5" s="104" t="str">
        <f>INDEX(OfficialTeamList[Team Name],MATCH(RobotDesignResults[[#This Row],[Team Number]], OfficialTeamList[Team Number],0))</f>
        <v>MCH Monarchs</v>
      </c>
      <c r="D5" s="70">
        <v>3</v>
      </c>
      <c r="E5" s="70">
        <v>1</v>
      </c>
      <c r="F5" s="70">
        <v>4</v>
      </c>
      <c r="G5" s="70">
        <v>3</v>
      </c>
      <c r="H5" s="70">
        <v>3</v>
      </c>
      <c r="I5" s="70">
        <v>3</v>
      </c>
      <c r="J5" s="70">
        <v>2</v>
      </c>
      <c r="K5" s="70">
        <v>2</v>
      </c>
      <c r="L5" s="70">
        <v>3</v>
      </c>
      <c r="M5" s="70">
        <v>2</v>
      </c>
      <c r="N5" s="83">
        <f>SUM(RobotDesignResults[[#This Row],[Identify - Strategy]:[Communicate - Fun (CV)]])</f>
        <v>26</v>
      </c>
      <c r="O5" s="73">
        <f>_xlfn.RANK.EQ(RobotDesignResults[[#This Row],[Robot Design Score]],RobotDesignResults[Robot Design Score],0)</f>
        <v>1</v>
      </c>
    </row>
    <row r="6" spans="1:15" ht="21" customHeight="1" x14ac:dyDescent="0.25">
      <c r="A6" s="69">
        <v>73106</v>
      </c>
      <c r="B6" s="69">
        <f>INDEX(OfficialTeamList[Pod Number],MATCH(RobotDesignResults[[#This Row],[Team Number]], OfficialTeamList[Team Number],0))</f>
        <v>0</v>
      </c>
      <c r="C6" s="104" t="str">
        <f>INDEX(OfficialTeamList[Team Name],MATCH(RobotDesignResults[[#This Row],[Team Number]], OfficialTeamList[Team Number],0))</f>
        <v>Kempsville Dino-Nuggets</v>
      </c>
      <c r="D6" s="70">
        <v>4</v>
      </c>
      <c r="E6" s="70">
        <v>2</v>
      </c>
      <c r="F6" s="70">
        <v>1</v>
      </c>
      <c r="G6" s="70">
        <v>2</v>
      </c>
      <c r="H6" s="70">
        <v>1</v>
      </c>
      <c r="I6" s="70">
        <v>2</v>
      </c>
      <c r="J6" s="70">
        <v>2</v>
      </c>
      <c r="K6" s="70">
        <v>4</v>
      </c>
      <c r="L6" s="70">
        <v>3</v>
      </c>
      <c r="M6" s="70">
        <v>4</v>
      </c>
      <c r="N6" s="83">
        <f>SUM(RobotDesignResults[[#This Row],[Identify - Strategy]:[Communicate - Fun (CV)]])</f>
        <v>25</v>
      </c>
      <c r="O6" s="73">
        <f>_xlfn.RANK.EQ(RobotDesignResults[[#This Row],[Robot Design Score]],RobotDesignResults[Robot Design Score],0)</f>
        <v>2</v>
      </c>
    </row>
    <row r="7" spans="1:15" ht="21" customHeight="1" x14ac:dyDescent="0.25"/>
    <row r="8" spans="1:15" ht="21" customHeight="1" x14ac:dyDescent="0.25"/>
    <row r="9" spans="1:15" ht="21" customHeight="1" x14ac:dyDescent="0.25"/>
    <row r="10" spans="1:15" ht="21" customHeight="1" x14ac:dyDescent="0.25"/>
    <row r="11" spans="1:15" ht="21" customHeight="1" x14ac:dyDescent="0.25"/>
    <row r="12" spans="1:15" ht="21" customHeight="1" x14ac:dyDescent="0.25"/>
    <row r="13" spans="1:15" ht="21" customHeight="1" x14ac:dyDescent="0.25"/>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77</v>
      </c>
      <c r="C1" s="57" t="s">
        <v>28</v>
      </c>
      <c r="D1" s="66" t="s">
        <v>128</v>
      </c>
      <c r="E1" s="66" t="s">
        <v>129</v>
      </c>
      <c r="F1" s="66" t="s">
        <v>130</v>
      </c>
      <c r="G1" s="66" t="s">
        <v>131</v>
      </c>
      <c r="H1" s="66" t="s">
        <v>132</v>
      </c>
      <c r="I1" s="66" t="s">
        <v>133</v>
      </c>
      <c r="J1" s="66" t="s">
        <v>134</v>
      </c>
      <c r="K1" s="66" t="s">
        <v>135</v>
      </c>
      <c r="L1" s="66" t="s">
        <v>136</v>
      </c>
      <c r="M1" s="66" t="s">
        <v>137</v>
      </c>
      <c r="N1" s="67" t="s">
        <v>138</v>
      </c>
      <c r="O1" s="67" t="s">
        <v>139</v>
      </c>
      <c r="P1" s="67" t="s">
        <v>140</v>
      </c>
      <c r="Q1" s="67" t="s">
        <v>141</v>
      </c>
      <c r="R1" s="68" t="s">
        <v>142</v>
      </c>
      <c r="S1" s="68" t="s">
        <v>100</v>
      </c>
      <c r="T1" s="68" t="s">
        <v>94</v>
      </c>
      <c r="Y1" s="33"/>
    </row>
    <row r="2" spans="1:25" ht="21" customHeight="1" x14ac:dyDescent="0.25">
      <c r="A2" s="69">
        <v>9021</v>
      </c>
      <c r="B2" s="69">
        <f>INDEX(OfficialTeamList[Pod Number],MATCH(CoreValuesResults[[#This Row],[Team Number]], OfficialTeamList[Team Number],0))</f>
        <v>1</v>
      </c>
      <c r="C2" s="104" t="str">
        <f>INDEX(OfficialTeamList[Team Name],MATCH(CoreValuesResults[[#This Row],[Team Number]], OfficialTeamList[Team Number],0))</f>
        <v>Greenbrier Panthers</v>
      </c>
      <c r="D2" s="77">
        <f>INDEX(InnovationProjectResults[Identify - Research (CV)],MATCH(CoreValuesResults[[#This Row],[Team Number]],InnovationProjectResults[Team Number],0))</f>
        <v>4</v>
      </c>
      <c r="E2" s="77">
        <f>INDEX(InnovationProjectResults[Design - Teamwork (CV)],MATCH(CoreValuesResults[[#This Row],[Team Number]],InnovationProjectResults[Team Number],0))</f>
        <v>1</v>
      </c>
      <c r="F2" s="77">
        <f>INDEX(InnovationProjectResults[Create - Innovation (CV)],MATCH(CoreValuesResults[[#This Row],[Team Number]],InnovationProjectResults[Team Number],0))</f>
        <v>1</v>
      </c>
      <c r="G2" s="77">
        <f>INDEX(InnovationProjectResults[Communicate - Impact (CV)],MATCH(CoreValuesResults[[#This Row],[Team Number]],InnovationProjectResults[Team Number],0))</f>
        <v>2</v>
      </c>
      <c r="H2" s="77">
        <f>INDEX(InnovationProjectResults[Communicate - Fun (CV)],MATCH(CoreValuesResults[[#This Row],[Team Number]],InnovationProjectResults[Team Number],0))</f>
        <v>2</v>
      </c>
      <c r="I2" s="77">
        <f>INDEX(RobotDesignResults[Identify - Research (CV)],MATCH(CoreValuesResults[[#This Row],[Team Number]],RobotDesignResults[Team Number],0))</f>
        <v>2</v>
      </c>
      <c r="J2" s="77">
        <f>INDEX(RobotDesignResults[Design - Ideas (CV)],MATCH(CoreValuesResults[[#This Row],[Team Number]],RobotDesignResults[Team Number],0))</f>
        <v>2</v>
      </c>
      <c r="K2" s="77">
        <f>INDEX(RobotDesignResults[Iterate - Improvements (CV)],MATCH(CoreValuesResults[[#This Row],[Team Number]],RobotDesignResults[Team Number],0))</f>
        <v>2</v>
      </c>
      <c r="L2" s="77">
        <f>INDEX(RobotDesignResults[Communicate - Impact (CV)],MATCH(CoreValuesResults[[#This Row],[Team Number]],RobotDesignResults[Team Number],0))</f>
        <v>2</v>
      </c>
      <c r="M2" s="77">
        <f>INDEX(RobotDesignResults[Communicate - Fun (CV)],MATCH(CoreValuesResults[[#This Row],[Team Number]],RobotDesignResults[Team Number],0))</f>
        <v>2</v>
      </c>
      <c r="N2" s="86">
        <v>2</v>
      </c>
      <c r="O2" s="86">
        <v>3</v>
      </c>
      <c r="P2" s="86">
        <v>3</v>
      </c>
      <c r="Q2" s="69">
        <f>SUM(CoreValuesResults[[#This Row],[Gracious Professionalism 1]:[Gracious Professionalism 3]])</f>
        <v>8</v>
      </c>
      <c r="R2" s="69">
        <f>SUM(N2:Q2)</f>
        <v>16</v>
      </c>
      <c r="S2" s="83">
        <f>SUM(CoreValuesResults[[#This Row],[Identify - Research (CV-IP)]:[Communicate - Fun (CV-RD)]],CoreValuesResults[[#This Row],[Gracious Professionalism Score]])</f>
        <v>36</v>
      </c>
      <c r="T2" s="73">
        <f>_xlfn.RANK.EQ(CoreValuesResults[[#This Row],[Core Values Score]],CoreValuesResults[Core Values Score],0)</f>
        <v>4</v>
      </c>
    </row>
    <row r="3" spans="1:25" ht="21" customHeight="1" x14ac:dyDescent="0.25">
      <c r="A3" s="69">
        <v>62149</v>
      </c>
      <c r="B3" s="69">
        <f>INDEX(OfficialTeamList[Pod Number],MATCH(CoreValuesResults[[#This Row],[Team Number]], OfficialTeamList[Team Number],0))</f>
        <v>0</v>
      </c>
      <c r="C3" s="104" t="str">
        <f>INDEX(OfficialTeamList[Team Name],MATCH(CoreValuesResults[[#This Row],[Team Number]], OfficialTeamList[Team Number],0))</f>
        <v>Dynamite Dolphins</v>
      </c>
      <c r="D3" s="77">
        <f>INDEX(InnovationProjectResults[Identify - Research (CV)],MATCH(CoreValuesResults[[#This Row],[Team Number]],InnovationProjectResults[Team Number],0))</f>
        <v>2</v>
      </c>
      <c r="E3" s="77">
        <f>INDEX(InnovationProjectResults[Design - Teamwork (CV)],MATCH(CoreValuesResults[[#This Row],[Team Number]],InnovationProjectResults[Team Number],0))</f>
        <v>2</v>
      </c>
      <c r="F3" s="77">
        <f>INDEX(InnovationProjectResults[Create - Innovation (CV)],MATCH(CoreValuesResults[[#This Row],[Team Number]],InnovationProjectResults[Team Number],0))</f>
        <v>2</v>
      </c>
      <c r="G3" s="77">
        <f>INDEX(InnovationProjectResults[Communicate - Impact (CV)],MATCH(CoreValuesResults[[#This Row],[Team Number]],InnovationProjectResults[Team Number],0))</f>
        <v>3</v>
      </c>
      <c r="H3" s="77">
        <f>INDEX(InnovationProjectResults[Communicate - Fun (CV)],MATCH(CoreValuesResults[[#This Row],[Team Number]],InnovationProjectResults[Team Number],0))</f>
        <v>3</v>
      </c>
      <c r="I3" s="77">
        <f>INDEX(RobotDesignResults[Identify - Research (CV)],MATCH(CoreValuesResults[[#This Row],[Team Number]],RobotDesignResults[Team Number],0))</f>
        <v>2</v>
      </c>
      <c r="J3" s="77">
        <f>INDEX(RobotDesignResults[Design - Ideas (CV)],MATCH(CoreValuesResults[[#This Row],[Team Number]],RobotDesignResults[Team Number],0))</f>
        <v>1</v>
      </c>
      <c r="K3" s="77">
        <f>INDEX(RobotDesignResults[Iterate - Improvements (CV)],MATCH(CoreValuesResults[[#This Row],[Team Number]],RobotDesignResults[Team Number],0))</f>
        <v>1</v>
      </c>
      <c r="L3" s="77">
        <f>INDEX(RobotDesignResults[Communicate - Impact (CV)],MATCH(CoreValuesResults[[#This Row],[Team Number]],RobotDesignResults[Team Number],0))</f>
        <v>2</v>
      </c>
      <c r="M3" s="77">
        <f>INDEX(RobotDesignResults[Communicate - Fun (CV)],MATCH(CoreValuesResults[[#This Row],[Team Number]],RobotDesignResults[Team Number],0))</f>
        <v>4</v>
      </c>
      <c r="N3" s="86">
        <v>3</v>
      </c>
      <c r="O3" s="86">
        <v>4</v>
      </c>
      <c r="P3" s="86">
        <v>3</v>
      </c>
      <c r="Q3" s="69">
        <f>SUM(CoreValuesResults[[#This Row],[Gracious Professionalism 1]:[Gracious Professionalism 3]])</f>
        <v>10</v>
      </c>
      <c r="R3" s="69">
        <f>SUM(N3:Q3)</f>
        <v>20</v>
      </c>
      <c r="S3" s="83">
        <f>SUM(CoreValuesResults[[#This Row],[Identify - Research (CV-IP)]:[Communicate - Fun (CV-RD)]],CoreValuesResults[[#This Row],[Gracious Professionalism Score]])</f>
        <v>42</v>
      </c>
      <c r="T3" s="73">
        <f>_xlfn.RANK.EQ(CoreValuesResults[[#This Row],[Core Values Score]],CoreValuesResults[Core Values Score],0)</f>
        <v>3</v>
      </c>
    </row>
    <row r="4" spans="1:25" ht="21" customHeight="1" x14ac:dyDescent="0.25">
      <c r="A4" s="69">
        <v>62706</v>
      </c>
      <c r="B4" s="69">
        <f>INDEX(OfficialTeamList[Pod Number],MATCH(CoreValuesResults[[#This Row],[Team Number]], OfficialTeamList[Team Number],0))</f>
        <v>0</v>
      </c>
      <c r="C4" s="104" t="str">
        <f>INDEX(OfficialTeamList[Team Name],MATCH(CoreValuesResults[[#This Row],[Team Number]], OfficialTeamList[Team Number],0))</f>
        <v>OLMC Aquinas</v>
      </c>
      <c r="D4" s="77">
        <f>INDEX(InnovationProjectResults[Identify - Research (CV)],MATCH(CoreValuesResults[[#This Row],[Team Number]],InnovationProjectResults[Team Number],0))</f>
        <v>4</v>
      </c>
      <c r="E4" s="77">
        <f>INDEX(InnovationProjectResults[Design - Teamwork (CV)],MATCH(CoreValuesResults[[#This Row],[Team Number]],InnovationProjectResults[Team Number],0))</f>
        <v>1</v>
      </c>
      <c r="F4" s="77">
        <f>INDEX(InnovationProjectResults[Create - Innovation (CV)],MATCH(CoreValuesResults[[#This Row],[Team Number]],InnovationProjectResults[Team Number],0))</f>
        <v>3</v>
      </c>
      <c r="G4" s="77">
        <f>INDEX(InnovationProjectResults[Communicate - Impact (CV)],MATCH(CoreValuesResults[[#This Row],[Team Number]],InnovationProjectResults[Team Number],0))</f>
        <v>4</v>
      </c>
      <c r="H4" s="77">
        <f>INDEX(InnovationProjectResults[Communicate - Fun (CV)],MATCH(CoreValuesResults[[#This Row],[Team Number]],InnovationProjectResults[Team Number],0))</f>
        <v>3</v>
      </c>
      <c r="I4" s="77">
        <f>INDEX(RobotDesignResults[Identify - Research (CV)],MATCH(CoreValuesResults[[#This Row],[Team Number]],RobotDesignResults[Team Number],0))</f>
        <v>2</v>
      </c>
      <c r="J4" s="77">
        <f>INDEX(RobotDesignResults[Design - Ideas (CV)],MATCH(CoreValuesResults[[#This Row],[Team Number]],RobotDesignResults[Team Number],0))</f>
        <v>2</v>
      </c>
      <c r="K4" s="77">
        <f>INDEX(RobotDesignResults[Iterate - Improvements (CV)],MATCH(CoreValuesResults[[#This Row],[Team Number]],RobotDesignResults[Team Number],0))</f>
        <v>2</v>
      </c>
      <c r="L4" s="77">
        <f>INDEX(RobotDesignResults[Communicate - Impact (CV)],MATCH(CoreValuesResults[[#This Row],[Team Number]],RobotDesignResults[Team Number],0))</f>
        <v>2</v>
      </c>
      <c r="M4" s="77">
        <f>INDEX(RobotDesignResults[Communicate - Fun (CV)],MATCH(CoreValuesResults[[#This Row],[Team Number]],RobotDesignResults[Team Number],0))</f>
        <v>2</v>
      </c>
      <c r="N4" s="86">
        <v>4</v>
      </c>
      <c r="O4" s="86">
        <v>4</v>
      </c>
      <c r="P4" s="86">
        <v>3</v>
      </c>
      <c r="Q4" s="69">
        <f>SUM(CoreValuesResults[[#This Row],[Gracious Professionalism 1]:[Gracious Professionalism 3]])</f>
        <v>11</v>
      </c>
      <c r="R4" s="69">
        <f>SUM(N4:Q4)</f>
        <v>22</v>
      </c>
      <c r="S4" s="83">
        <f>SUM(CoreValuesResults[[#This Row],[Identify - Research (CV-IP)]:[Communicate - Fun (CV-RD)]],CoreValuesResults[[#This Row],[Gracious Professionalism Score]])</f>
        <v>47</v>
      </c>
      <c r="T4" s="73">
        <f>_xlfn.RANK.EQ(CoreValuesResults[[#This Row],[Core Values Score]],CoreValuesResults[Core Values Score],0)</f>
        <v>2</v>
      </c>
    </row>
    <row r="5" spans="1:25" ht="21" customHeight="1" x14ac:dyDescent="0.25">
      <c r="A5" s="69">
        <v>73002</v>
      </c>
      <c r="B5" s="69">
        <f>INDEX(OfficialTeamList[Pod Number],MATCH(CoreValuesResults[[#This Row],[Team Number]], OfficialTeamList[Team Number],0))</f>
        <v>0</v>
      </c>
      <c r="C5" s="104" t="str">
        <f>INDEX(OfficialTeamList[Team Name],MATCH(CoreValuesResults[[#This Row],[Team Number]], OfficialTeamList[Team Number],0))</f>
        <v>MCH Monarchs</v>
      </c>
      <c r="D5" s="77">
        <f>INDEX(InnovationProjectResults[Identify - Research (CV)],MATCH(CoreValuesResults[[#This Row],[Team Number]],InnovationProjectResults[Team Number],0))</f>
        <v>1</v>
      </c>
      <c r="E5" s="77">
        <f>INDEX(InnovationProjectResults[Design - Teamwork (CV)],MATCH(CoreValuesResults[[#This Row],[Team Number]],InnovationProjectResults[Team Number],0))</f>
        <v>2</v>
      </c>
      <c r="F5" s="77">
        <f>INDEX(InnovationProjectResults[Create - Innovation (CV)],MATCH(CoreValuesResults[[#This Row],[Team Number]],InnovationProjectResults[Team Number],0))</f>
        <v>1</v>
      </c>
      <c r="G5" s="77">
        <f>INDEX(InnovationProjectResults[Communicate - Impact (CV)],MATCH(CoreValuesResults[[#This Row],[Team Number]],InnovationProjectResults[Team Number],0))</f>
        <v>1</v>
      </c>
      <c r="H5" s="77">
        <f>INDEX(InnovationProjectResults[Communicate - Fun (CV)],MATCH(CoreValuesResults[[#This Row],[Team Number]],InnovationProjectResults[Team Number],0))</f>
        <v>3</v>
      </c>
      <c r="I5" s="77">
        <f>INDEX(RobotDesignResults[Identify - Research (CV)],MATCH(CoreValuesResults[[#This Row],[Team Number]],RobotDesignResults[Team Number],0))</f>
        <v>1</v>
      </c>
      <c r="J5" s="77">
        <f>INDEX(RobotDesignResults[Design - Ideas (CV)],MATCH(CoreValuesResults[[#This Row],[Team Number]],RobotDesignResults[Team Number],0))</f>
        <v>4</v>
      </c>
      <c r="K5" s="77">
        <f>INDEX(RobotDesignResults[Iterate - Improvements (CV)],MATCH(CoreValuesResults[[#This Row],[Team Number]],RobotDesignResults[Team Number],0))</f>
        <v>2</v>
      </c>
      <c r="L5" s="77">
        <f>INDEX(RobotDesignResults[Communicate - Impact (CV)],MATCH(CoreValuesResults[[#This Row],[Team Number]],RobotDesignResults[Team Number],0))</f>
        <v>3</v>
      </c>
      <c r="M5" s="77">
        <f>INDEX(RobotDesignResults[Communicate - Fun (CV)],MATCH(CoreValuesResults[[#This Row],[Team Number]],RobotDesignResults[Team Number],0))</f>
        <v>2</v>
      </c>
      <c r="N5" s="86">
        <v>3</v>
      </c>
      <c r="O5" s="86">
        <v>2</v>
      </c>
      <c r="P5" s="86">
        <v>2</v>
      </c>
      <c r="Q5" s="69">
        <f>SUM(CoreValuesResults[[#This Row],[Gracious Professionalism 1]:[Gracious Professionalism 3]])</f>
        <v>7</v>
      </c>
      <c r="R5" s="69">
        <f>SUM(N5:Q5)</f>
        <v>14</v>
      </c>
      <c r="S5" s="83">
        <f>SUM(CoreValuesResults[[#This Row],[Identify - Research (CV-IP)]:[Communicate - Fun (CV-RD)]],CoreValuesResults[[#This Row],[Gracious Professionalism Score]])</f>
        <v>34</v>
      </c>
      <c r="T5" s="73">
        <f>_xlfn.RANK.EQ(CoreValuesResults[[#This Row],[Core Values Score]],CoreValuesResults[Core Values Score],0)</f>
        <v>5</v>
      </c>
    </row>
    <row r="6" spans="1:25" ht="21" customHeight="1" x14ac:dyDescent="0.25">
      <c r="A6" s="69">
        <v>73106</v>
      </c>
      <c r="B6" s="69">
        <f>INDEX(OfficialTeamList[Pod Number],MATCH(CoreValuesResults[[#This Row],[Team Number]], OfficialTeamList[Team Number],0))</f>
        <v>0</v>
      </c>
      <c r="C6" s="104" t="str">
        <f>INDEX(OfficialTeamList[Team Name],MATCH(CoreValuesResults[[#This Row],[Team Number]], OfficialTeamList[Team Number],0))</f>
        <v>Kempsville Dino-Nuggets</v>
      </c>
      <c r="D6" s="77">
        <f>INDEX(InnovationProjectResults[Identify - Research (CV)],MATCH(CoreValuesResults[[#This Row],[Team Number]],InnovationProjectResults[Team Number],0))</f>
        <v>4</v>
      </c>
      <c r="E6" s="77">
        <f>INDEX(InnovationProjectResults[Design - Teamwork (CV)],MATCH(CoreValuesResults[[#This Row],[Team Number]],InnovationProjectResults[Team Number],0))</f>
        <v>3</v>
      </c>
      <c r="F6" s="77">
        <f>INDEX(InnovationProjectResults[Create - Innovation (CV)],MATCH(CoreValuesResults[[#This Row],[Team Number]],InnovationProjectResults[Team Number],0))</f>
        <v>1</v>
      </c>
      <c r="G6" s="77">
        <f>INDEX(InnovationProjectResults[Communicate - Impact (CV)],MATCH(CoreValuesResults[[#This Row],[Team Number]],InnovationProjectResults[Team Number],0))</f>
        <v>4</v>
      </c>
      <c r="H6" s="77">
        <f>INDEX(InnovationProjectResults[Communicate - Fun (CV)],MATCH(CoreValuesResults[[#This Row],[Team Number]],InnovationProjectResults[Team Number],0))</f>
        <v>3</v>
      </c>
      <c r="I6" s="77">
        <f>INDEX(RobotDesignResults[Identify - Research (CV)],MATCH(CoreValuesResults[[#This Row],[Team Number]],RobotDesignResults[Team Number],0))</f>
        <v>2</v>
      </c>
      <c r="J6" s="77">
        <f>INDEX(RobotDesignResults[Design - Ideas (CV)],MATCH(CoreValuesResults[[#This Row],[Team Number]],RobotDesignResults[Team Number],0))</f>
        <v>1</v>
      </c>
      <c r="K6" s="77">
        <f>INDEX(RobotDesignResults[Iterate - Improvements (CV)],MATCH(CoreValuesResults[[#This Row],[Team Number]],RobotDesignResults[Team Number],0))</f>
        <v>4</v>
      </c>
      <c r="L6" s="77">
        <f>INDEX(RobotDesignResults[Communicate - Impact (CV)],MATCH(CoreValuesResults[[#This Row],[Team Number]],RobotDesignResults[Team Number],0))</f>
        <v>3</v>
      </c>
      <c r="M6" s="77">
        <f>INDEX(RobotDesignResults[Communicate - Fun (CV)],MATCH(CoreValuesResults[[#This Row],[Team Number]],RobotDesignResults[Team Number],0))</f>
        <v>4</v>
      </c>
      <c r="N6" s="86">
        <v>3</v>
      </c>
      <c r="O6" s="86">
        <v>4</v>
      </c>
      <c r="P6" s="86">
        <v>4</v>
      </c>
      <c r="Q6" s="69">
        <f>SUM(CoreValuesResults[[#This Row],[Gracious Professionalism 1]:[Gracious Professionalism 3]])</f>
        <v>11</v>
      </c>
      <c r="R6" s="69">
        <f>SUM(N6:Q6)</f>
        <v>22</v>
      </c>
      <c r="S6" s="83">
        <f>SUM(CoreValuesResults[[#This Row],[Identify - Research (CV-IP)]:[Communicate - Fun (CV-RD)]],CoreValuesResults[[#This Row],[Gracious Professionalism Score]])</f>
        <v>51</v>
      </c>
      <c r="T6" s="73">
        <f>_xlfn.RANK.EQ(CoreValuesResults[[#This Row],[Core Values Score]],CoreValuesResults[Core Values Score],0)</f>
        <v>1</v>
      </c>
    </row>
    <row r="7" spans="1:25" ht="21" customHeight="1" x14ac:dyDescent="0.25"/>
    <row r="8" spans="1:25" ht="21" customHeight="1" x14ac:dyDescent="0.25"/>
    <row r="9" spans="1:25" ht="21" customHeight="1" x14ac:dyDescent="0.25"/>
    <row r="10" spans="1:25" ht="21" customHeight="1" x14ac:dyDescent="0.25"/>
    <row r="11" spans="1:25" ht="21" customHeight="1" x14ac:dyDescent="0.25"/>
    <row r="12" spans="1:25" ht="21" customHeight="1" x14ac:dyDescent="0.25"/>
    <row r="13" spans="1:25" ht="21" customHeight="1" x14ac:dyDescent="0.25"/>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143</v>
      </c>
      <c r="B1" s="26" t="s">
        <v>144</v>
      </c>
      <c r="C1" s="26" t="s">
        <v>145</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146</v>
      </c>
      <c r="G2" s="5" t="s">
        <v>147</v>
      </c>
    </row>
    <row r="3" spans="2:10" ht="39.950000000000003" customHeight="1" x14ac:dyDescent="0.25">
      <c r="B3" s="10" t="s">
        <v>27</v>
      </c>
      <c r="C3" s="10" t="s">
        <v>28</v>
      </c>
      <c r="D3" s="11" t="s">
        <v>98</v>
      </c>
      <c r="E3" s="11" t="s">
        <v>148</v>
      </c>
      <c r="G3" s="20" t="s">
        <v>27</v>
      </c>
      <c r="H3" s="20" t="s">
        <v>28</v>
      </c>
      <c r="I3" s="21" t="s">
        <v>98</v>
      </c>
      <c r="J3" s="21" t="s">
        <v>148</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61</v>
      </c>
      <c r="G20" s="5" t="s">
        <v>62</v>
      </c>
      <c r="L20" s="5" t="s">
        <v>60</v>
      </c>
    </row>
    <row r="21" spans="2:15" ht="39.950000000000003" customHeight="1" x14ac:dyDescent="0.25">
      <c r="B21" s="14" t="s">
        <v>27</v>
      </c>
      <c r="C21" s="14" t="s">
        <v>28</v>
      </c>
      <c r="D21" s="15" t="s">
        <v>94</v>
      </c>
      <c r="E21" s="15" t="s">
        <v>148</v>
      </c>
      <c r="G21" s="18" t="s">
        <v>27</v>
      </c>
      <c r="H21" s="18" t="s">
        <v>28</v>
      </c>
      <c r="I21" s="19" t="s">
        <v>96</v>
      </c>
      <c r="J21" s="19" t="s">
        <v>148</v>
      </c>
      <c r="L21" s="16" t="s">
        <v>27</v>
      </c>
      <c r="M21" s="16" t="s">
        <v>28</v>
      </c>
      <c r="N21" s="17" t="s">
        <v>95</v>
      </c>
      <c r="O21" s="17" t="s">
        <v>148</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149</v>
      </c>
      <c r="G38" s="5" t="s">
        <v>150</v>
      </c>
      <c r="L38" s="5" t="s">
        <v>151</v>
      </c>
    </row>
    <row r="39" spans="2:15" ht="39.950000000000003" customHeight="1" x14ac:dyDescent="0.25">
      <c r="B39" s="12" t="s">
        <v>27</v>
      </c>
      <c r="C39" s="12" t="s">
        <v>28</v>
      </c>
      <c r="D39" s="13" t="s">
        <v>98</v>
      </c>
      <c r="E39" s="13" t="s">
        <v>148</v>
      </c>
      <c r="G39" s="12" t="s">
        <v>27</v>
      </c>
      <c r="H39" s="12" t="s">
        <v>28</v>
      </c>
      <c r="I39" s="13" t="s">
        <v>98</v>
      </c>
      <c r="J39" s="13" t="s">
        <v>148</v>
      </c>
      <c r="L39" s="12" t="s">
        <v>27</v>
      </c>
      <c r="M39" s="12" t="s">
        <v>28</v>
      </c>
      <c r="N39" s="13" t="s">
        <v>98</v>
      </c>
      <c r="O39" s="13" t="s">
        <v>148</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2025-11-22T23:35:13Z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