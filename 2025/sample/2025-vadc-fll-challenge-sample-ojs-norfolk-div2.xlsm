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f561baa7cdd441c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github-projects\OJS_Script_maker_NG\2025\tournaments\smaple\"/>
    </mc:Choice>
  </mc:AlternateContent>
  <xr:revisionPtr revIDLastSave="0" documentId="13_ncr:1_{3BBB262B-4CE8-48D6-83AC-6C795944E10D}" xr6:coauthVersionLast="47" xr6:coauthVersionMax="47" xr10:uidLastSave="{00000000-0000-0000-0000-000000000000}"/>
  <bookViews>
    <workbookView xWindow="-120" yWindow="-120" windowWidth="38640" windowHeight="21120" tabRatio="879" activeTab="6" xr2:uid="{00000000-000D-0000-FFFF-FFFF00000000}"/>
  </bookViews>
  <sheets>
    <sheet name="Instructions" sheetId="1" r:id="rId1"/>
    <sheet name="Team and Program Information" sheetId="2" r:id="rId2"/>
    <sheet name="Data Validation" sheetId="3" state="hidden" r:id="rId3"/>
    <sheet name="Meta" sheetId="4" state="hidden" r:id="rId4"/>
    <sheet name="AwardList" sheetId="5" state="hidden" r:id="rId5"/>
    <sheet name="Pod Analysis" sheetId="6" r:id="rId6"/>
    <sheet name="Results and Rankings" sheetId="7" r:id="rId7"/>
    <sheet name="Robot Game Scores" sheetId="8" r:id="rId8"/>
    <sheet name="Innovation Project Input" sheetId="9" r:id="rId9"/>
    <sheet name="Robot Design Input" sheetId="10" r:id="rId10"/>
    <sheet name="Core Values Input" sheetId="11" r:id="rId11"/>
    <sheet name="GP Scores" sheetId="12" state="hidden" r:id="rId12"/>
    <sheet name="Area Deliberations" sheetId="13" state="hidden" r:id="rId13"/>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6">'Results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54" i="13" l="1"/>
  <c r="M54" i="13"/>
  <c r="I54" i="13"/>
  <c r="H54" i="13"/>
  <c r="D54" i="13"/>
  <c r="C54" i="13"/>
  <c r="N53" i="13"/>
  <c r="M53" i="13"/>
  <c r="I53" i="13"/>
  <c r="H53" i="13"/>
  <c r="D53" i="13"/>
  <c r="C53" i="13"/>
  <c r="N52" i="13"/>
  <c r="M52" i="13"/>
  <c r="I52" i="13"/>
  <c r="H52" i="13"/>
  <c r="D52" i="13"/>
  <c r="C52" i="13"/>
  <c r="N51" i="13"/>
  <c r="M51" i="13"/>
  <c r="I51" i="13"/>
  <c r="H51" i="13"/>
  <c r="D51" i="13"/>
  <c r="C51" i="13"/>
  <c r="N50" i="13"/>
  <c r="M50" i="13"/>
  <c r="I50" i="13"/>
  <c r="H50" i="13"/>
  <c r="D50" i="13"/>
  <c r="C50" i="13"/>
  <c r="N49" i="13"/>
  <c r="M49" i="13"/>
  <c r="I49" i="13"/>
  <c r="H49" i="13"/>
  <c r="D49" i="13"/>
  <c r="C49" i="13"/>
  <c r="N48" i="13"/>
  <c r="M48" i="13"/>
  <c r="I48" i="13"/>
  <c r="H48" i="13"/>
  <c r="D48" i="13"/>
  <c r="C48" i="13"/>
  <c r="N47" i="13"/>
  <c r="M47" i="13"/>
  <c r="I47" i="13"/>
  <c r="H47" i="13"/>
  <c r="D47" i="13"/>
  <c r="C47" i="13"/>
  <c r="N46" i="13"/>
  <c r="M46" i="13"/>
  <c r="I46" i="13"/>
  <c r="H46" i="13"/>
  <c r="D46" i="13"/>
  <c r="C46" i="13"/>
  <c r="N45" i="13"/>
  <c r="M45" i="13"/>
  <c r="I45" i="13"/>
  <c r="H45" i="13"/>
  <c r="D45" i="13"/>
  <c r="C45" i="13"/>
  <c r="N44" i="13"/>
  <c r="M44" i="13"/>
  <c r="I44" i="13"/>
  <c r="H44" i="13"/>
  <c r="D44" i="13"/>
  <c r="C44" i="13"/>
  <c r="N43" i="13"/>
  <c r="M43" i="13"/>
  <c r="I43" i="13"/>
  <c r="H43" i="13"/>
  <c r="D43" i="13"/>
  <c r="C43" i="13"/>
  <c r="N42" i="13"/>
  <c r="M42" i="13"/>
  <c r="I42" i="13"/>
  <c r="H42" i="13"/>
  <c r="D42" i="13"/>
  <c r="C42" i="13"/>
  <c r="N41" i="13"/>
  <c r="M41" i="13"/>
  <c r="I41" i="13"/>
  <c r="H41" i="13"/>
  <c r="D41" i="13"/>
  <c r="C41" i="13"/>
  <c r="N40" i="13"/>
  <c r="M40" i="13"/>
  <c r="I40" i="13"/>
  <c r="H40" i="13"/>
  <c r="D40" i="13"/>
  <c r="C40" i="13"/>
  <c r="N36" i="13"/>
  <c r="M36" i="13"/>
  <c r="I36" i="13"/>
  <c r="H36" i="13"/>
  <c r="D36" i="13"/>
  <c r="C36" i="13"/>
  <c r="N35" i="13"/>
  <c r="M35" i="13"/>
  <c r="I35" i="13"/>
  <c r="H35" i="13"/>
  <c r="D35" i="13"/>
  <c r="C35" i="13"/>
  <c r="N34" i="13"/>
  <c r="M34" i="13"/>
  <c r="I34" i="13"/>
  <c r="H34" i="13"/>
  <c r="D34" i="13"/>
  <c r="C34" i="13"/>
  <c r="N33" i="13"/>
  <c r="M33" i="13"/>
  <c r="I33" i="13"/>
  <c r="H33" i="13"/>
  <c r="D33" i="13"/>
  <c r="C33" i="13"/>
  <c r="N32" i="13"/>
  <c r="M32" i="13"/>
  <c r="I32" i="13"/>
  <c r="H32" i="13"/>
  <c r="D32" i="13"/>
  <c r="C32" i="13"/>
  <c r="N31" i="13"/>
  <c r="M31" i="13"/>
  <c r="I31" i="13"/>
  <c r="H31" i="13"/>
  <c r="D31" i="13"/>
  <c r="C31" i="13"/>
  <c r="N30" i="13"/>
  <c r="M30" i="13"/>
  <c r="I30" i="13"/>
  <c r="H30" i="13"/>
  <c r="D30" i="13"/>
  <c r="C30" i="13"/>
  <c r="N29" i="13"/>
  <c r="M29" i="13"/>
  <c r="I29" i="13"/>
  <c r="H29" i="13"/>
  <c r="D29" i="13"/>
  <c r="C29" i="13"/>
  <c r="N28" i="13"/>
  <c r="M28" i="13"/>
  <c r="I28" i="13"/>
  <c r="H28" i="13"/>
  <c r="D28" i="13"/>
  <c r="C28" i="13"/>
  <c r="N27" i="13"/>
  <c r="M27" i="13"/>
  <c r="I27" i="13"/>
  <c r="H27" i="13"/>
  <c r="D27" i="13"/>
  <c r="C27" i="13"/>
  <c r="N26" i="13"/>
  <c r="M26" i="13"/>
  <c r="I26" i="13"/>
  <c r="H26" i="13"/>
  <c r="D26" i="13"/>
  <c r="C26" i="13"/>
  <c r="N25" i="13"/>
  <c r="M25" i="13"/>
  <c r="I25" i="13"/>
  <c r="H25" i="13"/>
  <c r="D25" i="13"/>
  <c r="C25" i="13"/>
  <c r="N24" i="13"/>
  <c r="M24" i="13"/>
  <c r="I24" i="13"/>
  <c r="H24" i="13"/>
  <c r="D24" i="13"/>
  <c r="C24" i="13"/>
  <c r="N23" i="13"/>
  <c r="M23" i="13"/>
  <c r="I23" i="13"/>
  <c r="H23" i="13"/>
  <c r="D23" i="13"/>
  <c r="C23" i="13"/>
  <c r="N22" i="13"/>
  <c r="M22" i="13"/>
  <c r="I22" i="13"/>
  <c r="H22" i="13"/>
  <c r="D22" i="13"/>
  <c r="C22" i="13"/>
  <c r="I18" i="13"/>
  <c r="H18" i="13"/>
  <c r="D18" i="13"/>
  <c r="C18" i="13"/>
  <c r="I17" i="13"/>
  <c r="H17" i="13"/>
  <c r="D17" i="13"/>
  <c r="C17" i="13"/>
  <c r="I16" i="13"/>
  <c r="H16" i="13"/>
  <c r="D16" i="13"/>
  <c r="C16" i="13"/>
  <c r="I15" i="13"/>
  <c r="H15" i="13"/>
  <c r="D15" i="13"/>
  <c r="C15" i="13"/>
  <c r="I14" i="13"/>
  <c r="H14" i="13"/>
  <c r="D14" i="13"/>
  <c r="C14" i="13"/>
  <c r="I13" i="13"/>
  <c r="H13" i="13"/>
  <c r="D13" i="13"/>
  <c r="C13" i="13"/>
  <c r="I12" i="13"/>
  <c r="H12" i="13"/>
  <c r="D12" i="13"/>
  <c r="C12" i="13"/>
  <c r="I11" i="13"/>
  <c r="H11" i="13"/>
  <c r="D11" i="13"/>
  <c r="C11" i="13"/>
  <c r="I10" i="13"/>
  <c r="H10" i="13"/>
  <c r="D10" i="13"/>
  <c r="C10" i="13"/>
  <c r="I9" i="13"/>
  <c r="H9" i="13"/>
  <c r="D9" i="13"/>
  <c r="C9" i="13"/>
  <c r="I8" i="13"/>
  <c r="H8" i="13"/>
  <c r="D8" i="13"/>
  <c r="C8" i="13"/>
  <c r="I7" i="13"/>
  <c r="H7" i="13"/>
  <c r="D7" i="13"/>
  <c r="C7" i="13"/>
  <c r="I6" i="13"/>
  <c r="H6" i="13"/>
  <c r="D6" i="13"/>
  <c r="C6" i="13"/>
  <c r="I5" i="13"/>
  <c r="H5" i="13"/>
  <c r="D5" i="13"/>
  <c r="C5" i="13"/>
  <c r="I4" i="13"/>
  <c r="H4" i="13"/>
  <c r="D4" i="13"/>
  <c r="C4" i="13"/>
  <c r="Q8" i="11"/>
  <c r="R8" i="11" s="1"/>
  <c r="M8" i="11"/>
  <c r="L8" i="11"/>
  <c r="K8" i="11"/>
  <c r="J8" i="11"/>
  <c r="I8" i="11"/>
  <c r="H8" i="11"/>
  <c r="G8" i="11"/>
  <c r="F8" i="11"/>
  <c r="E8" i="11"/>
  <c r="D8" i="11"/>
  <c r="C8" i="11"/>
  <c r="B8" i="11"/>
  <c r="Q7" i="11"/>
  <c r="R7" i="11" s="1"/>
  <c r="M7" i="11"/>
  <c r="L7" i="11"/>
  <c r="K7" i="11"/>
  <c r="J7" i="11"/>
  <c r="I7" i="11"/>
  <c r="H7" i="11"/>
  <c r="G7" i="11"/>
  <c r="F7" i="11"/>
  <c r="E7" i="11"/>
  <c r="D7" i="11"/>
  <c r="C7" i="11"/>
  <c r="B7" i="11"/>
  <c r="R6" i="11"/>
  <c r="Q6" i="11"/>
  <c r="M6" i="11"/>
  <c r="L6" i="11"/>
  <c r="K6" i="11"/>
  <c r="J6" i="11"/>
  <c r="I6" i="11"/>
  <c r="H6" i="11"/>
  <c r="G6" i="11"/>
  <c r="F6" i="11"/>
  <c r="E6" i="11"/>
  <c r="D6" i="11"/>
  <c r="C6" i="11"/>
  <c r="B6" i="11"/>
  <c r="Q5" i="11"/>
  <c r="R5" i="11" s="1"/>
  <c r="M5" i="11"/>
  <c r="L5" i="11"/>
  <c r="K5" i="11"/>
  <c r="J5" i="11"/>
  <c r="I5" i="11"/>
  <c r="H5" i="11"/>
  <c r="G5" i="11"/>
  <c r="F5" i="11"/>
  <c r="E5" i="11"/>
  <c r="D5" i="11"/>
  <c r="C5" i="11"/>
  <c r="B5" i="11"/>
  <c r="Q4" i="11"/>
  <c r="R4" i="11" s="1"/>
  <c r="M4" i="11"/>
  <c r="L4" i="11"/>
  <c r="K4" i="11"/>
  <c r="J4" i="11"/>
  <c r="I4" i="11"/>
  <c r="H4" i="11"/>
  <c r="G4" i="11"/>
  <c r="F4" i="11"/>
  <c r="E4" i="11"/>
  <c r="D4" i="11"/>
  <c r="C4" i="11"/>
  <c r="B4" i="11"/>
  <c r="F38" i="6" s="1"/>
  <c r="Q3" i="11"/>
  <c r="R3" i="11" s="1"/>
  <c r="M3" i="11"/>
  <c r="L3" i="11"/>
  <c r="K3" i="11"/>
  <c r="J3" i="11"/>
  <c r="I3" i="11"/>
  <c r="H3" i="11"/>
  <c r="G3" i="11"/>
  <c r="F3" i="11"/>
  <c r="E3" i="11"/>
  <c r="D3" i="11"/>
  <c r="C3" i="11"/>
  <c r="B3" i="11"/>
  <c r="Q2" i="11"/>
  <c r="R2" i="11" s="1"/>
  <c r="M2" i="11"/>
  <c r="L2" i="11"/>
  <c r="K2" i="11"/>
  <c r="J2" i="11"/>
  <c r="I2" i="11"/>
  <c r="H2" i="11"/>
  <c r="G2" i="11"/>
  <c r="F2" i="11"/>
  <c r="E2" i="11"/>
  <c r="D2" i="11"/>
  <c r="C2" i="11"/>
  <c r="B2" i="11"/>
  <c r="N8" i="10"/>
  <c r="T9" i="7" s="1"/>
  <c r="C8" i="10"/>
  <c r="B8" i="10"/>
  <c r="N7" i="10"/>
  <c r="T8" i="7" s="1"/>
  <c r="C7" i="10"/>
  <c r="B7" i="10"/>
  <c r="N6" i="10"/>
  <c r="C6" i="10"/>
  <c r="B6" i="10"/>
  <c r="N5" i="10"/>
  <c r="T6" i="7" s="1"/>
  <c r="C5" i="10"/>
  <c r="B5" i="10"/>
  <c r="N4" i="10"/>
  <c r="C4" i="10"/>
  <c r="B4" i="10"/>
  <c r="N3" i="10"/>
  <c r="T4" i="7" s="1"/>
  <c r="C3" i="10"/>
  <c r="B3" i="10"/>
  <c r="N2" i="10"/>
  <c r="T3" i="7" s="1"/>
  <c r="C2" i="10"/>
  <c r="B2" i="10"/>
  <c r="E40" i="6" s="1"/>
  <c r="N8" i="9"/>
  <c r="S9" i="7" s="1"/>
  <c r="C8" i="9"/>
  <c r="B8" i="9"/>
  <c r="N7" i="9"/>
  <c r="C7" i="9"/>
  <c r="B7" i="9"/>
  <c r="N6" i="9"/>
  <c r="S7" i="7" s="1"/>
  <c r="C6" i="9"/>
  <c r="B6" i="9"/>
  <c r="N5" i="9"/>
  <c r="S6" i="7" s="1"/>
  <c r="C5" i="9"/>
  <c r="B5" i="9"/>
  <c r="N4" i="9"/>
  <c r="S5" i="7" s="1"/>
  <c r="C4" i="9"/>
  <c r="B4" i="9"/>
  <c r="N3" i="9"/>
  <c r="C3" i="9"/>
  <c r="B3" i="9"/>
  <c r="D38" i="6" s="1"/>
  <c r="N2" i="9"/>
  <c r="D2" i="6" s="1"/>
  <c r="C2" i="9"/>
  <c r="B2" i="9"/>
  <c r="F8" i="8"/>
  <c r="B8" i="8"/>
  <c r="F7" i="8"/>
  <c r="B7" i="8"/>
  <c r="F6" i="8"/>
  <c r="B6" i="8"/>
  <c r="F5" i="8"/>
  <c r="B5" i="8"/>
  <c r="F4" i="8"/>
  <c r="B4" i="8"/>
  <c r="F3" i="8"/>
  <c r="B3" i="8"/>
  <c r="F2" i="8"/>
  <c r="B2" i="8"/>
  <c r="H9" i="7"/>
  <c r="G9" i="7"/>
  <c r="F9" i="7"/>
  <c r="E9" i="7"/>
  <c r="D9" i="7"/>
  <c r="C9" i="7"/>
  <c r="B9" i="7"/>
  <c r="H8" i="7"/>
  <c r="G8" i="7"/>
  <c r="F8" i="7"/>
  <c r="E8" i="7"/>
  <c r="D8" i="7"/>
  <c r="C8" i="7"/>
  <c r="B8" i="7"/>
  <c r="T7" i="7"/>
  <c r="H7" i="7"/>
  <c r="G7" i="7"/>
  <c r="F7" i="7"/>
  <c r="E7" i="7"/>
  <c r="D7" i="7"/>
  <c r="C7" i="7"/>
  <c r="B7" i="7"/>
  <c r="C28" i="6" s="1"/>
  <c r="H6" i="7"/>
  <c r="G6" i="7"/>
  <c r="F6" i="7"/>
  <c r="E6" i="7"/>
  <c r="D6" i="7"/>
  <c r="C6" i="7"/>
  <c r="B6" i="7"/>
  <c r="H5" i="7"/>
  <c r="G5" i="7"/>
  <c r="F5" i="7"/>
  <c r="E5" i="7"/>
  <c r="D5" i="7"/>
  <c r="C5" i="7"/>
  <c r="B5" i="7"/>
  <c r="H4" i="7"/>
  <c r="G4" i="7"/>
  <c r="F4" i="7"/>
  <c r="E4" i="7"/>
  <c r="D4" i="7"/>
  <c r="C4" i="7"/>
  <c r="B4" i="7"/>
  <c r="C36" i="6" s="1"/>
  <c r="H3" i="7"/>
  <c r="G3" i="7"/>
  <c r="F3" i="7"/>
  <c r="E3" i="7"/>
  <c r="D3" i="7"/>
  <c r="C3" i="7"/>
  <c r="B3" i="7"/>
  <c r="C39" i="6" s="1"/>
  <c r="Q1" i="7"/>
  <c r="W1" i="7" s="1"/>
  <c r="D40" i="6"/>
  <c r="F39" i="6"/>
  <c r="E39" i="6"/>
  <c r="D37" i="6"/>
  <c r="F36" i="6"/>
  <c r="E36" i="6"/>
  <c r="D34" i="6"/>
  <c r="F33" i="6"/>
  <c r="E33" i="6"/>
  <c r="D31" i="6"/>
  <c r="F30" i="6"/>
  <c r="E30" i="6"/>
  <c r="D28" i="6"/>
  <c r="F27" i="6"/>
  <c r="E27" i="6"/>
  <c r="D25" i="6"/>
  <c r="F24" i="6"/>
  <c r="E24" i="6"/>
  <c r="D22" i="6"/>
  <c r="F21" i="6"/>
  <c r="E21" i="6"/>
  <c r="D19" i="6"/>
  <c r="F18" i="6"/>
  <c r="E18" i="6"/>
  <c r="D16" i="6"/>
  <c r="F15" i="6"/>
  <c r="E15" i="6"/>
  <c r="D13" i="6"/>
  <c r="F12" i="6"/>
  <c r="E12" i="6"/>
  <c r="D10" i="6"/>
  <c r="F9" i="6"/>
  <c r="E9" i="6"/>
  <c r="D7" i="6"/>
  <c r="F6" i="6"/>
  <c r="E6" i="6"/>
  <c r="D4" i="6"/>
  <c r="F3" i="6"/>
  <c r="E3" i="6"/>
  <c r="H1" i="2"/>
  <c r="F1" i="2"/>
  <c r="S7" i="11" l="1"/>
  <c r="O3" i="9"/>
  <c r="L4" i="7" s="1"/>
  <c r="O7" i="9"/>
  <c r="L8" i="7" s="1"/>
  <c r="O4" i="9"/>
  <c r="L5" i="7" s="1"/>
  <c r="O6" i="9"/>
  <c r="L7" i="7" s="1"/>
  <c r="S8" i="11"/>
  <c r="R9" i="7" s="1"/>
  <c r="S3" i="11"/>
  <c r="R4" i="7" s="1"/>
  <c r="S6" i="11"/>
  <c r="R7" i="7" s="1"/>
  <c r="O4" i="10"/>
  <c r="M5" i="7" s="1"/>
  <c r="O2" i="10"/>
  <c r="M3" i="7" s="1"/>
  <c r="O6" i="10"/>
  <c r="M7" i="7" s="1"/>
  <c r="O3" i="10"/>
  <c r="M4" i="7" s="1"/>
  <c r="I8" i="7"/>
  <c r="I7" i="7"/>
  <c r="I6" i="7"/>
  <c r="I9" i="7"/>
  <c r="I5" i="7"/>
  <c r="I4" i="7"/>
  <c r="I3" i="7"/>
  <c r="S2" i="11"/>
  <c r="S4" i="11"/>
  <c r="R8" i="7"/>
  <c r="S5" i="11"/>
  <c r="C13" i="6"/>
  <c r="C25" i="6"/>
  <c r="C37" i="6"/>
  <c r="O7" i="10"/>
  <c r="M8" i="7" s="1"/>
  <c r="E4" i="6"/>
  <c r="E19" i="6"/>
  <c r="E28" i="6"/>
  <c r="F13" i="6"/>
  <c r="F25" i="6"/>
  <c r="F37" i="6"/>
  <c r="C11" i="6"/>
  <c r="C23" i="6"/>
  <c r="C32" i="6"/>
  <c r="D5" i="6"/>
  <c r="D11" i="6"/>
  <c r="D20" i="6"/>
  <c r="D29" i="6"/>
  <c r="D35" i="6"/>
  <c r="F5" i="6"/>
  <c r="F11" i="6"/>
  <c r="F17" i="6"/>
  <c r="F23" i="6"/>
  <c r="F29" i="6"/>
  <c r="F35" i="6"/>
  <c r="D3" i="6"/>
  <c r="D6" i="6"/>
  <c r="D9" i="6"/>
  <c r="D12" i="6"/>
  <c r="D15" i="6"/>
  <c r="D18" i="6"/>
  <c r="D21" i="6"/>
  <c r="D24" i="6"/>
  <c r="D27" i="6"/>
  <c r="D30" i="6"/>
  <c r="D33" i="6"/>
  <c r="D36" i="6"/>
  <c r="D39" i="6"/>
  <c r="S3" i="7"/>
  <c r="C7" i="6"/>
  <c r="C19" i="6"/>
  <c r="C34" i="6"/>
  <c r="C10" i="6"/>
  <c r="C22" i="6"/>
  <c r="C31" i="6"/>
  <c r="C40" i="6"/>
  <c r="T5" i="7"/>
  <c r="O5" i="9"/>
  <c r="L6" i="7" s="1"/>
  <c r="E10" i="6"/>
  <c r="E34" i="6"/>
  <c r="C4" i="6"/>
  <c r="C16" i="6"/>
  <c r="O2" i="9"/>
  <c r="L3" i="7" s="1"/>
  <c r="E16" i="6"/>
  <c r="E37" i="6"/>
  <c r="F7" i="6"/>
  <c r="F22" i="6"/>
  <c r="F34" i="6"/>
  <c r="O8" i="9"/>
  <c r="L9" i="7" s="1"/>
  <c r="E7" i="6"/>
  <c r="E22" i="6"/>
  <c r="E31" i="6"/>
  <c r="F4" i="6"/>
  <c r="F16" i="6"/>
  <c r="F28" i="6"/>
  <c r="F40" i="6"/>
  <c r="C14" i="6"/>
  <c r="C26" i="6"/>
  <c r="C38" i="6"/>
  <c r="S4" i="7"/>
  <c r="O8" i="10"/>
  <c r="M9" i="7" s="1"/>
  <c r="D14" i="6"/>
  <c r="D32" i="6"/>
  <c r="E2" i="6"/>
  <c r="E5" i="6"/>
  <c r="E8" i="6"/>
  <c r="E11" i="6"/>
  <c r="E14" i="6"/>
  <c r="E17" i="6"/>
  <c r="E20" i="6"/>
  <c r="E23" i="6"/>
  <c r="E26" i="6"/>
  <c r="E29" i="6"/>
  <c r="E32" i="6"/>
  <c r="E35" i="6"/>
  <c r="E38" i="6"/>
  <c r="E13" i="6"/>
  <c r="E25" i="6"/>
  <c r="F10" i="6"/>
  <c r="F19" i="6"/>
  <c r="F31" i="6"/>
  <c r="C5" i="6"/>
  <c r="C8" i="6"/>
  <c r="C17" i="6"/>
  <c r="C20" i="6"/>
  <c r="C29" i="6"/>
  <c r="C35" i="6"/>
  <c r="O5" i="10"/>
  <c r="M6" i="7" s="1"/>
  <c r="D8" i="6"/>
  <c r="D17" i="6"/>
  <c r="D23" i="6"/>
  <c r="D26" i="6"/>
  <c r="F8" i="6"/>
  <c r="F14" i="6"/>
  <c r="F20" i="6"/>
  <c r="F26" i="6"/>
  <c r="F32" i="6"/>
  <c r="C3" i="6"/>
  <c r="C6" i="6"/>
  <c r="C9" i="6"/>
  <c r="C12" i="6"/>
  <c r="C15" i="6"/>
  <c r="C18" i="6"/>
  <c r="C21" i="6"/>
  <c r="C24" i="6"/>
  <c r="C27" i="6"/>
  <c r="C30" i="6"/>
  <c r="C33" i="6"/>
  <c r="S8" i="7"/>
  <c r="U7" i="7" l="1"/>
  <c r="T3" i="11"/>
  <c r="K4" i="7" s="1"/>
  <c r="J8" i="7"/>
  <c r="U4" i="7"/>
  <c r="J5" i="7"/>
  <c r="U9" i="7"/>
  <c r="J4" i="7"/>
  <c r="N4" i="7" s="1"/>
  <c r="J6" i="7"/>
  <c r="J7" i="7"/>
  <c r="J9" i="7"/>
  <c r="J3" i="7"/>
  <c r="T6" i="11"/>
  <c r="K7" i="7" s="1"/>
  <c r="T8" i="11"/>
  <c r="K9" i="7" s="1"/>
  <c r="T2" i="11"/>
  <c r="K3" i="7" s="1"/>
  <c r="R3" i="7"/>
  <c r="U3" i="7" s="1"/>
  <c r="F2" i="6"/>
  <c r="T5" i="11"/>
  <c r="K6" i="7" s="1"/>
  <c r="R6" i="7"/>
  <c r="U6" i="7" s="1"/>
  <c r="U8" i="7"/>
  <c r="T4" i="11"/>
  <c r="K5" i="7" s="1"/>
  <c r="R5" i="7"/>
  <c r="U5" i="7" s="1"/>
  <c r="T7" i="11"/>
  <c r="K8" i="7" s="1"/>
  <c r="N8" i="7" s="1"/>
  <c r="V5" i="7" l="1"/>
  <c r="V9" i="7"/>
  <c r="V8" i="7"/>
  <c r="V7" i="7"/>
  <c r="V6" i="7"/>
  <c r="V4" i="7"/>
  <c r="V3" i="7"/>
  <c r="N5" i="7"/>
  <c r="N9" i="7"/>
  <c r="N7" i="7"/>
  <c r="N3" i="7"/>
  <c r="C2" i="6" s="1"/>
  <c r="N6" i="7"/>
  <c r="O3" i="7" l="1"/>
  <c r="O8" i="7"/>
  <c r="O6" i="7"/>
  <c r="O5" i="7"/>
  <c r="O4" i="7"/>
  <c r="O9" i="7"/>
  <c r="O7" i="7"/>
</calcChain>
</file>

<file path=xl/sharedStrings.xml><?xml version="1.0" encoding="utf-8"?>
<sst xmlns="http://schemas.openxmlformats.org/spreadsheetml/2006/main" count="225" uniqueCount="156">
  <si>
    <t>Judge Advisor Instructions</t>
  </si>
  <si>
    <t>DESIGNED FOR USE IN MICROSOFT EXCEL (DESKTOP APP).
SOME FUNCTIONALITY WILL BE LOST IN WEB OR OTHER APPLICATIONS.</t>
  </si>
  <si>
    <t>See the instructions.pdf file for instructions with screenshots</t>
  </si>
  <si>
    <t>1.</t>
  </si>
  <si>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</si>
  <si>
    <t>2.</t>
  </si>
  <si>
    <t>If you have enabled macros, there are two actions in the FLL OJS menu button that you can use. Note that some of the actions are password protected, but those actions would rarely, if ever, be needed by a judge advisor</t>
  </si>
  <si>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</si>
  <si>
    <t>3.</t>
  </si>
  <si>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</si>
  <si>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</si>
  <si>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4.</t>
  </si>
  <si>
    <t>When all the data has been entered, go the 'Results and Rankings' page to view all of the information in one place.</t>
  </si>
  <si>
    <t>5.</t>
  </si>
  <si>
    <t>You are now ready to allocate your awards based on your rankings using the 'Awards and Allocations' document in the judging toolkit.</t>
  </si>
  <si>
    <t>6.</t>
  </si>
  <si>
    <t>When you have entered all scores and selected the awards and advancing teams, you can run the script_maker.exe program to generate a closing script. While this program works pretty good for most tournaments, it is always a good idea to have a backup with paper scripts.</t>
  </si>
  <si>
    <t>Useful Tips:</t>
  </si>
  <si>
    <t>If you are copying data into the Input pages please remember to use the 'Paste Values' or 'Use Destination Formatting' option (This stops the formatting and formulae being overwritten)</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</si>
  <si>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</si>
  <si>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</si>
  <si>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If referees hand in printed scoresheets, robot game scores will need to be calclulated using the 'Official Scoring Calculator' tool (online).</t>
  </si>
  <si>
    <t>You may use the excel filter option to adjust the rows that are seen, but the sort function is disabled.</t>
  </si>
  <si>
    <t>If you need to delete an award from a team, just select the cell and tap the delete key</t>
  </si>
  <si>
    <t>FIRST® LEGO® League Challenge Official Judging Spreadsheet</t>
  </si>
  <si>
    <t>Teams</t>
  </si>
  <si>
    <t>Pods</t>
  </si>
  <si>
    <t>Team Number</t>
  </si>
  <si>
    <t>Team Name</t>
  </si>
  <si>
    <t>Coach</t>
  </si>
  <si>
    <t>Pod Number</t>
  </si>
  <si>
    <t>Norfolk Collegiate O.A.K.S.</t>
  </si>
  <si>
    <t>Skip Morrow</t>
  </si>
  <si>
    <t>OLMC White Team</t>
  </si>
  <si>
    <t>Patrick McFadden</t>
  </si>
  <si>
    <t>ESPs</t>
  </si>
  <si>
    <t>Heather Perry</t>
  </si>
  <si>
    <t>Wired Dolphins</t>
  </si>
  <si>
    <t>Jonathan Torch</t>
  </si>
  <si>
    <t>Scorpion Tech Force</t>
  </si>
  <si>
    <t>Jhalak Pattnaik</t>
  </si>
  <si>
    <t>MCH Marvels</t>
  </si>
  <si>
    <t>Kathy Hendrickson</t>
  </si>
  <si>
    <t>SMS Eaglebots 1</t>
  </si>
  <si>
    <t>Lisa Bromley</t>
  </si>
  <si>
    <t>Advance</t>
  </si>
  <si>
    <t>Yes</t>
  </si>
  <si>
    <t>No</t>
  </si>
  <si>
    <t>Alt</t>
  </si>
  <si>
    <t>Key</t>
  </si>
  <si>
    <t>Value</t>
  </si>
  <si>
    <t>Comment</t>
  </si>
  <si>
    <t>Tournament Year</t>
  </si>
  <si>
    <t>FLL Season Title</t>
  </si>
  <si>
    <t>Unearthed</t>
  </si>
  <si>
    <t>Tournament Short Name</t>
  </si>
  <si>
    <t>Norfolk</t>
  </si>
  <si>
    <t>Tournament Long Name</t>
  </si>
  <si>
    <t>Norfolk 2025 Unearthed Qualifier Tournament</t>
  </si>
  <si>
    <t>Completed Script File</t>
  </si>
  <si>
    <t>2025-Unearthed-Norfolk-script.html</t>
  </si>
  <si>
    <t>Division</t>
  </si>
  <si>
    <t>Must be "1" or "2"</t>
  </si>
  <si>
    <t>Robot Game</t>
  </si>
  <si>
    <t>Innovation Project</t>
  </si>
  <si>
    <t>Core Values</t>
  </si>
  <si>
    <t>Robot Design</t>
  </si>
  <si>
    <t>Champions</t>
  </si>
  <si>
    <t>Advancing</t>
  </si>
  <si>
    <t>Judges</t>
  </si>
  <si>
    <t>The judges award can cross divisions. In other words, if this is a two-division tournament, the number here is the total for BOTH divisions, not the total for a single division. For a two-division tournament, the number here must be the same in both OJS files, but it is the total for both divisions.</t>
  </si>
  <si>
    <t>dual_emcee</t>
  </si>
  <si>
    <t>Award</t>
  </si>
  <si>
    <t>Robot Game Awards</t>
  </si>
  <si>
    <t>Champions 1st Place</t>
  </si>
  <si>
    <t>Robot Game 1st Place</t>
  </si>
  <si>
    <t>Robot Design 1st Place</t>
  </si>
  <si>
    <t>Robot Game 2nd Place</t>
  </si>
  <si>
    <t>Innovation Project 1st Place</t>
  </si>
  <si>
    <t>Core Values 1st Place</t>
  </si>
  <si>
    <t>Judges Award 1</t>
  </si>
  <si>
    <t>POD</t>
  </si>
  <si>
    <t>Champion</t>
  </si>
  <si>
    <t>IP</t>
  </si>
  <si>
    <t>RD</t>
  </si>
  <si>
    <t>CV</t>
  </si>
  <si>
    <t>Team Information</t>
  </si>
  <si>
    <t>Judging</t>
  </si>
  <si>
    <t>Overall</t>
  </si>
  <si>
    <t>Awards</t>
  </si>
  <si>
    <t>Testing Items (Info Only)</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</si>
  <si>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</si>
  <si>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</si>
  <si>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</si>
  <si>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</si>
  <si>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</si>
  <si>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</si>
  <si>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</si>
  <si>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</si>
  <si>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</si>
  <si>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</si>
  <si>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</si>
  <si>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</si>
  <si>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Advance?</t>
  </si>
  <si>
    <t>Core Values Score</t>
  </si>
  <si>
    <t>Innovattion Project Score</t>
  </si>
  <si>
    <t>Robot Design Score</t>
  </si>
  <si>
    <t>Overall Score - Geometric Mean</t>
  </si>
  <si>
    <t>Overall Ranking - Geometric Mean</t>
  </si>
  <si>
    <t>Comments</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</si>
  <si>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</si>
  <si>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</si>
  <si>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</si>
  <si>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</si>
  <si>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</si>
  <si>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</si>
  <si>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</si>
  <si>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</si>
  <si>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</si>
  <si>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</si>
  <si>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</si>
  <si>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</si>
  <si>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</si>
  <si>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</si>
  <si>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</si>
  <si>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</si>
  <si>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</si>
  <si>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</si>
  <si>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</si>
  <si>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</si>
  <si>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</si>
  <si>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</si>
  <si>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</si>
  <si>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</si>
  <si>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</si>
  <si>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</si>
  <si>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</si>
  <si>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</si>
  <si>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</si>
  <si>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</si>
  <si>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</si>
  <si>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</si>
  <si>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</si>
  <si>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</si>
  <si>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</si>
  <si>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</si>
  <si>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</si>
  <si>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</si>
  <si>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</si>
  <si>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</si>
  <si>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</si>
  <si>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</si>
  <si>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</si>
  <si>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Breakthrough</t>
  </si>
  <si>
    <t>Rising All-Star</t>
  </si>
  <si>
    <t>Motivate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</si>
</sst>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2"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sz val="11"/>
      <color theme="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s>
  <fills count="22">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11">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14" fillId="0" borderId="0" xfId="0" applyFont="1"/>
    <xf numFmtId="0" fontId="0" fillId="3" borderId="0" xfId="0" applyFill="1" applyAlignment="1">
      <alignment horizontal="center" vertical="center"/>
    </xf>
    <xf numFmtId="0" fontId="16" fillId="3" borderId="0" xfId="0" applyFont="1" applyFill="1" applyAlignment="1">
      <alignment horizontal="left" vertical="center"/>
    </xf>
    <xf numFmtId="0" fontId="17" fillId="3" borderId="0" xfId="0" applyFont="1" applyFill="1" applyAlignment="1">
      <alignment horizontal="left" vertical="center"/>
    </xf>
    <xf numFmtId="0" fontId="16" fillId="3" borderId="0" xfId="0" applyFont="1" applyFill="1" applyAlignment="1">
      <alignment vertical="top" wrapText="1"/>
    </xf>
    <xf numFmtId="49" fontId="16" fillId="3" borderId="0" xfId="0" applyNumberFormat="1" applyFont="1" applyFill="1" applyAlignment="1">
      <alignment horizontal="left" vertical="center"/>
    </xf>
    <xf numFmtId="0" fontId="15" fillId="0" borderId="0" xfId="0" applyFont="1" applyAlignment="1">
      <alignment horizontal="center" vertical="center"/>
    </xf>
    <xf numFmtId="0" fontId="0" fillId="0" borderId="4" xfId="0" applyBorder="1"/>
    <xf numFmtId="0" fontId="18" fillId="0" borderId="0" xfId="0" applyFont="1" applyAlignment="1">
      <alignment horizontal="center" vertical="center" textRotation="90"/>
    </xf>
    <xf numFmtId="0" fontId="21" fillId="0" borderId="0" xfId="0" applyFont="1"/>
    <xf numFmtId="165" fontId="15" fillId="0" borderId="0" xfId="0" applyNumberFormat="1" applyFont="1" applyAlignment="1">
      <alignment horizontal="center" vertical="center"/>
    </xf>
    <xf numFmtId="0" fontId="23" fillId="0" borderId="0" xfId="0" applyFont="1" applyAlignment="1">
      <alignment horizontal="left" vertical="center"/>
    </xf>
    <xf numFmtId="0" fontId="8" fillId="0" borderId="0" xfId="0" applyFont="1" applyAlignment="1">
      <alignment horizontal="center" vertical="center" wrapText="1"/>
    </xf>
    <xf numFmtId="0" fontId="24" fillId="0" borderId="0" xfId="0" applyFont="1" applyAlignment="1">
      <alignment horizontal="left" vertical="center" wrapText="1"/>
    </xf>
    <xf numFmtId="0" fontId="25"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7" fillId="19" borderId="0" xfId="0" applyNumberFormat="1" applyFont="1" applyFill="1" applyAlignment="1">
      <alignment horizontal="center" vertical="center" textRotation="90" wrapText="1"/>
    </xf>
    <xf numFmtId="0" fontId="27" fillId="19" borderId="0" xfId="0" applyFont="1" applyFill="1" applyAlignment="1">
      <alignment horizontal="center" vertical="center" textRotation="90" wrapText="1"/>
    </xf>
    <xf numFmtId="0" fontId="28" fillId="18" borderId="0" xfId="0" applyFont="1" applyFill="1" applyAlignment="1">
      <alignment horizontal="center" vertical="center" textRotation="90" wrapText="1"/>
    </xf>
    <xf numFmtId="0" fontId="28" fillId="10" borderId="0" xfId="0" applyFont="1" applyFill="1" applyAlignment="1">
      <alignment horizontal="center" vertical="center" textRotation="90" wrapText="1"/>
    </xf>
    <xf numFmtId="0" fontId="28" fillId="18" borderId="3" xfId="0" applyFont="1" applyFill="1" applyBorder="1" applyAlignment="1">
      <alignment horizontal="center" vertical="center" textRotation="90" wrapText="1"/>
    </xf>
    <xf numFmtId="0" fontId="26" fillId="16" borderId="0" xfId="0" applyFont="1" applyFill="1" applyAlignment="1">
      <alignment horizontal="center" vertical="center" textRotation="90" wrapText="1"/>
    </xf>
    <xf numFmtId="0" fontId="28"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2" fillId="0" borderId="0" xfId="0" applyFont="1" applyProtection="1">
      <protection locked="0"/>
    </xf>
    <xf numFmtId="0" fontId="2" fillId="0" borderId="0" xfId="0" applyFont="1"/>
    <xf numFmtId="0" fontId="6" fillId="0" borderId="0" xfId="0" applyFont="1"/>
    <xf numFmtId="165" fontId="6" fillId="0" borderId="0" xfId="0" applyNumberFormat="1" applyFont="1"/>
    <xf numFmtId="0" fontId="15" fillId="0" borderId="0" xfId="0" applyFont="1"/>
    <xf numFmtId="165" fontId="15" fillId="0" borderId="0" xfId="0" applyNumberFormat="1" applyFont="1"/>
    <xf numFmtId="0" fontId="20" fillId="0" borderId="0" xfId="0" applyFont="1"/>
    <xf numFmtId="1" fontId="1" fillId="0" borderId="0" xfId="0" applyNumberFormat="1"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165" fontId="1" fillId="0" borderId="0" xfId="0" applyNumberFormat="1" applyFont="1"/>
    <xf numFmtId="165" fontId="0" fillId="0" borderId="0" xfId="0" applyNumberFormat="1"/>
    <xf numFmtId="0" fontId="0" fillId="0" borderId="0" xfId="0" applyProtection="1">
      <protection locked="0"/>
    </xf>
    <xf numFmtId="0" fontId="1" fillId="21" borderId="0" xfId="0" applyFont="1" applyFill="1" applyAlignment="1" applyProtection="1">
      <alignment horizontal="center" vertical="center"/>
      <protection locked="0"/>
    </xf>
    <xf numFmtId="0" fontId="29" fillId="0" borderId="0" xfId="0" applyFont="1" applyAlignment="1">
      <alignment horizontal="center" vertical="center"/>
    </xf>
    <xf numFmtId="0" fontId="29" fillId="0" borderId="0" xfId="0" applyFont="1" applyAlignment="1">
      <alignment vertical="center"/>
    </xf>
    <xf numFmtId="0" fontId="22" fillId="3" borderId="0" xfId="0" applyFont="1" applyFill="1" applyAlignment="1">
      <alignment horizontal="center" vertical="center" wrapText="1"/>
    </xf>
    <xf numFmtId="0" fontId="31" fillId="3" borderId="0" xfId="0" applyFont="1" applyFill="1" applyAlignment="1">
      <alignment horizontal="center" vertical="center"/>
    </xf>
    <xf numFmtId="0" fontId="30" fillId="3" borderId="0" xfId="0" applyFont="1" applyFill="1" applyAlignment="1">
      <alignment horizontal="left" vertical="top" wrapText="1"/>
    </xf>
    <xf numFmtId="0" fontId="29" fillId="3" borderId="0" xfId="0" applyFont="1" applyFill="1" applyAlignment="1">
      <alignment horizontal="left" vertical="top" wrapText="1"/>
    </xf>
    <xf numFmtId="0" fontId="19" fillId="20" borderId="5" xfId="0" applyFont="1" applyFill="1" applyBorder="1" applyAlignment="1">
      <alignment horizontal="left" vertical="top" wrapText="1"/>
    </xf>
    <xf numFmtId="0" fontId="19" fillId="20" borderId="6" xfId="0" applyFont="1" applyFill="1" applyBorder="1" applyAlignment="1">
      <alignment horizontal="left" vertical="top" wrapText="1"/>
    </xf>
    <xf numFmtId="0" fontId="19" fillId="20" borderId="7" xfId="0" applyFont="1" applyFill="1" applyBorder="1" applyAlignment="1">
      <alignment horizontal="left" vertical="top" wrapText="1"/>
    </xf>
    <xf numFmtId="0" fontId="30" fillId="3" borderId="0" xfId="0" applyFont="1" applyFill="1" applyAlignment="1">
      <alignment vertical="top" wrapText="1"/>
    </xf>
    <xf numFmtId="49" fontId="30" fillId="3" borderId="0" xfId="0" applyNumberFormat="1" applyFont="1" applyFill="1" applyAlignment="1">
      <alignment horizontal="left" vertical="top"/>
    </xf>
    <xf numFmtId="0" fontId="30" fillId="3" borderId="0" xfId="0" applyFont="1" applyFill="1" applyAlignment="1">
      <alignment horizontal="left" vertical="center"/>
    </xf>
    <xf numFmtId="0" fontId="29" fillId="3" borderId="0" xfId="0" applyFont="1" applyFill="1" applyAlignment="1">
      <alignment horizontal="left" vertical="top"/>
    </xf>
    <xf numFmtId="1" fontId="15" fillId="5" borderId="0" xfId="0" applyNumberFormat="1" applyFont="1" applyFill="1" applyAlignment="1">
      <alignment horizontal="center" vertical="center" textRotation="90"/>
    </xf>
    <xf numFmtId="0" fontId="15" fillId="5" borderId="0" xfId="0" applyFont="1" applyFill="1" applyAlignment="1">
      <alignment horizontal="center" vertical="center" textRotation="90"/>
    </xf>
    <xf numFmtId="0" fontId="11" fillId="0" borderId="0" xfId="0" applyFont="1" applyAlignment="1">
      <alignment wrapText="1"/>
    </xf>
    <xf numFmtId="0" fontId="1" fillId="0" borderId="0" xfId="0" applyFont="1" applyAlignment="1">
      <alignment wrapText="1"/>
    </xf>
    <xf numFmtId="0" fontId="23" fillId="0" borderId="0" xfId="0" applyFont="1" applyAlignment="1">
      <alignment horizontal="center" vertical="center"/>
    </xf>
    <xf numFmtId="0" fontId="4" fillId="0" borderId="0" xfId="0" applyFont="1" applyAlignment="1">
      <alignment horizontal="left" vertical="center" wrapText="1"/>
    </xf>
    <xf numFmtId="0" fontId="5" fillId="2" borderId="0" xfId="0" applyFont="1" applyFill="1" applyAlignment="1">
      <alignment horizontal="center" vertical="center"/>
    </xf>
    <xf numFmtId="0" fontId="2" fillId="0" borderId="0" xfId="0" applyFont="1" applyAlignment="1">
      <alignment horizontal="center" vertical="center"/>
    </xf>
    <xf numFmtId="0" fontId="4" fillId="0" borderId="0" xfId="0" applyFont="1" applyAlignment="1">
      <alignment horizontal="center" vertical="center"/>
    </xf>
    <xf numFmtId="0" fontId="23" fillId="0" borderId="0" xfId="0" applyFont="1" applyAlignment="1">
      <alignment horizontal="left" vertical="center"/>
    </xf>
  </cellXfs>
  <cellStyles count="1">
    <cellStyle name="Normal" xfId="0" builtinId="0"/>
  </cellStyles>
  <dxfs count="161">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b/>
        <strike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strike val="0"/>
        <condense val="0"/>
        <extend val="0"/>
        <outline val="0"/>
        <shadow val="0"/>
        <vertAlign val="baseline"/>
        <sz val="11"/>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1"/>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1"/>
        <color theme="1"/>
        <name val="Calibri"/>
        <family val="2"/>
        <scheme val="minor"/>
      </font>
      <numFmt numFmtId="0" formatCode="General"/>
      <fill>
        <patternFill>
          <fgColor indexed="64"/>
          <bgColor auto="1"/>
        </patternFill>
      </fill>
      <alignment horizontal="general" vertical="bottom"/>
      <protection locked="0"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numFmt numFmtId="0" formatCode="General"/>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outline val="0"/>
        <shadow val="0"/>
        <vertAlign val="baseline"/>
        <sz val="12"/>
        <color rgb="FF000000"/>
        <name val="Calibri"/>
        <family val="2"/>
        <scheme val="minor"/>
      </font>
      <fill>
        <patternFill>
          <fgColor indexed="64"/>
          <bgColor auto="1"/>
        </patternFill>
      </fill>
      <alignment horizontal="general" vertical="bottom"/>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b/>
        <strike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numFmt numFmtId="0" formatCode="General"/>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b/>
        <strike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numFmt numFmtId="0" formatCode="General"/>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fill>
        <patternFill>
          <fgColor indexed="64"/>
          <bgColor auto="1"/>
        </patternFill>
      </fill>
      <alignment horizontal="general" vertical="bottom"/>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vertAlign val="baseline"/>
        <sz val="12"/>
        <color theme="1"/>
        <name val="Calibri"/>
        <family val="2"/>
        <scheme val="minor"/>
      </font>
      <numFmt numFmtId="165" formatCode="0;\-0;;@"/>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vertAlign val="baseline"/>
        <sz val="12"/>
        <color auto="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2" formatCode="0.00"/>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0" hidden="0"/>
    </dxf>
    <dxf>
      <protection locked="0" hidden="0"/>
    </dxf>
    <dxf>
      <font>
        <strike val="0"/>
        <condense val="0"/>
        <extend val="0"/>
        <outline val="0"/>
        <shadow val="0"/>
        <vertAlign val="baseline"/>
        <sz val="12"/>
        <color auto="1"/>
        <name val="Calibri"/>
        <family val="2"/>
        <scheme val="minor"/>
      </font>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auto="1"/>
        <name val="Calibri"/>
        <family val="2"/>
        <scheme val="minor"/>
      </font>
      <numFmt numFmtId="0" formatCode="General"/>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fill>
        <patternFill>
          <fgColor indexed="64"/>
          <bgColor auto="1"/>
        </patternFill>
      </fill>
      <alignment horizontal="general" vertical="bottom"/>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fill>
        <patternFill patternType="solid">
          <fgColor rgb="FFAD8A56"/>
          <bgColor rgb="FFAD8A56"/>
        </patternFill>
      </fill>
    </dxf>
    <dxf>
      <fill>
        <patternFill patternType="solid">
          <fgColor rgb="FFD7D7D7"/>
          <bgColor rgb="FFD7D7D7"/>
        </patternFill>
      </fill>
    </dxf>
    <dxf>
      <fill>
        <patternFill patternType="solid">
          <fgColor rgb="FFC9B037"/>
          <bgColor rgb="FFC9B037"/>
        </patternFill>
      </fill>
    </dxf>
    <dxf>
      <fill>
        <patternFill patternType="solid">
          <fgColor rgb="FF00FF00"/>
          <bgColor rgb="FF00FF00"/>
        </patternFill>
      </fill>
    </dxf>
    <dxf>
      <fill>
        <patternFill patternType="solid">
          <fgColor rgb="FF00B050"/>
          <bgColor rgb="FF00B050"/>
        </patternFill>
      </fill>
    </dxf>
    <dxf>
      <fill>
        <patternFill>
          <bgColor rgb="FFC5CAE9"/>
        </patternFill>
      </fill>
    </dxf>
    <dxf>
      <fill>
        <patternFill>
          <bgColor rgb="FF42A5F5"/>
        </patternFill>
      </fill>
    </dxf>
    <dxf>
      <font>
        <color rgb="FF9C0006"/>
      </font>
      <fill>
        <patternFill>
          <bgColor rgb="FFFFC7CE"/>
        </patternFill>
      </fill>
    </dxf>
    <dxf>
      <fill>
        <patternFill>
          <bgColor rgb="FFFFFF99"/>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protection locked="1" hidden="0"/>
    </dxf>
    <dxf>
      <font>
        <strike val="0"/>
        <outline val="0"/>
        <shadow val="0"/>
        <vertAlign val="baseline"/>
        <sz val="12"/>
        <color theme="1"/>
        <name val="Calibri"/>
        <family val="2"/>
        <scheme val="minor"/>
      </font>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fill>
        <patternFill>
          <fgColor indexed="64"/>
          <bgColor auto="1"/>
        </patternFill>
      </fill>
      <alignment horizontal="general" vertical="bottom"/>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dxf>
    <dxf>
      <font>
        <strike val="0"/>
        <outline val="0"/>
        <shadow val="0"/>
        <vertAlign val="baseline"/>
        <sz val="12"/>
        <color theme="1"/>
        <name val="Calibri"/>
        <family val="2"/>
        <scheme val="minor"/>
      </font>
      <fill>
        <patternFill>
          <fgColor indexed="64"/>
          <bgColor auto="1"/>
        </patternFill>
      </fill>
      <alignment horizontal="general" vertical="bottom"/>
    </dxf>
    <dxf>
      <font>
        <strike val="0"/>
        <outline val="0"/>
        <shadow val="0"/>
        <vertAlign val="baseline"/>
        <sz val="12"/>
        <color theme="1"/>
        <name val="Calibri"/>
        <family val="2"/>
        <scheme val="minor"/>
      </font>
      <fill>
        <patternFill>
          <fgColor indexed="64"/>
          <bgColor auto="1"/>
        </patternFill>
      </fill>
      <alignment horizontal="general" vertical="bottom"/>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9" totalsRowShown="0" headerRowDxfId="160" dataDxfId="159">
  <autoFilter ref="A2:D9" xr:uid="{00000000-0009-0000-0100-000001000000}"/>
  <sortState xmlns:xlrd2="http://schemas.microsoft.com/office/spreadsheetml/2017/richdata2" ref="A3:D3">
    <sortCondition ref="A3"/>
  </sortState>
  <tableColumns count="4">
    <tableColumn id="1" xr3:uid="{00000000-0010-0000-0000-000001000000}" name="Team Number" dataDxfId="158"/>
    <tableColumn id="2" xr3:uid="{00000000-0010-0000-0000-000002000000}" name="Team Name" dataDxfId="157"/>
    <tableColumn id="3" xr3:uid="{00000000-0010-0000-0000-000003000000}" name="Coach" dataDxfId="156"/>
    <tableColumn id="4" xr3:uid="{00000000-0010-0000-0000-000004000000}" name="Pod Number" dataDxfId="15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Advancing" displayName="Advancing" ref="A1:A4" totalsRowShown="0">
  <autoFilter ref="A1:A4" xr:uid="{00000000-0009-0000-0100-000002000000}"/>
  <tableColumns count="1">
    <tableColumn id="1" xr3:uid="{00000000-0010-0000-0100-000001000000}"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eta" displayName="Meta" ref="A1:C15" totalsRowShown="0" headerRowDxfId="154" dataDxfId="153">
  <autoFilter ref="A1:C15" xr:uid="{00000000-0009-0000-0100-000003000000}"/>
  <tableColumns count="3">
    <tableColumn id="1" xr3:uid="{00000000-0010-0000-0200-000001000000}" name="Key" dataDxfId="152"/>
    <tableColumn id="2" xr3:uid="{00000000-0010-0000-0200-000002000000}" name="Value" dataDxfId="151"/>
    <tableColumn id="3" xr3:uid="{00000000-0010-0000-0200-000003000000}" name="Comment" dataDxfId="1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AwardList" displayName="AwardList" ref="A1:A6" totalsRowShown="0">
  <autoFilter ref="A1:A6" xr:uid="{00000000-0009-0000-0100-000004000000}"/>
  <tableColumns count="1">
    <tableColumn id="1" xr3:uid="{00000000-0010-0000-0300-000001000000}" name="Awar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RobotGameAwards" displayName="RobotGameAwards" ref="C1:C2" totalsRowShown="0">
  <autoFilter ref="C1:C2" xr:uid="{00000000-0009-0000-0100-000005000000}"/>
  <tableColumns count="1">
    <tableColumn id="1" xr3:uid="{00000000-0010-0000-0400-000001000000}"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ournamentData" displayName="TournamentData" ref="A2:W9" totalsRowShown="0" headerRowDxfId="138" dataDxfId="136" headerRowBorderDxfId="137">
  <autoFilter ref="A2:W9" xr:uid="{00000000-0009-0000-0100-000006000000}"/>
  <sortState xmlns:xlrd2="http://schemas.microsoft.com/office/spreadsheetml/2017/richdata2" ref="A3:W3">
    <sortCondition ref="A3"/>
  </sortState>
  <tableColumns count="23">
    <tableColumn id="1" xr3:uid="{00000000-0010-0000-0500-000001000000}" name="Team Number" dataDxfId="135"/>
    <tableColumn id="13" xr3:uid="{00000000-0010-0000-0500-00000D000000}" name="POD" dataDxfId="134">
      <calculatedColumnFormula>INDEX(OfficialTeamList[Pod Number],MATCH(TournamentData[[#This Row],[Team Number]], OfficialTeamList[Team Number],0))</calculatedColumnFormula>
    </tableColumn>
    <tableColumn id="2" xr3:uid="{00000000-0010-0000-0500-000002000000}" name="Team Name" dataDxfId="133">
      <calculatedColumnFormula>INDEX(OfficialTeamList[Team Name],MATCH(TournamentData[[#This Row],[Team Number]], OfficialTeamList[Team Number],0))</calculatedColumnFormula>
    </tableColumn>
    <tableColumn id="6" xr3:uid="{00000000-0010-0000-0500-000006000000}" name="Robot Game Score 1" dataDxfId="132">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xr3:uid="{00000000-0010-0000-0500-000007000000}" name="Robot Game Score 2" dataDxfId="131">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xr3:uid="{00000000-0010-0000-0500-000008000000}" name="Robot Game Score 3" dataDxfId="130">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xr3:uid="{00000000-0010-0000-0500-000010000000}" name="Robot Game Score 4" dataDxfId="12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xr3:uid="{00000000-0010-0000-0500-000009000000}" name="Robot Game Score 5" dataDxfId="128">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xr3:uid="{00000000-0010-0000-0500-00000A000000}" name="Max Robot Game Score" dataDxfId="12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500-00000F000000}" name="Robot Game Rank" dataDxfId="126">
      <calculatedColumnFormula>_xlfn.RANK.EQ(TournamentData[[#This Row],[Max Robot Game Score]],TournamentData[Max Robot Game Score])</calculatedColumnFormula>
    </tableColumn>
    <tableColumn id="3" xr3:uid="{00000000-0010-0000-0500-000003000000}" name="Core Values Rank" dataDxfId="125">
      <calculatedColumnFormula>INDEX(CoreValuesResults[Core Values Rank],MATCH(TournamentData[[#This Row],[Team Number]],CoreValuesResults[Team Number],0))</calculatedColumnFormula>
    </tableColumn>
    <tableColumn id="4" xr3:uid="{00000000-0010-0000-0500-000004000000}" name="Innovation Project Rank" dataDxfId="124">
      <calculatedColumnFormula>INDEX(InnovationProjectResults[Innovation Project Rank],MATCH(TournamentData[[#This Row],[Team Number]],InnovationProjectResults[Team Number],0))</calculatedColumnFormula>
    </tableColumn>
    <tableColumn id="5" xr3:uid="{00000000-0010-0000-0500-000005000000}" name="Robot Design Rank" dataDxfId="123">
      <calculatedColumnFormula>INDEX(RobotDesignResults[Robot Design Rank],MATCH(TournamentData[[#This Row],[Team Number]],RobotDesignResults[Team Number],0))</calculatedColumnFormula>
    </tableColumn>
    <tableColumn id="14" xr3:uid="{00000000-0010-0000-0500-00000E000000}" name="Champion's Score" dataDxfId="122">
      <calculatedColumnFormula>SUM(TournamentData[[#This Row],[Robot Game Rank]:[Robot Design Rank]])</calculatedColumnFormula>
    </tableColumn>
    <tableColumn id="11" xr3:uid="{00000000-0010-0000-0500-00000B000000}" name="Champion's Rank" dataDxfId="121">
      <calculatedColumnFormula>RANK(TournamentData[[#This Row],[Champion''s Score]],TournamentData[Champion''s Score],1)</calculatedColumnFormula>
    </tableColumn>
    <tableColumn id="12" xr3:uid="{00000000-0010-0000-0500-00000C000000}" name="Award" dataDxfId="120"/>
    <tableColumn id="21" xr3:uid="{00000000-0010-0000-0500-000015000000}" name="Advance?" dataDxfId="119" dataCellStyle="Normal"/>
    <tableColumn id="28" xr3:uid="{00000000-0010-0000-0500-00001C000000}" name="Core Values Score" dataDxfId="118">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500-00001B000000}" name="Innovattion Project Score" dataDxfId="117">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500-00001A000000}" name="Robot Design Score" dataDxfId="116">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500-000019000000}" name="Overall Score - Geometric Mean" dataDxfId="11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500-000018000000}" name="Overall Ranking - Geometric Mean" dataDxfId="114">
      <calculatedColumnFormula>IF(U3,_xlfn.RANK.EQ(U3,U$3:U$17,0),NumberOfTeams)</calculatedColumnFormula>
    </tableColumn>
    <tableColumn id="20" xr3:uid="{00000000-0010-0000-0500-000014000000}" name="Comments" dataDxfId="11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RobotGameScores" displayName="RobotGameScores" ref="A1:F8" totalsRowShown="0" headerRowDxfId="112" dataDxfId="110" headerRowBorderDxfId="111">
  <autoFilter ref="A1:F8" xr:uid="{00000000-0009-0000-0100-000007000000}"/>
  <sortState xmlns:xlrd2="http://schemas.microsoft.com/office/spreadsheetml/2017/richdata2" ref="A2:F2">
    <sortCondition ref="A2"/>
  </sortState>
  <tableColumns count="6">
    <tableColumn id="2" xr3:uid="{00000000-0010-0000-0600-000002000000}" name="Team Number" dataDxfId="109"/>
    <tableColumn id="9" xr3:uid="{00000000-0010-0000-0600-000009000000}" name="Team Name" dataDxfId="108">
      <calculatedColumnFormula>INDEX(OfficialTeamList[Team Name],MATCH(RobotGameScores[[#This Row],[Team Number]], OfficialTeamList[Team Number],0))</calculatedColumnFormula>
    </tableColumn>
    <tableColumn id="3" xr3:uid="{00000000-0010-0000-0600-000003000000}" name="Robot Game 1 Score" dataDxfId="107"/>
    <tableColumn id="4" xr3:uid="{00000000-0010-0000-0600-000004000000}" name="Robot Game 2 Score" dataDxfId="106"/>
    <tableColumn id="5" xr3:uid="{00000000-0010-0000-0600-000005000000}" name="Robot Game 3 Score" dataDxfId="105"/>
    <tableColumn id="8" xr3:uid="{00000000-0010-0000-0600-000008000000}" name="Highest Robot Game Score" dataDxfId="104">
      <calculatedColumnFormula>MAX(C2:E150)</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InnovationProjectResults" displayName="InnovationProjectResults" ref="A1:O8" totalsRowShown="0" headerRowDxfId="103" dataDxfId="102">
  <autoFilter ref="A1:O8" xr:uid="{00000000-0009-0000-0100-000008000000}"/>
  <sortState xmlns:xlrd2="http://schemas.microsoft.com/office/spreadsheetml/2017/richdata2" ref="A2:O2">
    <sortCondition ref="A2"/>
  </sortState>
  <tableColumns count="15">
    <tableColumn id="1" xr3:uid="{00000000-0010-0000-0700-000001000000}" name="Team Number" dataDxfId="101"/>
    <tableColumn id="6" xr3:uid="{00000000-0010-0000-0700-000006000000}" name="POD" dataDxfId="100">
      <calculatedColumnFormula>INDEX(OfficialTeamList[Pod Number],MATCH(InnovationProjectResults[[#This Row],[Team Number]], OfficialTeamList[Team Number],0))</calculatedColumnFormula>
    </tableColumn>
    <tableColumn id="2" xr3:uid="{00000000-0010-0000-0700-000002000000}" name="Team Name" dataDxfId="99">
      <calculatedColumnFormula>INDEX(OfficialTeamList[Team Name],MATCH(InnovationProjectResults[[#This Row],[Team Number]], OfficialTeamList[Team Number],0))</calculatedColumnFormula>
    </tableColumn>
    <tableColumn id="3" xr3:uid="{00000000-0010-0000-0700-000003000000}" name="Identify - Define" dataDxfId="98"/>
    <tableColumn id="4" xr3:uid="{00000000-0010-0000-0700-000004000000}" name="Identify - Research (CV)" dataDxfId="97"/>
    <tableColumn id="5" xr3:uid="{00000000-0010-0000-0700-000005000000}" name="Design - Plan" dataDxfId="96"/>
    <tableColumn id="7" xr3:uid="{00000000-0010-0000-0700-000007000000}" name="Design - Teamwork (CV)" dataDxfId="95"/>
    <tableColumn id="10" xr3:uid="{00000000-0010-0000-0700-00000A000000}" name="Create - Innovation (CV)" dataDxfId="94"/>
    <tableColumn id="8" xr3:uid="{00000000-0010-0000-0700-000008000000}" name="Create - Model" dataDxfId="93"/>
    <tableColumn id="9" xr3:uid="{00000000-0010-0000-0700-000009000000}" name="Iterate - Sharing" dataDxfId="92"/>
    <tableColumn id="11" xr3:uid="{00000000-0010-0000-0700-00000B000000}" name="Iterate - Improvement" dataDxfId="91"/>
    <tableColumn id="12" xr3:uid="{00000000-0010-0000-0700-00000C000000}" name="Communicate - Impact (CV)" dataDxfId="90"/>
    <tableColumn id="13" xr3:uid="{00000000-0010-0000-0700-00000D000000}" name="Communicate - Fun (CV)" dataDxfId="89"/>
    <tableColumn id="19" xr3:uid="{00000000-0010-0000-0700-000013000000}" name="Innovation Project Score" dataDxfId="88">
      <calculatedColumnFormula>SUM(InnovationProjectResults[[#This Row],[Identify - Define]:[Communicate - Fun (CV)]])</calculatedColumnFormula>
    </tableColumn>
    <tableColumn id="20" xr3:uid="{00000000-0010-0000-0700-00001400000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DesignResults" displayName="RobotDesignResults" ref="A1:O8" totalsRowShown="0" headerRowDxfId="86" dataDxfId="85">
  <autoFilter ref="A1:O8" xr:uid="{00000000-0009-0000-0100-000009000000}"/>
  <sortState xmlns:xlrd2="http://schemas.microsoft.com/office/spreadsheetml/2017/richdata2" ref="A2:O2">
    <sortCondition ref="A2"/>
  </sortState>
  <tableColumns count="15">
    <tableColumn id="1" xr3:uid="{00000000-0010-0000-0800-000001000000}" name="Team Number" dataDxfId="84"/>
    <tableColumn id="10" xr3:uid="{00000000-0010-0000-0800-00000A000000}" name="POD" dataDxfId="83">
      <calculatedColumnFormula>INDEX(OfficialTeamList[Pod Number],MATCH(RobotDesignResults[[#This Row],[Team Number]], OfficialTeamList[Team Number],0))</calculatedColumnFormula>
    </tableColumn>
    <tableColumn id="2" xr3:uid="{00000000-0010-0000-0800-000002000000}" name="Team Name" dataDxfId="82">
      <calculatedColumnFormula>INDEX(OfficialTeamList[Team Name],MATCH(RobotDesignResults[[#This Row],[Team Number]], OfficialTeamList[Team Number],0))</calculatedColumnFormula>
    </tableColumn>
    <tableColumn id="3" xr3:uid="{00000000-0010-0000-0800-000003000000}" name="Identify - Strategy" dataDxfId="81"/>
    <tableColumn id="4" xr3:uid="{00000000-0010-0000-0800-000004000000}" name="Identify - Research (CV)" dataDxfId="80"/>
    <tableColumn id="5" xr3:uid="{00000000-0010-0000-0800-000005000000}" name="Design - Ideas (CV)" dataDxfId="79"/>
    <tableColumn id="7" xr3:uid="{00000000-0010-0000-0800-000007000000}" name="Design - Building/Coding" dataDxfId="78"/>
    <tableColumn id="6" xr3:uid="{00000000-0010-0000-0800-000006000000}" name="Create - Attachments" dataDxfId="77"/>
    <tableColumn id="8" xr3:uid="{00000000-0010-0000-0800-000008000000}" name="Create - Code/ Sensors" dataDxfId="76"/>
    <tableColumn id="9" xr3:uid="{00000000-0010-0000-0800-000009000000}" name="Iterate - Testing" dataDxfId="75"/>
    <tableColumn id="11" xr3:uid="{00000000-0010-0000-0800-00000B000000}" name="Iterate - Improvements (CV)" dataDxfId="74"/>
    <tableColumn id="12" xr3:uid="{00000000-0010-0000-0800-00000C000000}" name="Communicate - Impact (CV)" dataDxfId="73"/>
    <tableColumn id="13" xr3:uid="{00000000-0010-0000-0800-00000D000000}" name="Communicate - Fun (CV)" dataDxfId="72"/>
    <tableColumn id="19" xr3:uid="{00000000-0010-0000-0800-000013000000}" name="Robot Design Score" dataDxfId="71">
      <calculatedColumnFormula>SUM(RobotDesignResults[[#This Row],[Identify - Strategy]:[Communicate - Fun (CV)]])</calculatedColumnFormula>
    </tableColumn>
    <tableColumn id="20" xr3:uid="{00000000-0010-0000-0800-00001400000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Results" displayName="CoreValuesResults" ref="A1:T8" totalsRowShown="0" headerRowDxfId="69" dataDxfId="68">
  <autoFilter ref="A1:T8" xr:uid="{00000000-0009-0000-0100-00000A000000}"/>
  <sortState xmlns:xlrd2="http://schemas.microsoft.com/office/spreadsheetml/2017/richdata2" ref="A2:T2">
    <sortCondition ref="A2"/>
  </sortState>
  <tableColumns count="20">
    <tableColumn id="1" xr3:uid="{00000000-0010-0000-0900-000001000000}" name="Team Number" dataDxfId="67"/>
    <tableColumn id="9" xr3:uid="{00000000-0010-0000-0900-000009000000}" name="POD" dataDxfId="66">
      <calculatedColumnFormula>INDEX(OfficialTeamList[Pod Number],MATCH(CoreValuesResults[[#This Row],[Team Number]], OfficialTeamList[Team Number],0))</calculatedColumnFormula>
    </tableColumn>
    <tableColumn id="2" xr3:uid="{00000000-0010-0000-0900-000002000000}" name="Team Name" dataDxfId="65">
      <calculatedColumnFormula>INDEX(OfficialTeamList[Team Name],MATCH(CoreValuesResults[[#This Row],[Team Number]], OfficialTeamList[Team Number],0))</calculatedColumnFormula>
    </tableColumn>
    <tableColumn id="3" xr3:uid="{00000000-0010-0000-0900-000003000000}" name="Identify - Research (CV-IP)" dataDxfId="64">
      <calculatedColumnFormula>INDEX(InnovationProjectResults[Identify - Research (CV)],MATCH(CoreValuesResults[[#This Row],[Team Number]],InnovationProjectResults[Team Number],0))</calculatedColumnFormula>
    </tableColumn>
    <tableColumn id="4" xr3:uid="{00000000-0010-0000-0900-000004000000}" name="Design - Teamwork (CV-IP)" dataDxfId="63">
      <calculatedColumnFormula>INDEX(InnovationProjectResults[Design - Teamwork (CV)],MATCH(CoreValuesResults[[#This Row],[Team Number]],InnovationProjectResults[Team Number],0))</calculatedColumnFormula>
    </tableColumn>
    <tableColumn id="5" xr3:uid="{00000000-0010-0000-0900-000005000000}" name="Create - Innovation (CV-IP)" dataDxfId="62">
      <calculatedColumnFormula>INDEX(InnovationProjectResults[Create - Innovation (CV)],MATCH(CoreValuesResults[[#This Row],[Team Number]],InnovationProjectResults[Team Number],0))</calculatedColumnFormula>
    </tableColumn>
    <tableColumn id="11" xr3:uid="{00000000-0010-0000-0900-00000B000000}" name="Communicate - Impact (CV-IP)" dataDxfId="61">
      <calculatedColumnFormula>INDEX(InnovationProjectResults[Communicate - Impact (CV)],MATCH(CoreValuesResults[[#This Row],[Team Number]],InnovationProjectResults[Team Number],0))</calculatedColumnFormula>
    </tableColumn>
    <tableColumn id="12" xr3:uid="{00000000-0010-0000-0900-00000C000000}" name="Communicate - Fun (CV-IP)" dataDxfId="60">
      <calculatedColumnFormula>INDEX(InnovationProjectResults[Communicate - Fun (CV)],MATCH(CoreValuesResults[[#This Row],[Team Number]],InnovationProjectResults[Team Number],0))</calculatedColumnFormula>
    </tableColumn>
    <tableColumn id="22" xr3:uid="{00000000-0010-0000-0900-000016000000}" name="Identify - Research (CV-RD)" dataDxfId="59">
      <calculatedColumnFormula>INDEX(RobotDesignResults[Identify - Research (CV)],MATCH(CoreValuesResults[[#This Row],[Team Number]],RobotDesignResults[Team Number],0))</calculatedColumnFormula>
    </tableColumn>
    <tableColumn id="25" xr3:uid="{00000000-0010-0000-0900-000019000000}" name="Design - Ideas (CV-RD)" dataDxfId="58">
      <calculatedColumnFormula>INDEX(RobotDesignResults[Design - Ideas (CV)],MATCH(CoreValuesResults[[#This Row],[Team Number]],RobotDesignResults[Team Number],0))</calculatedColumnFormula>
    </tableColumn>
    <tableColumn id="24" xr3:uid="{00000000-0010-0000-0900-000018000000}" name="Iterate - Improvements (CV-RD)" dataDxfId="57">
      <calculatedColumnFormula>INDEX(RobotDesignResults[Iterate - Improvements (CV)],MATCH(CoreValuesResults[[#This Row],[Team Number]],RobotDesignResults[Team Number],0))</calculatedColumnFormula>
    </tableColumn>
    <tableColumn id="23" xr3:uid="{00000000-0010-0000-0900-000017000000}" name="Communicate - Impact (CV-RD)" dataDxfId="56">
      <calculatedColumnFormula>INDEX(RobotDesignResults[Communicate - Impact (CV)],MATCH(CoreValuesResults[[#This Row],[Team Number]],RobotDesignResults[Team Number],0))</calculatedColumnFormula>
    </tableColumn>
    <tableColumn id="13" xr3:uid="{00000000-0010-0000-0900-00000D000000}" name="Communicate - Fun (CV-RD)" dataDxfId="55">
      <calculatedColumnFormula>INDEX(RobotDesignResults[Communicate - Fun (CV)],MATCH(CoreValuesResults[[#This Row],[Team Number]],RobotDesignResults[Team Number],0))</calculatedColumnFormula>
    </tableColumn>
    <tableColumn id="7" xr3:uid="{00000000-0010-0000-0900-000007000000}" name="Gracious Professionalism 1" dataDxfId="54"/>
    <tableColumn id="8" xr3:uid="{00000000-0010-0000-0900-000008000000}" name="Gracious Professionalism 2" dataDxfId="53"/>
    <tableColumn id="6" xr3:uid="{00000000-0010-0000-0900-000006000000}" name="Gracious Professionalism 3" dataDxfId="52"/>
    <tableColumn id="14" xr3:uid="{00000000-0010-0000-0900-00000E000000}" name="Gracious Professionalism Total" dataDxfId="51">
      <calculatedColumnFormula>SUM(CoreValuesResults[[#This Row],[Gracious Professionalism 1]:[Gracious Professionalism 3]])</calculatedColumnFormula>
    </tableColumn>
    <tableColumn id="18" xr3:uid="{00000000-0010-0000-0900-000012000000}" name="Gracious Professionalism Score" dataDxfId="50">
      <calculatedColumnFormula>SUM(N2:Q2)</calculatedColumnFormula>
    </tableColumn>
    <tableColumn id="19" xr3:uid="{00000000-0010-0000-0900-000013000000}" name="Core Values Score" dataDxfId="49">
      <calculatedColumnFormula>SUM(CoreValuesResults[[#This Row],[Identify - Research (CV-IP)]:[Communicate - Fun (CV-RD)]],CoreValuesResults[[#This Row],[Gracious Professionalism Score]])</calculatedColumnFormula>
    </tableColumn>
    <tableColumn id="20" xr3:uid="{00000000-0010-0000-0900-00001400000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ChampionsDelib" displayName="ChampionsDelib" ref="B3:E18" totalsRowShown="0" headerRowDxfId="47" dataDxfId="46">
  <autoFilter ref="B3:E18" xr:uid="{00000000-0009-0000-0100-00000B000000}"/>
  <tableColumns count="4">
    <tableColumn id="1" xr3:uid="{00000000-0010-0000-0A00-000001000000}" name="Team Number" dataDxfId="45"/>
    <tableColumn id="2" xr3:uid="{00000000-0010-0000-0A00-000002000000}" name="Team Name" dataDxfId="44">
      <calculatedColumnFormula>IF(ISNA(INDEX(OfficialTeamList[Team Name],MATCH(ChampionsDelib[[#This Row],[Team Number]], OfficialTeamList[Team Number],0))),"",INDEX(OfficialTeamList[Team Name],MATCH(ChampionsDelib[[#This Row],[Team Number]], OfficialTeamList[Team Number],0)))</calculatedColumnFormula>
    </tableColumn>
    <tableColumn id="3" xr3:uid="{00000000-0010-0000-0A00-000003000000}" name="Champion's Rank" dataDxfId="4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A00-000004000000}" name="Deliberated Rank" dataDxfId="42"/>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RobotGameDelib" displayName="RobotGameDelib" ref="G3:J18" totalsRowShown="0" headerRowDxfId="41" dataDxfId="40">
  <autoFilter ref="G3:J18" xr:uid="{00000000-0009-0000-0100-00000C000000}"/>
  <tableColumns count="4">
    <tableColumn id="1" xr3:uid="{00000000-0010-0000-0B00-000001000000}" name="Team Number" dataDxfId="39"/>
    <tableColumn id="2" xr3:uid="{00000000-0010-0000-0B00-000002000000}" name="Team Name" dataDxfId="38">
      <calculatedColumnFormula>IF(ISNA(INDEX(OfficialTeamList[Team Name],MATCH(RobotGameDelib[[#This Row],[Team Number]], OfficialTeamList[Team Number],0))),"",INDEX(OfficialTeamList[Team Name],MATCH(RobotGameDelib[[#This Row],[Team Number]], OfficialTeamList[Team Number],0)))</calculatedColumnFormula>
    </tableColumn>
    <tableColumn id="3" xr3:uid="{00000000-0010-0000-0B00-000003000000}" name="Champion's Rank" dataDxfId="3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B00-000004000000}" name="Deliberated Rank" dataDxfId="36"/>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CoreValuesDelib" displayName="CoreValuesDelib" ref="B21:E36" totalsRowShown="0" headerRowDxfId="35" dataDxfId="34">
  <autoFilter ref="B21:E36" xr:uid="{00000000-0009-0000-0100-00000D000000}"/>
  <tableColumns count="4">
    <tableColumn id="1" xr3:uid="{00000000-0010-0000-0C00-000001000000}" name="Team Number" dataDxfId="33"/>
    <tableColumn id="2" xr3:uid="{00000000-0010-0000-0C00-000002000000}" name="Team Name" dataDxfId="32">
      <calculatedColumnFormula>IF(ISNA(INDEX(OfficialTeamList[Team Name],MATCH(CoreValuesDelib[[#This Row],[Team Number]], OfficialTeamList[Team Number],0))),"",INDEX(OfficialTeamList[Team Name],MATCH(CoreValuesDelib[[#This Row],[Team Number]], OfficialTeamList[Team Number],0)))</calculatedColumnFormula>
    </tableColumn>
    <tableColumn id="3" xr3:uid="{00000000-0010-0000-0C00-000003000000}" name="Core Values Rank" dataDxfId="3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C00-000004000000}" name="Deliberated Rank" dataDxfId="30"/>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botDesignDelib" displayName="RobotDesignDelib" ref="G21:J36" totalsRowShown="0" headerRowDxfId="29" dataDxfId="28">
  <autoFilter ref="G21:J36" xr:uid="{00000000-0009-0000-0100-00000E000000}"/>
  <tableColumns count="4">
    <tableColumn id="1" xr3:uid="{00000000-0010-0000-0D00-000001000000}" name="Team Number" dataDxfId="27"/>
    <tableColumn id="2" xr3:uid="{00000000-0010-0000-0D00-000002000000}" name="Team Name" dataDxfId="26">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xr3:uid="{00000000-0010-0000-0D00-000003000000}" name="Robot Design Rank" dataDxfId="2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D00-000004000000}" name="Deliberated Rank" dataDxfId="24"/>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InnovationProjectDelib" displayName="InnovationProjectDelib" ref="L21:O36" totalsRowShown="0" headerRowDxfId="23" dataDxfId="22">
  <autoFilter ref="L21:O36" xr:uid="{00000000-0009-0000-0100-00000F000000}"/>
  <tableColumns count="4">
    <tableColumn id="1" xr3:uid="{00000000-0010-0000-0E00-000001000000}" name="Team Number" dataDxfId="21"/>
    <tableColumn id="2" xr3:uid="{00000000-0010-0000-0E00-000002000000}" name="Team Name" dataDxfId="20">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xr3:uid="{00000000-0010-0000-0E00-000003000000}" name="Innovation Project Rank" dataDxfId="1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E00-000004000000}" name="Deliberated Rank" dataDxfId="18"/>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BreakthroughDelib" displayName="BreakthroughDelib" ref="B39:E54" totalsRowShown="0" headerRowDxfId="17" dataDxfId="16">
  <autoFilter ref="B39:E54" xr:uid="{00000000-0009-0000-0100-000010000000}"/>
  <tableColumns count="4">
    <tableColumn id="1" xr3:uid="{00000000-0010-0000-0F00-000001000000}" name="Team Number" dataDxfId="15"/>
    <tableColumn id="2" xr3:uid="{00000000-0010-0000-0F00-000002000000}" name="Team Name" dataDxfId="14">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xr3:uid="{00000000-0010-0000-0F00-000003000000}" name="Champion's Rank" dataDxfId="1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F00-000004000000}" name="Deliberated Rank" dataDxfId="12"/>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RookiAllStarDelib" displayName="RookiAllStarDelib" ref="G39:J54" totalsRowShown="0" headerRowDxfId="11" dataDxfId="10">
  <autoFilter ref="G39:J54" xr:uid="{00000000-0009-0000-0100-000011000000}"/>
  <tableColumns count="4">
    <tableColumn id="1" xr3:uid="{00000000-0010-0000-1000-000001000000}" name="Team Number" dataDxfId="9"/>
    <tableColumn id="2" xr3:uid="{00000000-0010-0000-1000-000002000000}" name="Team Name" dataDxfId="8">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xr3:uid="{00000000-0010-0000-1000-000003000000}" name="Champion's Rank" dataDxfId="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1000-000004000000}" name="Deliberated Rank" dataDxfId="6"/>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MotivateDelib" displayName="MotivateDelib" ref="L39:O54" totalsRowShown="0" headerRowDxfId="5" dataDxfId="4">
  <autoFilter ref="L39:O54" xr:uid="{00000000-0009-0000-0100-000012000000}"/>
  <tableColumns count="4">
    <tableColumn id="1" xr3:uid="{00000000-0010-0000-1100-000001000000}" name="Team Number" dataDxfId="3"/>
    <tableColumn id="2" xr3:uid="{00000000-0010-0000-1100-000002000000}" name="Team Name" dataDxfId="2">
      <calculatedColumnFormula>IF(ISNA(INDEX(OfficialTeamList[Team Name],MATCH(MotivateDelib[[#This Row],[Team Number]], OfficialTeamList[Team Number],0))),"",INDEX(OfficialTeamList[Team Name],MATCH(MotivateDelib[[#This Row],[Team Number]], OfficialTeamList[Team Number],0)))</calculatedColumnFormula>
    </tableColumn>
    <tableColumn id="3" xr3:uid="{00000000-0010-0000-1100-000003000000}" name="Champion's Rank" dataDxfId="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11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table" Target="../tables/table12.xml"/><Relationship Id="rId1" Type="http://schemas.openxmlformats.org/officeDocument/2006/relationships/table" Target="../tables/table11.xml"/><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23"/>
  <sheetViews>
    <sheetView zoomScale="70" zoomScaleNormal="70" workbookViewId="0">
      <selection activeCell="C1" sqref="C1"/>
    </sheetView>
  </sheetViews>
  <sheetFormatPr defaultColWidth="9.140625" defaultRowHeight="39.950000000000003" customHeight="1" x14ac:dyDescent="0.25"/>
  <cols>
    <col min="1" max="2" width="9.140625" style="34" customWidth="1"/>
    <col min="3" max="3" width="210.28515625" style="34" customWidth="1"/>
    <col min="4" max="4" width="9.140625" style="34" customWidth="1"/>
    <col min="5" max="16384" width="9.140625" style="34"/>
  </cols>
  <sheetData>
    <row r="1" spans="2:3" ht="115.5" customHeight="1" x14ac:dyDescent="0.25">
      <c r="C1" s="91" t="s">
        <v>0</v>
      </c>
    </row>
    <row r="2" spans="2:3" ht="102.75" customHeight="1" x14ac:dyDescent="0.25">
      <c r="C2" s="90" t="s">
        <v>1</v>
      </c>
    </row>
    <row r="3" spans="2:3" ht="39.75" customHeight="1" x14ac:dyDescent="0.25">
      <c r="C3" s="100" t="s">
        <v>2</v>
      </c>
    </row>
    <row r="4" spans="2:3" ht="110.25" customHeight="1" x14ac:dyDescent="0.25">
      <c r="B4" s="98" t="s">
        <v>3</v>
      </c>
      <c r="C4" s="92" t="s">
        <v>4</v>
      </c>
    </row>
    <row r="5" spans="2:3" ht="36" customHeight="1" x14ac:dyDescent="0.25">
      <c r="B5" s="97"/>
      <c r="C5" s="37"/>
    </row>
    <row r="6" spans="2:3" ht="121.5" customHeight="1" x14ac:dyDescent="0.25">
      <c r="B6" s="98" t="s">
        <v>5</v>
      </c>
      <c r="C6" s="92" t="s">
        <v>6</v>
      </c>
    </row>
    <row r="7" spans="2:3" ht="31.5" customHeight="1" x14ac:dyDescent="0.25">
      <c r="B7" s="99"/>
    </row>
    <row r="8" spans="2:3" ht="138" customHeight="1" x14ac:dyDescent="0.25">
      <c r="B8" s="99"/>
      <c r="C8" s="93" t="s">
        <v>7</v>
      </c>
    </row>
    <row r="9" spans="2:3" ht="117" customHeight="1" x14ac:dyDescent="0.25">
      <c r="B9" s="98" t="s">
        <v>8</v>
      </c>
      <c r="C9" s="92" t="s">
        <v>9</v>
      </c>
    </row>
    <row r="10" spans="2:3" ht="52.9" customHeight="1" x14ac:dyDescent="0.25">
      <c r="B10" s="99"/>
      <c r="C10" s="93" t="s">
        <v>10</v>
      </c>
    </row>
    <row r="11" spans="2:3" ht="1.9" customHeight="1" x14ac:dyDescent="0.25">
      <c r="B11" s="99"/>
    </row>
    <row r="12" spans="2:3" ht="20.45" customHeight="1" x14ac:dyDescent="0.25">
      <c r="B12" s="99"/>
    </row>
    <row r="13" spans="2:3" ht="73.5" customHeight="1" x14ac:dyDescent="0.25">
      <c r="B13" s="98" t="s">
        <v>11</v>
      </c>
      <c r="C13" s="92" t="s">
        <v>12</v>
      </c>
    </row>
    <row r="14" spans="2:3" ht="95.25" customHeight="1" x14ac:dyDescent="0.25">
      <c r="B14" s="98" t="s">
        <v>13</v>
      </c>
      <c r="C14" s="97" t="s">
        <v>14</v>
      </c>
    </row>
    <row r="15" spans="2:3" ht="105" customHeight="1" x14ac:dyDescent="0.25">
      <c r="B15" s="98" t="s">
        <v>15</v>
      </c>
      <c r="C15" s="97" t="s">
        <v>16</v>
      </c>
    </row>
    <row r="16" spans="2:3" ht="30" customHeight="1" x14ac:dyDescent="0.25">
      <c r="B16" s="38"/>
      <c r="C16" s="35"/>
    </row>
    <row r="17" spans="2:3" ht="39.950000000000003" customHeight="1" thickBot="1" x14ac:dyDescent="0.3">
      <c r="C17" s="36" t="s">
        <v>17</v>
      </c>
    </row>
    <row r="18" spans="2:3" ht="63.75" customHeight="1" thickBot="1" x14ac:dyDescent="0.3">
      <c r="B18" s="35"/>
      <c r="C18" s="94" t="s">
        <v>18</v>
      </c>
    </row>
    <row r="19" spans="2:3" ht="39.950000000000003" customHeight="1" thickBot="1" x14ac:dyDescent="0.3">
      <c r="C19" s="96" t="s">
        <v>19</v>
      </c>
    </row>
    <row r="20" spans="2:3" ht="63" customHeight="1" thickBot="1" x14ac:dyDescent="0.3">
      <c r="C20" s="96" t="s">
        <v>20</v>
      </c>
    </row>
    <row r="21" spans="2:3" ht="60" customHeight="1" thickBot="1" x14ac:dyDescent="0.3">
      <c r="C21" s="95" t="s">
        <v>21</v>
      </c>
    </row>
    <row r="22" spans="2:3" ht="39.950000000000003" customHeight="1" thickBot="1" x14ac:dyDescent="0.3">
      <c r="C22" s="95" t="s">
        <v>22</v>
      </c>
    </row>
    <row r="23" spans="2:3" ht="39.950000000000003" customHeight="1" thickBot="1" x14ac:dyDescent="0.3">
      <c r="C23" s="96" t="s">
        <v>23</v>
      </c>
    </row>
  </sheetData>
  <sheetProtection password="CB4D" sheet="1" formatCells="0" formatColumns="0" formatRows="0" selectLockedCells="1" sort="0" autoFilter="0"/>
  <pageMargins left="0.7" right="0.7" top="0.75" bottom="0.75" header="0.3" footer="0.3"/>
  <pageSetup scale="39" fitToHeight="0" orientation="portrait" horizontalDpi="1200" verticalDpi="12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607"/>
  <sheetViews>
    <sheetView zoomScaleNormal="100" workbookViewId="0">
      <selection activeCell="A3" sqref="A3"/>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1.5703125" style="5" customWidth="1"/>
    <col min="6" max="9" width="9.140625" style="5" customWidth="1"/>
    <col min="10" max="16384" width="9.140625" style="5"/>
  </cols>
  <sheetData>
    <row r="1" spans="1:9" s="1" customFormat="1" ht="61.5" customHeight="1" x14ac:dyDescent="0.25">
      <c r="A1" s="107" t="s">
        <v>24</v>
      </c>
      <c r="B1" s="108"/>
      <c r="C1" s="108"/>
      <c r="D1" s="108"/>
      <c r="E1" s="7" t="s">
        <v>25</v>
      </c>
      <c r="F1" s="88">
        <f>COUNT(OfficialTeamList[Team Number])</f>
        <v>7</v>
      </c>
      <c r="G1" s="88" t="s">
        <v>26</v>
      </c>
      <c r="H1" s="89">
        <f>MAX(OfficialTeamList[Pod Number])</f>
        <v>1</v>
      </c>
      <c r="I1" s="87"/>
    </row>
    <row r="2" spans="1:9" s="2" customFormat="1" ht="21" customHeight="1" x14ac:dyDescent="0.25">
      <c r="A2" s="7" t="s">
        <v>27</v>
      </c>
      <c r="B2" s="7" t="s">
        <v>28</v>
      </c>
      <c r="C2" s="6" t="s">
        <v>29</v>
      </c>
      <c r="D2" s="6" t="s">
        <v>30</v>
      </c>
      <c r="H2" s="3"/>
    </row>
    <row r="3" spans="1:9" s="2" customFormat="1" ht="21" customHeight="1" x14ac:dyDescent="0.25">
      <c r="A3" s="69">
        <v>24277</v>
      </c>
      <c r="B3" s="69" t="s">
        <v>31</v>
      </c>
      <c r="C3" s="69" t="s">
        <v>32</v>
      </c>
      <c r="D3" s="70">
        <v>1</v>
      </c>
      <c r="H3" s="3"/>
    </row>
    <row r="4" spans="1:9" ht="21" customHeight="1" x14ac:dyDescent="0.25">
      <c r="A4" s="69">
        <v>26034</v>
      </c>
      <c r="B4" s="69" t="s">
        <v>33</v>
      </c>
      <c r="C4" s="69" t="s">
        <v>34</v>
      </c>
      <c r="D4" s="70"/>
    </row>
    <row r="5" spans="1:9" ht="21" customHeight="1" x14ac:dyDescent="0.25">
      <c r="A5" s="69">
        <v>60801</v>
      </c>
      <c r="B5" s="69" t="s">
        <v>35</v>
      </c>
      <c r="C5" s="69" t="s">
        <v>36</v>
      </c>
      <c r="D5" s="70"/>
    </row>
    <row r="6" spans="1:9" ht="21" customHeight="1" x14ac:dyDescent="0.25">
      <c r="A6" s="69">
        <v>67083</v>
      </c>
      <c r="B6" s="69" t="s">
        <v>37</v>
      </c>
      <c r="C6" s="69" t="s">
        <v>38</v>
      </c>
      <c r="D6" s="70"/>
    </row>
    <row r="7" spans="1:9" ht="21" customHeight="1" x14ac:dyDescent="0.25">
      <c r="A7" s="69">
        <v>67801</v>
      </c>
      <c r="B7" s="69" t="s">
        <v>39</v>
      </c>
      <c r="C7" s="69" t="s">
        <v>40</v>
      </c>
      <c r="D7" s="70"/>
    </row>
    <row r="8" spans="1:9" ht="21" customHeight="1" x14ac:dyDescent="0.25">
      <c r="A8" s="69">
        <v>68850</v>
      </c>
      <c r="B8" s="69" t="s">
        <v>41</v>
      </c>
      <c r="C8" s="69" t="s">
        <v>42</v>
      </c>
      <c r="D8" s="70"/>
    </row>
    <row r="9" spans="1:9" ht="21" customHeight="1" x14ac:dyDescent="0.25">
      <c r="A9" s="69">
        <v>71673</v>
      </c>
      <c r="B9" s="69" t="s">
        <v>43</v>
      </c>
      <c r="C9" s="69" t="s">
        <v>44</v>
      </c>
      <c r="D9" s="70"/>
    </row>
    <row r="10" spans="1:9" ht="21" customHeight="1" x14ac:dyDescent="0.25">
      <c r="A10" s="69"/>
      <c r="B10" s="69"/>
      <c r="C10" s="69"/>
      <c r="D10" s="70"/>
    </row>
    <row r="11" spans="1:9" ht="21" customHeight="1" x14ac:dyDescent="0.25">
      <c r="A11" s="69"/>
      <c r="B11" s="69"/>
      <c r="C11" s="69"/>
      <c r="D11" s="70"/>
    </row>
    <row r="12" spans="1:9" ht="21" customHeight="1" x14ac:dyDescent="0.25">
      <c r="A12" s="69"/>
      <c r="B12" s="69"/>
      <c r="C12" s="69"/>
      <c r="D12" s="70"/>
    </row>
    <row r="13" spans="1:9" ht="21" customHeight="1" x14ac:dyDescent="0.25">
      <c r="A13" s="69"/>
      <c r="B13" s="69"/>
      <c r="C13" s="69"/>
      <c r="D13" s="70"/>
    </row>
    <row r="14" spans="1:9" ht="21" customHeight="1" x14ac:dyDescent="0.25">
      <c r="A14" s="69"/>
      <c r="B14" s="69"/>
      <c r="C14" s="69"/>
      <c r="D14" s="70"/>
    </row>
    <row r="15" spans="1:9" ht="21" customHeight="1" x14ac:dyDescent="0.25">
      <c r="A15" s="69"/>
      <c r="B15" s="69"/>
      <c r="C15" s="69"/>
      <c r="D15" s="70"/>
    </row>
    <row r="16" spans="1:9" ht="21" customHeight="1" x14ac:dyDescent="0.25">
      <c r="A16" s="69"/>
      <c r="B16" s="69"/>
      <c r="C16" s="69"/>
      <c r="D16" s="70"/>
    </row>
    <row r="17" spans="1:4" ht="21" customHeight="1" x14ac:dyDescent="0.25">
      <c r="A17" s="69"/>
      <c r="B17" s="69"/>
      <c r="C17" s="69"/>
      <c r="D17" s="70"/>
    </row>
    <row r="18" spans="1:4" ht="21" customHeight="1" x14ac:dyDescent="0.25">
      <c r="A18" s="69"/>
      <c r="B18" s="69"/>
      <c r="C18" s="69"/>
      <c r="D18" s="70"/>
    </row>
    <row r="19" spans="1:4" ht="21" customHeight="1" x14ac:dyDescent="0.25">
      <c r="A19" s="69"/>
      <c r="B19" s="69"/>
      <c r="C19" s="69"/>
      <c r="D19" s="70"/>
    </row>
    <row r="20" spans="1:4" ht="21" customHeight="1" x14ac:dyDescent="0.25">
      <c r="A20" s="69"/>
      <c r="B20" s="69"/>
      <c r="C20" s="69"/>
      <c r="D20" s="70"/>
    </row>
    <row r="21" spans="1:4" ht="21" customHeight="1" x14ac:dyDescent="0.25">
      <c r="A21" s="69"/>
      <c r="B21" s="69"/>
      <c r="C21" s="69"/>
      <c r="D21" s="70"/>
    </row>
    <row r="22" spans="1:4" ht="21" customHeight="1" x14ac:dyDescent="0.25">
      <c r="A22" s="69"/>
      <c r="B22" s="69"/>
      <c r="C22" s="69"/>
      <c r="D22" s="70"/>
    </row>
    <row r="23" spans="1:4" ht="21" customHeight="1" x14ac:dyDescent="0.25">
      <c r="A23" s="69"/>
      <c r="B23" s="69"/>
      <c r="C23" s="69"/>
      <c r="D23" s="70"/>
    </row>
    <row r="24" spans="1:4" ht="21" customHeight="1" x14ac:dyDescent="0.25">
      <c r="A24" s="69"/>
      <c r="B24" s="69"/>
      <c r="C24" s="69"/>
      <c r="D24" s="70"/>
    </row>
    <row r="25" spans="1:4" ht="21" customHeight="1" x14ac:dyDescent="0.25">
      <c r="A25" s="69"/>
      <c r="B25" s="69"/>
      <c r="C25" s="69"/>
      <c r="D25" s="70"/>
    </row>
    <row r="26" spans="1:4" ht="21" customHeight="1" x14ac:dyDescent="0.25">
      <c r="A26" s="69"/>
      <c r="B26" s="69"/>
      <c r="C26" s="69"/>
      <c r="D26" s="70"/>
    </row>
    <row r="27" spans="1:4" ht="21" customHeight="1" x14ac:dyDescent="0.25">
      <c r="A27" s="69"/>
      <c r="B27" s="69"/>
      <c r="C27" s="69"/>
      <c r="D27" s="70"/>
    </row>
    <row r="28" spans="1:4" ht="21" customHeight="1" x14ac:dyDescent="0.25">
      <c r="A28" s="69"/>
      <c r="B28" s="69"/>
      <c r="C28" s="69"/>
      <c r="D28" s="70"/>
    </row>
    <row r="29" spans="1:4" ht="21" customHeight="1" x14ac:dyDescent="0.25">
      <c r="A29" s="69"/>
      <c r="B29" s="69"/>
      <c r="C29" s="69"/>
      <c r="D29" s="70"/>
    </row>
    <row r="30" spans="1:4" ht="21" customHeight="1" x14ac:dyDescent="0.25">
      <c r="A30" s="69"/>
      <c r="B30" s="69"/>
      <c r="C30" s="69"/>
      <c r="D30" s="70"/>
    </row>
    <row r="31" spans="1:4" ht="21" customHeight="1" x14ac:dyDescent="0.25">
      <c r="A31" s="69"/>
      <c r="B31" s="69"/>
      <c r="C31" s="69"/>
      <c r="D31" s="70"/>
    </row>
    <row r="32" spans="1:4" ht="21" customHeight="1" x14ac:dyDescent="0.25">
      <c r="A32" s="69"/>
      <c r="B32" s="69"/>
      <c r="C32" s="69"/>
      <c r="D32" s="70"/>
    </row>
    <row r="33" spans="1:4" ht="21" customHeight="1" x14ac:dyDescent="0.25">
      <c r="A33" s="69"/>
      <c r="B33" s="69"/>
      <c r="C33" s="69"/>
      <c r="D33" s="70"/>
    </row>
    <row r="34" spans="1:4" ht="21" customHeight="1" x14ac:dyDescent="0.25">
      <c r="A34" s="69"/>
      <c r="B34" s="69"/>
      <c r="C34" s="69"/>
      <c r="D34" s="70"/>
    </row>
    <row r="35" spans="1:4" ht="21" customHeight="1" x14ac:dyDescent="0.25">
      <c r="A35" s="69"/>
      <c r="B35" s="69"/>
      <c r="C35" s="69"/>
      <c r="D35" s="70"/>
    </row>
    <row r="36" spans="1:4" ht="21" customHeight="1" x14ac:dyDescent="0.25">
      <c r="A36" s="69"/>
      <c r="B36" s="69"/>
      <c r="C36" s="69"/>
      <c r="D36" s="70"/>
    </row>
    <row r="37" spans="1:4" ht="21" customHeight="1" x14ac:dyDescent="0.25">
      <c r="A37" s="69"/>
      <c r="B37" s="69"/>
      <c r="C37" s="69"/>
      <c r="D37" s="70"/>
    </row>
    <row r="38" spans="1:4" ht="21" customHeight="1" x14ac:dyDescent="0.25">
      <c r="A38" s="69"/>
      <c r="B38" s="69"/>
      <c r="C38" s="69"/>
      <c r="D38" s="70"/>
    </row>
    <row r="39" spans="1:4" ht="21" customHeight="1" x14ac:dyDescent="0.25">
      <c r="A39" s="69"/>
      <c r="B39" s="69"/>
      <c r="C39" s="69"/>
      <c r="D39" s="70"/>
    </row>
    <row r="40" spans="1:4" ht="21" customHeight="1" x14ac:dyDescent="0.25">
      <c r="A40" s="69"/>
      <c r="B40" s="69"/>
      <c r="C40" s="69"/>
      <c r="D40" s="70"/>
    </row>
    <row r="41" spans="1:4" ht="21" customHeight="1" x14ac:dyDescent="0.25">
      <c r="A41" s="69"/>
      <c r="B41" s="69"/>
      <c r="C41" s="69"/>
      <c r="D41" s="70"/>
    </row>
    <row r="42" spans="1:4" ht="21" customHeight="1" x14ac:dyDescent="0.25">
      <c r="A42" s="69"/>
      <c r="B42" s="69"/>
      <c r="C42" s="69"/>
      <c r="D42" s="70"/>
    </row>
    <row r="43" spans="1:4" ht="21" customHeight="1" x14ac:dyDescent="0.25">
      <c r="A43" s="69"/>
      <c r="B43" s="69"/>
      <c r="C43" s="69"/>
      <c r="D43" s="70"/>
    </row>
    <row r="44" spans="1:4" ht="21" customHeight="1" x14ac:dyDescent="0.25">
      <c r="A44" s="69"/>
      <c r="B44" s="69"/>
      <c r="C44" s="69"/>
      <c r="D44" s="70"/>
    </row>
    <row r="45" spans="1:4" ht="21" customHeight="1" x14ac:dyDescent="0.25">
      <c r="A45" s="69"/>
      <c r="B45" s="69"/>
      <c r="C45" s="69"/>
      <c r="D45" s="70"/>
    </row>
    <row r="46" spans="1:4" ht="21" customHeight="1" x14ac:dyDescent="0.25">
      <c r="A46" s="69"/>
      <c r="B46" s="69"/>
      <c r="C46" s="69"/>
      <c r="D46" s="70"/>
    </row>
    <row r="47" spans="1:4" ht="21" customHeight="1" x14ac:dyDescent="0.25">
      <c r="A47" s="69"/>
      <c r="B47" s="69"/>
      <c r="C47" s="69"/>
      <c r="D47" s="70"/>
    </row>
    <row r="48" spans="1:4" ht="21" customHeight="1" x14ac:dyDescent="0.25">
      <c r="A48" s="69"/>
      <c r="B48" s="69"/>
      <c r="C48" s="69"/>
      <c r="D48" s="70"/>
    </row>
    <row r="49" spans="1:4" ht="21" customHeight="1" x14ac:dyDescent="0.25">
      <c r="A49" s="69"/>
      <c r="B49" s="69"/>
      <c r="C49" s="69"/>
      <c r="D49" s="70"/>
    </row>
    <row r="50" spans="1:4" ht="21" customHeight="1" x14ac:dyDescent="0.25">
      <c r="A50" s="69"/>
      <c r="B50" s="69"/>
      <c r="C50" s="69"/>
      <c r="D50" s="70"/>
    </row>
    <row r="51" spans="1:4" ht="21" customHeight="1" x14ac:dyDescent="0.25">
      <c r="A51" s="69"/>
      <c r="B51" s="69"/>
      <c r="C51" s="69"/>
      <c r="D51" s="70"/>
    </row>
    <row r="52" spans="1:4" ht="21" customHeight="1" x14ac:dyDescent="0.25">
      <c r="A52" s="69"/>
      <c r="B52" s="69"/>
      <c r="C52" s="69"/>
      <c r="D52" s="70"/>
    </row>
    <row r="53" spans="1:4" ht="21" customHeight="1" x14ac:dyDescent="0.25">
      <c r="A53" s="69"/>
      <c r="B53" s="69"/>
      <c r="C53" s="69"/>
      <c r="D53" s="70"/>
    </row>
    <row r="54" spans="1:4" ht="21" customHeight="1" x14ac:dyDescent="0.25">
      <c r="A54" s="69"/>
      <c r="B54" s="69"/>
      <c r="C54" s="69"/>
      <c r="D54" s="70"/>
    </row>
    <row r="55" spans="1:4" ht="21" customHeight="1" x14ac:dyDescent="0.25">
      <c r="A55" s="69"/>
      <c r="B55" s="69"/>
      <c r="C55" s="69"/>
      <c r="D55" s="70"/>
    </row>
    <row r="56" spans="1:4" ht="21" customHeight="1" x14ac:dyDescent="0.25">
      <c r="A56" s="69"/>
      <c r="B56" s="69"/>
      <c r="C56" s="69"/>
      <c r="D56" s="70"/>
    </row>
    <row r="57" spans="1:4" ht="21" customHeight="1" x14ac:dyDescent="0.25">
      <c r="A57" s="69"/>
      <c r="B57" s="69"/>
      <c r="C57" s="69"/>
      <c r="D57" s="70"/>
    </row>
    <row r="58" spans="1:4" ht="21" customHeight="1" x14ac:dyDescent="0.25">
      <c r="A58" s="69"/>
      <c r="B58" s="69"/>
      <c r="C58" s="69"/>
      <c r="D58" s="70"/>
    </row>
    <row r="59" spans="1:4" ht="21" customHeight="1" x14ac:dyDescent="0.25">
      <c r="A59" s="69"/>
      <c r="B59" s="69"/>
      <c r="C59" s="69"/>
      <c r="D59" s="70"/>
    </row>
    <row r="60" spans="1:4" ht="21" customHeight="1" x14ac:dyDescent="0.25">
      <c r="A60" s="69"/>
      <c r="B60" s="69"/>
      <c r="C60" s="69"/>
      <c r="D60" s="70"/>
    </row>
    <row r="61" spans="1:4" ht="21" customHeight="1" x14ac:dyDescent="0.25">
      <c r="A61" s="69"/>
      <c r="B61" s="69"/>
      <c r="C61" s="69"/>
      <c r="D61" s="70"/>
    </row>
    <row r="62" spans="1:4" ht="21" customHeight="1" x14ac:dyDescent="0.25">
      <c r="A62" s="69"/>
      <c r="B62" s="69"/>
      <c r="C62" s="69"/>
      <c r="D62" s="70"/>
    </row>
    <row r="63" spans="1:4" ht="21" customHeight="1" x14ac:dyDescent="0.25">
      <c r="A63" s="69"/>
      <c r="B63" s="69"/>
      <c r="C63" s="69"/>
      <c r="D63" s="70"/>
    </row>
    <row r="64" spans="1:4" ht="21" customHeight="1" x14ac:dyDescent="0.25">
      <c r="A64" s="69"/>
      <c r="B64" s="69"/>
      <c r="C64" s="69"/>
      <c r="D64" s="70"/>
    </row>
    <row r="65" spans="1:4" ht="21" customHeight="1" x14ac:dyDescent="0.25">
      <c r="A65" s="69"/>
      <c r="B65" s="69"/>
      <c r="C65" s="69"/>
      <c r="D65" s="70"/>
    </row>
    <row r="66" spans="1:4" ht="21" customHeight="1" x14ac:dyDescent="0.25">
      <c r="A66" s="69"/>
      <c r="B66" s="69"/>
      <c r="C66" s="69"/>
      <c r="D66" s="70"/>
    </row>
    <row r="67" spans="1:4" ht="21" customHeight="1" x14ac:dyDescent="0.25">
      <c r="A67" s="69"/>
      <c r="B67" s="69"/>
      <c r="C67" s="69"/>
      <c r="D67" s="70"/>
    </row>
    <row r="68" spans="1:4" ht="21" customHeight="1" x14ac:dyDescent="0.25">
      <c r="A68" s="69"/>
      <c r="B68" s="69"/>
      <c r="C68" s="69"/>
      <c r="D68" s="70"/>
    </row>
    <row r="69" spans="1:4" ht="21" customHeight="1" x14ac:dyDescent="0.25">
      <c r="A69" s="69"/>
      <c r="B69" s="69"/>
      <c r="C69" s="69"/>
      <c r="D69" s="70"/>
    </row>
    <row r="70" spans="1:4" ht="21" customHeight="1" x14ac:dyDescent="0.25">
      <c r="A70" s="69"/>
      <c r="B70" s="69"/>
      <c r="C70" s="69"/>
      <c r="D70" s="70"/>
    </row>
    <row r="71" spans="1:4" ht="21" customHeight="1" x14ac:dyDescent="0.25">
      <c r="A71" s="69"/>
      <c r="B71" s="69"/>
      <c r="C71" s="69"/>
      <c r="D71" s="70"/>
    </row>
    <row r="72" spans="1:4" ht="21" customHeight="1" x14ac:dyDescent="0.25">
      <c r="A72" s="69"/>
      <c r="B72" s="69"/>
      <c r="C72" s="69"/>
      <c r="D72" s="70"/>
    </row>
    <row r="73" spans="1:4" ht="21" customHeight="1" x14ac:dyDescent="0.25">
      <c r="A73" s="69"/>
      <c r="B73" s="69"/>
      <c r="C73" s="69"/>
      <c r="D73" s="70"/>
    </row>
    <row r="74" spans="1:4" ht="21" customHeight="1" x14ac:dyDescent="0.25">
      <c r="A74" s="69"/>
      <c r="B74" s="69"/>
      <c r="C74" s="69"/>
      <c r="D74" s="70"/>
    </row>
    <row r="75" spans="1:4" ht="21" customHeight="1" x14ac:dyDescent="0.25">
      <c r="A75" s="69"/>
      <c r="B75" s="69"/>
      <c r="C75" s="69"/>
      <c r="D75" s="70"/>
    </row>
    <row r="76" spans="1:4" ht="21" customHeight="1" x14ac:dyDescent="0.25">
      <c r="A76" s="69"/>
      <c r="B76" s="69"/>
      <c r="C76" s="69"/>
      <c r="D76" s="70"/>
    </row>
    <row r="77" spans="1:4" ht="21" customHeight="1" x14ac:dyDescent="0.25">
      <c r="A77" s="69"/>
      <c r="B77" s="69"/>
      <c r="C77" s="69"/>
      <c r="D77" s="70"/>
    </row>
    <row r="78" spans="1:4" ht="21" customHeight="1" x14ac:dyDescent="0.25">
      <c r="A78" s="69"/>
      <c r="B78" s="69"/>
      <c r="C78" s="69"/>
      <c r="D78" s="70"/>
    </row>
    <row r="79" spans="1:4" ht="21" customHeight="1" x14ac:dyDescent="0.25">
      <c r="A79" s="69"/>
      <c r="B79" s="69"/>
      <c r="C79" s="69"/>
      <c r="D79" s="70"/>
    </row>
    <row r="80" spans="1:4" ht="21" customHeight="1" x14ac:dyDescent="0.25">
      <c r="A80" s="69"/>
      <c r="B80" s="69"/>
      <c r="C80" s="69"/>
      <c r="D80" s="70"/>
    </row>
    <row r="81" spans="1:4" ht="21" customHeight="1" x14ac:dyDescent="0.25">
      <c r="A81" s="69"/>
      <c r="B81" s="69"/>
      <c r="C81" s="69"/>
      <c r="D81" s="70"/>
    </row>
    <row r="82" spans="1:4" ht="21" customHeight="1" x14ac:dyDescent="0.25">
      <c r="A82" s="69"/>
      <c r="B82" s="69"/>
      <c r="C82" s="69"/>
      <c r="D82" s="70"/>
    </row>
    <row r="83" spans="1:4" ht="21" customHeight="1" x14ac:dyDescent="0.25">
      <c r="A83" s="69"/>
      <c r="B83" s="69"/>
      <c r="C83" s="69"/>
      <c r="D83" s="70"/>
    </row>
    <row r="84" spans="1:4" ht="21" customHeight="1" x14ac:dyDescent="0.25">
      <c r="A84" s="69"/>
      <c r="B84" s="69"/>
      <c r="C84" s="69"/>
      <c r="D84" s="70"/>
    </row>
    <row r="85" spans="1:4" ht="21" customHeight="1" x14ac:dyDescent="0.25">
      <c r="A85" s="69"/>
      <c r="B85" s="69"/>
      <c r="C85" s="69"/>
      <c r="D85" s="70"/>
    </row>
    <row r="86" spans="1:4" ht="21" customHeight="1" x14ac:dyDescent="0.25">
      <c r="A86" s="69"/>
      <c r="B86" s="69"/>
      <c r="C86" s="69"/>
      <c r="D86" s="70"/>
    </row>
    <row r="87" spans="1:4" ht="21" customHeight="1" x14ac:dyDescent="0.25">
      <c r="A87" s="69"/>
      <c r="B87" s="69"/>
      <c r="C87" s="69"/>
      <c r="D87" s="70"/>
    </row>
    <row r="88" spans="1:4" ht="21" customHeight="1" x14ac:dyDescent="0.25">
      <c r="A88" s="69"/>
      <c r="B88" s="69"/>
      <c r="C88" s="69"/>
      <c r="D88" s="70"/>
    </row>
    <row r="89" spans="1:4" ht="21" customHeight="1" x14ac:dyDescent="0.25">
      <c r="A89" s="69"/>
      <c r="B89" s="69"/>
      <c r="C89" s="69"/>
      <c r="D89" s="70"/>
    </row>
    <row r="90" spans="1:4" ht="21" customHeight="1" x14ac:dyDescent="0.25">
      <c r="A90" s="69"/>
      <c r="B90" s="69"/>
      <c r="C90" s="69"/>
      <c r="D90" s="70"/>
    </row>
    <row r="91" spans="1:4" ht="21" customHeight="1" x14ac:dyDescent="0.25">
      <c r="A91" s="69"/>
      <c r="B91" s="69"/>
      <c r="C91" s="69"/>
      <c r="D91" s="70"/>
    </row>
    <row r="92" spans="1:4" ht="21" customHeight="1" x14ac:dyDescent="0.25">
      <c r="A92" s="69"/>
      <c r="B92" s="69"/>
      <c r="C92" s="69"/>
      <c r="D92" s="70"/>
    </row>
    <row r="93" spans="1:4" ht="21" customHeight="1" x14ac:dyDescent="0.25">
      <c r="A93" s="69"/>
      <c r="B93" s="69"/>
      <c r="C93" s="69"/>
      <c r="D93" s="70"/>
    </row>
    <row r="94" spans="1:4" ht="21" customHeight="1" x14ac:dyDescent="0.25">
      <c r="A94" s="69"/>
      <c r="B94" s="69"/>
      <c r="C94" s="69"/>
      <c r="D94" s="70"/>
    </row>
    <row r="95" spans="1:4" ht="21" customHeight="1" x14ac:dyDescent="0.25">
      <c r="A95" s="69"/>
      <c r="B95" s="69"/>
      <c r="C95" s="69"/>
      <c r="D95" s="70"/>
    </row>
    <row r="96" spans="1:4" ht="21" customHeight="1" x14ac:dyDescent="0.25">
      <c r="A96" s="69"/>
      <c r="B96" s="69"/>
      <c r="C96" s="69"/>
      <c r="D96" s="70"/>
    </row>
    <row r="97" spans="1:4" ht="21" customHeight="1" x14ac:dyDescent="0.25">
      <c r="A97" s="69"/>
      <c r="B97" s="69"/>
      <c r="C97" s="69"/>
      <c r="D97" s="70"/>
    </row>
    <row r="98" spans="1:4" ht="21" customHeight="1" x14ac:dyDescent="0.25">
      <c r="A98" s="69"/>
      <c r="B98" s="69"/>
      <c r="C98" s="69"/>
      <c r="D98" s="70"/>
    </row>
    <row r="99" spans="1:4" ht="21" customHeight="1" x14ac:dyDescent="0.25">
      <c r="A99" s="69"/>
      <c r="B99" s="69"/>
      <c r="C99" s="69"/>
      <c r="D99" s="70"/>
    </row>
    <row r="100" spans="1:4" ht="21" customHeight="1" x14ac:dyDescent="0.25">
      <c r="A100" s="69"/>
      <c r="B100" s="69"/>
      <c r="C100" s="69"/>
      <c r="D100" s="70"/>
    </row>
    <row r="101" spans="1:4" ht="21" customHeight="1" x14ac:dyDescent="0.25">
      <c r="A101" s="69"/>
      <c r="B101" s="69"/>
      <c r="C101" s="69"/>
      <c r="D101" s="70"/>
    </row>
    <row r="102" spans="1:4" ht="21" customHeight="1" x14ac:dyDescent="0.25">
      <c r="A102" s="69"/>
      <c r="B102" s="69"/>
      <c r="C102" s="69"/>
      <c r="D102" s="70"/>
    </row>
    <row r="103" spans="1:4" ht="21" customHeight="1" x14ac:dyDescent="0.25">
      <c r="A103" s="69"/>
      <c r="B103" s="69"/>
      <c r="C103" s="69"/>
      <c r="D103" s="70"/>
    </row>
    <row r="104" spans="1:4" ht="21" customHeight="1" x14ac:dyDescent="0.25">
      <c r="A104" s="69"/>
      <c r="B104" s="69"/>
      <c r="C104" s="69"/>
      <c r="D104" s="70"/>
    </row>
    <row r="105" spans="1:4" ht="21" customHeight="1" x14ac:dyDescent="0.25">
      <c r="A105" s="69"/>
      <c r="B105" s="69"/>
      <c r="C105" s="69"/>
      <c r="D105" s="70"/>
    </row>
    <row r="106" spans="1:4" ht="21" customHeight="1" x14ac:dyDescent="0.25">
      <c r="A106" s="69"/>
      <c r="B106" s="69"/>
      <c r="C106" s="69"/>
      <c r="D106" s="70"/>
    </row>
    <row r="107" spans="1:4" ht="21" customHeight="1" x14ac:dyDescent="0.25">
      <c r="A107" s="69"/>
      <c r="B107" s="69"/>
      <c r="C107" s="69"/>
      <c r="D107" s="70"/>
    </row>
    <row r="108" spans="1:4" ht="21" customHeight="1" x14ac:dyDescent="0.25">
      <c r="A108" s="69"/>
      <c r="B108" s="69"/>
      <c r="C108" s="69"/>
      <c r="D108" s="70"/>
    </row>
    <row r="109" spans="1:4" ht="21" customHeight="1" x14ac:dyDescent="0.25">
      <c r="A109" s="69"/>
      <c r="B109" s="69"/>
      <c r="C109" s="69"/>
      <c r="D109" s="70"/>
    </row>
    <row r="110" spans="1:4" ht="21" customHeight="1" x14ac:dyDescent="0.25">
      <c r="A110" s="69"/>
      <c r="B110" s="69"/>
      <c r="C110" s="69"/>
      <c r="D110" s="70"/>
    </row>
    <row r="111" spans="1:4" ht="21" customHeight="1" x14ac:dyDescent="0.25">
      <c r="A111" s="69"/>
      <c r="B111" s="69"/>
      <c r="C111" s="69"/>
      <c r="D111" s="70"/>
    </row>
    <row r="112" spans="1:4" ht="21" customHeight="1" x14ac:dyDescent="0.25">
      <c r="A112" s="69"/>
      <c r="B112" s="69"/>
      <c r="C112" s="69"/>
      <c r="D112" s="70"/>
    </row>
    <row r="113" spans="1:4" ht="21" customHeight="1" x14ac:dyDescent="0.25">
      <c r="A113" s="69"/>
      <c r="B113" s="69"/>
      <c r="C113" s="69"/>
      <c r="D113" s="70"/>
    </row>
    <row r="114" spans="1:4" ht="21" customHeight="1" x14ac:dyDescent="0.25">
      <c r="A114" s="69"/>
      <c r="B114" s="69"/>
      <c r="C114" s="69"/>
      <c r="D114" s="70"/>
    </row>
    <row r="115" spans="1:4" ht="21" customHeight="1" x14ac:dyDescent="0.25">
      <c r="A115" s="69"/>
      <c r="B115" s="69"/>
      <c r="C115" s="69"/>
      <c r="D115" s="70"/>
    </row>
    <row r="116" spans="1:4" ht="21" customHeight="1" x14ac:dyDescent="0.25">
      <c r="A116" s="69"/>
      <c r="B116" s="69"/>
      <c r="C116" s="69"/>
      <c r="D116" s="70"/>
    </row>
    <row r="117" spans="1:4" ht="21" customHeight="1" x14ac:dyDescent="0.25">
      <c r="A117" s="69"/>
      <c r="B117" s="69"/>
      <c r="C117" s="69"/>
      <c r="D117" s="70"/>
    </row>
    <row r="118" spans="1:4" ht="21" customHeight="1" x14ac:dyDescent="0.25">
      <c r="A118" s="69"/>
      <c r="B118" s="69"/>
      <c r="C118" s="69"/>
      <c r="D118" s="70"/>
    </row>
    <row r="119" spans="1:4" ht="21" customHeight="1" x14ac:dyDescent="0.25">
      <c r="A119" s="69"/>
      <c r="B119" s="69"/>
      <c r="C119" s="69"/>
      <c r="D119" s="70"/>
    </row>
    <row r="120" spans="1:4" ht="21" customHeight="1" x14ac:dyDescent="0.25">
      <c r="A120" s="69"/>
      <c r="B120" s="69"/>
      <c r="C120" s="69"/>
      <c r="D120" s="70"/>
    </row>
    <row r="121" spans="1:4" ht="21" customHeight="1" x14ac:dyDescent="0.25">
      <c r="A121" s="69"/>
      <c r="B121" s="69"/>
      <c r="C121" s="69"/>
      <c r="D121" s="70"/>
    </row>
    <row r="122" spans="1:4" ht="21" customHeight="1" x14ac:dyDescent="0.25">
      <c r="A122" s="69"/>
      <c r="B122" s="69"/>
      <c r="C122" s="69"/>
      <c r="D122" s="70"/>
    </row>
    <row r="123" spans="1:4" ht="21" customHeight="1" x14ac:dyDescent="0.25">
      <c r="A123" s="69"/>
      <c r="B123" s="69"/>
      <c r="C123" s="69"/>
      <c r="D123" s="70"/>
    </row>
    <row r="124" spans="1:4" ht="21" customHeight="1" x14ac:dyDescent="0.25">
      <c r="A124" s="69"/>
      <c r="B124" s="69"/>
      <c r="C124" s="69"/>
      <c r="D124" s="70"/>
    </row>
    <row r="125" spans="1:4" ht="21" customHeight="1" x14ac:dyDescent="0.25">
      <c r="A125" s="69"/>
      <c r="B125" s="69"/>
      <c r="C125" s="69"/>
      <c r="D125" s="70"/>
    </row>
    <row r="126" spans="1:4" ht="21" customHeight="1" x14ac:dyDescent="0.25">
      <c r="A126" s="69"/>
      <c r="B126" s="69"/>
      <c r="C126" s="69"/>
      <c r="D126" s="70"/>
    </row>
    <row r="127" spans="1:4" ht="21" customHeight="1" x14ac:dyDescent="0.25">
      <c r="A127" s="69"/>
      <c r="B127" s="69"/>
      <c r="C127" s="69"/>
      <c r="D127" s="70"/>
    </row>
    <row r="128" spans="1:4" ht="21" customHeight="1" x14ac:dyDescent="0.25">
      <c r="A128" s="69"/>
      <c r="B128" s="69"/>
      <c r="C128" s="69"/>
      <c r="D128" s="70"/>
    </row>
    <row r="129" spans="1:4" ht="21" customHeight="1" x14ac:dyDescent="0.25">
      <c r="A129" s="69"/>
      <c r="B129" s="69"/>
      <c r="C129" s="69"/>
      <c r="D129" s="70"/>
    </row>
    <row r="130" spans="1:4" ht="21" customHeight="1" x14ac:dyDescent="0.25">
      <c r="A130" s="69"/>
      <c r="B130" s="69"/>
      <c r="C130" s="69"/>
      <c r="D130" s="70"/>
    </row>
    <row r="131" spans="1:4" ht="21" customHeight="1" x14ac:dyDescent="0.25">
      <c r="A131" s="69"/>
      <c r="B131" s="69"/>
      <c r="C131" s="69"/>
      <c r="D131" s="70"/>
    </row>
    <row r="132" spans="1:4" ht="21" customHeight="1" x14ac:dyDescent="0.25">
      <c r="A132" s="69"/>
      <c r="B132" s="69"/>
      <c r="C132" s="69"/>
      <c r="D132" s="70"/>
    </row>
    <row r="133" spans="1:4" ht="21" customHeight="1" x14ac:dyDescent="0.25">
      <c r="A133" s="69"/>
      <c r="B133" s="69"/>
      <c r="C133" s="69"/>
      <c r="D133" s="70"/>
    </row>
    <row r="134" spans="1:4" ht="21" customHeight="1" x14ac:dyDescent="0.25">
      <c r="A134" s="69"/>
      <c r="B134" s="69"/>
      <c r="C134" s="69"/>
      <c r="D134" s="70"/>
    </row>
    <row r="135" spans="1:4" ht="21" customHeight="1" x14ac:dyDescent="0.25">
      <c r="A135" s="69"/>
      <c r="B135" s="69"/>
      <c r="C135" s="69"/>
      <c r="D135" s="70"/>
    </row>
    <row r="136" spans="1:4" ht="21" customHeight="1" x14ac:dyDescent="0.25">
      <c r="A136" s="69"/>
      <c r="B136" s="69"/>
      <c r="C136" s="69"/>
      <c r="D136" s="70"/>
    </row>
    <row r="137" spans="1:4" ht="21" customHeight="1" x14ac:dyDescent="0.25">
      <c r="A137" s="69"/>
      <c r="B137" s="69"/>
      <c r="C137" s="69"/>
      <c r="D137" s="70"/>
    </row>
    <row r="138" spans="1:4" ht="21" customHeight="1" x14ac:dyDescent="0.25">
      <c r="A138" s="69"/>
      <c r="B138" s="69"/>
      <c r="C138" s="69"/>
      <c r="D138" s="70"/>
    </row>
    <row r="139" spans="1:4" ht="21" customHeight="1" x14ac:dyDescent="0.25">
      <c r="A139" s="69"/>
      <c r="B139" s="69"/>
      <c r="C139" s="69"/>
      <c r="D139" s="70"/>
    </row>
    <row r="140" spans="1:4" ht="21" customHeight="1" x14ac:dyDescent="0.25">
      <c r="A140" s="69"/>
      <c r="B140" s="69"/>
      <c r="C140" s="69"/>
      <c r="D140" s="70"/>
    </row>
    <row r="141" spans="1:4" ht="21" customHeight="1" x14ac:dyDescent="0.25">
      <c r="A141" s="69"/>
      <c r="B141" s="69"/>
      <c r="C141" s="69"/>
      <c r="D141" s="70"/>
    </row>
    <row r="142" spans="1:4" ht="21" customHeight="1" x14ac:dyDescent="0.25">
      <c r="A142" s="69"/>
      <c r="B142" s="69"/>
      <c r="C142" s="69"/>
      <c r="D142" s="70"/>
    </row>
    <row r="143" spans="1:4" ht="21" customHeight="1" x14ac:dyDescent="0.25">
      <c r="A143" s="69"/>
      <c r="B143" s="69"/>
      <c r="C143" s="69"/>
      <c r="D143" s="70"/>
    </row>
    <row r="144" spans="1:4" ht="21" customHeight="1" x14ac:dyDescent="0.25">
      <c r="A144" s="69"/>
      <c r="B144" s="69"/>
      <c r="C144" s="69"/>
      <c r="D144" s="70"/>
    </row>
    <row r="145" spans="1:4" ht="21" customHeight="1" x14ac:dyDescent="0.25">
      <c r="A145" s="69"/>
      <c r="B145" s="69"/>
      <c r="C145" s="69"/>
      <c r="D145" s="70"/>
    </row>
    <row r="146" spans="1:4" ht="21" customHeight="1" x14ac:dyDescent="0.25">
      <c r="A146" s="69"/>
      <c r="B146" s="69"/>
      <c r="C146" s="69"/>
      <c r="D146" s="70"/>
    </row>
    <row r="147" spans="1:4" ht="21" customHeight="1" x14ac:dyDescent="0.25">
      <c r="A147" s="69"/>
      <c r="B147" s="69"/>
      <c r="C147" s="69"/>
      <c r="D147" s="70"/>
    </row>
    <row r="148" spans="1:4" ht="21" customHeight="1" x14ac:dyDescent="0.25">
      <c r="A148" s="69"/>
      <c r="B148" s="69"/>
      <c r="C148" s="69"/>
      <c r="D148" s="70"/>
    </row>
    <row r="149" spans="1:4" ht="21" customHeight="1" x14ac:dyDescent="0.25">
      <c r="A149" s="69"/>
      <c r="B149" s="69"/>
      <c r="C149" s="69"/>
      <c r="D149" s="70"/>
    </row>
    <row r="150" spans="1:4" ht="21" customHeight="1" x14ac:dyDescent="0.25">
      <c r="A150" s="69"/>
      <c r="B150" s="69"/>
      <c r="C150" s="69"/>
      <c r="D150" s="70"/>
    </row>
    <row r="151" spans="1:4" ht="21" customHeight="1" x14ac:dyDescent="0.25"/>
    <row r="152" spans="1:4" ht="21" customHeight="1" x14ac:dyDescent="0.25"/>
    <row r="153" spans="1:4" ht="21" customHeight="1" x14ac:dyDescent="0.25"/>
    <row r="154" spans="1:4" ht="21" customHeight="1" x14ac:dyDescent="0.25"/>
    <row r="155" spans="1:4" ht="21" customHeight="1" x14ac:dyDescent="0.25"/>
    <row r="156" spans="1:4" ht="21" customHeight="1" x14ac:dyDescent="0.25"/>
    <row r="157" spans="1:4" ht="21" customHeight="1" x14ac:dyDescent="0.25"/>
    <row r="158" spans="1:4" ht="21" customHeight="1" x14ac:dyDescent="0.25"/>
    <row r="159" spans="1:4" ht="21" customHeight="1" x14ac:dyDescent="0.25"/>
    <row r="160" spans="1:4"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row r="274" ht="21" customHeight="1" x14ac:dyDescent="0.25"/>
    <row r="275" ht="21" customHeight="1" x14ac:dyDescent="0.25"/>
    <row r="276" ht="21" customHeight="1" x14ac:dyDescent="0.25"/>
    <row r="277" ht="21" customHeight="1" x14ac:dyDescent="0.25"/>
    <row r="278" ht="21" customHeight="1" x14ac:dyDescent="0.25"/>
    <row r="279" ht="21" customHeight="1" x14ac:dyDescent="0.25"/>
    <row r="280" ht="21" customHeight="1" x14ac:dyDescent="0.25"/>
    <row r="281" ht="21" customHeight="1" x14ac:dyDescent="0.25"/>
    <row r="282" ht="21" customHeight="1" x14ac:dyDescent="0.25"/>
    <row r="283" ht="21" customHeight="1" x14ac:dyDescent="0.25"/>
    <row r="284" ht="21" customHeight="1" x14ac:dyDescent="0.25"/>
    <row r="285" ht="21" customHeight="1" x14ac:dyDescent="0.25"/>
    <row r="286" ht="21" customHeight="1" x14ac:dyDescent="0.25"/>
    <row r="287" ht="21" customHeight="1" x14ac:dyDescent="0.25"/>
    <row r="288" ht="21" customHeight="1" x14ac:dyDescent="0.25"/>
    <row r="289" ht="21" customHeight="1" x14ac:dyDescent="0.25"/>
    <row r="290" ht="21" customHeight="1" x14ac:dyDescent="0.25"/>
    <row r="291" ht="21" customHeight="1" x14ac:dyDescent="0.25"/>
    <row r="292" ht="21" customHeight="1" x14ac:dyDescent="0.25"/>
    <row r="293" ht="21" customHeight="1" x14ac:dyDescent="0.25"/>
    <row r="294" ht="21" customHeight="1" x14ac:dyDescent="0.25"/>
    <row r="295" ht="21" customHeight="1" x14ac:dyDescent="0.25"/>
    <row r="296" ht="21" customHeight="1" x14ac:dyDescent="0.25"/>
    <row r="297" ht="21" customHeight="1" x14ac:dyDescent="0.25"/>
    <row r="298" ht="21" customHeight="1" x14ac:dyDescent="0.25"/>
    <row r="299" ht="21" customHeight="1" x14ac:dyDescent="0.25"/>
    <row r="300" ht="21" customHeight="1" x14ac:dyDescent="0.25"/>
    <row r="301" ht="21" customHeight="1" x14ac:dyDescent="0.25"/>
    <row r="302" ht="21" customHeight="1" x14ac:dyDescent="0.25"/>
    <row r="303" ht="21" customHeight="1" x14ac:dyDescent="0.25"/>
    <row r="304" ht="21" customHeight="1" x14ac:dyDescent="0.25"/>
    <row r="305" ht="21" customHeight="1" x14ac:dyDescent="0.25"/>
    <row r="306" ht="21" customHeight="1" x14ac:dyDescent="0.25"/>
    <row r="307" ht="21" customHeight="1" x14ac:dyDescent="0.25"/>
    <row r="308" ht="21" customHeight="1" x14ac:dyDescent="0.25"/>
    <row r="309" ht="21" customHeight="1" x14ac:dyDescent="0.25"/>
    <row r="310" ht="21" customHeight="1" x14ac:dyDescent="0.25"/>
    <row r="311" ht="21" customHeight="1" x14ac:dyDescent="0.25"/>
    <row r="312" ht="21" customHeight="1" x14ac:dyDescent="0.25"/>
    <row r="313" ht="21" customHeight="1" x14ac:dyDescent="0.25"/>
    <row r="314" ht="21" customHeight="1" x14ac:dyDescent="0.25"/>
    <row r="315" ht="21" customHeight="1" x14ac:dyDescent="0.25"/>
    <row r="316" ht="21" customHeight="1" x14ac:dyDescent="0.25"/>
    <row r="317" ht="21" customHeight="1" x14ac:dyDescent="0.25"/>
    <row r="318" ht="21" customHeight="1" x14ac:dyDescent="0.25"/>
    <row r="319" ht="21" customHeight="1" x14ac:dyDescent="0.25"/>
    <row r="320" ht="21" customHeight="1" x14ac:dyDescent="0.25"/>
    <row r="321" ht="21" customHeight="1" x14ac:dyDescent="0.25"/>
    <row r="322" ht="21" customHeight="1" x14ac:dyDescent="0.25"/>
    <row r="323" ht="21" customHeight="1" x14ac:dyDescent="0.25"/>
    <row r="324" ht="21" customHeight="1" x14ac:dyDescent="0.25"/>
    <row r="325" ht="21" customHeight="1" x14ac:dyDescent="0.25"/>
    <row r="326" ht="21" customHeight="1" x14ac:dyDescent="0.25"/>
    <row r="327" ht="21" customHeight="1" x14ac:dyDescent="0.25"/>
    <row r="328" ht="21" customHeight="1" x14ac:dyDescent="0.25"/>
    <row r="329" ht="21" customHeight="1" x14ac:dyDescent="0.25"/>
    <row r="330" ht="21" customHeight="1" x14ac:dyDescent="0.25"/>
    <row r="331" ht="21" customHeight="1" x14ac:dyDescent="0.25"/>
    <row r="332" ht="21" customHeight="1" x14ac:dyDescent="0.25"/>
    <row r="333" ht="21" customHeight="1" x14ac:dyDescent="0.25"/>
    <row r="334" ht="21" customHeight="1" x14ac:dyDescent="0.25"/>
    <row r="335" ht="21" customHeight="1" x14ac:dyDescent="0.25"/>
    <row r="336" ht="21" customHeight="1" x14ac:dyDescent="0.25"/>
    <row r="337" ht="21" customHeight="1" x14ac:dyDescent="0.25"/>
    <row r="338" ht="21" customHeight="1" x14ac:dyDescent="0.25"/>
    <row r="339" ht="21" customHeight="1" x14ac:dyDescent="0.25"/>
    <row r="340" ht="21" customHeight="1" x14ac:dyDescent="0.25"/>
    <row r="341" ht="21" customHeight="1" x14ac:dyDescent="0.25"/>
    <row r="342" ht="21" customHeight="1" x14ac:dyDescent="0.25"/>
    <row r="343" ht="21" customHeight="1" x14ac:dyDescent="0.25"/>
    <row r="344" ht="21" customHeight="1" x14ac:dyDescent="0.25"/>
    <row r="345" ht="21" customHeight="1" x14ac:dyDescent="0.25"/>
    <row r="346" ht="21" customHeight="1" x14ac:dyDescent="0.25"/>
    <row r="347" ht="21" customHeight="1" x14ac:dyDescent="0.25"/>
    <row r="348" ht="21" customHeight="1" x14ac:dyDescent="0.25"/>
    <row r="349" ht="21" customHeight="1" x14ac:dyDescent="0.25"/>
    <row r="350" ht="21" customHeight="1" x14ac:dyDescent="0.25"/>
    <row r="351" ht="21" customHeight="1" x14ac:dyDescent="0.25"/>
    <row r="352" ht="21" customHeight="1" x14ac:dyDescent="0.25"/>
    <row r="353" ht="21" customHeight="1" x14ac:dyDescent="0.25"/>
    <row r="354" ht="21" customHeight="1" x14ac:dyDescent="0.25"/>
    <row r="355" ht="21" customHeight="1" x14ac:dyDescent="0.25"/>
    <row r="356" ht="21" customHeight="1" x14ac:dyDescent="0.25"/>
    <row r="357" ht="21" customHeight="1" x14ac:dyDescent="0.25"/>
    <row r="358" ht="21" customHeight="1" x14ac:dyDescent="0.25"/>
    <row r="359" ht="21" customHeight="1" x14ac:dyDescent="0.25"/>
    <row r="360" ht="21" customHeight="1" x14ac:dyDescent="0.25"/>
    <row r="361" ht="21" customHeight="1" x14ac:dyDescent="0.25"/>
    <row r="362" ht="21" customHeight="1" x14ac:dyDescent="0.25"/>
    <row r="363" ht="21" customHeight="1" x14ac:dyDescent="0.25"/>
    <row r="364" ht="21" customHeight="1" x14ac:dyDescent="0.25"/>
    <row r="365" ht="21" customHeight="1" x14ac:dyDescent="0.25"/>
    <row r="366" ht="21" customHeight="1" x14ac:dyDescent="0.25"/>
    <row r="367" ht="21" customHeight="1" x14ac:dyDescent="0.25"/>
    <row r="368" ht="21" customHeight="1" x14ac:dyDescent="0.25"/>
    <row r="369" ht="21" customHeight="1" x14ac:dyDescent="0.25"/>
    <row r="370" ht="21" customHeight="1" x14ac:dyDescent="0.25"/>
    <row r="371" ht="21" customHeight="1" x14ac:dyDescent="0.25"/>
    <row r="372" ht="21" customHeight="1" x14ac:dyDescent="0.25"/>
    <row r="373" ht="21" customHeight="1" x14ac:dyDescent="0.25"/>
    <row r="374" ht="21" customHeight="1" x14ac:dyDescent="0.25"/>
    <row r="375" ht="21" customHeight="1" x14ac:dyDescent="0.25"/>
    <row r="376" ht="21" customHeight="1" x14ac:dyDescent="0.25"/>
    <row r="377" ht="21" customHeight="1" x14ac:dyDescent="0.25"/>
    <row r="378" ht="21" customHeight="1" x14ac:dyDescent="0.25"/>
    <row r="379" ht="21" customHeight="1" x14ac:dyDescent="0.25"/>
    <row r="380" ht="21" customHeight="1" x14ac:dyDescent="0.25"/>
    <row r="381" ht="21" customHeight="1" x14ac:dyDescent="0.25"/>
    <row r="382" ht="21" customHeight="1" x14ac:dyDescent="0.25"/>
    <row r="383" ht="21" customHeight="1" x14ac:dyDescent="0.25"/>
    <row r="384" ht="21" customHeight="1" x14ac:dyDescent="0.25"/>
    <row r="385" ht="21" customHeight="1" x14ac:dyDescent="0.25"/>
    <row r="386" ht="21" customHeight="1" x14ac:dyDescent="0.25"/>
    <row r="387" ht="21" customHeight="1" x14ac:dyDescent="0.25"/>
    <row r="388" ht="21" customHeight="1" x14ac:dyDescent="0.25"/>
    <row r="389" ht="21" customHeight="1" x14ac:dyDescent="0.25"/>
    <row r="390" ht="21" customHeight="1" x14ac:dyDescent="0.25"/>
    <row r="391" ht="21" customHeight="1" x14ac:dyDescent="0.25"/>
    <row r="392" ht="21" customHeight="1" x14ac:dyDescent="0.25"/>
    <row r="393" ht="21" customHeight="1" x14ac:dyDescent="0.25"/>
    <row r="394" ht="21" customHeight="1" x14ac:dyDescent="0.25"/>
    <row r="395" ht="21" customHeight="1" x14ac:dyDescent="0.25"/>
    <row r="396" ht="21" customHeight="1" x14ac:dyDescent="0.25"/>
    <row r="397" ht="21" customHeight="1" x14ac:dyDescent="0.25"/>
    <row r="398" ht="21" customHeight="1" x14ac:dyDescent="0.25"/>
    <row r="399" ht="21" customHeight="1" x14ac:dyDescent="0.25"/>
    <row r="400" ht="21" customHeight="1" x14ac:dyDescent="0.25"/>
    <row r="401" ht="21" customHeight="1" x14ac:dyDescent="0.25"/>
    <row r="402" ht="21" customHeight="1" x14ac:dyDescent="0.25"/>
    <row r="403" ht="21" customHeight="1" x14ac:dyDescent="0.25"/>
    <row r="404" ht="21" customHeight="1" x14ac:dyDescent="0.25"/>
    <row r="405" ht="21" customHeight="1" x14ac:dyDescent="0.25"/>
    <row r="406" ht="21" customHeight="1" x14ac:dyDescent="0.25"/>
    <row r="407" ht="21" customHeight="1" x14ac:dyDescent="0.25"/>
    <row r="408" ht="21" customHeight="1" x14ac:dyDescent="0.25"/>
    <row r="409" ht="21" customHeight="1" x14ac:dyDescent="0.25"/>
    <row r="410" ht="21" customHeight="1" x14ac:dyDescent="0.25"/>
    <row r="411" ht="21" customHeight="1" x14ac:dyDescent="0.25"/>
    <row r="412" ht="21" customHeight="1" x14ac:dyDescent="0.25"/>
    <row r="413" ht="21" customHeight="1" x14ac:dyDescent="0.25"/>
    <row r="414" ht="21" customHeight="1" x14ac:dyDescent="0.25"/>
    <row r="415" ht="21" customHeight="1" x14ac:dyDescent="0.25"/>
    <row r="416" ht="21" customHeight="1" x14ac:dyDescent="0.25"/>
    <row r="417" ht="21" customHeight="1" x14ac:dyDescent="0.25"/>
    <row r="418" ht="21" customHeight="1" x14ac:dyDescent="0.25"/>
    <row r="419" ht="21" customHeight="1" x14ac:dyDescent="0.25"/>
    <row r="420" ht="21" customHeight="1" x14ac:dyDescent="0.25"/>
    <row r="421" ht="21" customHeight="1" x14ac:dyDescent="0.25"/>
    <row r="422" ht="21" customHeight="1" x14ac:dyDescent="0.25"/>
    <row r="423" ht="21" customHeight="1" x14ac:dyDescent="0.25"/>
    <row r="424" ht="21" customHeight="1" x14ac:dyDescent="0.25"/>
    <row r="425" ht="21" customHeight="1" x14ac:dyDescent="0.25"/>
    <row r="426" ht="21" customHeight="1" x14ac:dyDescent="0.25"/>
    <row r="427" ht="21" customHeight="1" x14ac:dyDescent="0.25"/>
    <row r="428" ht="21" customHeight="1" x14ac:dyDescent="0.25"/>
    <row r="429" ht="21" customHeight="1" x14ac:dyDescent="0.25"/>
    <row r="430" ht="21" customHeight="1" x14ac:dyDescent="0.25"/>
    <row r="431" ht="21" customHeight="1" x14ac:dyDescent="0.25"/>
    <row r="432" ht="21" customHeight="1" x14ac:dyDescent="0.25"/>
    <row r="433" ht="21" customHeight="1" x14ac:dyDescent="0.25"/>
    <row r="434" ht="21" customHeight="1" x14ac:dyDescent="0.25"/>
    <row r="435" ht="21" customHeight="1" x14ac:dyDescent="0.25"/>
    <row r="436" ht="21" customHeight="1" x14ac:dyDescent="0.25"/>
    <row r="437" ht="21" customHeight="1" x14ac:dyDescent="0.25"/>
    <row r="438" ht="21" customHeight="1" x14ac:dyDescent="0.25"/>
    <row r="439" ht="21" customHeight="1" x14ac:dyDescent="0.25"/>
    <row r="440" ht="21" customHeight="1" x14ac:dyDescent="0.25"/>
    <row r="441" ht="21" customHeight="1" x14ac:dyDescent="0.25"/>
    <row r="442" ht="21" customHeight="1" x14ac:dyDescent="0.25"/>
    <row r="443" ht="21" customHeight="1" x14ac:dyDescent="0.25"/>
    <row r="444" ht="21" customHeight="1" x14ac:dyDescent="0.25"/>
    <row r="445" ht="21" customHeight="1" x14ac:dyDescent="0.25"/>
    <row r="446" ht="21" customHeight="1" x14ac:dyDescent="0.25"/>
    <row r="447" ht="21" customHeight="1" x14ac:dyDescent="0.25"/>
    <row r="448" ht="21" customHeight="1" x14ac:dyDescent="0.25"/>
    <row r="449" ht="21" customHeight="1" x14ac:dyDescent="0.25"/>
    <row r="450" ht="21" customHeight="1" x14ac:dyDescent="0.25"/>
    <row r="451" ht="21" customHeight="1" x14ac:dyDescent="0.25"/>
    <row r="452" ht="21" customHeight="1" x14ac:dyDescent="0.25"/>
    <row r="453" ht="21" customHeight="1" x14ac:dyDescent="0.25"/>
    <row r="454" ht="21" customHeight="1" x14ac:dyDescent="0.25"/>
    <row r="455" ht="21" customHeight="1" x14ac:dyDescent="0.25"/>
    <row r="456" ht="21" customHeight="1" x14ac:dyDescent="0.25"/>
    <row r="457" ht="21" customHeight="1" x14ac:dyDescent="0.25"/>
    <row r="458" ht="21" customHeight="1" x14ac:dyDescent="0.25"/>
    <row r="459" ht="21" customHeight="1" x14ac:dyDescent="0.25"/>
    <row r="460" ht="21" customHeight="1" x14ac:dyDescent="0.25"/>
    <row r="461" ht="21" customHeight="1" x14ac:dyDescent="0.25"/>
    <row r="462" ht="21" customHeight="1" x14ac:dyDescent="0.25"/>
    <row r="463" ht="21" customHeight="1" x14ac:dyDescent="0.25"/>
    <row r="464" ht="21" customHeight="1" x14ac:dyDescent="0.25"/>
    <row r="465" ht="21" customHeight="1" x14ac:dyDescent="0.25"/>
    <row r="466" ht="21" customHeight="1" x14ac:dyDescent="0.25"/>
    <row r="467" ht="21" customHeight="1" x14ac:dyDescent="0.25"/>
    <row r="468" ht="21" customHeight="1" x14ac:dyDescent="0.25"/>
    <row r="469" ht="21" customHeight="1" x14ac:dyDescent="0.25"/>
    <row r="470" ht="21" customHeight="1" x14ac:dyDescent="0.25"/>
    <row r="471" ht="21" customHeight="1" x14ac:dyDescent="0.25"/>
    <row r="472" ht="21" customHeight="1" x14ac:dyDescent="0.25"/>
    <row r="473" ht="21" customHeight="1" x14ac:dyDescent="0.25"/>
    <row r="474" ht="21" customHeight="1" x14ac:dyDescent="0.25"/>
    <row r="475" ht="21" customHeight="1" x14ac:dyDescent="0.25"/>
    <row r="476" ht="21" customHeight="1" x14ac:dyDescent="0.25"/>
    <row r="477" ht="21" customHeight="1" x14ac:dyDescent="0.25"/>
    <row r="478" ht="21" customHeight="1" x14ac:dyDescent="0.25"/>
    <row r="479" ht="21" customHeight="1" x14ac:dyDescent="0.25"/>
    <row r="480" ht="21" customHeight="1" x14ac:dyDescent="0.25"/>
    <row r="481" ht="21" customHeight="1" x14ac:dyDescent="0.25"/>
    <row r="482" ht="21" customHeight="1" x14ac:dyDescent="0.25"/>
    <row r="483" ht="21" customHeight="1" x14ac:dyDescent="0.25"/>
    <row r="484" ht="21" customHeight="1" x14ac:dyDescent="0.25"/>
    <row r="485" ht="21" customHeight="1" x14ac:dyDescent="0.25"/>
    <row r="486" ht="21" customHeight="1" x14ac:dyDescent="0.25"/>
    <row r="487" ht="21" customHeight="1" x14ac:dyDescent="0.25"/>
    <row r="488" ht="21" customHeight="1" x14ac:dyDescent="0.25"/>
    <row r="489" ht="21" customHeight="1" x14ac:dyDescent="0.25"/>
    <row r="490" ht="21" customHeight="1" x14ac:dyDescent="0.25"/>
    <row r="491" ht="21" customHeight="1" x14ac:dyDescent="0.25"/>
    <row r="492" ht="21" customHeight="1" x14ac:dyDescent="0.25"/>
    <row r="493" ht="21" customHeight="1" x14ac:dyDescent="0.25"/>
    <row r="494" ht="21" customHeight="1" x14ac:dyDescent="0.25"/>
    <row r="495" ht="21" customHeight="1" x14ac:dyDescent="0.25"/>
    <row r="496" ht="21" customHeight="1" x14ac:dyDescent="0.25"/>
    <row r="497" ht="21" customHeight="1" x14ac:dyDescent="0.25"/>
    <row r="498" ht="21" customHeight="1" x14ac:dyDescent="0.25"/>
    <row r="499" ht="21" customHeight="1" x14ac:dyDescent="0.25"/>
    <row r="500" ht="21" customHeight="1" x14ac:dyDescent="0.25"/>
    <row r="501" ht="21" customHeight="1" x14ac:dyDescent="0.25"/>
    <row r="502" ht="21" customHeight="1" x14ac:dyDescent="0.25"/>
    <row r="503" ht="21" customHeight="1" x14ac:dyDescent="0.25"/>
    <row r="504" ht="21" customHeight="1" x14ac:dyDescent="0.25"/>
    <row r="505" ht="21" customHeight="1" x14ac:dyDescent="0.25"/>
    <row r="506" ht="21" customHeight="1" x14ac:dyDescent="0.25"/>
    <row r="507" ht="21" customHeight="1" x14ac:dyDescent="0.25"/>
    <row r="508" ht="21" customHeight="1" x14ac:dyDescent="0.25"/>
    <row r="509" ht="21" customHeight="1" x14ac:dyDescent="0.25"/>
    <row r="510" ht="21" customHeight="1" x14ac:dyDescent="0.25"/>
    <row r="511" ht="21" customHeight="1" x14ac:dyDescent="0.25"/>
    <row r="512" ht="21" customHeight="1" x14ac:dyDescent="0.25"/>
    <row r="513" ht="21" customHeight="1" x14ac:dyDescent="0.25"/>
    <row r="514" ht="21" customHeight="1" x14ac:dyDescent="0.25"/>
    <row r="515" ht="21" customHeight="1" x14ac:dyDescent="0.25"/>
    <row r="516" ht="21" customHeight="1" x14ac:dyDescent="0.25"/>
    <row r="517" ht="21" customHeight="1" x14ac:dyDescent="0.25"/>
    <row r="518" ht="21" customHeight="1" x14ac:dyDescent="0.25"/>
    <row r="519" ht="21" customHeight="1" x14ac:dyDescent="0.25"/>
    <row r="520" ht="21" customHeight="1" x14ac:dyDescent="0.25"/>
    <row r="521" ht="21" customHeight="1" x14ac:dyDescent="0.25"/>
    <row r="522" ht="21" customHeight="1" x14ac:dyDescent="0.25"/>
    <row r="523" ht="21" customHeight="1" x14ac:dyDescent="0.25"/>
    <row r="524" ht="21" customHeight="1" x14ac:dyDescent="0.25"/>
    <row r="525" ht="21" customHeight="1" x14ac:dyDescent="0.25"/>
    <row r="526" ht="21" customHeight="1" x14ac:dyDescent="0.25"/>
    <row r="527" ht="21" customHeight="1" x14ac:dyDescent="0.25"/>
    <row r="528" ht="21" customHeight="1" x14ac:dyDescent="0.25"/>
    <row r="529" ht="21" customHeight="1" x14ac:dyDescent="0.25"/>
    <row r="530" ht="21" customHeight="1" x14ac:dyDescent="0.25"/>
    <row r="531" ht="21" customHeight="1" x14ac:dyDescent="0.25"/>
    <row r="532" ht="21" customHeight="1" x14ac:dyDescent="0.25"/>
    <row r="533" ht="21" customHeight="1" x14ac:dyDescent="0.25"/>
    <row r="534" ht="21" customHeight="1" x14ac:dyDescent="0.25"/>
    <row r="535" ht="21" customHeight="1" x14ac:dyDescent="0.25"/>
    <row r="536" ht="21" customHeight="1" x14ac:dyDescent="0.25"/>
    <row r="537" ht="21" customHeight="1" x14ac:dyDescent="0.25"/>
    <row r="538" ht="21" customHeight="1" x14ac:dyDescent="0.25"/>
    <row r="539" ht="21" customHeight="1" x14ac:dyDescent="0.25"/>
    <row r="540" ht="21" customHeight="1" x14ac:dyDescent="0.25"/>
    <row r="541" ht="21" customHeight="1" x14ac:dyDescent="0.25"/>
    <row r="542" ht="21" customHeight="1" x14ac:dyDescent="0.25"/>
    <row r="543" ht="21" customHeight="1" x14ac:dyDescent="0.25"/>
    <row r="544" ht="21" customHeight="1" x14ac:dyDescent="0.25"/>
    <row r="545" ht="21" customHeight="1" x14ac:dyDescent="0.25"/>
    <row r="546" ht="21" customHeight="1" x14ac:dyDescent="0.25"/>
    <row r="547" ht="21" customHeight="1" x14ac:dyDescent="0.25"/>
    <row r="548" ht="21" customHeight="1" x14ac:dyDescent="0.25"/>
    <row r="549" ht="21" customHeight="1" x14ac:dyDescent="0.25"/>
    <row r="550" ht="21" customHeight="1" x14ac:dyDescent="0.25"/>
    <row r="551" ht="21" customHeight="1" x14ac:dyDescent="0.25"/>
    <row r="552" ht="21" customHeight="1" x14ac:dyDescent="0.25"/>
    <row r="553" ht="21" customHeight="1" x14ac:dyDescent="0.25"/>
    <row r="554" ht="21" customHeight="1" x14ac:dyDescent="0.25"/>
    <row r="555" ht="21" customHeight="1" x14ac:dyDescent="0.25"/>
    <row r="556" ht="21" customHeight="1" x14ac:dyDescent="0.25"/>
    <row r="557" ht="21" customHeight="1" x14ac:dyDescent="0.25"/>
    <row r="558" ht="21" customHeight="1" x14ac:dyDescent="0.25"/>
    <row r="559" ht="21" customHeight="1" x14ac:dyDescent="0.25"/>
    <row r="560" ht="21" customHeight="1" x14ac:dyDescent="0.25"/>
    <row r="561" ht="21" customHeight="1" x14ac:dyDescent="0.25"/>
    <row r="562" ht="21" customHeight="1" x14ac:dyDescent="0.25"/>
    <row r="563" ht="21" customHeight="1" x14ac:dyDescent="0.25"/>
    <row r="564" ht="21" customHeight="1" x14ac:dyDescent="0.25"/>
    <row r="565" ht="21" customHeight="1" x14ac:dyDescent="0.25"/>
    <row r="566" ht="21" customHeight="1" x14ac:dyDescent="0.25"/>
    <row r="567" ht="21" customHeight="1" x14ac:dyDescent="0.25"/>
    <row r="568" ht="21" customHeight="1" x14ac:dyDescent="0.25"/>
    <row r="569" ht="21" customHeight="1" x14ac:dyDescent="0.25"/>
    <row r="570" ht="21" customHeight="1" x14ac:dyDescent="0.25"/>
    <row r="571" ht="21" customHeight="1" x14ac:dyDescent="0.25"/>
    <row r="572" ht="21" customHeight="1" x14ac:dyDescent="0.25"/>
    <row r="573" ht="21" customHeight="1" x14ac:dyDescent="0.25"/>
    <row r="574" ht="21" customHeight="1" x14ac:dyDescent="0.25"/>
    <row r="575" ht="21" customHeight="1" x14ac:dyDescent="0.25"/>
    <row r="576" ht="21" customHeight="1" x14ac:dyDescent="0.25"/>
    <row r="577" ht="21" customHeight="1" x14ac:dyDescent="0.25"/>
    <row r="578" ht="21" customHeight="1" x14ac:dyDescent="0.25"/>
    <row r="579" ht="21" customHeight="1" x14ac:dyDescent="0.25"/>
    <row r="580" ht="21" customHeight="1" x14ac:dyDescent="0.25"/>
    <row r="581" ht="21" customHeight="1" x14ac:dyDescent="0.25"/>
    <row r="582" ht="21" customHeight="1" x14ac:dyDescent="0.25"/>
    <row r="583" ht="21" customHeight="1" x14ac:dyDescent="0.25"/>
    <row r="584" ht="21" customHeight="1" x14ac:dyDescent="0.25"/>
    <row r="585" ht="21" customHeight="1" x14ac:dyDescent="0.25"/>
    <row r="586" ht="21" customHeight="1" x14ac:dyDescent="0.25"/>
    <row r="587" ht="21" customHeight="1" x14ac:dyDescent="0.25"/>
    <row r="588" ht="21" customHeight="1" x14ac:dyDescent="0.25"/>
    <row r="589" ht="21" customHeight="1" x14ac:dyDescent="0.25"/>
    <row r="590" ht="21" customHeight="1" x14ac:dyDescent="0.25"/>
    <row r="591" ht="21" customHeight="1" x14ac:dyDescent="0.25"/>
    <row r="592" ht="21" customHeight="1" x14ac:dyDescent="0.25"/>
    <row r="593" ht="21" customHeight="1" x14ac:dyDescent="0.25"/>
    <row r="594" ht="21" customHeight="1" x14ac:dyDescent="0.25"/>
    <row r="595" ht="21" customHeight="1" x14ac:dyDescent="0.25"/>
    <row r="596" ht="21" customHeight="1" x14ac:dyDescent="0.25"/>
    <row r="597" ht="21" customHeight="1" x14ac:dyDescent="0.25"/>
    <row r="598" ht="21" customHeight="1" x14ac:dyDescent="0.25"/>
    <row r="599" ht="21" customHeight="1" x14ac:dyDescent="0.25"/>
    <row r="600" ht="21" customHeight="1" x14ac:dyDescent="0.25"/>
    <row r="601" ht="21" customHeight="1" x14ac:dyDescent="0.25"/>
    <row r="602" ht="21" customHeight="1" x14ac:dyDescent="0.25"/>
    <row r="603" ht="21" customHeight="1" x14ac:dyDescent="0.25"/>
    <row r="604" ht="21" customHeight="1" x14ac:dyDescent="0.25"/>
    <row r="605" ht="21" customHeight="1" x14ac:dyDescent="0.25"/>
    <row r="606" ht="21" customHeight="1" x14ac:dyDescent="0.25"/>
    <row r="607" ht="21" customHeight="1" x14ac:dyDescent="0.25"/>
  </sheetData>
  <sheetProtection password="CB4D" sheet="1" formatCells="0" formatColumns="0" formatRows="0" selectLockedCells="1" sort="0" autoFilter="0"/>
  <mergeCells count="1">
    <mergeCell ref="A1:D1"/>
  </mergeCells>
  <pageMargins left="0.7" right="0.7" top="0.75" bottom="0.75" header="0.3" footer="0.3"/>
  <pageSetup orientation="portrait" horizontalDpi="1200" verticalDpi="1200"/>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45</v>
      </c>
    </row>
    <row r="2" spans="1:1" x14ac:dyDescent="0.25">
      <c r="A2" t="s">
        <v>46</v>
      </c>
    </row>
    <row r="3" spans="1:1" x14ac:dyDescent="0.25">
      <c r="A3" t="s">
        <v>47</v>
      </c>
    </row>
    <row r="4" spans="1:1" x14ac:dyDescent="0.25">
      <c r="A4" t="s">
        <v>48</v>
      </c>
    </row>
  </sheetData>
  <sheetProtection password="CB4D" sheet="1" formatCells="0" formatColumns="0" formatRows="0"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C15"/>
  <sheetViews>
    <sheetView workbookViewId="0">
      <selection activeCell="A15" sqref="A15"/>
    </sheetView>
  </sheetViews>
  <sheetFormatPr defaultRowHeight="15" x14ac:dyDescent="0.25"/>
  <cols>
    <col min="1" max="1" width="29.42578125" customWidth="1"/>
    <col min="2" max="2" width="75.85546875" customWidth="1"/>
    <col min="3" max="3" width="49.7109375" customWidth="1"/>
  </cols>
  <sheetData>
    <row r="1" spans="1:3" x14ac:dyDescent="0.25">
      <c r="A1" t="s">
        <v>49</v>
      </c>
      <c r="B1" t="s">
        <v>50</v>
      </c>
      <c r="C1" t="s">
        <v>51</v>
      </c>
    </row>
    <row r="2" spans="1:3" x14ac:dyDescent="0.25">
      <c r="A2" t="s">
        <v>52</v>
      </c>
      <c r="B2">
        <v>2025</v>
      </c>
    </row>
    <row r="3" spans="1:3" x14ac:dyDescent="0.25">
      <c r="A3" t="s">
        <v>53</v>
      </c>
      <c r="B3" t="s">
        <v>54</v>
      </c>
    </row>
    <row r="4" spans="1:3" x14ac:dyDescent="0.25">
      <c r="A4" t="s">
        <v>55</v>
      </c>
      <c r="B4" t="s">
        <v>56</v>
      </c>
    </row>
    <row r="5" spans="1:3" x14ac:dyDescent="0.25">
      <c r="A5" t="s">
        <v>57</v>
      </c>
      <c r="B5" t="s">
        <v>58</v>
      </c>
    </row>
    <row r="6" spans="1:3" x14ac:dyDescent="0.25">
      <c r="A6" t="s">
        <v>59</v>
      </c>
      <c r="B6" t="s">
        <v>60</v>
      </c>
    </row>
    <row r="7" spans="1:3" x14ac:dyDescent="0.25">
      <c r="A7" t="s">
        <v>61</v>
      </c>
      <c r="B7">
        <v>2</v>
      </c>
      <c r="C7" t="s">
        <v>62</v>
      </c>
    </row>
    <row r="8" spans="1:3" x14ac:dyDescent="0.25">
      <c r="A8" t="s">
        <v>63</v>
      </c>
      <c r="B8">
        <v>1</v>
      </c>
    </row>
    <row r="9" spans="1:3" x14ac:dyDescent="0.25">
      <c r="A9" t="s">
        <v>64</v>
      </c>
      <c r="B9">
        <v>1</v>
      </c>
    </row>
    <row r="10" spans="1:3" x14ac:dyDescent="0.25">
      <c r="A10" t="s">
        <v>65</v>
      </c>
      <c r="B10">
        <v>1</v>
      </c>
    </row>
    <row r="11" spans="1:3" x14ac:dyDescent="0.25">
      <c r="A11" t="s">
        <v>66</v>
      </c>
      <c r="B11">
        <v>1</v>
      </c>
    </row>
    <row r="12" spans="1:3" x14ac:dyDescent="0.25">
      <c r="A12" t="s">
        <v>67</v>
      </c>
      <c r="B12">
        <v>1</v>
      </c>
    </row>
    <row r="13" spans="1:3" x14ac:dyDescent="0.25">
      <c r="A13" t="s">
        <v>68</v>
      </c>
      <c r="B13">
        <v>2</v>
      </c>
    </row>
    <row r="14" spans="1:3" ht="90" customHeight="1" x14ac:dyDescent="0.25">
      <c r="A14" t="s">
        <v>69</v>
      </c>
      <c r="B14">
        <v>1</v>
      </c>
      <c r="C14" s="60" t="s">
        <v>70</v>
      </c>
    </row>
    <row r="15" spans="1:3" x14ac:dyDescent="0.25">
      <c r="A15" t="s">
        <v>71</v>
      </c>
      <c r="B15" t="b">
        <v>0</v>
      </c>
    </row>
  </sheetData>
  <sheetProtection password="CB4D" sheet="1" formatCells="0" formatColumns="0" formatRows="0" selectLockedCells="1" sort="0" autoFilter="0"/>
  <dataValidations count="1">
    <dataValidation type="list" allowBlank="1" showInputMessage="1" showErrorMessage="1" sqref="B7" xr:uid="{00000000-0002-0000-0300-000000000000}">
      <formula1>"1,2"</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C6"/>
  <sheetViews>
    <sheetView workbookViewId="0">
      <selection activeCell="E7" sqref="E7"/>
    </sheetView>
  </sheetViews>
  <sheetFormatPr defaultRowHeight="15" x14ac:dyDescent="0.25"/>
  <cols>
    <col min="1" max="1" width="34.5703125" customWidth="1"/>
    <col min="3" max="3" width="30.28515625" customWidth="1"/>
  </cols>
  <sheetData>
    <row r="1" spans="1:3" x14ac:dyDescent="0.25">
      <c r="A1" t="s">
        <v>72</v>
      </c>
      <c r="C1" t="s">
        <v>73</v>
      </c>
    </row>
    <row r="2" spans="1:3" x14ac:dyDescent="0.25">
      <c r="A2" t="s">
        <v>74</v>
      </c>
      <c r="C2" t="s">
        <v>75</v>
      </c>
    </row>
    <row r="3" spans="1:3" x14ac:dyDescent="0.25">
      <c r="A3" t="s">
        <v>76</v>
      </c>
      <c r="C3" t="s">
        <v>77</v>
      </c>
    </row>
    <row r="4" spans="1:3" x14ac:dyDescent="0.25">
      <c r="A4" t="s">
        <v>78</v>
      </c>
    </row>
    <row r="5" spans="1:3" x14ac:dyDescent="0.25">
      <c r="A5" t="s">
        <v>79</v>
      </c>
    </row>
    <row r="6" spans="1:3" x14ac:dyDescent="0.25">
      <c r="A6" t="s">
        <v>80</v>
      </c>
    </row>
  </sheetData>
  <sheetProtection password="CB4D" sheet="1" formatCells="0" formatColumns="0" formatRows="0"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81</v>
      </c>
      <c r="C1" s="60" t="s">
        <v>82</v>
      </c>
      <c r="D1" t="s">
        <v>83</v>
      </c>
      <c r="E1" t="s">
        <v>84</v>
      </c>
      <c r="F1" t="s">
        <v>85</v>
      </c>
    </row>
    <row r="2" spans="2:6" x14ac:dyDescent="0.25">
      <c r="B2">
        <v>1</v>
      </c>
      <c r="C2">
        <f>IF(ISERR(AVERAGEIF(TournamentData[POD],'Pod Analysis'!B2,TournamentData[Champion''s Score])),"",AVERAGEIF(TournamentData[POD],'Pod Analysis'!B2,TournamentData[Champion''s Score]))</f>
        <v>26</v>
      </c>
      <c r="D2">
        <f>IF(ISERR(AVERAGEIF(InnovationProjectResults[POD],'Pod Analysis'!B2,InnovationProjectResults[Innovation Project Score])),"",AVERAGEIF(InnovationProjectResults[POD],'Pod Analysis'!B2,InnovationProjectResults[Innovation Project Score]))</f>
        <v>24</v>
      </c>
      <c r="E2">
        <f>IF(ISERR(AVERAGEIF(RobotDesignResults[POD],'Pod Analysis'!B2,RobotDesignResults[Robot Design Score])),"",AVERAGEIF(RobotDesignResults[POD],'Pod Analysis'!B2,RobotDesignResults[Robot Design Score]))</f>
        <v>20</v>
      </c>
      <c r="F2">
        <f>IF(ISERR(AVERAGEIF(CoreValuesResults[POD],'Pod Analysis'!B2,CoreValuesResults[Core Values Score])),"",AVERAGEIF(CoreValuesResults[POD],'Pod Analysis'!B2,CoreValuesResults[Core Values Score]))</f>
        <v>37</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sheetProtection password="CB4D" sheet="1" formatCells="0" formatColumns="0" formatRows="0" selectLockedCells="1" sort="0" autoFilter="0"/>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FF00"/>
    <pageSetUpPr fitToPage="1"/>
  </sheetPr>
  <dimension ref="A1:AC283"/>
  <sheetViews>
    <sheetView tabSelected="1" zoomScaleNormal="100" workbookViewId="0">
      <pane xSplit="3" ySplit="2" topLeftCell="D3" activePane="bottomRight" state="frozen"/>
      <selection pane="topRight" activeCell="C1" sqref="C1"/>
      <selection pane="bottomLeft" activeCell="A3" sqref="A3"/>
      <selection pane="bottomRight" activeCell="Q6" sqref="Q6"/>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14.1406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7" bestFit="1" customWidth="1"/>
    <col min="27" max="29" width="9.140625" style="25" customWidth="1"/>
    <col min="30" max="34" width="9.140625" style="24" customWidth="1"/>
    <col min="35" max="16384" width="9.140625" style="24"/>
  </cols>
  <sheetData>
    <row r="1" spans="1:26" s="44" customFormat="1" ht="54.75" customHeight="1" x14ac:dyDescent="0.25">
      <c r="A1" s="109" t="s">
        <v>86</v>
      </c>
      <c r="B1" s="110"/>
      <c r="C1" s="110"/>
      <c r="D1" s="109" t="s">
        <v>63</v>
      </c>
      <c r="E1" s="110"/>
      <c r="F1" s="110"/>
      <c r="G1" s="110"/>
      <c r="H1" s="110"/>
      <c r="I1" s="110"/>
      <c r="J1" s="110"/>
      <c r="K1" s="109" t="s">
        <v>87</v>
      </c>
      <c r="L1" s="110"/>
      <c r="M1" s="110"/>
      <c r="N1" s="109" t="s">
        <v>88</v>
      </c>
      <c r="O1" s="110"/>
      <c r="P1" s="4" t="s">
        <v>89</v>
      </c>
      <c r="Q1" s="105">
        <f>Meta!B13</f>
        <v>2</v>
      </c>
      <c r="R1" s="109" t="s">
        <v>90</v>
      </c>
      <c r="S1" s="110"/>
      <c r="T1" s="110"/>
      <c r="U1" s="110"/>
      <c r="V1" s="110"/>
      <c r="W1" s="106" t="str">
        <f>"You have selected " &amp; COUNTIF(TournamentData[Advance?],"Yes") &amp; " of " &amp; Q1 &amp; " permitted advancing teams" &amp; CHAR(10) &amp; IF(COUNTIF(TournamentData[Advance?],"Alt")&gt;0,"You have selected an alternative advancing team", "You have NOT selected an alternative advancing team")</f>
        <v>You have selected 2 of 2 permitted advancing teams
You have selected an alternative advancing team</v>
      </c>
      <c r="X1" s="4"/>
      <c r="Z1" s="46"/>
    </row>
    <row r="2" spans="1:26" s="9" customFormat="1" ht="118.5" customHeight="1" x14ac:dyDescent="0.25">
      <c r="A2" s="48" t="s">
        <v>27</v>
      </c>
      <c r="B2" s="48" t="s">
        <v>81</v>
      </c>
      <c r="C2" s="48" t="s">
        <v>28</v>
      </c>
      <c r="D2" s="49" t="s">
        <v>91</v>
      </c>
      <c r="E2" s="49" t="s">
        <v>92</v>
      </c>
      <c r="F2" s="49" t="s">
        <v>93</v>
      </c>
      <c r="G2" s="49" t="s">
        <v>94</v>
      </c>
      <c r="H2" s="49" t="s">
        <v>95</v>
      </c>
      <c r="I2" s="49" t="s">
        <v>96</v>
      </c>
      <c r="J2" s="50" t="s">
        <v>97</v>
      </c>
      <c r="K2" s="51" t="s">
        <v>98</v>
      </c>
      <c r="L2" s="52" t="s">
        <v>99</v>
      </c>
      <c r="M2" s="53" t="s">
        <v>100</v>
      </c>
      <c r="N2" s="54" t="s">
        <v>101</v>
      </c>
      <c r="O2" s="55" t="s">
        <v>102</v>
      </c>
      <c r="P2" s="48" t="s">
        <v>72</v>
      </c>
      <c r="Q2" s="48" t="s">
        <v>103</v>
      </c>
      <c r="R2" s="27" t="s">
        <v>104</v>
      </c>
      <c r="S2" s="28" t="s">
        <v>105</v>
      </c>
      <c r="T2" s="29" t="s">
        <v>106</v>
      </c>
      <c r="U2" s="30" t="s">
        <v>107</v>
      </c>
      <c r="V2" s="31" t="s">
        <v>108</v>
      </c>
      <c r="W2" s="32" t="s">
        <v>109</v>
      </c>
      <c r="Z2" s="45"/>
    </row>
    <row r="3" spans="1:26" ht="21" customHeight="1" x14ac:dyDescent="0.25">
      <c r="A3" s="69">
        <v>24277</v>
      </c>
      <c r="B3" s="69">
        <f>INDEX(OfficialTeamList[Pod Number],MATCH(TournamentData[[#This Row],[Team Number]], OfficialTeamList[Team Number],0))</f>
        <v>1</v>
      </c>
      <c r="C3" s="103" t="str">
        <f>INDEX(OfficialTeamList[Team Name],MATCH(TournamentData[[#This Row],[Team Number]], OfficialTeamList[Team Number],0))</f>
        <v>Norfolk Collegiate O.A.K.S.</v>
      </c>
      <c r="D3" s="79">
        <f>IF(TournamentData[[#This Row],[Team Number]]="","",IF(ISNA(INDEX('Robot Game Scores'!C:C,MATCH(TournamentData[[#This Row],[Team Number]], 'Robot Game Scores'!$A:$A,0))),0,INDEX('Robot Game Scores'!C:C,MATCH(TournamentData[[#This Row],[Team Number]], 'Robot Game Scores'!$A:$A,0))))</f>
        <v>211</v>
      </c>
      <c r="E3" s="79">
        <f>IF(TournamentData[[#This Row],[Team Number]]="","",IF(ISNA(INDEX('Robot Game Scores'!D:D,MATCH(TournamentData[[#This Row],[Team Number]], 'Robot Game Scores'!$A:$A,0))),0,INDEX('Robot Game Scores'!D:D,MATCH(TournamentData[[#This Row],[Team Number]], 'Robot Game Scores'!$A:$A,0))))</f>
        <v>134</v>
      </c>
      <c r="F3" s="79">
        <f>IF(TournamentData[[#This Row],[Team Number]]="","",IF(ISNA(INDEX('Robot Game Scores'!E:E,MATCH(TournamentData[[#This Row],[Team Number]], 'Robot Game Scores'!$A:$A,0))),0,INDEX('Robot Game Scores'!E:E,MATCH(TournamentData[[#This Row],[Team Number]], 'Robot Game Scores'!$A:$A,0))))</f>
        <v>214</v>
      </c>
      <c r="G3" s="79" t="e">
        <f>IF(TournamentData[[#This Row],[Team Number]]="","",IF(ISNA(INDEX('Robot Game Scores'!#REF!,MATCH(TournamentData[[#This Row],[Team Number]], 'Robot Game Scores'!$A:$A,0))),0,INDEX('Robot Game Scores'!#REF!,MATCH(TournamentData[[#This Row],[Team Number]], 'Robot Game Scores'!$A:$A,0))))</f>
        <v>#REF!</v>
      </c>
      <c r="H3" s="79" t="e">
        <f>IF(TournamentData[[#This Row],[Team Number]]="","",IF(ISNA(INDEX('Robot Game Scores'!#REF!,MATCH(TournamentData[[#This Row],[Team Number]], 'Robot Game Scores'!$A:$A,0))),0,INDEX('Robot Game Scores'!#REF!,MATCH(TournamentData[[#This Row],[Team Number]], 'Robot Game Scores'!$A:$A,0))))</f>
        <v>#REF!</v>
      </c>
      <c r="I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214.02111339999999</v>
      </c>
      <c r="J3" s="79">
        <f>_xlfn.RANK.EQ(TournamentData[[#This Row],[Max Robot Game Score]],TournamentData[Max Robot Game Score])</f>
        <v>7</v>
      </c>
      <c r="K3" s="79">
        <f>INDEX(CoreValuesResults[Core Values Rank],MATCH(TournamentData[[#This Row],[Team Number]],CoreValuesResults[Team Number],0))</f>
        <v>6</v>
      </c>
      <c r="L3" s="79">
        <f>INDEX(InnovationProjectResults[Innovation Project Rank],MATCH(TournamentData[[#This Row],[Team Number]],InnovationProjectResults[Team Number],0))</f>
        <v>6</v>
      </c>
      <c r="M3" s="79">
        <f>INDEX(RobotDesignResults[Robot Design Rank],MATCH(TournamentData[[#This Row],[Team Number]],RobotDesignResults[Team Number],0))</f>
        <v>7</v>
      </c>
      <c r="N3" s="79">
        <f>SUM(TournamentData[[#This Row],[Robot Game Rank]:[Robot Design Rank]])</f>
        <v>26</v>
      </c>
      <c r="O3" s="78">
        <f>RANK(TournamentData[[#This Row],[Champion''s Score]],TournamentData[Champion''s Score],1)</f>
        <v>7</v>
      </c>
      <c r="P3" s="80"/>
      <c r="Q3" s="86" t="s">
        <v>47</v>
      </c>
      <c r="R3" s="81">
        <f>IF(ISNA(INDEX(CoreValuesResults[Core Values Score],MATCH(TournamentData[[#This Row],[Team Number]],CoreValuesResults[Team Number],0))),0,INDEX(CoreValuesResults[Core Values Score],MATCH(TournamentData[[#This Row],[Team Number]],CoreValuesResults[Team Number],0)))</f>
        <v>37</v>
      </c>
      <c r="S3" s="81">
        <f>IF(ISNA(INDEX(InnovationProjectResults[Innovation Project Score],MATCH(TournamentData[[#This Row],[Team Number]],InnovationProjectResults[Team Number],0))),0,INDEX(InnovationProjectResults[Innovation Project Score],MATCH(TournamentData[[#This Row],[Team Number]],InnovationProjectResults[Team Number],0)))</f>
        <v>24</v>
      </c>
      <c r="T3" s="81">
        <f>IF(ISNA(INDEX(RobotDesignResults[Robot Design Score],MATCH(TournamentData[[#This Row],[Team Number]],RobotDesignResults[Team Number],0))),0,INDEX(RobotDesignResults[Robot Design Score],MATCH(TournamentData[[#This Row],[Team Number]],RobotDesignResults[Team Number],0)))</f>
        <v>20</v>
      </c>
      <c r="U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44.154492261990775</v>
      </c>
      <c r="V3" s="80">
        <f>IF(U3,_xlfn.RANK.EQ(U3,U$3:U$5,0),NumberOfTeams)</f>
        <v>3</v>
      </c>
      <c r="W3" s="80"/>
    </row>
    <row r="4" spans="1:26" ht="20.25" customHeight="1" x14ac:dyDescent="0.25">
      <c r="A4" s="79">
        <v>26034</v>
      </c>
      <c r="B4" s="79">
        <f>INDEX(OfficialTeamList[Pod Number],MATCH(TournamentData[[#This Row],[Team Number]], OfficialTeamList[Team Number],0))</f>
        <v>0</v>
      </c>
      <c r="C4" s="103" t="str">
        <f>INDEX(OfficialTeamList[Team Name],MATCH(TournamentData[[#This Row],[Team Number]], OfficialTeamList[Team Number],0))</f>
        <v>OLMC White Team</v>
      </c>
      <c r="D4" s="79">
        <f>IF(TournamentData[[#This Row],[Team Number]]="","",IF(ISNA(INDEX('Robot Game Scores'!C:C,MATCH(TournamentData[[#This Row],[Team Number]], 'Robot Game Scores'!$A:$A,0))),0,INDEX('Robot Game Scores'!C:C,MATCH(TournamentData[[#This Row],[Team Number]], 'Robot Game Scores'!$A:$A,0))))</f>
        <v>300</v>
      </c>
      <c r="E4" s="79">
        <f>IF(TournamentData[[#This Row],[Team Number]]="","",IF(ISNA(INDEX('Robot Game Scores'!D:D,MATCH(TournamentData[[#This Row],[Team Number]], 'Robot Game Scores'!$A:$A,0))),0,INDEX('Robot Game Scores'!D:D,MATCH(TournamentData[[#This Row],[Team Number]], 'Robot Game Scores'!$A:$A,0))))</f>
        <v>287</v>
      </c>
      <c r="F4" s="79">
        <f>IF(TournamentData[[#This Row],[Team Number]]="","",IF(ISNA(INDEX('Robot Game Scores'!E:E,MATCH(TournamentData[[#This Row],[Team Number]], 'Robot Game Scores'!$A:$A,0))),0,INDEX('Robot Game Scores'!E:E,MATCH(TournamentData[[#This Row],[Team Number]], 'Robot Game Scores'!$A:$A,0))))</f>
        <v>277</v>
      </c>
      <c r="G4" s="79" t="e">
        <f>IF(TournamentData[[#This Row],[Team Number]]="","",IF(ISNA(INDEX('Robot Game Scores'!#REF!,MATCH(TournamentData[[#This Row],[Team Number]], 'Robot Game Scores'!$A:$A,0))),0,INDEX('Robot Game Scores'!#REF!,MATCH(TournamentData[[#This Row],[Team Number]], 'Robot Game Scores'!$A:$A,0))))</f>
        <v>#REF!</v>
      </c>
      <c r="H4" s="79" t="e">
        <f>IF(TournamentData[[#This Row],[Team Number]]="","",IF(ISNA(INDEX('Robot Game Scores'!#REF!,MATCH(TournamentData[[#This Row],[Team Number]], 'Robot Game Scores'!$A:$A,0))),0,INDEX('Robot Game Scores'!#REF!,MATCH(TournamentData[[#This Row],[Team Number]], 'Robot Game Scores'!$A:$A,0))))</f>
        <v>#REF!</v>
      </c>
      <c r="I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300.02872769999999</v>
      </c>
      <c r="J4" s="79">
        <f>_xlfn.RANK.EQ(TournamentData[[#This Row],[Max Robot Game Score]],TournamentData[Max Robot Game Score])</f>
        <v>1</v>
      </c>
      <c r="K4" s="79">
        <f>INDEX(CoreValuesResults[Core Values Rank],MATCH(TournamentData[[#This Row],[Team Number]],CoreValuesResults[Team Number],0))</f>
        <v>5</v>
      </c>
      <c r="L4" s="79">
        <f>INDEX(InnovationProjectResults[Innovation Project Rank],MATCH(TournamentData[[#This Row],[Team Number]],InnovationProjectResults[Team Number],0))</f>
        <v>3</v>
      </c>
      <c r="M4" s="79">
        <f>INDEX(RobotDesignResults[Robot Design Rank],MATCH(TournamentData[[#This Row],[Team Number]],RobotDesignResults[Team Number],0))</f>
        <v>5</v>
      </c>
      <c r="N4" s="79">
        <f>SUM(TournamentData[[#This Row],[Robot Game Rank]:[Robot Design Rank]])</f>
        <v>14</v>
      </c>
      <c r="O4" s="79">
        <f>RANK(TournamentData[[#This Row],[Champion''s Score]],TournamentData[Champion''s Score],1)</f>
        <v>5</v>
      </c>
      <c r="P4" s="80"/>
      <c r="Q4" s="86" t="s">
        <v>47</v>
      </c>
      <c r="R4" s="81">
        <f>IF(ISNA(INDEX(CoreValuesResults[Core Values Score],MATCH(TournamentData[[#This Row],[Team Number]],CoreValuesResults[Team Number],0))),0,INDEX(CoreValuesResults[Core Values Score],MATCH(TournamentData[[#This Row],[Team Number]],CoreValuesResults[Team Number],0)))</f>
        <v>39</v>
      </c>
      <c r="S4" s="81">
        <f>IF(ISNA(INDEX(InnovationProjectResults[Innovation Project Score],MATCH(TournamentData[[#This Row],[Team Number]],InnovationProjectResults[Team Number],0))),0,INDEX(InnovationProjectResults[Innovation Project Score],MATCH(TournamentData[[#This Row],[Team Number]],InnovationProjectResults[Team Number],0)))</f>
        <v>29</v>
      </c>
      <c r="T4" s="81">
        <f>IF(ISNA(INDEX(RobotDesignResults[Robot Design Score],MATCH(TournamentData[[#This Row],[Team Number]],RobotDesignResults[Team Number],0))),0,INDEX(RobotDesignResults[Robot Design Score],MATCH(TournamentData[[#This Row],[Team Number]],RobotDesignResults[Team Number],0)))</f>
        <v>22</v>
      </c>
      <c r="U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52.271147177661902</v>
      </c>
      <c r="V4" s="80">
        <f t="shared" ref="V4:V9" si="0">IF(U4,_xlfn.RANK.EQ(U4,U$3:U$17,0),NumberOfTeams)</f>
        <v>5</v>
      </c>
      <c r="W4" s="80"/>
    </row>
    <row r="5" spans="1:26" ht="20.25" customHeight="1" x14ac:dyDescent="0.25">
      <c r="A5" s="79">
        <v>60801</v>
      </c>
      <c r="B5" s="79">
        <f>INDEX(OfficialTeamList[Pod Number],MATCH(TournamentData[[#This Row],[Team Number]], OfficialTeamList[Team Number],0))</f>
        <v>0</v>
      </c>
      <c r="C5" s="103" t="str">
        <f>INDEX(OfficialTeamList[Team Name],MATCH(TournamentData[[#This Row],[Team Number]], OfficialTeamList[Team Number],0))</f>
        <v>ESPs</v>
      </c>
      <c r="D5" s="79">
        <f>IF(TournamentData[[#This Row],[Team Number]]="","",IF(ISNA(INDEX('Robot Game Scores'!C:C,MATCH(TournamentData[[#This Row],[Team Number]], 'Robot Game Scores'!$A:$A,0))),0,INDEX('Robot Game Scores'!C:C,MATCH(TournamentData[[#This Row],[Team Number]], 'Robot Game Scores'!$A:$A,0))))</f>
        <v>249</v>
      </c>
      <c r="E5" s="79">
        <f>IF(TournamentData[[#This Row],[Team Number]]="","",IF(ISNA(INDEX('Robot Game Scores'!D:D,MATCH(TournamentData[[#This Row],[Team Number]], 'Robot Game Scores'!$A:$A,0))),0,INDEX('Robot Game Scores'!D:D,MATCH(TournamentData[[#This Row],[Team Number]], 'Robot Game Scores'!$A:$A,0))))</f>
        <v>286</v>
      </c>
      <c r="F5" s="79">
        <f>IF(TournamentData[[#This Row],[Team Number]]="","",IF(ISNA(INDEX('Robot Game Scores'!E:E,MATCH(TournamentData[[#This Row],[Team Number]], 'Robot Game Scores'!$A:$A,0))),0,INDEX('Robot Game Scores'!E:E,MATCH(TournamentData[[#This Row],[Team Number]], 'Robot Game Scores'!$A:$A,0))))</f>
        <v>195</v>
      </c>
      <c r="G5" s="79" t="e">
        <f>IF(TournamentData[[#This Row],[Team Number]]="","",IF(ISNA(INDEX('Robot Game Scores'!#REF!,MATCH(TournamentData[[#This Row],[Team Number]], 'Robot Game Scores'!$A:$A,0))),0,INDEX('Robot Game Scores'!#REF!,MATCH(TournamentData[[#This Row],[Team Number]], 'Robot Game Scores'!$A:$A,0))))</f>
        <v>#REF!</v>
      </c>
      <c r="H5" s="79" t="e">
        <f>IF(TournamentData[[#This Row],[Team Number]]="","",IF(ISNA(INDEX('Robot Game Scores'!#REF!,MATCH(TournamentData[[#This Row],[Team Number]], 'Robot Game Scores'!$A:$A,0))),0,INDEX('Robot Game Scores'!#REF!,MATCH(TournamentData[[#This Row],[Team Number]], 'Robot Game Scores'!$A:$A,0))))</f>
        <v>#REF!</v>
      </c>
      <c r="I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286.02491950000001</v>
      </c>
      <c r="J5" s="79">
        <f>_xlfn.RANK.EQ(TournamentData[[#This Row],[Max Robot Game Score]],TournamentData[Max Robot Game Score])</f>
        <v>4</v>
      </c>
      <c r="K5" s="79">
        <f>INDEX(CoreValuesResults[Core Values Rank],MATCH(TournamentData[[#This Row],[Team Number]],CoreValuesResults[Team Number],0))</f>
        <v>1</v>
      </c>
      <c r="L5" s="79">
        <f>INDEX(InnovationProjectResults[Innovation Project Rank],MATCH(TournamentData[[#This Row],[Team Number]],InnovationProjectResults[Team Number],0))</f>
        <v>1</v>
      </c>
      <c r="M5" s="79">
        <f>INDEX(RobotDesignResults[Robot Design Rank],MATCH(TournamentData[[#This Row],[Team Number]],RobotDesignResults[Team Number],0))</f>
        <v>4</v>
      </c>
      <c r="N5" s="79">
        <f>SUM(TournamentData[[#This Row],[Robot Game Rank]:[Robot Design Rank]])</f>
        <v>10</v>
      </c>
      <c r="O5" s="79">
        <f>RANK(TournamentData[[#This Row],[Champion''s Score]],TournamentData[Champion''s Score],1)</f>
        <v>1</v>
      </c>
      <c r="P5" s="80" t="s">
        <v>74</v>
      </c>
      <c r="Q5" s="86" t="s">
        <v>46</v>
      </c>
      <c r="R5" s="81">
        <f>IF(ISNA(INDEX(CoreValuesResults[Core Values Score],MATCH(TournamentData[[#This Row],[Team Number]],CoreValuesResults[Team Number],0))),0,INDEX(CoreValuesResults[Core Values Score],MATCH(TournamentData[[#This Row],[Team Number]],CoreValuesResults[Team Number],0)))</f>
        <v>44</v>
      </c>
      <c r="S5" s="81">
        <f>IF(ISNA(INDEX(InnovationProjectResults[Innovation Project Score],MATCH(TournamentData[[#This Row],[Team Number]],InnovationProjectResults[Team Number],0))),0,INDEX(InnovationProjectResults[Innovation Project Score],MATCH(TournamentData[[#This Row],[Team Number]],InnovationProjectResults[Team Number],0)))</f>
        <v>31</v>
      </c>
      <c r="T5" s="81">
        <f>IF(ISNA(INDEX(RobotDesignResults[Robot Design Score],MATCH(TournamentData[[#This Row],[Team Number]],RobotDesignResults[Team Number],0))),0,INDEX(RobotDesignResults[Robot Design Score],MATCH(TournamentData[[#This Row],[Team Number]],RobotDesignResults[Team Number],0)))</f>
        <v>23</v>
      </c>
      <c r="U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54.731395247653353</v>
      </c>
      <c r="V5" s="80">
        <f t="shared" si="0"/>
        <v>2</v>
      </c>
      <c r="W5" s="80"/>
    </row>
    <row r="6" spans="1:26" ht="20.25" customHeight="1" x14ac:dyDescent="0.25">
      <c r="A6" s="79">
        <v>67083</v>
      </c>
      <c r="B6" s="79">
        <f>INDEX(OfficialTeamList[Pod Number],MATCH(TournamentData[[#This Row],[Team Number]], OfficialTeamList[Team Number],0))</f>
        <v>0</v>
      </c>
      <c r="C6" s="103" t="str">
        <f>INDEX(OfficialTeamList[Team Name],MATCH(TournamentData[[#This Row],[Team Number]], OfficialTeamList[Team Number],0))</f>
        <v>Wired Dolphins</v>
      </c>
      <c r="D6" s="79">
        <f>IF(TournamentData[[#This Row],[Team Number]]="","",IF(ISNA(INDEX('Robot Game Scores'!C:C,MATCH(TournamentData[[#This Row],[Team Number]], 'Robot Game Scores'!$A:$A,0))),0,INDEX('Robot Game Scores'!C:C,MATCH(TournamentData[[#This Row],[Team Number]], 'Robot Game Scores'!$A:$A,0))))</f>
        <v>110</v>
      </c>
      <c r="E6" s="79">
        <f>IF(TournamentData[[#This Row],[Team Number]]="","",IF(ISNA(INDEX('Robot Game Scores'!D:D,MATCH(TournamentData[[#This Row],[Team Number]], 'Robot Game Scores'!$A:$A,0))),0,INDEX('Robot Game Scores'!D:D,MATCH(TournamentData[[#This Row],[Team Number]], 'Robot Game Scores'!$A:$A,0))))</f>
        <v>229</v>
      </c>
      <c r="F6" s="79">
        <f>IF(TournamentData[[#This Row],[Team Number]]="","",IF(ISNA(INDEX('Robot Game Scores'!E:E,MATCH(TournamentData[[#This Row],[Team Number]], 'Robot Game Scores'!$A:$A,0))),0,INDEX('Robot Game Scores'!E:E,MATCH(TournamentData[[#This Row],[Team Number]], 'Robot Game Scores'!$A:$A,0))))</f>
        <v>272</v>
      </c>
      <c r="G6" s="79" t="e">
        <f>IF(TournamentData[[#This Row],[Team Number]]="","",IF(ISNA(INDEX('Robot Game Scores'!#REF!,MATCH(TournamentData[[#This Row],[Team Number]], 'Robot Game Scores'!$A:$A,0))),0,INDEX('Robot Game Scores'!#REF!,MATCH(TournamentData[[#This Row],[Team Number]], 'Robot Game Scores'!$A:$A,0))))</f>
        <v>#REF!</v>
      </c>
      <c r="H6" s="79" t="e">
        <f>IF(TournamentData[[#This Row],[Team Number]]="","",IF(ISNA(INDEX('Robot Game Scores'!#REF!,MATCH(TournamentData[[#This Row],[Team Number]], 'Robot Game Scores'!$A:$A,0))),0,INDEX('Robot Game Scores'!#REF!,MATCH(TournamentData[[#This Row],[Team Number]], 'Robot Game Scores'!$A:$A,0))))</f>
        <v>#REF!</v>
      </c>
      <c r="I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272.02291099999997</v>
      </c>
      <c r="J6" s="79">
        <f>_xlfn.RANK.EQ(TournamentData[[#This Row],[Max Robot Game Score]],TournamentData[Max Robot Game Score])</f>
        <v>5</v>
      </c>
      <c r="K6" s="79">
        <f>INDEX(CoreValuesResults[Core Values Rank],MATCH(TournamentData[[#This Row],[Team Number]],CoreValuesResults[Team Number],0))</f>
        <v>1</v>
      </c>
      <c r="L6" s="79">
        <f>INDEX(InnovationProjectResults[Innovation Project Rank],MATCH(TournamentData[[#This Row],[Team Number]],InnovationProjectResults[Team Number],0))</f>
        <v>5</v>
      </c>
      <c r="M6" s="79">
        <f>INDEX(RobotDesignResults[Robot Design Rank],MATCH(TournamentData[[#This Row],[Team Number]],RobotDesignResults[Team Number],0))</f>
        <v>2</v>
      </c>
      <c r="N6" s="79">
        <f>SUM(TournamentData[[#This Row],[Robot Game Rank]:[Robot Design Rank]])</f>
        <v>13</v>
      </c>
      <c r="O6" s="79">
        <f>RANK(TournamentData[[#This Row],[Champion''s Score]],TournamentData[Champion''s Score],1)</f>
        <v>3</v>
      </c>
      <c r="P6" s="80"/>
      <c r="Q6" s="86" t="s">
        <v>48</v>
      </c>
      <c r="R6" s="81">
        <f>IF(ISNA(INDEX(CoreValuesResults[Core Values Score],MATCH(TournamentData[[#This Row],[Team Number]],CoreValuesResults[Team Number],0))),0,INDEX(CoreValuesResults[Core Values Score],MATCH(TournamentData[[#This Row],[Team Number]],CoreValuesResults[Team Number],0)))</f>
        <v>44</v>
      </c>
      <c r="S6" s="81">
        <f>IF(ISNA(INDEX(InnovationProjectResults[Innovation Project Score],MATCH(TournamentData[[#This Row],[Team Number]],InnovationProjectResults[Team Number],0))),0,INDEX(InnovationProjectResults[Innovation Project Score],MATCH(TournamentData[[#This Row],[Team Number]],InnovationProjectResults[Team Number],0)))</f>
        <v>26</v>
      </c>
      <c r="T6" s="81">
        <f>IF(ISNA(INDEX(RobotDesignResults[Robot Design Score],MATCH(TournamentData[[#This Row],[Team Number]],RobotDesignResults[Team Number],0))),0,INDEX(RobotDesignResults[Robot Design Score],MATCH(TournamentData[[#This Row],[Team Number]],RobotDesignResults[Team Number],0)))</f>
        <v>28</v>
      </c>
      <c r="U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54.33096075614089</v>
      </c>
      <c r="V6" s="80">
        <f t="shared" si="0"/>
        <v>3</v>
      </c>
      <c r="W6" s="80"/>
    </row>
    <row r="7" spans="1:26" ht="20.25" customHeight="1" x14ac:dyDescent="0.25">
      <c r="A7" s="79">
        <v>67801</v>
      </c>
      <c r="B7" s="79">
        <f>INDEX(OfficialTeamList[Pod Number],MATCH(TournamentData[[#This Row],[Team Number]], OfficialTeamList[Team Number],0))</f>
        <v>0</v>
      </c>
      <c r="C7" s="103" t="str">
        <f>INDEX(OfficialTeamList[Team Name],MATCH(TournamentData[[#This Row],[Team Number]], OfficialTeamList[Team Number],0))</f>
        <v>Scorpion Tech Force</v>
      </c>
      <c r="D7" s="79">
        <f>IF(TournamentData[[#This Row],[Team Number]]="","",IF(ISNA(INDEX('Robot Game Scores'!C:C,MATCH(TournamentData[[#This Row],[Team Number]], 'Robot Game Scores'!$A:$A,0))),0,INDEX('Robot Game Scores'!C:C,MATCH(TournamentData[[#This Row],[Team Number]], 'Robot Game Scores'!$A:$A,0))))</f>
        <v>297</v>
      </c>
      <c r="E7" s="79">
        <f>IF(TournamentData[[#This Row],[Team Number]]="","",IF(ISNA(INDEX('Robot Game Scores'!D:D,MATCH(TournamentData[[#This Row],[Team Number]], 'Robot Game Scores'!$A:$A,0))),0,INDEX('Robot Game Scores'!D:D,MATCH(TournamentData[[#This Row],[Team Number]], 'Robot Game Scores'!$A:$A,0))))</f>
        <v>169</v>
      </c>
      <c r="F7" s="79">
        <f>IF(TournamentData[[#This Row],[Team Number]]="","",IF(ISNA(INDEX('Robot Game Scores'!E:E,MATCH(TournamentData[[#This Row],[Team Number]], 'Robot Game Scores'!$A:$A,0))),0,INDEX('Robot Game Scores'!E:E,MATCH(TournamentData[[#This Row],[Team Number]], 'Robot Game Scores'!$A:$A,0))))</f>
        <v>210</v>
      </c>
      <c r="G7" s="79" t="e">
        <f>IF(TournamentData[[#This Row],[Team Number]]="","",IF(ISNA(INDEX('Robot Game Scores'!#REF!,MATCH(TournamentData[[#This Row],[Team Number]], 'Robot Game Scores'!$A:$A,0))),0,INDEX('Robot Game Scores'!#REF!,MATCH(TournamentData[[#This Row],[Team Number]], 'Robot Game Scores'!$A:$A,0))))</f>
        <v>#REF!</v>
      </c>
      <c r="H7" s="79" t="e">
        <f>IF(TournamentData[[#This Row],[Team Number]]="","",IF(ISNA(INDEX('Robot Game Scores'!#REF!,MATCH(TournamentData[[#This Row],[Team Number]], 'Robot Game Scores'!$A:$A,0))),0,INDEX('Robot Game Scores'!#REF!,MATCH(TournamentData[[#This Row],[Team Number]], 'Robot Game Scores'!$A:$A,0))))</f>
        <v>#REF!</v>
      </c>
      <c r="I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297.02101690000001</v>
      </c>
      <c r="J7" s="79">
        <f>_xlfn.RANK.EQ(TournamentData[[#This Row],[Max Robot Game Score]],TournamentData[Max Robot Game Score])</f>
        <v>2</v>
      </c>
      <c r="K7" s="79">
        <f>INDEX(CoreValuesResults[Core Values Rank],MATCH(TournamentData[[#This Row],[Team Number]],CoreValuesResults[Team Number],0))</f>
        <v>4</v>
      </c>
      <c r="L7" s="79">
        <f>INDEX(InnovationProjectResults[Innovation Project Rank],MATCH(TournamentData[[#This Row],[Team Number]],InnovationProjectResults[Team Number],0))</f>
        <v>1</v>
      </c>
      <c r="M7" s="79">
        <f>INDEX(RobotDesignResults[Robot Design Rank],MATCH(TournamentData[[#This Row],[Team Number]],RobotDesignResults[Team Number],0))</f>
        <v>6</v>
      </c>
      <c r="N7" s="79">
        <f>SUM(TournamentData[[#This Row],[Robot Game Rank]:[Robot Design Rank]])</f>
        <v>13</v>
      </c>
      <c r="O7" s="79">
        <f>RANK(TournamentData[[#This Row],[Champion''s Score]],TournamentData[Champion''s Score],1)</f>
        <v>3</v>
      </c>
      <c r="P7" s="80" t="s">
        <v>79</v>
      </c>
      <c r="Q7" s="86" t="s">
        <v>47</v>
      </c>
      <c r="R7" s="81">
        <f>IF(ISNA(INDEX(CoreValuesResults[Core Values Score],MATCH(TournamentData[[#This Row],[Team Number]],CoreValuesResults[Team Number],0))),0,INDEX(CoreValuesResults[Core Values Score],MATCH(TournamentData[[#This Row],[Team Number]],CoreValuesResults[Team Number],0)))</f>
        <v>42</v>
      </c>
      <c r="S7" s="81">
        <f>IF(ISNA(INDEX(InnovationProjectResults[Innovation Project Score],MATCH(TournamentData[[#This Row],[Team Number]],InnovationProjectResults[Team Number],0))),0,INDEX(InnovationProjectResults[Innovation Project Score],MATCH(TournamentData[[#This Row],[Team Number]],InnovationProjectResults[Team Number],0)))</f>
        <v>31</v>
      </c>
      <c r="T7" s="81">
        <f>IF(ISNA(INDEX(RobotDesignResults[Robot Design Score],MATCH(TournamentData[[#This Row],[Team Number]],RobotDesignResults[Team Number],0))),0,INDEX(RobotDesignResults[Robot Design Score],MATCH(TournamentData[[#This Row],[Team Number]],RobotDesignResults[Team Number],0)))</f>
        <v>21</v>
      </c>
      <c r="U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53.383170664098969</v>
      </c>
      <c r="V7" s="80">
        <f t="shared" si="0"/>
        <v>4</v>
      </c>
      <c r="W7" s="80"/>
    </row>
    <row r="8" spans="1:26" ht="20.25" customHeight="1" x14ac:dyDescent="0.25">
      <c r="A8" s="79">
        <v>68850</v>
      </c>
      <c r="B8" s="79">
        <f>INDEX(OfficialTeamList[Pod Number],MATCH(TournamentData[[#This Row],[Team Number]], OfficialTeamList[Team Number],0))</f>
        <v>0</v>
      </c>
      <c r="C8" s="103" t="str">
        <f>INDEX(OfficialTeamList[Team Name],MATCH(TournamentData[[#This Row],[Team Number]], OfficialTeamList[Team Number],0))</f>
        <v>MCH Marvels</v>
      </c>
      <c r="D8" s="79">
        <f>IF(TournamentData[[#This Row],[Team Number]]="","",IF(ISNA(INDEX('Robot Game Scores'!C:C,MATCH(TournamentData[[#This Row],[Team Number]], 'Robot Game Scores'!$A:$A,0))),0,INDEX('Robot Game Scores'!C:C,MATCH(TournamentData[[#This Row],[Team Number]], 'Robot Game Scores'!$A:$A,0))))</f>
        <v>256</v>
      </c>
      <c r="E8" s="79">
        <f>IF(TournamentData[[#This Row],[Team Number]]="","",IF(ISNA(INDEX('Robot Game Scores'!D:D,MATCH(TournamentData[[#This Row],[Team Number]], 'Robot Game Scores'!$A:$A,0))),0,INDEX('Robot Game Scores'!D:D,MATCH(TournamentData[[#This Row],[Team Number]], 'Robot Game Scores'!$A:$A,0))))</f>
        <v>289</v>
      </c>
      <c r="F8" s="79">
        <f>IF(TournamentData[[#This Row],[Team Number]]="","",IF(ISNA(INDEX('Robot Game Scores'!E:E,MATCH(TournamentData[[#This Row],[Team Number]], 'Robot Game Scores'!$A:$A,0))),0,INDEX('Robot Game Scores'!E:E,MATCH(TournamentData[[#This Row],[Team Number]], 'Robot Game Scores'!$A:$A,0))))</f>
        <v>134</v>
      </c>
      <c r="G8" s="79" t="e">
        <f>IF(TournamentData[[#This Row],[Team Number]]="","",IF(ISNA(INDEX('Robot Game Scores'!#REF!,MATCH(TournamentData[[#This Row],[Team Number]], 'Robot Game Scores'!$A:$A,0))),0,INDEX('Robot Game Scores'!#REF!,MATCH(TournamentData[[#This Row],[Team Number]], 'Robot Game Scores'!$A:$A,0))))</f>
        <v>#REF!</v>
      </c>
      <c r="H8" s="79" t="e">
        <f>IF(TournamentData[[#This Row],[Team Number]]="","",IF(ISNA(INDEX('Robot Game Scores'!#REF!,MATCH(TournamentData[[#This Row],[Team Number]], 'Robot Game Scores'!$A:$A,0))),0,INDEX('Robot Game Scores'!#REF!,MATCH(TournamentData[[#This Row],[Team Number]], 'Robot Game Scores'!$A:$A,0))))</f>
        <v>#REF!</v>
      </c>
      <c r="I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289.0256134</v>
      </c>
      <c r="J8" s="79">
        <f>_xlfn.RANK.EQ(TournamentData[[#This Row],[Max Robot Game Score]],TournamentData[Max Robot Game Score])</f>
        <v>3</v>
      </c>
      <c r="K8" s="79">
        <f>INDEX(CoreValuesResults[Core Values Rank],MATCH(TournamentData[[#This Row],[Team Number]],CoreValuesResults[Team Number],0))</f>
        <v>6</v>
      </c>
      <c r="L8" s="79">
        <f>INDEX(InnovationProjectResults[Innovation Project Rank],MATCH(TournamentData[[#This Row],[Team Number]],InnovationProjectResults[Team Number],0))</f>
        <v>7</v>
      </c>
      <c r="M8" s="79">
        <f>INDEX(RobotDesignResults[Robot Design Rank],MATCH(TournamentData[[#This Row],[Team Number]],RobotDesignResults[Team Number],0))</f>
        <v>3</v>
      </c>
      <c r="N8" s="79">
        <f>SUM(TournamentData[[#This Row],[Robot Game Rank]:[Robot Design Rank]])</f>
        <v>19</v>
      </c>
      <c r="O8" s="79">
        <f>RANK(TournamentData[[#This Row],[Champion''s Score]],TournamentData[Champion''s Score],1)</f>
        <v>6</v>
      </c>
      <c r="P8" s="80" t="s">
        <v>78</v>
      </c>
      <c r="Q8" s="86" t="s">
        <v>47</v>
      </c>
      <c r="R8" s="81">
        <f>IF(ISNA(INDEX(CoreValuesResults[Core Values Score],MATCH(TournamentData[[#This Row],[Team Number]],CoreValuesResults[Team Number],0))),0,INDEX(CoreValuesResults[Core Values Score],MATCH(TournamentData[[#This Row],[Team Number]],CoreValuesResults[Team Number],0)))</f>
        <v>37</v>
      </c>
      <c r="S8" s="81">
        <f>IF(ISNA(INDEX(InnovationProjectResults[Innovation Project Score],MATCH(TournamentData[[#This Row],[Team Number]],InnovationProjectResults[Team Number],0))),0,INDEX(InnovationProjectResults[Innovation Project Score],MATCH(TournamentData[[#This Row],[Team Number]],InnovationProjectResults[Team Number],0)))</f>
        <v>19</v>
      </c>
      <c r="T8" s="81">
        <f>IF(ISNA(INDEX(RobotDesignResults[Robot Design Score],MATCH(TournamentData[[#This Row],[Team Number]],RobotDesignResults[Team Number],0))),0,INDEX(RobotDesignResults[Robot Design Score],MATCH(TournamentData[[#This Row],[Team Number]],RobotDesignResults[Team Number],0)))</f>
        <v>25</v>
      </c>
      <c r="U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47.474228558316128</v>
      </c>
      <c r="V8" s="80">
        <f t="shared" si="0"/>
        <v>6</v>
      </c>
      <c r="W8" s="80"/>
    </row>
    <row r="9" spans="1:26" ht="20.25" customHeight="1" x14ac:dyDescent="0.25">
      <c r="A9" s="79">
        <v>71673</v>
      </c>
      <c r="B9" s="79">
        <f>INDEX(OfficialTeamList[Pod Number],MATCH(TournamentData[[#This Row],[Team Number]], OfficialTeamList[Team Number],0))</f>
        <v>0</v>
      </c>
      <c r="C9" s="103" t="str">
        <f>INDEX(OfficialTeamList[Team Name],MATCH(TournamentData[[#This Row],[Team Number]], OfficialTeamList[Team Number],0))</f>
        <v>SMS Eaglebots 1</v>
      </c>
      <c r="D9" s="79">
        <f>IF(TournamentData[[#This Row],[Team Number]]="","",IF(ISNA(INDEX('Robot Game Scores'!C:C,MATCH(TournamentData[[#This Row],[Team Number]], 'Robot Game Scores'!$A:$A,0))),0,INDEX('Robot Game Scores'!C:C,MATCH(TournamentData[[#This Row],[Team Number]], 'Robot Game Scores'!$A:$A,0))))</f>
        <v>88</v>
      </c>
      <c r="E9" s="79">
        <f>IF(TournamentData[[#This Row],[Team Number]]="","",IF(ISNA(INDEX('Robot Game Scores'!D:D,MATCH(TournamentData[[#This Row],[Team Number]], 'Robot Game Scores'!$A:$A,0))),0,INDEX('Robot Game Scores'!D:D,MATCH(TournamentData[[#This Row],[Team Number]], 'Robot Game Scores'!$A:$A,0))))</f>
        <v>158</v>
      </c>
      <c r="F9" s="79">
        <f>IF(TournamentData[[#This Row],[Team Number]]="","",IF(ISNA(INDEX('Robot Game Scores'!E:E,MATCH(TournamentData[[#This Row],[Team Number]], 'Robot Game Scores'!$A:$A,0))),0,INDEX('Robot Game Scores'!E:E,MATCH(TournamentData[[#This Row],[Team Number]], 'Robot Game Scores'!$A:$A,0))))</f>
        <v>249</v>
      </c>
      <c r="G9" s="79" t="e">
        <f>IF(TournamentData[[#This Row],[Team Number]]="","",IF(ISNA(INDEX('Robot Game Scores'!#REF!,MATCH(TournamentData[[#This Row],[Team Number]], 'Robot Game Scores'!$A:$A,0))),0,INDEX('Robot Game Scores'!#REF!,MATCH(TournamentData[[#This Row],[Team Number]], 'Robot Game Scores'!$A:$A,0))))</f>
        <v>#REF!</v>
      </c>
      <c r="H9" s="79" t="e">
        <f>IF(TournamentData[[#This Row],[Team Number]]="","",IF(ISNA(INDEX('Robot Game Scores'!#REF!,MATCH(TournamentData[[#This Row],[Team Number]], 'Robot Game Scores'!$A:$A,0))),0,INDEX('Robot Game Scores'!#REF!,MATCH(TournamentData[[#This Row],[Team Number]], 'Robot Game Scores'!$A:$A,0))))</f>
        <v>#REF!</v>
      </c>
      <c r="I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249.0158088</v>
      </c>
      <c r="J9" s="79">
        <f>_xlfn.RANK.EQ(TournamentData[[#This Row],[Max Robot Game Score]],TournamentData[Max Robot Game Score])</f>
        <v>6</v>
      </c>
      <c r="K9" s="79">
        <f>INDEX(CoreValuesResults[Core Values Rank],MATCH(TournamentData[[#This Row],[Team Number]],CoreValuesResults[Team Number],0))</f>
        <v>1</v>
      </c>
      <c r="L9" s="79">
        <f>INDEX(InnovationProjectResults[Innovation Project Rank],MATCH(TournamentData[[#This Row],[Team Number]],InnovationProjectResults[Team Number],0))</f>
        <v>4</v>
      </c>
      <c r="M9" s="79">
        <f>INDEX(RobotDesignResults[Robot Design Rank],MATCH(TournamentData[[#This Row],[Team Number]],RobotDesignResults[Team Number],0))</f>
        <v>1</v>
      </c>
      <c r="N9" s="79">
        <f>SUM(TournamentData[[#This Row],[Robot Game Rank]:[Robot Design Rank]])</f>
        <v>12</v>
      </c>
      <c r="O9" s="79">
        <f>RANK(TournamentData[[#This Row],[Champion''s Score]],TournamentData[Champion''s Score],1)</f>
        <v>2</v>
      </c>
      <c r="P9" s="80" t="s">
        <v>76</v>
      </c>
      <c r="Q9" s="86" t="s">
        <v>46</v>
      </c>
      <c r="R9" s="81">
        <f>IF(ISNA(INDEX(CoreValuesResults[Core Values Score],MATCH(TournamentData[[#This Row],[Team Number]],CoreValuesResults[Team Number],0))),0,INDEX(CoreValuesResults[Core Values Score],MATCH(TournamentData[[#This Row],[Team Number]],CoreValuesResults[Team Number],0)))</f>
        <v>44</v>
      </c>
      <c r="S9" s="81">
        <f>IF(ISNA(INDEX(InnovationProjectResults[Innovation Project Score],MATCH(TournamentData[[#This Row],[Team Number]],InnovationProjectResults[Team Number],0))),0,INDEX(InnovationProjectResults[Innovation Project Score],MATCH(TournamentData[[#This Row],[Team Number]],InnovationProjectResults[Team Number],0)))</f>
        <v>27</v>
      </c>
      <c r="T9" s="81">
        <f>IF(ISNA(INDEX(RobotDesignResults[Robot Design Score],MATCH(TournamentData[[#This Row],[Team Number]],RobotDesignResults[Team Number],0))),0,INDEX(RobotDesignResults[Robot Design Score],MATCH(TournamentData[[#This Row],[Team Number]],RobotDesignResults[Team Number],0)))</f>
        <v>31</v>
      </c>
      <c r="U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55.030221822621961</v>
      </c>
      <c r="V9" s="80">
        <f t="shared" si="0"/>
        <v>1</v>
      </c>
      <c r="W9" s="80"/>
    </row>
    <row r="10" spans="1:26" ht="20.25" customHeight="1" x14ac:dyDescent="0.25">
      <c r="A10" s="71"/>
      <c r="B10" s="71"/>
      <c r="C10" s="72"/>
      <c r="G10" s="72"/>
      <c r="H10" s="72"/>
      <c r="I10" s="72"/>
      <c r="J10" s="72"/>
      <c r="K10" s="72"/>
      <c r="L10" s="72"/>
      <c r="M10" s="72"/>
      <c r="N10" s="72"/>
      <c r="O10" s="72"/>
      <c r="P10" s="72"/>
      <c r="W10" s="71"/>
    </row>
    <row r="11" spans="1:26" ht="20.25" customHeight="1" x14ac:dyDescent="0.25">
      <c r="A11" s="71"/>
      <c r="B11" s="71"/>
      <c r="C11" s="72"/>
      <c r="G11" s="72"/>
      <c r="H11" s="72"/>
      <c r="I11" s="72"/>
      <c r="J11" s="72"/>
      <c r="K11" s="72"/>
      <c r="L11" s="72"/>
      <c r="M11" s="72"/>
      <c r="N11" s="72"/>
      <c r="O11" s="72"/>
      <c r="P11" s="72"/>
      <c r="W11" s="71"/>
    </row>
    <row r="12" spans="1:26" ht="20.25" customHeight="1" x14ac:dyDescent="0.25">
      <c r="A12" s="71"/>
      <c r="B12" s="71"/>
      <c r="C12" s="72"/>
      <c r="G12" s="72"/>
      <c r="H12" s="72"/>
      <c r="I12" s="72"/>
      <c r="J12" s="72"/>
      <c r="K12" s="72"/>
      <c r="L12" s="72"/>
      <c r="M12" s="72"/>
      <c r="N12" s="72"/>
      <c r="O12" s="72"/>
      <c r="P12" s="72"/>
      <c r="W12" s="71"/>
    </row>
    <row r="13" spans="1:26" ht="20.25" customHeight="1" x14ac:dyDescent="0.25">
      <c r="A13" s="71"/>
      <c r="B13" s="71"/>
      <c r="C13" s="72"/>
      <c r="G13" s="72"/>
      <c r="H13" s="72"/>
      <c r="I13" s="72"/>
      <c r="J13" s="72"/>
      <c r="K13" s="72"/>
      <c r="L13" s="72"/>
      <c r="M13" s="72"/>
      <c r="N13" s="72"/>
      <c r="O13" s="72"/>
      <c r="P13" s="72"/>
      <c r="W13" s="71"/>
    </row>
    <row r="14" spans="1:26" ht="20.25" customHeight="1" x14ac:dyDescent="0.25">
      <c r="A14" s="71"/>
      <c r="B14" s="71"/>
      <c r="C14" s="72"/>
      <c r="G14" s="72"/>
      <c r="H14" s="72"/>
      <c r="I14" s="72"/>
      <c r="J14" s="72"/>
      <c r="K14" s="72"/>
      <c r="L14" s="72"/>
      <c r="M14" s="72"/>
      <c r="N14" s="72"/>
      <c r="O14" s="72"/>
      <c r="P14" s="72"/>
      <c r="W14" s="71"/>
    </row>
    <row r="15" spans="1:26" ht="20.25" customHeight="1" x14ac:dyDescent="0.25">
      <c r="A15" s="71"/>
      <c r="B15" s="71"/>
      <c r="C15" s="72"/>
      <c r="G15" s="72"/>
      <c r="H15" s="72"/>
      <c r="I15" s="72"/>
      <c r="J15" s="72"/>
      <c r="K15" s="72"/>
      <c r="L15" s="72"/>
      <c r="M15" s="72"/>
      <c r="N15" s="72"/>
      <c r="O15" s="72"/>
      <c r="P15" s="72"/>
      <c r="W15" s="71"/>
    </row>
    <row r="16" spans="1:26" ht="20.25" customHeight="1" x14ac:dyDescent="0.25">
      <c r="A16" s="71"/>
      <c r="B16" s="71"/>
      <c r="C16" s="72"/>
      <c r="G16" s="72"/>
      <c r="H16" s="72"/>
      <c r="I16" s="72"/>
      <c r="J16" s="72"/>
      <c r="K16" s="72"/>
      <c r="L16" s="72"/>
      <c r="M16" s="72"/>
      <c r="N16" s="72"/>
      <c r="O16" s="72"/>
      <c r="P16" s="72"/>
      <c r="W16" s="71"/>
    </row>
    <row r="17" spans="1:23" ht="20.25" customHeight="1" x14ac:dyDescent="0.25">
      <c r="A17" s="71"/>
      <c r="B17" s="71"/>
      <c r="C17" s="72"/>
      <c r="G17" s="72"/>
      <c r="H17" s="72"/>
      <c r="I17" s="72"/>
      <c r="J17" s="72"/>
      <c r="K17" s="72"/>
      <c r="L17" s="72"/>
      <c r="M17" s="72"/>
      <c r="N17" s="72"/>
      <c r="O17" s="72"/>
      <c r="P17" s="72"/>
      <c r="W17" s="71"/>
    </row>
    <row r="18" spans="1:23" ht="20.25" customHeight="1" x14ac:dyDescent="0.25">
      <c r="A18" s="71"/>
      <c r="B18" s="71"/>
      <c r="C18" s="72"/>
      <c r="G18" s="72"/>
      <c r="H18" s="72"/>
      <c r="I18" s="72"/>
      <c r="J18" s="72"/>
      <c r="K18" s="72"/>
      <c r="L18" s="72"/>
      <c r="M18" s="72"/>
      <c r="N18" s="72"/>
      <c r="O18" s="72"/>
      <c r="P18" s="72"/>
      <c r="W18" s="71"/>
    </row>
    <row r="19" spans="1:23" ht="20.25" customHeight="1" x14ac:dyDescent="0.25">
      <c r="A19" s="71"/>
      <c r="B19" s="71"/>
      <c r="C19" s="72"/>
      <c r="G19" s="72"/>
      <c r="H19" s="72"/>
      <c r="I19" s="72"/>
      <c r="J19" s="72"/>
      <c r="K19" s="72"/>
      <c r="L19" s="72"/>
      <c r="M19" s="72"/>
      <c r="N19" s="72"/>
      <c r="O19" s="72"/>
      <c r="P19" s="72"/>
      <c r="W19" s="71"/>
    </row>
    <row r="20" spans="1:23" ht="20.25" customHeight="1" x14ac:dyDescent="0.25">
      <c r="A20" s="71"/>
      <c r="B20" s="71"/>
      <c r="C20" s="72"/>
      <c r="G20" s="72"/>
      <c r="H20" s="72"/>
      <c r="I20" s="72"/>
      <c r="J20" s="72"/>
      <c r="K20" s="72"/>
      <c r="L20" s="72"/>
      <c r="M20" s="72"/>
      <c r="N20" s="72"/>
      <c r="O20" s="72"/>
      <c r="P20" s="72"/>
      <c r="W20" s="71"/>
    </row>
    <row r="21" spans="1:23" ht="20.25" customHeight="1" x14ac:dyDescent="0.25">
      <c r="A21" s="71"/>
      <c r="B21" s="71"/>
      <c r="C21" s="72"/>
      <c r="G21" s="72"/>
      <c r="H21" s="72"/>
      <c r="I21" s="72"/>
      <c r="J21" s="72"/>
      <c r="K21" s="72"/>
      <c r="L21" s="72"/>
      <c r="M21" s="72"/>
      <c r="N21" s="72"/>
      <c r="O21" s="72"/>
      <c r="P21" s="72"/>
      <c r="W21" s="71"/>
    </row>
    <row r="22" spans="1:23" ht="20.25" customHeight="1" x14ac:dyDescent="0.25">
      <c r="A22" s="71"/>
      <c r="B22" s="71"/>
      <c r="C22" s="72"/>
      <c r="G22" s="72"/>
      <c r="H22" s="72"/>
      <c r="I22" s="72"/>
      <c r="J22" s="72"/>
      <c r="K22" s="72"/>
      <c r="L22" s="72"/>
      <c r="M22" s="72"/>
      <c r="N22" s="72"/>
      <c r="O22" s="72"/>
      <c r="P22" s="72"/>
      <c r="W22" s="71"/>
    </row>
    <row r="23" spans="1:23" ht="20.25" customHeight="1" x14ac:dyDescent="0.25">
      <c r="A23" s="71"/>
      <c r="B23" s="71"/>
      <c r="C23" s="72"/>
      <c r="G23" s="72"/>
      <c r="H23" s="72"/>
      <c r="I23" s="72"/>
      <c r="J23" s="72"/>
      <c r="K23" s="72"/>
      <c r="L23" s="72"/>
      <c r="M23" s="72"/>
      <c r="N23" s="72"/>
      <c r="O23" s="72"/>
      <c r="P23" s="72"/>
      <c r="W23" s="71"/>
    </row>
    <row r="24" spans="1:23" ht="20.25" customHeight="1" x14ac:dyDescent="0.25">
      <c r="A24" s="71"/>
      <c r="B24" s="71"/>
      <c r="C24" s="72"/>
      <c r="G24" s="72"/>
      <c r="H24" s="72"/>
      <c r="I24" s="72"/>
      <c r="J24" s="72"/>
      <c r="K24" s="72"/>
      <c r="L24" s="72"/>
      <c r="M24" s="72"/>
      <c r="N24" s="72"/>
      <c r="O24" s="72"/>
      <c r="P24" s="72"/>
      <c r="W24" s="71"/>
    </row>
    <row r="25" spans="1:23" ht="20.25" customHeight="1" x14ac:dyDescent="0.25">
      <c r="A25" s="71"/>
      <c r="B25" s="71"/>
      <c r="C25" s="72"/>
      <c r="G25" s="72"/>
      <c r="H25" s="72"/>
      <c r="I25" s="72"/>
      <c r="J25" s="72"/>
      <c r="K25" s="72"/>
      <c r="L25" s="72"/>
      <c r="M25" s="72"/>
      <c r="N25" s="72"/>
      <c r="O25" s="72"/>
      <c r="P25" s="72"/>
      <c r="W25" s="71"/>
    </row>
    <row r="26" spans="1:23" ht="20.25" customHeight="1" x14ac:dyDescent="0.25">
      <c r="A26" s="71"/>
      <c r="B26" s="71"/>
      <c r="C26" s="72"/>
      <c r="G26" s="72"/>
      <c r="H26" s="72"/>
      <c r="I26" s="72"/>
      <c r="J26" s="72"/>
      <c r="K26" s="72"/>
      <c r="L26" s="72"/>
      <c r="M26" s="72"/>
      <c r="N26" s="72"/>
      <c r="O26" s="72"/>
      <c r="P26" s="72"/>
      <c r="W26" s="71"/>
    </row>
    <row r="27" spans="1:23" ht="20.25" customHeight="1" x14ac:dyDescent="0.25">
      <c r="A27" s="71"/>
      <c r="B27" s="71"/>
      <c r="C27" s="72"/>
      <c r="G27" s="72"/>
      <c r="H27" s="72"/>
      <c r="I27" s="72"/>
      <c r="J27" s="72"/>
      <c r="K27" s="72"/>
      <c r="L27" s="72"/>
      <c r="M27" s="72"/>
      <c r="N27" s="72"/>
      <c r="O27" s="72"/>
      <c r="P27" s="72"/>
      <c r="W27" s="71"/>
    </row>
    <row r="28" spans="1:23" ht="20.25" customHeight="1" x14ac:dyDescent="0.25">
      <c r="A28" s="71"/>
      <c r="B28" s="71"/>
      <c r="C28" s="72"/>
      <c r="G28" s="72"/>
      <c r="H28" s="72"/>
      <c r="I28" s="72"/>
      <c r="J28" s="72"/>
      <c r="K28" s="72"/>
      <c r="L28" s="72"/>
      <c r="M28" s="72"/>
      <c r="N28" s="72"/>
      <c r="O28" s="72"/>
      <c r="P28" s="72"/>
      <c r="W28" s="71"/>
    </row>
    <row r="29" spans="1:23" ht="20.25" customHeight="1" x14ac:dyDescent="0.25">
      <c r="A29" s="71"/>
      <c r="B29" s="71"/>
      <c r="C29" s="72"/>
      <c r="G29" s="72"/>
      <c r="H29" s="72"/>
      <c r="I29" s="72"/>
      <c r="J29" s="72"/>
      <c r="K29" s="72"/>
      <c r="L29" s="72"/>
      <c r="M29" s="72"/>
      <c r="N29" s="72"/>
      <c r="O29" s="72"/>
      <c r="P29" s="72"/>
      <c r="W29" s="71"/>
    </row>
    <row r="30" spans="1:23" ht="20.25" customHeight="1" x14ac:dyDescent="0.25">
      <c r="A30" s="71"/>
      <c r="B30" s="71"/>
      <c r="C30" s="72"/>
      <c r="G30" s="72"/>
      <c r="H30" s="72"/>
      <c r="I30" s="72"/>
      <c r="J30" s="72"/>
      <c r="K30" s="72"/>
      <c r="L30" s="72"/>
      <c r="M30" s="72"/>
      <c r="N30" s="72"/>
      <c r="O30" s="72"/>
      <c r="P30" s="72"/>
      <c r="W30" s="71"/>
    </row>
    <row r="31" spans="1:23" ht="20.25" customHeight="1" x14ac:dyDescent="0.25">
      <c r="A31" s="71"/>
      <c r="B31" s="71"/>
      <c r="C31" s="72"/>
      <c r="G31" s="72"/>
      <c r="H31" s="72"/>
      <c r="I31" s="72"/>
      <c r="J31" s="72"/>
      <c r="K31" s="72"/>
      <c r="L31" s="72"/>
      <c r="M31" s="72"/>
      <c r="N31" s="72"/>
      <c r="O31" s="72"/>
      <c r="P31" s="72"/>
      <c r="W31" s="71"/>
    </row>
    <row r="32" spans="1:23" ht="20.25" customHeight="1" x14ac:dyDescent="0.25">
      <c r="A32" s="71"/>
      <c r="B32" s="71"/>
      <c r="C32" s="72"/>
      <c r="G32" s="72"/>
      <c r="H32" s="72"/>
      <c r="I32" s="72"/>
      <c r="J32" s="72"/>
      <c r="K32" s="72"/>
      <c r="L32" s="72"/>
      <c r="M32" s="72"/>
      <c r="N32" s="72"/>
      <c r="O32" s="72"/>
      <c r="P32" s="72"/>
      <c r="W32" s="71"/>
    </row>
    <row r="33" spans="1:23" ht="20.25" customHeight="1" x14ac:dyDescent="0.25">
      <c r="A33" s="71"/>
      <c r="B33" s="71"/>
      <c r="C33" s="72"/>
      <c r="G33" s="72"/>
      <c r="H33" s="72"/>
      <c r="I33" s="72"/>
      <c r="J33" s="72"/>
      <c r="K33" s="72"/>
      <c r="L33" s="72"/>
      <c r="M33" s="72"/>
      <c r="N33" s="72"/>
      <c r="O33" s="72"/>
      <c r="P33" s="72"/>
      <c r="W33" s="71"/>
    </row>
    <row r="34" spans="1:23" ht="20.25" customHeight="1" x14ac:dyDescent="0.25">
      <c r="A34" s="71"/>
      <c r="B34" s="71"/>
      <c r="C34" s="72"/>
      <c r="G34" s="72"/>
      <c r="H34" s="72"/>
      <c r="I34" s="72"/>
      <c r="J34" s="72"/>
      <c r="K34" s="72"/>
      <c r="L34" s="72"/>
      <c r="M34" s="72"/>
      <c r="N34" s="72"/>
      <c r="O34" s="72"/>
      <c r="P34" s="72"/>
      <c r="W34" s="71"/>
    </row>
    <row r="35" spans="1:23" ht="20.25" customHeight="1" x14ac:dyDescent="0.25">
      <c r="A35" s="71"/>
      <c r="B35" s="71"/>
      <c r="C35" s="72"/>
      <c r="G35" s="72"/>
      <c r="H35" s="72"/>
      <c r="I35" s="72"/>
      <c r="J35" s="72"/>
      <c r="K35" s="72"/>
      <c r="L35" s="72"/>
      <c r="M35" s="72"/>
      <c r="N35" s="72"/>
      <c r="O35" s="72"/>
      <c r="P35" s="72"/>
      <c r="W35" s="71"/>
    </row>
    <row r="36" spans="1:23" ht="20.25" customHeight="1" x14ac:dyDescent="0.25">
      <c r="A36" s="71"/>
      <c r="B36" s="71"/>
      <c r="C36" s="72"/>
      <c r="G36" s="72"/>
      <c r="H36" s="72"/>
      <c r="I36" s="72"/>
      <c r="J36" s="72"/>
      <c r="K36" s="72"/>
      <c r="L36" s="72"/>
      <c r="M36" s="72"/>
      <c r="N36" s="72"/>
      <c r="O36" s="72"/>
      <c r="P36" s="72"/>
      <c r="W36" s="71"/>
    </row>
    <row r="37" spans="1:23" ht="20.25" customHeight="1" x14ac:dyDescent="0.25">
      <c r="A37" s="71"/>
      <c r="B37" s="71"/>
      <c r="C37" s="72"/>
      <c r="G37" s="72"/>
      <c r="H37" s="72"/>
      <c r="I37" s="72"/>
      <c r="J37" s="72"/>
      <c r="K37" s="72"/>
      <c r="L37" s="72"/>
      <c r="M37" s="72"/>
      <c r="N37" s="72"/>
      <c r="O37" s="72"/>
      <c r="P37" s="72"/>
      <c r="W37" s="71"/>
    </row>
    <row r="38" spans="1:23" ht="20.25" customHeight="1" x14ac:dyDescent="0.25">
      <c r="A38" s="71"/>
      <c r="B38" s="71"/>
      <c r="C38" s="72"/>
      <c r="G38" s="72"/>
      <c r="H38" s="72"/>
      <c r="I38" s="72"/>
      <c r="J38" s="72"/>
      <c r="K38" s="72"/>
      <c r="L38" s="72"/>
      <c r="M38" s="72"/>
      <c r="N38" s="72"/>
      <c r="O38" s="72"/>
      <c r="P38" s="72"/>
      <c r="W38" s="71"/>
    </row>
    <row r="39" spans="1:23" ht="20.25" customHeight="1" x14ac:dyDescent="0.25">
      <c r="A39" s="71"/>
      <c r="B39" s="71"/>
      <c r="C39" s="72"/>
      <c r="G39" s="72"/>
      <c r="H39" s="72"/>
      <c r="I39" s="72"/>
      <c r="J39" s="72"/>
      <c r="K39" s="72"/>
      <c r="L39" s="72"/>
      <c r="M39" s="72"/>
      <c r="N39" s="72"/>
      <c r="O39" s="72"/>
      <c r="P39" s="72"/>
      <c r="W39" s="71"/>
    </row>
    <row r="40" spans="1:23" ht="20.25" customHeight="1" x14ac:dyDescent="0.25">
      <c r="A40" s="71"/>
      <c r="B40" s="71"/>
      <c r="C40" s="72"/>
      <c r="G40" s="72"/>
      <c r="H40" s="72"/>
      <c r="I40" s="72"/>
      <c r="J40" s="72"/>
      <c r="K40" s="72"/>
      <c r="L40" s="72"/>
      <c r="M40" s="72"/>
      <c r="N40" s="72"/>
      <c r="O40" s="72"/>
      <c r="P40" s="72"/>
      <c r="W40" s="71"/>
    </row>
    <row r="41" spans="1:23" ht="20.25" customHeight="1" x14ac:dyDescent="0.25">
      <c r="A41" s="71"/>
      <c r="B41" s="71"/>
      <c r="C41" s="72"/>
      <c r="G41" s="72"/>
      <c r="H41" s="72"/>
      <c r="I41" s="72"/>
      <c r="J41" s="72"/>
      <c r="K41" s="72"/>
      <c r="L41" s="72"/>
      <c r="M41" s="72"/>
      <c r="N41" s="72"/>
      <c r="O41" s="72"/>
      <c r="P41" s="72"/>
      <c r="W41" s="71"/>
    </row>
    <row r="42" spans="1:23" ht="20.25" customHeight="1" x14ac:dyDescent="0.25">
      <c r="A42" s="71"/>
      <c r="B42" s="71"/>
      <c r="C42" s="72"/>
      <c r="G42" s="72"/>
      <c r="H42" s="72"/>
      <c r="I42" s="72"/>
      <c r="J42" s="72"/>
      <c r="K42" s="72"/>
      <c r="L42" s="72"/>
      <c r="M42" s="72"/>
      <c r="N42" s="72"/>
      <c r="O42" s="72"/>
      <c r="P42" s="72"/>
      <c r="W42" s="71"/>
    </row>
    <row r="43" spans="1:23" ht="20.25" customHeight="1" x14ac:dyDescent="0.25">
      <c r="A43" s="71"/>
      <c r="B43" s="71"/>
      <c r="C43" s="72"/>
      <c r="G43" s="72"/>
      <c r="H43" s="72"/>
      <c r="I43" s="72"/>
      <c r="J43" s="72"/>
      <c r="K43" s="72"/>
      <c r="L43" s="72"/>
      <c r="M43" s="72"/>
      <c r="N43" s="72"/>
      <c r="O43" s="72"/>
      <c r="P43" s="72"/>
      <c r="W43" s="71"/>
    </row>
    <row r="44" spans="1:23" ht="20.25" customHeight="1" x14ac:dyDescent="0.25">
      <c r="A44" s="71"/>
      <c r="B44" s="71"/>
      <c r="C44" s="72"/>
      <c r="G44" s="72"/>
      <c r="H44" s="72"/>
      <c r="I44" s="72"/>
      <c r="J44" s="72"/>
      <c r="K44" s="72"/>
      <c r="L44" s="72"/>
      <c r="M44" s="72"/>
      <c r="N44" s="72"/>
      <c r="O44" s="72"/>
      <c r="P44" s="72"/>
      <c r="W44" s="71"/>
    </row>
    <row r="45" spans="1:23" ht="20.25" customHeight="1" x14ac:dyDescent="0.25">
      <c r="A45" s="71"/>
      <c r="B45" s="71"/>
      <c r="C45" s="72"/>
      <c r="G45" s="72"/>
      <c r="H45" s="72"/>
      <c r="I45" s="72"/>
      <c r="J45" s="72"/>
      <c r="K45" s="72"/>
      <c r="L45" s="72"/>
      <c r="M45" s="72"/>
      <c r="N45" s="72"/>
      <c r="O45" s="72"/>
      <c r="P45" s="72"/>
      <c r="W45" s="71"/>
    </row>
    <row r="46" spans="1:23" ht="20.25" customHeight="1" x14ac:dyDescent="0.25">
      <c r="A46" s="71"/>
      <c r="B46" s="71"/>
      <c r="C46" s="72"/>
      <c r="G46" s="72"/>
      <c r="H46" s="72"/>
      <c r="I46" s="72"/>
      <c r="J46" s="72"/>
      <c r="K46" s="72"/>
      <c r="L46" s="72"/>
      <c r="M46" s="72"/>
      <c r="N46" s="72"/>
      <c r="O46" s="72"/>
      <c r="P46" s="72"/>
      <c r="W46" s="71"/>
    </row>
    <row r="47" spans="1:23" ht="20.25" customHeight="1" x14ac:dyDescent="0.25">
      <c r="A47" s="71"/>
      <c r="B47" s="71"/>
      <c r="C47" s="72"/>
      <c r="G47" s="72"/>
      <c r="H47" s="72"/>
      <c r="I47" s="72"/>
      <c r="J47" s="72"/>
      <c r="K47" s="72"/>
      <c r="L47" s="72"/>
      <c r="M47" s="72"/>
      <c r="N47" s="72"/>
      <c r="O47" s="72"/>
      <c r="P47" s="72"/>
      <c r="W47" s="71"/>
    </row>
    <row r="48" spans="1:23" ht="20.25" customHeight="1" x14ac:dyDescent="0.25">
      <c r="A48" s="71"/>
      <c r="B48" s="71"/>
      <c r="C48" s="72"/>
      <c r="G48" s="72"/>
      <c r="H48" s="72"/>
      <c r="I48" s="72"/>
      <c r="J48" s="72"/>
      <c r="K48" s="72"/>
      <c r="L48" s="72"/>
      <c r="M48" s="72"/>
      <c r="N48" s="72"/>
      <c r="O48" s="72"/>
      <c r="P48" s="72"/>
      <c r="W48" s="71"/>
    </row>
    <row r="49" spans="1:23" ht="20.25" customHeight="1" x14ac:dyDescent="0.25">
      <c r="A49" s="71"/>
      <c r="B49" s="71"/>
      <c r="C49" s="72"/>
      <c r="G49" s="72"/>
      <c r="H49" s="72"/>
      <c r="I49" s="72"/>
      <c r="J49" s="72"/>
      <c r="K49" s="72"/>
      <c r="L49" s="72"/>
      <c r="M49" s="72"/>
      <c r="N49" s="72"/>
      <c r="O49" s="72"/>
      <c r="P49" s="72"/>
      <c r="W49" s="71"/>
    </row>
    <row r="50" spans="1:23" ht="20.25" customHeight="1" x14ac:dyDescent="0.25">
      <c r="A50" s="71"/>
      <c r="B50" s="71"/>
      <c r="C50" s="72"/>
      <c r="G50" s="72"/>
      <c r="H50" s="72"/>
      <c r="I50" s="72"/>
      <c r="J50" s="72"/>
      <c r="K50" s="72"/>
      <c r="L50" s="72"/>
      <c r="M50" s="72"/>
      <c r="N50" s="72"/>
      <c r="O50" s="72"/>
      <c r="P50" s="72"/>
      <c r="W50" s="71"/>
    </row>
    <row r="51" spans="1:23" ht="20.25" customHeight="1" x14ac:dyDescent="0.25">
      <c r="A51" s="71"/>
      <c r="B51" s="71"/>
      <c r="C51" s="72"/>
      <c r="G51" s="72"/>
      <c r="H51" s="72"/>
      <c r="I51" s="72"/>
      <c r="J51" s="72"/>
      <c r="K51" s="72"/>
      <c r="L51" s="72"/>
      <c r="M51" s="72"/>
      <c r="N51" s="72"/>
      <c r="O51" s="72"/>
      <c r="P51" s="72"/>
      <c r="W51" s="71"/>
    </row>
    <row r="52" spans="1:23" ht="20.25" customHeight="1" x14ac:dyDescent="0.25">
      <c r="A52" s="71"/>
      <c r="B52" s="71"/>
      <c r="C52" s="72"/>
      <c r="G52" s="72"/>
      <c r="H52" s="72"/>
      <c r="I52" s="72"/>
      <c r="J52" s="72"/>
      <c r="K52" s="72"/>
      <c r="L52" s="72"/>
      <c r="M52" s="72"/>
      <c r="N52" s="72"/>
      <c r="O52" s="72"/>
      <c r="P52" s="72"/>
      <c r="W52" s="71"/>
    </row>
    <row r="53" spans="1:23" ht="20.25" customHeight="1" x14ac:dyDescent="0.25">
      <c r="A53" s="71"/>
      <c r="B53" s="71"/>
      <c r="C53" s="72"/>
      <c r="G53" s="72"/>
      <c r="H53" s="72"/>
      <c r="I53" s="72"/>
      <c r="J53" s="72"/>
      <c r="K53" s="72"/>
      <c r="L53" s="72"/>
      <c r="M53" s="72"/>
      <c r="N53" s="72"/>
      <c r="O53" s="72"/>
      <c r="P53" s="72"/>
      <c r="W53" s="71"/>
    </row>
    <row r="54" spans="1:23" ht="20.25" customHeight="1" x14ac:dyDescent="0.25">
      <c r="A54" s="71"/>
      <c r="B54" s="71"/>
      <c r="C54" s="72"/>
      <c r="G54" s="72"/>
      <c r="H54" s="72"/>
      <c r="I54" s="72"/>
      <c r="J54" s="72"/>
      <c r="K54" s="72"/>
      <c r="L54" s="72"/>
      <c r="M54" s="72"/>
      <c r="N54" s="72"/>
      <c r="O54" s="72"/>
      <c r="P54" s="72"/>
      <c r="W54" s="71"/>
    </row>
    <row r="55" spans="1:23" ht="20.25" customHeight="1" x14ac:dyDescent="0.25">
      <c r="A55" s="71"/>
      <c r="B55" s="71"/>
      <c r="C55" s="72"/>
      <c r="G55" s="72"/>
      <c r="H55" s="72"/>
      <c r="I55" s="72"/>
      <c r="J55" s="72"/>
      <c r="K55" s="72"/>
      <c r="L55" s="72"/>
      <c r="M55" s="72"/>
      <c r="N55" s="72"/>
      <c r="O55" s="72"/>
      <c r="P55" s="72"/>
      <c r="W55" s="71"/>
    </row>
    <row r="56" spans="1:23" ht="20.25" customHeight="1" x14ac:dyDescent="0.25">
      <c r="A56" s="71"/>
      <c r="B56" s="71"/>
      <c r="C56" s="72"/>
      <c r="G56" s="72"/>
      <c r="H56" s="72"/>
      <c r="I56" s="72"/>
      <c r="J56" s="72"/>
      <c r="K56" s="72"/>
      <c r="L56" s="72"/>
      <c r="M56" s="72"/>
      <c r="N56" s="72"/>
      <c r="O56" s="72"/>
      <c r="P56" s="72"/>
      <c r="W56" s="71"/>
    </row>
    <row r="57" spans="1:23" ht="20.25" customHeight="1" x14ac:dyDescent="0.25">
      <c r="A57" s="71"/>
      <c r="B57" s="71"/>
      <c r="C57" s="72"/>
      <c r="G57" s="72"/>
      <c r="H57" s="72"/>
      <c r="I57" s="72"/>
      <c r="J57" s="72"/>
      <c r="K57" s="72"/>
      <c r="L57" s="72"/>
      <c r="M57" s="72"/>
      <c r="N57" s="72"/>
      <c r="O57" s="72"/>
      <c r="P57" s="72"/>
      <c r="W57" s="71"/>
    </row>
    <row r="58" spans="1:23" ht="20.25" customHeight="1" x14ac:dyDescent="0.25">
      <c r="A58" s="71"/>
      <c r="B58" s="71"/>
      <c r="C58" s="72"/>
      <c r="G58" s="72"/>
      <c r="H58" s="72"/>
      <c r="I58" s="72"/>
      <c r="J58" s="72"/>
      <c r="K58" s="72"/>
      <c r="L58" s="72"/>
      <c r="M58" s="72"/>
      <c r="N58" s="72"/>
      <c r="O58" s="72"/>
      <c r="P58" s="72"/>
      <c r="W58" s="71"/>
    </row>
    <row r="59" spans="1:23" ht="20.25" customHeight="1" x14ac:dyDescent="0.25">
      <c r="A59" s="71"/>
      <c r="B59" s="71"/>
      <c r="C59" s="72"/>
      <c r="G59" s="72"/>
      <c r="H59" s="72"/>
      <c r="I59" s="72"/>
      <c r="J59" s="72"/>
      <c r="K59" s="72"/>
      <c r="L59" s="72"/>
      <c r="M59" s="72"/>
      <c r="N59" s="72"/>
      <c r="O59" s="72"/>
      <c r="P59" s="72"/>
      <c r="W59" s="71"/>
    </row>
    <row r="60" spans="1:23" ht="20.25" customHeight="1" x14ac:dyDescent="0.25">
      <c r="A60" s="71"/>
      <c r="B60" s="71"/>
      <c r="C60" s="72"/>
      <c r="G60" s="72"/>
      <c r="H60" s="72"/>
      <c r="I60" s="72"/>
      <c r="J60" s="72"/>
      <c r="K60" s="72"/>
      <c r="L60" s="72"/>
      <c r="M60" s="72"/>
      <c r="N60" s="72"/>
      <c r="O60" s="72"/>
      <c r="P60" s="72"/>
      <c r="W60" s="71"/>
    </row>
    <row r="61" spans="1:23" ht="20.25" customHeight="1" x14ac:dyDescent="0.25">
      <c r="A61" s="71"/>
      <c r="B61" s="71"/>
      <c r="C61" s="72"/>
      <c r="G61" s="72"/>
      <c r="H61" s="72"/>
      <c r="I61" s="72"/>
      <c r="J61" s="72"/>
      <c r="K61" s="72"/>
      <c r="L61" s="72"/>
      <c r="M61" s="72"/>
      <c r="N61" s="72"/>
      <c r="O61" s="72"/>
      <c r="P61" s="72"/>
      <c r="W61" s="71"/>
    </row>
    <row r="62" spans="1:23" ht="20.25" customHeight="1" x14ac:dyDescent="0.25">
      <c r="A62" s="71"/>
      <c r="B62" s="71"/>
      <c r="C62" s="72"/>
      <c r="G62" s="72"/>
      <c r="H62" s="72"/>
      <c r="I62" s="72"/>
      <c r="J62" s="72"/>
      <c r="K62" s="72"/>
      <c r="L62" s="72"/>
      <c r="M62" s="72"/>
      <c r="N62" s="72"/>
      <c r="O62" s="72"/>
      <c r="P62" s="72"/>
      <c r="W62" s="71"/>
    </row>
    <row r="63" spans="1:23" ht="20.25" customHeight="1" x14ac:dyDescent="0.25">
      <c r="A63" s="71"/>
      <c r="B63" s="71"/>
      <c r="C63" s="72"/>
      <c r="G63" s="72"/>
      <c r="H63" s="72"/>
      <c r="I63" s="72"/>
      <c r="J63" s="72"/>
      <c r="K63" s="72"/>
      <c r="L63" s="72"/>
      <c r="M63" s="72"/>
      <c r="N63" s="72"/>
      <c r="O63" s="72"/>
      <c r="P63" s="72"/>
      <c r="W63" s="71"/>
    </row>
    <row r="64" spans="1:23" ht="20.25" customHeight="1" x14ac:dyDescent="0.25">
      <c r="A64" s="71"/>
      <c r="B64" s="71"/>
      <c r="C64" s="72"/>
      <c r="G64" s="72"/>
      <c r="H64" s="72"/>
      <c r="I64" s="72"/>
      <c r="J64" s="72"/>
      <c r="K64" s="72"/>
      <c r="L64" s="72"/>
      <c r="M64" s="72"/>
      <c r="N64" s="72"/>
      <c r="O64" s="72"/>
      <c r="P64" s="72"/>
      <c r="W64" s="71"/>
    </row>
    <row r="65" spans="1:23" ht="20.25" customHeight="1" x14ac:dyDescent="0.25">
      <c r="A65" s="71"/>
      <c r="B65" s="71"/>
      <c r="C65" s="72"/>
      <c r="G65" s="72"/>
      <c r="H65" s="72"/>
      <c r="I65" s="72"/>
      <c r="J65" s="72"/>
      <c r="K65" s="72"/>
      <c r="L65" s="72"/>
      <c r="M65" s="72"/>
      <c r="N65" s="72"/>
      <c r="O65" s="72"/>
      <c r="P65" s="72"/>
      <c r="W65" s="71"/>
    </row>
    <row r="66" spans="1:23" ht="20.25" customHeight="1" x14ac:dyDescent="0.25">
      <c r="A66" s="71"/>
      <c r="B66" s="71"/>
      <c r="C66" s="72"/>
      <c r="G66" s="72"/>
      <c r="H66" s="72"/>
      <c r="I66" s="72"/>
      <c r="J66" s="72"/>
      <c r="K66" s="72"/>
      <c r="L66" s="72"/>
      <c r="M66" s="72"/>
      <c r="N66" s="72"/>
      <c r="O66" s="72"/>
      <c r="P66" s="72"/>
      <c r="W66" s="71"/>
    </row>
    <row r="67" spans="1:23" ht="20.25" customHeight="1" x14ac:dyDescent="0.25">
      <c r="A67" s="71"/>
      <c r="B67" s="71"/>
      <c r="C67" s="72"/>
      <c r="G67" s="72"/>
      <c r="H67" s="72"/>
      <c r="I67" s="72"/>
      <c r="J67" s="72"/>
      <c r="K67" s="72"/>
      <c r="L67" s="72"/>
      <c r="M67" s="72"/>
      <c r="N67" s="72"/>
      <c r="O67" s="72"/>
      <c r="P67" s="72"/>
      <c r="W67" s="71"/>
    </row>
    <row r="68" spans="1:23" ht="20.25" customHeight="1" x14ac:dyDescent="0.25">
      <c r="A68" s="71"/>
      <c r="B68" s="71"/>
      <c r="C68" s="72"/>
      <c r="G68" s="72"/>
      <c r="H68" s="72"/>
      <c r="I68" s="72"/>
      <c r="J68" s="72"/>
      <c r="K68" s="72"/>
      <c r="L68" s="72"/>
      <c r="M68" s="72"/>
      <c r="N68" s="72"/>
      <c r="O68" s="72"/>
      <c r="P68" s="72"/>
      <c r="W68" s="71"/>
    </row>
    <row r="69" spans="1:23" ht="20.25" customHeight="1" x14ac:dyDescent="0.25">
      <c r="A69" s="71"/>
      <c r="B69" s="71"/>
      <c r="C69" s="72"/>
      <c r="G69" s="72"/>
      <c r="H69" s="72"/>
      <c r="I69" s="72"/>
      <c r="J69" s="72"/>
      <c r="K69" s="72"/>
      <c r="L69" s="72"/>
      <c r="M69" s="72"/>
      <c r="N69" s="72"/>
      <c r="O69" s="72"/>
      <c r="P69" s="72"/>
      <c r="W69" s="71"/>
    </row>
    <row r="70" spans="1:23" ht="20.25" customHeight="1" x14ac:dyDescent="0.25">
      <c r="A70" s="71"/>
      <c r="B70" s="71"/>
      <c r="C70" s="72"/>
      <c r="G70" s="72"/>
      <c r="H70" s="72"/>
      <c r="I70" s="72"/>
      <c r="J70" s="72"/>
      <c r="K70" s="72"/>
      <c r="L70" s="72"/>
      <c r="M70" s="72"/>
      <c r="N70" s="72"/>
      <c r="O70" s="72"/>
      <c r="P70" s="72"/>
      <c r="W70" s="71"/>
    </row>
    <row r="71" spans="1:23" ht="20.25" customHeight="1" x14ac:dyDescent="0.25">
      <c r="A71" s="71"/>
      <c r="B71" s="71"/>
      <c r="C71" s="72"/>
      <c r="G71" s="72"/>
      <c r="H71" s="72"/>
      <c r="I71" s="72"/>
      <c r="J71" s="72"/>
      <c r="K71" s="72"/>
      <c r="L71" s="72"/>
      <c r="M71" s="72"/>
      <c r="N71" s="72"/>
      <c r="O71" s="72"/>
      <c r="P71" s="72"/>
      <c r="W71" s="71"/>
    </row>
    <row r="72" spans="1:23" ht="20.25" customHeight="1" x14ac:dyDescent="0.25">
      <c r="A72" s="71"/>
      <c r="B72" s="71"/>
      <c r="C72" s="72"/>
      <c r="G72" s="72"/>
      <c r="H72" s="72"/>
      <c r="I72" s="72"/>
      <c r="J72" s="72"/>
      <c r="K72" s="72"/>
      <c r="L72" s="72"/>
      <c r="M72" s="72"/>
      <c r="N72" s="72"/>
      <c r="O72" s="72"/>
      <c r="P72" s="72"/>
      <c r="W72" s="71"/>
    </row>
    <row r="73" spans="1:23" ht="20.25" customHeight="1" x14ac:dyDescent="0.25">
      <c r="A73" s="71"/>
      <c r="B73" s="71"/>
      <c r="C73" s="72"/>
      <c r="G73" s="72"/>
      <c r="H73" s="72"/>
      <c r="I73" s="72"/>
      <c r="J73" s="72"/>
      <c r="K73" s="72"/>
      <c r="L73" s="72"/>
      <c r="M73" s="72"/>
      <c r="N73" s="72"/>
      <c r="O73" s="72"/>
      <c r="P73" s="72"/>
      <c r="W73" s="71"/>
    </row>
    <row r="74" spans="1:23" ht="20.25" customHeight="1" x14ac:dyDescent="0.25">
      <c r="A74" s="71"/>
      <c r="B74" s="71"/>
      <c r="C74" s="72"/>
      <c r="G74" s="72"/>
      <c r="H74" s="72"/>
      <c r="I74" s="72"/>
      <c r="J74" s="72"/>
      <c r="K74" s="72"/>
      <c r="L74" s="72"/>
      <c r="M74" s="72"/>
      <c r="N74" s="72"/>
      <c r="O74" s="72"/>
      <c r="P74" s="72"/>
      <c r="W74" s="71"/>
    </row>
    <row r="75" spans="1:23" ht="20.25" customHeight="1" x14ac:dyDescent="0.25">
      <c r="A75" s="71"/>
      <c r="B75" s="71"/>
      <c r="C75" s="72"/>
      <c r="G75" s="72"/>
      <c r="H75" s="72"/>
      <c r="I75" s="72"/>
      <c r="J75" s="72"/>
      <c r="K75" s="72"/>
      <c r="L75" s="72"/>
      <c r="M75" s="72"/>
      <c r="N75" s="72"/>
      <c r="O75" s="72"/>
      <c r="P75" s="72"/>
      <c r="W75" s="71"/>
    </row>
    <row r="76" spans="1:23" ht="20.25" customHeight="1" x14ac:dyDescent="0.25">
      <c r="A76" s="71"/>
      <c r="B76" s="71"/>
      <c r="C76" s="72"/>
      <c r="G76" s="72"/>
      <c r="H76" s="72"/>
      <c r="I76" s="72"/>
      <c r="J76" s="72"/>
      <c r="K76" s="72"/>
      <c r="L76" s="72"/>
      <c r="M76" s="72"/>
      <c r="N76" s="72"/>
      <c r="O76" s="72"/>
      <c r="P76" s="72"/>
      <c r="W76" s="71"/>
    </row>
    <row r="77" spans="1:23" ht="20.25" customHeight="1" x14ac:dyDescent="0.25">
      <c r="A77" s="71"/>
      <c r="B77" s="71"/>
      <c r="C77" s="72"/>
      <c r="G77" s="72"/>
      <c r="H77" s="72"/>
      <c r="I77" s="72"/>
      <c r="J77" s="72"/>
      <c r="K77" s="72"/>
      <c r="L77" s="72"/>
      <c r="M77" s="72"/>
      <c r="N77" s="72"/>
      <c r="O77" s="72"/>
      <c r="P77" s="72"/>
      <c r="W77" s="71"/>
    </row>
    <row r="78" spans="1:23" ht="20.25" customHeight="1" x14ac:dyDescent="0.25">
      <c r="A78" s="71"/>
      <c r="B78" s="71"/>
      <c r="C78" s="72"/>
      <c r="G78" s="72"/>
      <c r="H78" s="72"/>
      <c r="I78" s="72"/>
      <c r="J78" s="72"/>
      <c r="K78" s="72"/>
      <c r="L78" s="72"/>
      <c r="M78" s="72"/>
      <c r="N78" s="72"/>
      <c r="O78" s="72"/>
      <c r="P78" s="72"/>
      <c r="W78" s="71"/>
    </row>
    <row r="79" spans="1:23" ht="20.25" customHeight="1" x14ac:dyDescent="0.25">
      <c r="A79" s="71"/>
      <c r="B79" s="71"/>
      <c r="C79" s="72"/>
      <c r="G79" s="72"/>
      <c r="H79" s="72"/>
      <c r="I79" s="72"/>
      <c r="J79" s="72"/>
      <c r="K79" s="72"/>
      <c r="L79" s="72"/>
      <c r="M79" s="72"/>
      <c r="N79" s="72"/>
      <c r="O79" s="72"/>
      <c r="P79" s="72"/>
      <c r="W79" s="71"/>
    </row>
    <row r="80" spans="1:23" ht="20.25" customHeight="1" x14ac:dyDescent="0.25">
      <c r="A80" s="71"/>
      <c r="B80" s="71"/>
      <c r="C80" s="72"/>
      <c r="G80" s="72"/>
      <c r="H80" s="72"/>
      <c r="I80" s="72"/>
      <c r="J80" s="72"/>
      <c r="K80" s="72"/>
      <c r="L80" s="72"/>
      <c r="M80" s="72"/>
      <c r="N80" s="72"/>
      <c r="O80" s="72"/>
      <c r="P80" s="72"/>
      <c r="W80" s="71"/>
    </row>
    <row r="81" spans="1:23" ht="20.25" customHeight="1" x14ac:dyDescent="0.25">
      <c r="A81" s="71"/>
      <c r="B81" s="71"/>
      <c r="C81" s="72"/>
      <c r="G81" s="72"/>
      <c r="H81" s="72"/>
      <c r="I81" s="72"/>
      <c r="J81" s="72"/>
      <c r="K81" s="72"/>
      <c r="L81" s="72"/>
      <c r="M81" s="72"/>
      <c r="N81" s="72"/>
      <c r="O81" s="72"/>
      <c r="P81" s="72"/>
      <c r="W81" s="71"/>
    </row>
    <row r="82" spans="1:23" ht="20.25" customHeight="1" x14ac:dyDescent="0.25">
      <c r="A82" s="71"/>
      <c r="B82" s="71"/>
      <c r="C82" s="72"/>
      <c r="G82" s="72"/>
      <c r="H82" s="72"/>
      <c r="I82" s="72"/>
      <c r="J82" s="72"/>
      <c r="K82" s="72"/>
      <c r="L82" s="72"/>
      <c r="M82" s="72"/>
      <c r="N82" s="72"/>
      <c r="O82" s="72"/>
      <c r="P82" s="72"/>
      <c r="W82" s="71"/>
    </row>
    <row r="83" spans="1:23" ht="20.25" customHeight="1" x14ac:dyDescent="0.25">
      <c r="A83" s="71"/>
      <c r="B83" s="71"/>
      <c r="C83" s="72"/>
      <c r="G83" s="72"/>
      <c r="H83" s="72"/>
      <c r="I83" s="72"/>
      <c r="J83" s="72"/>
      <c r="K83" s="72"/>
      <c r="L83" s="72"/>
      <c r="M83" s="72"/>
      <c r="N83" s="72"/>
      <c r="O83" s="72"/>
      <c r="P83" s="72"/>
      <c r="W83" s="71"/>
    </row>
    <row r="84" spans="1:23" ht="20.25" customHeight="1" x14ac:dyDescent="0.25">
      <c r="A84" s="71"/>
      <c r="B84" s="71"/>
      <c r="C84" s="72"/>
      <c r="G84" s="72"/>
      <c r="H84" s="72"/>
      <c r="I84" s="72"/>
      <c r="J84" s="72"/>
      <c r="K84" s="72"/>
      <c r="L84" s="72"/>
      <c r="M84" s="72"/>
      <c r="N84" s="72"/>
      <c r="O84" s="72"/>
      <c r="P84" s="72"/>
      <c r="W84" s="71"/>
    </row>
    <row r="85" spans="1:23" ht="20.25" customHeight="1" x14ac:dyDescent="0.25">
      <c r="A85" s="71"/>
      <c r="B85" s="71"/>
      <c r="C85" s="72"/>
      <c r="G85" s="72"/>
      <c r="H85" s="72"/>
      <c r="I85" s="72"/>
      <c r="J85" s="72"/>
      <c r="K85" s="72"/>
      <c r="L85" s="72"/>
      <c r="M85" s="72"/>
      <c r="N85" s="72"/>
      <c r="O85" s="72"/>
      <c r="P85" s="72"/>
      <c r="W85" s="71"/>
    </row>
    <row r="86" spans="1:23" ht="20.25" customHeight="1" x14ac:dyDescent="0.25">
      <c r="A86" s="71"/>
      <c r="B86" s="71"/>
      <c r="C86" s="72"/>
      <c r="G86" s="72"/>
      <c r="H86" s="72"/>
      <c r="I86" s="72"/>
      <c r="J86" s="72"/>
      <c r="K86" s="72"/>
      <c r="L86" s="72"/>
      <c r="M86" s="72"/>
      <c r="N86" s="72"/>
      <c r="O86" s="72"/>
      <c r="P86" s="72"/>
      <c r="W86" s="71"/>
    </row>
    <row r="87" spans="1:23" ht="20.25" customHeight="1" x14ac:dyDescent="0.25">
      <c r="A87" s="71"/>
      <c r="B87" s="71"/>
      <c r="C87" s="72"/>
      <c r="G87" s="72"/>
      <c r="H87" s="72"/>
      <c r="I87" s="72"/>
      <c r="J87" s="72"/>
      <c r="K87" s="72"/>
      <c r="L87" s="72"/>
      <c r="M87" s="72"/>
      <c r="N87" s="72"/>
      <c r="O87" s="72"/>
      <c r="P87" s="72"/>
      <c r="W87" s="71"/>
    </row>
    <row r="88" spans="1:23" ht="20.25" customHeight="1" x14ac:dyDescent="0.25">
      <c r="A88" s="71"/>
      <c r="B88" s="71"/>
      <c r="C88" s="72"/>
      <c r="G88" s="72"/>
      <c r="H88" s="72"/>
      <c r="I88" s="72"/>
      <c r="J88" s="72"/>
      <c r="K88" s="72"/>
      <c r="L88" s="72"/>
      <c r="M88" s="72"/>
      <c r="N88" s="72"/>
      <c r="O88" s="72"/>
      <c r="P88" s="72"/>
      <c r="W88" s="71"/>
    </row>
    <row r="89" spans="1:23" ht="20.25" customHeight="1" x14ac:dyDescent="0.25">
      <c r="A89" s="71"/>
      <c r="B89" s="71"/>
      <c r="C89" s="72"/>
      <c r="G89" s="72"/>
      <c r="H89" s="72"/>
      <c r="I89" s="72"/>
      <c r="J89" s="72"/>
      <c r="K89" s="72"/>
      <c r="L89" s="72"/>
      <c r="M89" s="72"/>
      <c r="N89" s="72"/>
      <c r="O89" s="72"/>
      <c r="P89" s="72"/>
      <c r="W89" s="71"/>
    </row>
    <row r="90" spans="1:23" ht="20.25" customHeight="1" x14ac:dyDescent="0.25">
      <c r="A90" s="71"/>
      <c r="B90" s="71"/>
      <c r="C90" s="72"/>
      <c r="G90" s="72"/>
      <c r="H90" s="72"/>
      <c r="I90" s="72"/>
      <c r="J90" s="72"/>
      <c r="K90" s="72"/>
      <c r="L90" s="72"/>
      <c r="M90" s="72"/>
      <c r="N90" s="72"/>
      <c r="O90" s="72"/>
      <c r="P90" s="72"/>
      <c r="W90" s="71"/>
    </row>
    <row r="91" spans="1:23" ht="20.25" customHeight="1" x14ac:dyDescent="0.25">
      <c r="A91" s="71"/>
      <c r="B91" s="71"/>
      <c r="C91" s="72"/>
      <c r="G91" s="72"/>
      <c r="H91" s="72"/>
      <c r="I91" s="72"/>
      <c r="J91" s="72"/>
      <c r="K91" s="72"/>
      <c r="L91" s="72"/>
      <c r="M91" s="72"/>
      <c r="N91" s="72"/>
      <c r="O91" s="72"/>
      <c r="P91" s="72"/>
      <c r="W91" s="71"/>
    </row>
    <row r="92" spans="1:23" ht="20.25" customHeight="1" x14ac:dyDescent="0.25">
      <c r="A92" s="71"/>
      <c r="B92" s="71"/>
      <c r="C92" s="72"/>
      <c r="G92" s="72"/>
      <c r="H92" s="72"/>
      <c r="I92" s="72"/>
      <c r="J92" s="72"/>
      <c r="K92" s="72"/>
      <c r="L92" s="72"/>
      <c r="M92" s="72"/>
      <c r="N92" s="72"/>
      <c r="O92" s="72"/>
      <c r="P92" s="72"/>
      <c r="W92" s="71"/>
    </row>
    <row r="93" spans="1:23" ht="20.25" customHeight="1" x14ac:dyDescent="0.25">
      <c r="A93" s="71"/>
      <c r="B93" s="71"/>
      <c r="C93" s="72"/>
      <c r="G93" s="72"/>
      <c r="H93" s="72"/>
      <c r="I93" s="72"/>
      <c r="J93" s="72"/>
      <c r="K93" s="72"/>
      <c r="L93" s="72"/>
      <c r="M93" s="72"/>
      <c r="N93" s="72"/>
      <c r="O93" s="72"/>
      <c r="P93" s="72"/>
      <c r="W93" s="71"/>
    </row>
    <row r="94" spans="1:23" ht="20.25" customHeight="1" x14ac:dyDescent="0.25">
      <c r="A94" s="71"/>
      <c r="B94" s="71"/>
      <c r="C94" s="72"/>
      <c r="G94" s="72"/>
      <c r="H94" s="72"/>
      <c r="I94" s="72"/>
      <c r="J94" s="72"/>
      <c r="K94" s="72"/>
      <c r="L94" s="72"/>
      <c r="M94" s="72"/>
      <c r="N94" s="72"/>
      <c r="O94" s="72"/>
      <c r="P94" s="72"/>
      <c r="W94" s="71"/>
    </row>
    <row r="95" spans="1:23" ht="20.25" customHeight="1" x14ac:dyDescent="0.25">
      <c r="A95" s="71"/>
      <c r="B95" s="71"/>
      <c r="C95" s="72"/>
      <c r="G95" s="72"/>
      <c r="H95" s="72"/>
      <c r="I95" s="72"/>
      <c r="J95" s="72"/>
      <c r="K95" s="72"/>
      <c r="L95" s="72"/>
      <c r="M95" s="72"/>
      <c r="N95" s="72"/>
      <c r="O95" s="72"/>
      <c r="P95" s="72"/>
      <c r="W95" s="71"/>
    </row>
    <row r="96" spans="1:23" ht="20.25" customHeight="1" x14ac:dyDescent="0.25">
      <c r="A96" s="71"/>
      <c r="B96" s="71"/>
      <c r="C96" s="72"/>
      <c r="G96" s="72"/>
      <c r="H96" s="72"/>
      <c r="I96" s="72"/>
      <c r="J96" s="72"/>
      <c r="K96" s="72"/>
      <c r="L96" s="72"/>
      <c r="M96" s="72"/>
      <c r="N96" s="72"/>
      <c r="O96" s="72"/>
      <c r="P96" s="72"/>
      <c r="W96" s="71"/>
    </row>
    <row r="97" spans="1:23" ht="20.25" customHeight="1" x14ac:dyDescent="0.25">
      <c r="A97" s="71"/>
      <c r="B97" s="71"/>
      <c r="C97" s="72"/>
      <c r="G97" s="72"/>
      <c r="H97" s="72"/>
      <c r="I97" s="72"/>
      <c r="J97" s="72"/>
      <c r="K97" s="72"/>
      <c r="L97" s="72"/>
      <c r="M97" s="72"/>
      <c r="N97" s="72"/>
      <c r="O97" s="72"/>
      <c r="P97" s="72"/>
      <c r="W97" s="71"/>
    </row>
    <row r="98" spans="1:23" ht="20.25" customHeight="1" x14ac:dyDescent="0.25">
      <c r="A98" s="71"/>
      <c r="B98" s="71"/>
      <c r="C98" s="72"/>
      <c r="G98" s="72"/>
      <c r="H98" s="72"/>
      <c r="I98" s="72"/>
      <c r="J98" s="72"/>
      <c r="K98" s="72"/>
      <c r="L98" s="72"/>
      <c r="M98" s="72"/>
      <c r="N98" s="72"/>
      <c r="O98" s="72"/>
      <c r="P98" s="72"/>
      <c r="W98" s="71"/>
    </row>
    <row r="99" spans="1:23" ht="20.25" customHeight="1" x14ac:dyDescent="0.25">
      <c r="A99" s="71"/>
      <c r="B99" s="71"/>
      <c r="C99" s="72"/>
      <c r="G99" s="72"/>
      <c r="H99" s="72"/>
      <c r="I99" s="72"/>
      <c r="J99" s="72"/>
      <c r="K99" s="72"/>
      <c r="L99" s="72"/>
      <c r="M99" s="72"/>
      <c r="N99" s="72"/>
      <c r="O99" s="72"/>
      <c r="P99" s="72"/>
      <c r="W99" s="71"/>
    </row>
    <row r="100" spans="1:23" ht="20.25" customHeight="1" x14ac:dyDescent="0.25">
      <c r="A100" s="71"/>
      <c r="B100" s="71"/>
      <c r="C100" s="72"/>
      <c r="G100" s="72"/>
      <c r="H100" s="72"/>
      <c r="I100" s="72"/>
      <c r="J100" s="72"/>
      <c r="K100" s="72"/>
      <c r="L100" s="72"/>
      <c r="M100" s="72"/>
      <c r="N100" s="72"/>
      <c r="O100" s="72"/>
      <c r="P100" s="72"/>
      <c r="W100" s="71"/>
    </row>
    <row r="101" spans="1:23" ht="20.25" customHeight="1" x14ac:dyDescent="0.25">
      <c r="A101" s="71"/>
      <c r="B101" s="71"/>
      <c r="C101" s="72"/>
      <c r="G101" s="72"/>
      <c r="H101" s="72"/>
      <c r="I101" s="72"/>
      <c r="J101" s="72"/>
      <c r="K101" s="72"/>
      <c r="L101" s="72"/>
      <c r="M101" s="72"/>
      <c r="N101" s="72"/>
      <c r="O101" s="72"/>
      <c r="P101" s="72"/>
      <c r="W101" s="71"/>
    </row>
    <row r="102" spans="1:23" ht="20.25" customHeight="1" x14ac:dyDescent="0.25">
      <c r="A102" s="71"/>
      <c r="B102" s="71"/>
      <c r="C102" s="72"/>
      <c r="G102" s="72"/>
      <c r="H102" s="72"/>
      <c r="I102" s="72"/>
      <c r="J102" s="72"/>
      <c r="K102" s="72"/>
      <c r="L102" s="72"/>
      <c r="M102" s="72"/>
      <c r="N102" s="72"/>
      <c r="O102" s="72"/>
      <c r="P102" s="72"/>
      <c r="W102" s="71"/>
    </row>
    <row r="103" spans="1:23" ht="20.25" customHeight="1" x14ac:dyDescent="0.25">
      <c r="A103" s="71"/>
      <c r="B103" s="71"/>
      <c r="C103" s="72"/>
      <c r="G103" s="72"/>
      <c r="H103" s="72"/>
      <c r="I103" s="72"/>
      <c r="J103" s="72"/>
      <c r="K103" s="72"/>
      <c r="L103" s="72"/>
      <c r="M103" s="72"/>
      <c r="N103" s="72"/>
      <c r="O103" s="72"/>
      <c r="P103" s="72"/>
      <c r="W103" s="71"/>
    </row>
    <row r="104" spans="1:23" ht="20.25" customHeight="1" x14ac:dyDescent="0.25">
      <c r="A104" s="71"/>
      <c r="B104" s="71"/>
      <c r="C104" s="72"/>
      <c r="G104" s="72"/>
      <c r="H104" s="72"/>
      <c r="I104" s="72"/>
      <c r="J104" s="72"/>
      <c r="K104" s="72"/>
      <c r="L104" s="72"/>
      <c r="M104" s="72"/>
      <c r="N104" s="72"/>
      <c r="O104" s="72"/>
      <c r="P104" s="72"/>
      <c r="W104" s="71"/>
    </row>
    <row r="105" spans="1:23" ht="20.25" customHeight="1" x14ac:dyDescent="0.25">
      <c r="A105" s="71"/>
      <c r="B105" s="71"/>
      <c r="C105" s="72"/>
      <c r="G105" s="72"/>
      <c r="H105" s="72"/>
      <c r="I105" s="72"/>
      <c r="J105" s="72"/>
      <c r="K105" s="72"/>
      <c r="L105" s="72"/>
      <c r="M105" s="72"/>
      <c r="N105" s="72"/>
      <c r="O105" s="72"/>
      <c r="P105" s="72"/>
      <c r="W105" s="71"/>
    </row>
    <row r="106" spans="1:23" ht="20.25" customHeight="1" x14ac:dyDescent="0.25">
      <c r="A106" s="71"/>
      <c r="B106" s="71"/>
      <c r="C106" s="72"/>
      <c r="G106" s="72"/>
      <c r="H106" s="72"/>
      <c r="I106" s="72"/>
      <c r="J106" s="72"/>
      <c r="K106" s="72"/>
      <c r="L106" s="72"/>
      <c r="M106" s="72"/>
      <c r="N106" s="72"/>
      <c r="O106" s="72"/>
      <c r="P106" s="72"/>
      <c r="W106" s="71"/>
    </row>
    <row r="107" spans="1:23" ht="20.25" customHeight="1" x14ac:dyDescent="0.25">
      <c r="A107" s="71"/>
      <c r="B107" s="71"/>
      <c r="C107" s="72"/>
      <c r="G107" s="72"/>
      <c r="H107" s="72"/>
      <c r="I107" s="72"/>
      <c r="J107" s="72"/>
      <c r="K107" s="72"/>
      <c r="L107" s="72"/>
      <c r="M107" s="72"/>
      <c r="N107" s="72"/>
      <c r="O107" s="72"/>
      <c r="P107" s="72"/>
      <c r="W107" s="71"/>
    </row>
    <row r="108" spans="1:23" ht="20.25" customHeight="1" x14ac:dyDescent="0.25">
      <c r="A108" s="71"/>
      <c r="B108" s="71"/>
      <c r="C108" s="72"/>
      <c r="G108" s="72"/>
      <c r="H108" s="72"/>
      <c r="I108" s="72"/>
      <c r="J108" s="72"/>
      <c r="K108" s="72"/>
      <c r="L108" s="72"/>
      <c r="M108" s="72"/>
      <c r="N108" s="72"/>
      <c r="O108" s="72"/>
      <c r="P108" s="72"/>
      <c r="W108" s="71"/>
    </row>
    <row r="109" spans="1:23" ht="20.25" customHeight="1" x14ac:dyDescent="0.25">
      <c r="A109" s="71"/>
      <c r="B109" s="71"/>
      <c r="C109" s="72"/>
      <c r="G109" s="72"/>
      <c r="H109" s="72"/>
      <c r="I109" s="72"/>
      <c r="J109" s="72"/>
      <c r="K109" s="72"/>
      <c r="L109" s="72"/>
      <c r="M109" s="72"/>
      <c r="N109" s="72"/>
      <c r="O109" s="72"/>
      <c r="P109" s="72"/>
      <c r="W109" s="71"/>
    </row>
    <row r="110" spans="1:23" ht="20.25" customHeight="1" x14ac:dyDescent="0.25">
      <c r="A110" s="71"/>
      <c r="B110" s="71"/>
      <c r="C110" s="72"/>
      <c r="G110" s="72"/>
      <c r="H110" s="72"/>
      <c r="I110" s="72"/>
      <c r="J110" s="72"/>
      <c r="K110" s="72"/>
      <c r="L110" s="72"/>
      <c r="M110" s="72"/>
      <c r="N110" s="72"/>
      <c r="O110" s="72"/>
      <c r="P110" s="72"/>
      <c r="W110" s="71"/>
    </row>
    <row r="111" spans="1:23" ht="20.25" customHeight="1" x14ac:dyDescent="0.25">
      <c r="A111" s="71"/>
      <c r="B111" s="71"/>
      <c r="C111" s="72"/>
      <c r="G111" s="72"/>
      <c r="H111" s="72"/>
      <c r="I111" s="72"/>
      <c r="J111" s="72"/>
      <c r="K111" s="72"/>
      <c r="L111" s="72"/>
      <c r="M111" s="72"/>
      <c r="N111" s="72"/>
      <c r="O111" s="72"/>
      <c r="P111" s="72"/>
      <c r="W111" s="71"/>
    </row>
    <row r="112" spans="1:23" ht="20.25" customHeight="1" x14ac:dyDescent="0.25">
      <c r="A112" s="71"/>
      <c r="B112" s="71"/>
      <c r="C112" s="72"/>
      <c r="G112" s="72"/>
      <c r="H112" s="72"/>
      <c r="I112" s="72"/>
      <c r="J112" s="72"/>
      <c r="K112" s="72"/>
      <c r="L112" s="72"/>
      <c r="M112" s="72"/>
      <c r="N112" s="72"/>
      <c r="O112" s="72"/>
      <c r="P112" s="72"/>
      <c r="W112" s="71"/>
    </row>
    <row r="113" spans="1:23" ht="20.25" customHeight="1" x14ac:dyDescent="0.25">
      <c r="A113" s="71"/>
      <c r="B113" s="71"/>
      <c r="C113" s="72"/>
      <c r="G113" s="72"/>
      <c r="H113" s="72"/>
      <c r="I113" s="72"/>
      <c r="J113" s="72"/>
      <c r="K113" s="72"/>
      <c r="L113" s="72"/>
      <c r="M113" s="72"/>
      <c r="N113" s="72"/>
      <c r="O113" s="72"/>
      <c r="P113" s="72"/>
      <c r="W113" s="71"/>
    </row>
    <row r="114" spans="1:23" ht="20.25" customHeight="1" x14ac:dyDescent="0.25">
      <c r="A114" s="71"/>
      <c r="B114" s="71"/>
      <c r="C114" s="72"/>
      <c r="G114" s="72"/>
      <c r="H114" s="72"/>
      <c r="I114" s="72"/>
      <c r="J114" s="72"/>
      <c r="K114" s="72"/>
      <c r="L114" s="72"/>
      <c r="M114" s="72"/>
      <c r="N114" s="72"/>
      <c r="O114" s="72"/>
      <c r="P114" s="72"/>
      <c r="W114" s="71"/>
    </row>
    <row r="115" spans="1:23" ht="20.25" customHeight="1" x14ac:dyDescent="0.25">
      <c r="A115" s="71"/>
      <c r="B115" s="71"/>
      <c r="C115" s="72"/>
      <c r="G115" s="72"/>
      <c r="H115" s="72"/>
      <c r="I115" s="72"/>
      <c r="J115" s="72"/>
      <c r="K115" s="72"/>
      <c r="L115" s="72"/>
      <c r="M115" s="72"/>
      <c r="N115" s="72"/>
      <c r="O115" s="72"/>
      <c r="P115" s="72"/>
      <c r="W115" s="71"/>
    </row>
    <row r="116" spans="1:23" ht="20.25" customHeight="1" x14ac:dyDescent="0.25">
      <c r="A116" s="71"/>
      <c r="B116" s="71"/>
      <c r="C116" s="72"/>
      <c r="G116" s="72"/>
      <c r="H116" s="72"/>
      <c r="I116" s="72"/>
      <c r="J116" s="72"/>
      <c r="K116" s="72"/>
      <c r="L116" s="72"/>
      <c r="M116" s="72"/>
      <c r="N116" s="72"/>
      <c r="O116" s="72"/>
      <c r="P116" s="72"/>
      <c r="W116" s="71"/>
    </row>
    <row r="117" spans="1:23" ht="20.25" customHeight="1" x14ac:dyDescent="0.25">
      <c r="A117" s="71"/>
      <c r="B117" s="71"/>
      <c r="C117" s="72"/>
      <c r="G117" s="72"/>
      <c r="H117" s="72"/>
      <c r="I117" s="72"/>
      <c r="J117" s="72"/>
      <c r="K117" s="72"/>
      <c r="L117" s="72"/>
      <c r="M117" s="72"/>
      <c r="N117" s="72"/>
      <c r="O117" s="72"/>
      <c r="P117" s="72"/>
      <c r="W117" s="71"/>
    </row>
    <row r="118" spans="1:23" ht="20.25" customHeight="1" x14ac:dyDescent="0.25">
      <c r="A118" s="71"/>
      <c r="B118" s="71"/>
      <c r="C118" s="72"/>
      <c r="G118" s="72"/>
      <c r="H118" s="72"/>
      <c r="I118" s="72"/>
      <c r="J118" s="72"/>
      <c r="K118" s="72"/>
      <c r="L118" s="72"/>
      <c r="M118" s="72"/>
      <c r="N118" s="72"/>
      <c r="O118" s="72"/>
      <c r="P118" s="72"/>
      <c r="W118" s="71"/>
    </row>
    <row r="119" spans="1:23" ht="20.25" customHeight="1" x14ac:dyDescent="0.25">
      <c r="A119" s="71"/>
      <c r="B119" s="71"/>
      <c r="C119" s="72"/>
      <c r="G119" s="72"/>
      <c r="H119" s="72"/>
      <c r="I119" s="72"/>
      <c r="J119" s="72"/>
      <c r="K119" s="72"/>
      <c r="L119" s="72"/>
      <c r="M119" s="72"/>
      <c r="N119" s="72"/>
      <c r="O119" s="72"/>
      <c r="P119" s="72"/>
      <c r="W119" s="71"/>
    </row>
    <row r="120" spans="1:23" ht="20.25" customHeight="1" x14ac:dyDescent="0.25">
      <c r="A120" s="71"/>
      <c r="B120" s="71"/>
      <c r="C120" s="72"/>
      <c r="G120" s="72"/>
      <c r="H120" s="72"/>
      <c r="I120" s="72"/>
      <c r="J120" s="72"/>
      <c r="K120" s="72"/>
      <c r="L120" s="72"/>
      <c r="M120" s="72"/>
      <c r="N120" s="72"/>
      <c r="O120" s="72"/>
      <c r="P120" s="72"/>
      <c r="W120" s="71"/>
    </row>
    <row r="121" spans="1:23" ht="20.25" customHeight="1" x14ac:dyDescent="0.25">
      <c r="A121" s="71"/>
      <c r="B121" s="71"/>
      <c r="C121" s="72"/>
      <c r="G121" s="72"/>
      <c r="H121" s="72"/>
      <c r="I121" s="72"/>
      <c r="J121" s="72"/>
      <c r="K121" s="72"/>
      <c r="L121" s="72"/>
      <c r="M121" s="72"/>
      <c r="N121" s="72"/>
      <c r="O121" s="72"/>
      <c r="P121" s="72"/>
      <c r="W121" s="71"/>
    </row>
    <row r="122" spans="1:23" ht="20.25" customHeight="1" x14ac:dyDescent="0.25">
      <c r="A122" s="71"/>
      <c r="B122" s="71"/>
      <c r="C122" s="72"/>
      <c r="G122" s="72"/>
      <c r="H122" s="72"/>
      <c r="I122" s="72"/>
      <c r="J122" s="72"/>
      <c r="K122" s="72"/>
      <c r="L122" s="72"/>
      <c r="M122" s="72"/>
      <c r="N122" s="72"/>
      <c r="O122" s="72"/>
      <c r="P122" s="72"/>
      <c r="W122" s="71"/>
    </row>
    <row r="123" spans="1:23" ht="20.25" customHeight="1" x14ac:dyDescent="0.25">
      <c r="A123" s="71"/>
      <c r="B123" s="71"/>
      <c r="C123" s="72"/>
      <c r="G123" s="72"/>
      <c r="H123" s="72"/>
      <c r="I123" s="72"/>
      <c r="J123" s="72"/>
      <c r="K123" s="72"/>
      <c r="L123" s="72"/>
      <c r="M123" s="72"/>
      <c r="N123" s="72"/>
      <c r="O123" s="72"/>
      <c r="P123" s="72"/>
      <c r="W123" s="71"/>
    </row>
    <row r="124" spans="1:23" ht="20.25" customHeight="1" x14ac:dyDescent="0.25">
      <c r="A124" s="71"/>
      <c r="B124" s="71"/>
      <c r="C124" s="72"/>
      <c r="G124" s="72"/>
      <c r="H124" s="72"/>
      <c r="I124" s="72"/>
      <c r="J124" s="72"/>
      <c r="K124" s="72"/>
      <c r="L124" s="72"/>
      <c r="M124" s="72"/>
      <c r="N124" s="72"/>
      <c r="O124" s="72"/>
      <c r="P124" s="72"/>
      <c r="W124" s="71"/>
    </row>
    <row r="125" spans="1:23" ht="20.25" customHeight="1" x14ac:dyDescent="0.25">
      <c r="A125" s="71"/>
      <c r="B125" s="71"/>
      <c r="C125" s="72"/>
      <c r="G125" s="72"/>
      <c r="H125" s="72"/>
      <c r="I125" s="72"/>
      <c r="J125" s="72"/>
      <c r="K125" s="72"/>
      <c r="L125" s="72"/>
      <c r="M125" s="72"/>
      <c r="N125" s="72"/>
      <c r="O125" s="72"/>
      <c r="P125" s="72"/>
      <c r="W125" s="71"/>
    </row>
    <row r="126" spans="1:23" ht="20.25" customHeight="1" x14ac:dyDescent="0.25">
      <c r="A126" s="71"/>
      <c r="B126" s="71"/>
      <c r="C126" s="72"/>
      <c r="G126" s="72"/>
      <c r="H126" s="72"/>
      <c r="I126" s="72"/>
      <c r="J126" s="72"/>
      <c r="K126" s="72"/>
      <c r="L126" s="72"/>
      <c r="M126" s="72"/>
      <c r="N126" s="72"/>
      <c r="O126" s="72"/>
      <c r="P126" s="72"/>
      <c r="W126" s="71"/>
    </row>
    <row r="127" spans="1:23" ht="20.25" customHeight="1" x14ac:dyDescent="0.25">
      <c r="A127" s="71"/>
      <c r="B127" s="71"/>
      <c r="C127" s="72"/>
      <c r="G127" s="72"/>
      <c r="H127" s="72"/>
      <c r="I127" s="72"/>
      <c r="J127" s="72"/>
      <c r="K127" s="72"/>
      <c r="L127" s="72"/>
      <c r="M127" s="72"/>
      <c r="N127" s="72"/>
      <c r="O127" s="72"/>
      <c r="P127" s="72"/>
      <c r="W127" s="71"/>
    </row>
    <row r="128" spans="1:23" ht="20.25" customHeight="1" x14ac:dyDescent="0.25">
      <c r="A128" s="71"/>
      <c r="B128" s="71"/>
      <c r="C128" s="72"/>
      <c r="G128" s="72"/>
      <c r="H128" s="72"/>
      <c r="I128" s="72"/>
      <c r="J128" s="72"/>
      <c r="K128" s="72"/>
      <c r="L128" s="72"/>
      <c r="M128" s="72"/>
      <c r="N128" s="72"/>
      <c r="O128" s="72"/>
      <c r="P128" s="72"/>
      <c r="W128" s="71"/>
    </row>
    <row r="129" spans="1:23" ht="20.25" customHeight="1" x14ac:dyDescent="0.25">
      <c r="A129" s="71"/>
      <c r="B129" s="71"/>
      <c r="C129" s="72"/>
      <c r="G129" s="72"/>
      <c r="H129" s="72"/>
      <c r="I129" s="72"/>
      <c r="J129" s="72"/>
      <c r="K129" s="72"/>
      <c r="L129" s="72"/>
      <c r="M129" s="72"/>
      <c r="N129" s="72"/>
      <c r="O129" s="72"/>
      <c r="P129" s="72"/>
      <c r="W129" s="71"/>
    </row>
    <row r="130" spans="1:23" ht="20.25" customHeight="1" x14ac:dyDescent="0.25">
      <c r="A130" s="71"/>
      <c r="B130" s="71"/>
      <c r="C130" s="72"/>
      <c r="G130" s="72"/>
      <c r="H130" s="72"/>
      <c r="I130" s="72"/>
      <c r="J130" s="72"/>
      <c r="K130" s="72"/>
      <c r="L130" s="72"/>
      <c r="M130" s="72"/>
      <c r="N130" s="72"/>
      <c r="O130" s="72"/>
      <c r="P130" s="72"/>
      <c r="W130" s="71"/>
    </row>
    <row r="131" spans="1:23" ht="20.25" customHeight="1" x14ac:dyDescent="0.25">
      <c r="A131" s="71"/>
      <c r="B131" s="71"/>
      <c r="C131" s="72"/>
      <c r="G131" s="72"/>
      <c r="H131" s="72"/>
      <c r="I131" s="72"/>
      <c r="J131" s="72"/>
      <c r="K131" s="72"/>
      <c r="L131" s="72"/>
      <c r="M131" s="72"/>
      <c r="N131" s="72"/>
      <c r="O131" s="72"/>
      <c r="P131" s="72"/>
      <c r="W131" s="71"/>
    </row>
    <row r="132" spans="1:23" ht="20.25" customHeight="1" x14ac:dyDescent="0.25">
      <c r="A132" s="71"/>
      <c r="B132" s="71"/>
      <c r="C132" s="72"/>
      <c r="G132" s="72"/>
      <c r="H132" s="72"/>
      <c r="I132" s="72"/>
      <c r="J132" s="72"/>
      <c r="K132" s="72"/>
      <c r="L132" s="72"/>
      <c r="M132" s="72"/>
      <c r="N132" s="72"/>
      <c r="O132" s="72"/>
      <c r="P132" s="72"/>
      <c r="W132" s="71"/>
    </row>
    <row r="133" spans="1:23" ht="20.25" customHeight="1" x14ac:dyDescent="0.25">
      <c r="A133" s="71"/>
      <c r="B133" s="71"/>
      <c r="C133" s="72"/>
      <c r="G133" s="72"/>
      <c r="H133" s="72"/>
      <c r="I133" s="72"/>
      <c r="J133" s="72"/>
      <c r="K133" s="72"/>
      <c r="L133" s="72"/>
      <c r="M133" s="72"/>
      <c r="N133" s="72"/>
      <c r="O133" s="72"/>
      <c r="P133" s="72"/>
      <c r="W133" s="71"/>
    </row>
    <row r="134" spans="1:23" ht="20.25" customHeight="1" x14ac:dyDescent="0.25">
      <c r="A134" s="71"/>
      <c r="B134" s="71"/>
      <c r="C134" s="72"/>
      <c r="G134" s="72"/>
      <c r="H134" s="72"/>
      <c r="I134" s="72"/>
      <c r="J134" s="72"/>
      <c r="K134" s="72"/>
      <c r="L134" s="72"/>
      <c r="M134" s="72"/>
      <c r="N134" s="72"/>
      <c r="O134" s="72"/>
      <c r="P134" s="72"/>
      <c r="W134" s="71"/>
    </row>
    <row r="135" spans="1:23" ht="20.25" customHeight="1" x14ac:dyDescent="0.25">
      <c r="A135" s="71"/>
      <c r="B135" s="71"/>
      <c r="C135" s="72"/>
      <c r="G135" s="72"/>
      <c r="H135" s="72"/>
      <c r="I135" s="72"/>
      <c r="J135" s="72"/>
      <c r="K135" s="72"/>
      <c r="L135" s="72"/>
      <c r="M135" s="72"/>
      <c r="N135" s="72"/>
      <c r="O135" s="72"/>
      <c r="P135" s="72"/>
      <c r="W135" s="71"/>
    </row>
    <row r="136" spans="1:23" ht="20.25" customHeight="1" x14ac:dyDescent="0.25">
      <c r="A136" s="71"/>
      <c r="B136" s="71"/>
      <c r="C136" s="72"/>
      <c r="G136" s="72"/>
      <c r="H136" s="72"/>
      <c r="I136" s="72"/>
      <c r="J136" s="72"/>
      <c r="K136" s="72"/>
      <c r="L136" s="72"/>
      <c r="M136" s="72"/>
      <c r="N136" s="72"/>
      <c r="O136" s="72"/>
      <c r="P136" s="72"/>
      <c r="W136" s="71"/>
    </row>
    <row r="137" spans="1:23" ht="20.25" customHeight="1" x14ac:dyDescent="0.25">
      <c r="A137" s="71"/>
      <c r="B137" s="71"/>
      <c r="C137" s="72"/>
      <c r="G137" s="72"/>
      <c r="H137" s="72"/>
      <c r="I137" s="72"/>
      <c r="J137" s="72"/>
      <c r="K137" s="72"/>
      <c r="L137" s="72"/>
      <c r="M137" s="72"/>
      <c r="N137" s="72"/>
      <c r="O137" s="72"/>
      <c r="P137" s="72"/>
      <c r="W137" s="71"/>
    </row>
    <row r="138" spans="1:23" ht="20.25" customHeight="1" x14ac:dyDescent="0.25">
      <c r="A138" s="71"/>
      <c r="B138" s="71"/>
      <c r="C138" s="72"/>
      <c r="G138" s="72"/>
      <c r="H138" s="72"/>
      <c r="I138" s="72"/>
      <c r="J138" s="72"/>
      <c r="K138" s="72"/>
      <c r="L138" s="72"/>
      <c r="M138" s="72"/>
      <c r="N138" s="72"/>
      <c r="O138" s="72"/>
      <c r="P138" s="72"/>
      <c r="W138" s="71"/>
    </row>
    <row r="139" spans="1:23" ht="20.25" customHeight="1" x14ac:dyDescent="0.25">
      <c r="A139" s="71"/>
      <c r="B139" s="71"/>
      <c r="C139" s="72"/>
      <c r="G139" s="72"/>
      <c r="H139" s="72"/>
      <c r="I139" s="72"/>
      <c r="J139" s="72"/>
      <c r="K139" s="72"/>
      <c r="L139" s="72"/>
      <c r="M139" s="72"/>
      <c r="N139" s="72"/>
      <c r="O139" s="72"/>
      <c r="P139" s="72"/>
      <c r="W139" s="71"/>
    </row>
    <row r="140" spans="1:23" ht="20.25" customHeight="1" x14ac:dyDescent="0.25">
      <c r="A140" s="71"/>
      <c r="B140" s="71"/>
      <c r="C140" s="72"/>
      <c r="G140" s="72"/>
      <c r="H140" s="72"/>
      <c r="I140" s="72"/>
      <c r="J140" s="72"/>
      <c r="K140" s="72"/>
      <c r="L140" s="72"/>
      <c r="M140" s="72"/>
      <c r="N140" s="72"/>
      <c r="O140" s="72"/>
      <c r="P140" s="72"/>
      <c r="W140" s="71"/>
    </row>
    <row r="141" spans="1:23" ht="20.25" customHeight="1" x14ac:dyDescent="0.25">
      <c r="A141" s="71"/>
      <c r="B141" s="71"/>
      <c r="C141" s="72"/>
      <c r="G141" s="72"/>
      <c r="H141" s="72"/>
      <c r="I141" s="72"/>
      <c r="J141" s="72"/>
      <c r="K141" s="72"/>
      <c r="L141" s="72"/>
      <c r="M141" s="72"/>
      <c r="N141" s="72"/>
      <c r="O141" s="72"/>
      <c r="P141" s="72"/>
      <c r="W141" s="71"/>
    </row>
    <row r="142" spans="1:23" ht="20.25" customHeight="1" x14ac:dyDescent="0.25">
      <c r="A142" s="71"/>
      <c r="B142" s="71"/>
      <c r="C142" s="72"/>
      <c r="G142" s="72"/>
      <c r="H142" s="72"/>
      <c r="I142" s="72"/>
      <c r="J142" s="72"/>
      <c r="K142" s="72"/>
      <c r="L142" s="72"/>
      <c r="M142" s="72"/>
      <c r="N142" s="72"/>
      <c r="O142" s="72"/>
      <c r="P142" s="72"/>
      <c r="W142" s="71"/>
    </row>
    <row r="143" spans="1:23" ht="20.25" customHeight="1" x14ac:dyDescent="0.25">
      <c r="A143" s="71"/>
      <c r="B143" s="71"/>
      <c r="C143" s="72"/>
      <c r="G143" s="72"/>
      <c r="H143" s="72"/>
      <c r="I143" s="72"/>
      <c r="J143" s="72"/>
      <c r="K143" s="72"/>
      <c r="L143" s="72"/>
      <c r="M143" s="72"/>
      <c r="N143" s="72"/>
      <c r="O143" s="72"/>
      <c r="P143" s="72"/>
      <c r="W143" s="71"/>
    </row>
    <row r="144" spans="1:23" ht="20.25" customHeight="1" x14ac:dyDescent="0.25">
      <c r="A144" s="71"/>
      <c r="B144" s="71"/>
      <c r="C144" s="72"/>
      <c r="G144" s="72"/>
      <c r="H144" s="72"/>
      <c r="I144" s="72"/>
      <c r="J144" s="72"/>
      <c r="K144" s="72"/>
      <c r="L144" s="72"/>
      <c r="M144" s="72"/>
      <c r="N144" s="72"/>
      <c r="O144" s="72"/>
      <c r="P144" s="72"/>
      <c r="W144" s="71"/>
    </row>
    <row r="145" spans="1:23" ht="20.25" customHeight="1" x14ac:dyDescent="0.25">
      <c r="A145" s="71"/>
      <c r="B145" s="71"/>
      <c r="C145" s="72"/>
      <c r="G145" s="72"/>
      <c r="H145" s="72"/>
      <c r="I145" s="72"/>
      <c r="J145" s="72"/>
      <c r="K145" s="72"/>
      <c r="L145" s="72"/>
      <c r="M145" s="72"/>
      <c r="N145" s="72"/>
      <c r="O145" s="72"/>
      <c r="P145" s="72"/>
      <c r="W145" s="71"/>
    </row>
    <row r="146" spans="1:23" ht="20.25" customHeight="1" x14ac:dyDescent="0.25">
      <c r="A146" s="71"/>
      <c r="B146" s="71"/>
      <c r="C146" s="72"/>
      <c r="G146" s="72"/>
      <c r="H146" s="72"/>
      <c r="I146" s="72"/>
      <c r="J146" s="72"/>
      <c r="K146" s="72"/>
      <c r="L146" s="72"/>
      <c r="M146" s="72"/>
      <c r="N146" s="72"/>
      <c r="O146" s="72"/>
      <c r="P146" s="72"/>
      <c r="W146" s="71"/>
    </row>
    <row r="147" spans="1:23" ht="20.25" customHeight="1" x14ac:dyDescent="0.25">
      <c r="A147" s="71"/>
      <c r="B147" s="71"/>
      <c r="C147" s="72"/>
      <c r="G147" s="72"/>
      <c r="H147" s="72"/>
      <c r="I147" s="72"/>
      <c r="J147" s="72"/>
      <c r="K147" s="72"/>
      <c r="L147" s="72"/>
      <c r="M147" s="72"/>
      <c r="N147" s="72"/>
      <c r="O147" s="72"/>
      <c r="P147" s="72"/>
      <c r="W147" s="71"/>
    </row>
    <row r="148" spans="1:23" ht="20.25" customHeight="1" x14ac:dyDescent="0.25">
      <c r="A148" s="71"/>
      <c r="B148" s="71"/>
      <c r="C148" s="72"/>
      <c r="G148" s="72"/>
      <c r="H148" s="72"/>
      <c r="I148" s="72"/>
      <c r="J148" s="72"/>
      <c r="K148" s="72"/>
      <c r="L148" s="72"/>
      <c r="M148" s="72"/>
      <c r="N148" s="72"/>
      <c r="O148" s="72"/>
      <c r="P148" s="72"/>
      <c r="W148" s="71"/>
    </row>
    <row r="149" spans="1:23" ht="20.25" customHeight="1" x14ac:dyDescent="0.25">
      <c r="A149" s="71"/>
      <c r="B149" s="71"/>
      <c r="C149" s="72"/>
      <c r="G149" s="72"/>
      <c r="H149" s="72"/>
      <c r="I149" s="72"/>
      <c r="J149" s="72"/>
      <c r="K149" s="72"/>
      <c r="L149" s="72"/>
      <c r="M149" s="72"/>
      <c r="N149" s="72"/>
      <c r="O149" s="72"/>
      <c r="P149" s="72"/>
      <c r="W149" s="71"/>
    </row>
    <row r="150" spans="1:23" ht="20.25" customHeight="1" x14ac:dyDescent="0.25">
      <c r="A150" s="71"/>
      <c r="B150" s="71"/>
      <c r="C150" s="72"/>
      <c r="G150" s="72"/>
      <c r="H150" s="72"/>
      <c r="I150" s="72"/>
      <c r="J150" s="72"/>
      <c r="K150" s="72"/>
      <c r="L150" s="72"/>
      <c r="M150" s="72"/>
      <c r="N150" s="72"/>
      <c r="O150" s="72"/>
      <c r="P150" s="72"/>
      <c r="W150" s="71"/>
    </row>
    <row r="151" spans="1:23" ht="20.25" customHeight="1" x14ac:dyDescent="0.25">
      <c r="A151" s="71"/>
      <c r="B151" s="71"/>
      <c r="C151" s="72"/>
      <c r="G151" s="72"/>
      <c r="H151" s="72"/>
      <c r="I151" s="72"/>
      <c r="J151" s="72"/>
      <c r="K151" s="72"/>
      <c r="L151" s="72"/>
      <c r="M151" s="72"/>
      <c r="N151" s="72"/>
      <c r="O151" s="72"/>
      <c r="P151" s="72"/>
      <c r="W151" s="71"/>
    </row>
    <row r="152" spans="1:23" ht="20.25" customHeight="1" x14ac:dyDescent="0.25">
      <c r="A152" s="71"/>
      <c r="B152" s="71"/>
      <c r="C152" s="72"/>
      <c r="G152" s="72"/>
      <c r="H152" s="72"/>
      <c r="I152" s="72"/>
      <c r="J152" s="72"/>
      <c r="K152" s="72"/>
      <c r="L152" s="72"/>
      <c r="M152" s="72"/>
      <c r="N152" s="72"/>
      <c r="O152" s="72"/>
      <c r="P152" s="72"/>
      <c r="W152" s="71"/>
    </row>
    <row r="153" spans="1:23" ht="20.25" customHeight="1" x14ac:dyDescent="0.25">
      <c r="A153" s="71"/>
      <c r="B153" s="71"/>
      <c r="C153" s="72"/>
      <c r="G153" s="72"/>
      <c r="H153" s="72"/>
      <c r="I153" s="72"/>
      <c r="J153" s="72"/>
      <c r="K153" s="72"/>
      <c r="L153" s="72"/>
      <c r="M153" s="72"/>
      <c r="N153" s="72"/>
      <c r="O153" s="72"/>
      <c r="P153" s="72"/>
      <c r="W153" s="71"/>
    </row>
    <row r="154" spans="1:23" ht="20.25" customHeight="1" x14ac:dyDescent="0.25">
      <c r="A154" s="71"/>
      <c r="B154" s="71"/>
      <c r="C154" s="72"/>
      <c r="G154" s="72"/>
      <c r="H154" s="72"/>
      <c r="I154" s="72"/>
      <c r="J154" s="72"/>
      <c r="K154" s="72"/>
      <c r="L154" s="72"/>
      <c r="M154" s="72"/>
      <c r="N154" s="72"/>
      <c r="O154" s="72"/>
      <c r="P154" s="72"/>
      <c r="W154" s="71"/>
    </row>
    <row r="155" spans="1:23" ht="20.25" customHeight="1" x14ac:dyDescent="0.25">
      <c r="A155" s="71"/>
      <c r="B155" s="71"/>
      <c r="C155" s="72"/>
      <c r="G155" s="72"/>
      <c r="H155" s="72"/>
      <c r="I155" s="72"/>
      <c r="J155" s="72"/>
      <c r="K155" s="72"/>
      <c r="L155" s="72"/>
      <c r="M155" s="72"/>
      <c r="N155" s="72"/>
      <c r="O155" s="72"/>
      <c r="P155" s="72"/>
      <c r="W155" s="71"/>
    </row>
    <row r="156" spans="1:23" ht="20.25" customHeight="1" x14ac:dyDescent="0.25">
      <c r="A156" s="71"/>
      <c r="B156" s="71"/>
      <c r="C156" s="72"/>
      <c r="G156" s="72"/>
      <c r="H156" s="72"/>
      <c r="I156" s="72"/>
      <c r="J156" s="72"/>
      <c r="K156" s="72"/>
      <c r="L156" s="72"/>
      <c r="M156" s="72"/>
      <c r="N156" s="72"/>
      <c r="O156" s="72"/>
      <c r="P156" s="72"/>
      <c r="W156" s="71"/>
    </row>
    <row r="157" spans="1:23" ht="20.25" customHeight="1" x14ac:dyDescent="0.25">
      <c r="A157" s="71"/>
      <c r="B157" s="71"/>
      <c r="C157" s="72"/>
      <c r="G157" s="72"/>
      <c r="H157" s="72"/>
      <c r="I157" s="72"/>
      <c r="J157" s="72"/>
      <c r="K157" s="72"/>
      <c r="L157" s="72"/>
      <c r="M157" s="72"/>
      <c r="N157" s="72"/>
      <c r="O157" s="72"/>
      <c r="P157" s="72"/>
      <c r="W157" s="71"/>
    </row>
    <row r="158" spans="1:23" ht="20.25" customHeight="1" x14ac:dyDescent="0.25">
      <c r="A158" s="71"/>
      <c r="B158" s="71"/>
      <c r="C158" s="72"/>
      <c r="G158" s="72"/>
      <c r="H158" s="72"/>
      <c r="I158" s="72"/>
      <c r="J158" s="72"/>
      <c r="K158" s="72"/>
      <c r="L158" s="72"/>
      <c r="M158" s="72"/>
      <c r="N158" s="72"/>
      <c r="O158" s="72"/>
      <c r="P158" s="72"/>
      <c r="W158" s="71"/>
    </row>
    <row r="159" spans="1:23" ht="20.25" customHeight="1" x14ac:dyDescent="0.25">
      <c r="A159" s="71"/>
      <c r="B159" s="71"/>
      <c r="C159" s="72"/>
      <c r="G159" s="72"/>
      <c r="H159" s="72"/>
      <c r="I159" s="72"/>
      <c r="J159" s="72"/>
      <c r="K159" s="72"/>
      <c r="L159" s="72"/>
      <c r="M159" s="72"/>
      <c r="N159" s="72"/>
      <c r="O159" s="72"/>
      <c r="P159" s="72"/>
      <c r="W159" s="71"/>
    </row>
    <row r="160" spans="1:23" ht="20.25" customHeight="1" x14ac:dyDescent="0.25">
      <c r="A160" s="71"/>
      <c r="B160" s="71"/>
      <c r="C160" s="72"/>
      <c r="G160" s="72"/>
      <c r="H160" s="72"/>
      <c r="I160" s="72"/>
      <c r="J160" s="72"/>
      <c r="K160" s="72"/>
      <c r="L160" s="72"/>
      <c r="M160" s="72"/>
      <c r="N160" s="72"/>
      <c r="O160" s="72"/>
      <c r="P160" s="72"/>
      <c r="W160" s="71"/>
    </row>
    <row r="161" spans="1:23" ht="20.25" customHeight="1" x14ac:dyDescent="0.25">
      <c r="A161" s="71"/>
      <c r="B161" s="71"/>
      <c r="C161" s="72"/>
      <c r="G161" s="72"/>
      <c r="H161" s="72"/>
      <c r="I161" s="72"/>
      <c r="J161" s="72"/>
      <c r="K161" s="72"/>
      <c r="L161" s="72"/>
      <c r="M161" s="72"/>
      <c r="N161" s="72"/>
      <c r="O161" s="72"/>
      <c r="P161" s="72"/>
      <c r="W161" s="71"/>
    </row>
    <row r="162" spans="1:23" ht="20.25" customHeight="1" x14ac:dyDescent="0.25">
      <c r="A162" s="71"/>
      <c r="B162" s="71"/>
      <c r="C162" s="72"/>
      <c r="G162" s="72"/>
      <c r="H162" s="72"/>
      <c r="I162" s="72"/>
      <c r="J162" s="72"/>
      <c r="K162" s="72"/>
      <c r="L162" s="72"/>
      <c r="M162" s="72"/>
      <c r="N162" s="72"/>
      <c r="O162" s="72"/>
      <c r="P162" s="72"/>
      <c r="W162" s="71"/>
    </row>
    <row r="163" spans="1:23" ht="20.25" customHeight="1" x14ac:dyDescent="0.25">
      <c r="A163" s="71"/>
      <c r="B163" s="71"/>
      <c r="C163" s="72"/>
      <c r="G163" s="72"/>
      <c r="H163" s="72"/>
      <c r="I163" s="72"/>
      <c r="J163" s="72"/>
      <c r="K163" s="72"/>
      <c r="L163" s="72"/>
      <c r="M163" s="72"/>
      <c r="N163" s="72"/>
      <c r="O163" s="72"/>
      <c r="P163" s="72"/>
      <c r="W163" s="71"/>
    </row>
    <row r="164" spans="1:23" ht="20.25" customHeight="1" x14ac:dyDescent="0.25">
      <c r="A164" s="71"/>
      <c r="B164" s="71"/>
      <c r="C164" s="72"/>
      <c r="G164" s="72"/>
      <c r="H164" s="72"/>
      <c r="I164" s="72"/>
      <c r="J164" s="72"/>
      <c r="K164" s="72"/>
      <c r="L164" s="72"/>
      <c r="M164" s="72"/>
      <c r="N164" s="72"/>
      <c r="O164" s="72"/>
      <c r="P164" s="72"/>
      <c r="W164" s="71"/>
    </row>
    <row r="165" spans="1:23" ht="20.25" customHeight="1" x14ac:dyDescent="0.25">
      <c r="A165" s="71"/>
      <c r="B165" s="71"/>
      <c r="C165" s="72"/>
      <c r="G165" s="72"/>
      <c r="H165" s="72"/>
      <c r="I165" s="72"/>
      <c r="J165" s="72"/>
      <c r="K165" s="72"/>
      <c r="L165" s="72"/>
      <c r="M165" s="72"/>
      <c r="N165" s="72"/>
      <c r="O165" s="72"/>
      <c r="P165" s="72"/>
      <c r="W165" s="71"/>
    </row>
    <row r="166" spans="1:23" ht="20.25" customHeight="1" x14ac:dyDescent="0.25">
      <c r="A166" s="71"/>
      <c r="B166" s="71"/>
      <c r="C166" s="72"/>
      <c r="G166" s="72"/>
      <c r="H166" s="72"/>
      <c r="I166" s="72"/>
      <c r="J166" s="72"/>
      <c r="K166" s="72"/>
      <c r="L166" s="72"/>
      <c r="M166" s="72"/>
      <c r="N166" s="72"/>
      <c r="O166" s="72"/>
      <c r="P166" s="72"/>
      <c r="W166" s="71"/>
    </row>
    <row r="167" spans="1:23" ht="20.25" customHeight="1" x14ac:dyDescent="0.25">
      <c r="A167" s="71"/>
      <c r="B167" s="71"/>
      <c r="C167" s="72"/>
      <c r="G167" s="72"/>
      <c r="H167" s="72"/>
      <c r="I167" s="72"/>
      <c r="J167" s="72"/>
      <c r="K167" s="72"/>
      <c r="L167" s="72"/>
      <c r="M167" s="72"/>
      <c r="N167" s="72"/>
      <c r="O167" s="72"/>
      <c r="P167" s="72"/>
      <c r="W167" s="71"/>
    </row>
    <row r="168" spans="1:23" ht="20.25" customHeight="1" x14ac:dyDescent="0.25">
      <c r="A168" s="71"/>
      <c r="B168" s="71"/>
      <c r="C168" s="72"/>
      <c r="G168" s="72"/>
      <c r="H168" s="72"/>
      <c r="I168" s="72"/>
      <c r="J168" s="72"/>
      <c r="K168" s="72"/>
      <c r="L168" s="72"/>
      <c r="M168" s="72"/>
      <c r="N168" s="72"/>
      <c r="O168" s="72"/>
      <c r="P168" s="72"/>
      <c r="W168" s="71"/>
    </row>
    <row r="169" spans="1:23" ht="20.25" customHeight="1" x14ac:dyDescent="0.25">
      <c r="A169" s="71"/>
      <c r="B169" s="71"/>
      <c r="C169" s="72"/>
      <c r="G169" s="72"/>
      <c r="H169" s="72"/>
      <c r="I169" s="72"/>
      <c r="J169" s="72"/>
      <c r="K169" s="72"/>
      <c r="L169" s="72"/>
      <c r="M169" s="72"/>
      <c r="N169" s="72"/>
      <c r="O169" s="72"/>
      <c r="P169" s="72"/>
      <c r="W169" s="71"/>
    </row>
    <row r="170" spans="1:23" ht="20.25" customHeight="1" x14ac:dyDescent="0.25">
      <c r="A170" s="71"/>
      <c r="B170" s="71"/>
      <c r="C170" s="72"/>
      <c r="G170" s="72"/>
      <c r="H170" s="72"/>
      <c r="I170" s="72"/>
      <c r="J170" s="72"/>
      <c r="K170" s="72"/>
      <c r="L170" s="72"/>
      <c r="M170" s="72"/>
      <c r="N170" s="72"/>
      <c r="O170" s="72"/>
      <c r="P170" s="72"/>
      <c r="W170" s="71"/>
    </row>
    <row r="171" spans="1:23" ht="20.25" customHeight="1" x14ac:dyDescent="0.25">
      <c r="A171" s="71"/>
      <c r="B171" s="71"/>
      <c r="C171" s="72"/>
      <c r="G171" s="72"/>
      <c r="H171" s="72"/>
      <c r="I171" s="72"/>
      <c r="J171" s="72"/>
      <c r="K171" s="72"/>
      <c r="L171" s="72"/>
      <c r="M171" s="72"/>
      <c r="N171" s="72"/>
      <c r="O171" s="72"/>
      <c r="P171" s="72"/>
      <c r="W171" s="71"/>
    </row>
    <row r="172" spans="1:23" ht="20.25" customHeight="1" x14ac:dyDescent="0.25">
      <c r="A172" s="71"/>
      <c r="B172" s="71"/>
      <c r="C172" s="72"/>
      <c r="G172" s="72"/>
      <c r="H172" s="72"/>
      <c r="I172" s="72"/>
      <c r="J172" s="72"/>
      <c r="K172" s="72"/>
      <c r="L172" s="72"/>
      <c r="M172" s="72"/>
      <c r="N172" s="72"/>
      <c r="O172" s="72"/>
      <c r="P172" s="72"/>
      <c r="W172" s="71"/>
    </row>
    <row r="173" spans="1:23" ht="20.25" customHeight="1" x14ac:dyDescent="0.25">
      <c r="A173" s="71"/>
      <c r="B173" s="71"/>
      <c r="C173" s="72"/>
      <c r="G173" s="72"/>
      <c r="H173" s="72"/>
      <c r="I173" s="72"/>
      <c r="J173" s="72"/>
      <c r="K173" s="72"/>
      <c r="L173" s="72"/>
      <c r="M173" s="72"/>
      <c r="N173" s="72"/>
      <c r="O173" s="72"/>
      <c r="P173" s="72"/>
      <c r="W173" s="71"/>
    </row>
    <row r="174" spans="1:23" ht="20.25" customHeight="1" x14ac:dyDescent="0.25">
      <c r="A174" s="71"/>
      <c r="B174" s="71"/>
      <c r="C174" s="72"/>
      <c r="G174" s="72"/>
      <c r="H174" s="72"/>
      <c r="I174" s="72"/>
      <c r="J174" s="72"/>
      <c r="K174" s="72"/>
      <c r="L174" s="72"/>
      <c r="M174" s="72"/>
      <c r="N174" s="72"/>
      <c r="O174" s="72"/>
      <c r="P174" s="72"/>
      <c r="W174" s="71"/>
    </row>
    <row r="175" spans="1:23" ht="20.25" customHeight="1" x14ac:dyDescent="0.25">
      <c r="A175" s="71"/>
      <c r="B175" s="71"/>
      <c r="C175" s="72"/>
      <c r="G175" s="72"/>
      <c r="H175" s="72"/>
      <c r="I175" s="72"/>
      <c r="J175" s="72"/>
      <c r="K175" s="72"/>
      <c r="L175" s="72"/>
      <c r="M175" s="72"/>
      <c r="N175" s="72"/>
      <c r="O175" s="72"/>
      <c r="P175" s="72"/>
      <c r="W175" s="71"/>
    </row>
    <row r="176" spans="1:23" ht="20.25" customHeight="1" x14ac:dyDescent="0.25">
      <c r="A176" s="71"/>
      <c r="B176" s="71"/>
      <c r="C176" s="72"/>
      <c r="G176" s="72"/>
      <c r="H176" s="72"/>
      <c r="I176" s="72"/>
      <c r="J176" s="72"/>
      <c r="K176" s="72"/>
      <c r="L176" s="72"/>
      <c r="M176" s="72"/>
      <c r="N176" s="72"/>
      <c r="O176" s="72"/>
      <c r="P176" s="72"/>
      <c r="W176" s="71"/>
    </row>
    <row r="177" spans="1:23" ht="20.25" customHeight="1" x14ac:dyDescent="0.25">
      <c r="A177" s="71"/>
      <c r="B177" s="71"/>
      <c r="C177" s="72"/>
      <c r="G177" s="72"/>
      <c r="H177" s="72"/>
      <c r="I177" s="72"/>
      <c r="J177" s="72"/>
      <c r="K177" s="72"/>
      <c r="L177" s="72"/>
      <c r="M177" s="72"/>
      <c r="N177" s="72"/>
      <c r="O177" s="72"/>
      <c r="P177" s="72"/>
      <c r="W177" s="71"/>
    </row>
    <row r="178" spans="1:23" ht="20.25" customHeight="1" x14ac:dyDescent="0.25">
      <c r="A178" s="71"/>
      <c r="B178" s="71"/>
      <c r="C178" s="72"/>
      <c r="G178" s="72"/>
      <c r="H178" s="72"/>
      <c r="I178" s="72"/>
      <c r="J178" s="72"/>
      <c r="K178" s="72"/>
      <c r="L178" s="72"/>
      <c r="M178" s="72"/>
      <c r="N178" s="72"/>
      <c r="O178" s="72"/>
      <c r="P178" s="72"/>
      <c r="W178" s="71"/>
    </row>
    <row r="179" spans="1:23" ht="20.25" customHeight="1" x14ac:dyDescent="0.25">
      <c r="A179" s="71"/>
      <c r="B179" s="71"/>
      <c r="C179" s="72"/>
      <c r="G179" s="72"/>
      <c r="H179" s="72"/>
      <c r="I179" s="72"/>
      <c r="J179" s="72"/>
      <c r="K179" s="72"/>
      <c r="L179" s="72"/>
      <c r="M179" s="72"/>
      <c r="N179" s="72"/>
      <c r="O179" s="72"/>
      <c r="P179" s="72"/>
      <c r="W179" s="71"/>
    </row>
    <row r="180" spans="1:23" ht="20.25" customHeight="1" x14ac:dyDescent="0.25">
      <c r="A180" s="71"/>
      <c r="B180" s="71"/>
      <c r="C180" s="72"/>
      <c r="G180" s="72"/>
      <c r="H180" s="72"/>
      <c r="I180" s="72"/>
      <c r="J180" s="72"/>
      <c r="K180" s="72"/>
      <c r="L180" s="72"/>
      <c r="M180" s="72"/>
      <c r="N180" s="72"/>
      <c r="O180" s="72"/>
      <c r="P180" s="72"/>
      <c r="W180" s="71"/>
    </row>
    <row r="181" spans="1:23" ht="20.25" customHeight="1" x14ac:dyDescent="0.25">
      <c r="A181" s="71"/>
      <c r="B181" s="71"/>
      <c r="C181" s="72"/>
      <c r="G181" s="72"/>
      <c r="H181" s="72"/>
      <c r="I181" s="72"/>
      <c r="J181" s="72"/>
      <c r="K181" s="72"/>
      <c r="L181" s="72"/>
      <c r="M181" s="72"/>
      <c r="N181" s="72"/>
      <c r="O181" s="72"/>
      <c r="P181" s="72"/>
      <c r="W181" s="71"/>
    </row>
    <row r="182" spans="1:23" ht="20.25" customHeight="1" x14ac:dyDescent="0.25">
      <c r="A182" s="71"/>
      <c r="B182" s="71"/>
      <c r="C182" s="72"/>
      <c r="G182" s="72"/>
      <c r="H182" s="72"/>
      <c r="I182" s="72"/>
      <c r="J182" s="72"/>
      <c r="K182" s="72"/>
      <c r="L182" s="72"/>
      <c r="M182" s="72"/>
      <c r="N182" s="72"/>
      <c r="O182" s="72"/>
      <c r="P182" s="72"/>
      <c r="W182" s="71"/>
    </row>
    <row r="183" spans="1:23" ht="20.25" customHeight="1" x14ac:dyDescent="0.25">
      <c r="A183" s="71"/>
      <c r="B183" s="71"/>
      <c r="C183" s="72"/>
      <c r="G183" s="72"/>
      <c r="H183" s="72"/>
      <c r="I183" s="72"/>
      <c r="J183" s="72"/>
      <c r="K183" s="72"/>
      <c r="L183" s="72"/>
      <c r="M183" s="72"/>
      <c r="N183" s="72"/>
      <c r="O183" s="72"/>
      <c r="P183" s="72"/>
      <c r="W183" s="71"/>
    </row>
    <row r="184" spans="1:23" ht="20.25" customHeight="1" x14ac:dyDescent="0.25">
      <c r="A184" s="71"/>
      <c r="B184" s="71"/>
      <c r="C184" s="72"/>
      <c r="G184" s="72"/>
      <c r="H184" s="72"/>
      <c r="I184" s="72"/>
      <c r="J184" s="72"/>
      <c r="K184" s="72"/>
      <c r="L184" s="72"/>
      <c r="M184" s="72"/>
      <c r="N184" s="72"/>
      <c r="O184" s="72"/>
      <c r="P184" s="72"/>
      <c r="W184" s="71"/>
    </row>
    <row r="185" spans="1:23" ht="20.25" customHeight="1" x14ac:dyDescent="0.25">
      <c r="A185" s="71"/>
      <c r="B185" s="71"/>
      <c r="C185" s="72"/>
      <c r="G185" s="72"/>
      <c r="H185" s="72"/>
      <c r="I185" s="72"/>
      <c r="J185" s="72"/>
      <c r="K185" s="72"/>
      <c r="L185" s="72"/>
      <c r="M185" s="72"/>
      <c r="N185" s="72"/>
      <c r="O185" s="72"/>
      <c r="P185" s="72"/>
      <c r="W185" s="71"/>
    </row>
    <row r="186" spans="1:23" ht="20.25" customHeight="1" x14ac:dyDescent="0.25">
      <c r="A186" s="71"/>
      <c r="B186" s="71"/>
      <c r="C186" s="72"/>
      <c r="G186" s="72"/>
      <c r="H186" s="72"/>
      <c r="I186" s="72"/>
      <c r="J186" s="72"/>
      <c r="K186" s="72"/>
      <c r="L186" s="72"/>
      <c r="M186" s="72"/>
      <c r="N186" s="72"/>
      <c r="O186" s="72"/>
      <c r="P186" s="72"/>
      <c r="W186" s="71"/>
    </row>
    <row r="187" spans="1:23" ht="20.25" customHeight="1" x14ac:dyDescent="0.25">
      <c r="A187" s="71"/>
      <c r="B187" s="71"/>
      <c r="C187" s="72"/>
      <c r="G187" s="72"/>
      <c r="H187" s="72"/>
      <c r="I187" s="72"/>
      <c r="J187" s="72"/>
      <c r="K187" s="72"/>
      <c r="L187" s="72"/>
      <c r="M187" s="72"/>
      <c r="N187" s="72"/>
      <c r="O187" s="72"/>
      <c r="P187" s="72"/>
      <c r="W187" s="71"/>
    </row>
    <row r="188" spans="1:23" ht="20.25" customHeight="1" x14ac:dyDescent="0.25">
      <c r="A188" s="71"/>
      <c r="B188" s="71"/>
      <c r="C188" s="72"/>
      <c r="G188" s="72"/>
      <c r="H188" s="72"/>
      <c r="I188" s="72"/>
      <c r="J188" s="72"/>
      <c r="K188" s="72"/>
      <c r="L188" s="72"/>
      <c r="M188" s="72"/>
      <c r="N188" s="72"/>
      <c r="O188" s="72"/>
      <c r="P188" s="72"/>
      <c r="W188" s="71"/>
    </row>
    <row r="189" spans="1:23" ht="20.25" customHeight="1" x14ac:dyDescent="0.25">
      <c r="A189" s="71"/>
      <c r="B189" s="71"/>
      <c r="C189" s="72"/>
      <c r="G189" s="72"/>
      <c r="H189" s="72"/>
      <c r="I189" s="72"/>
      <c r="J189" s="72"/>
      <c r="K189" s="72"/>
      <c r="L189" s="72"/>
      <c r="M189" s="72"/>
      <c r="N189" s="72"/>
      <c r="O189" s="72"/>
      <c r="P189" s="72"/>
      <c r="W189" s="71"/>
    </row>
    <row r="190" spans="1:23" ht="20.25" customHeight="1" x14ac:dyDescent="0.25">
      <c r="A190" s="71"/>
      <c r="B190" s="71"/>
      <c r="C190" s="72"/>
      <c r="G190" s="72"/>
      <c r="H190" s="72"/>
      <c r="I190" s="72"/>
      <c r="J190" s="72"/>
      <c r="K190" s="72"/>
      <c r="L190" s="72"/>
      <c r="M190" s="72"/>
      <c r="N190" s="72"/>
      <c r="O190" s="72"/>
      <c r="P190" s="72"/>
      <c r="W190" s="71"/>
    </row>
    <row r="191" spans="1:23" ht="20.25" customHeight="1" x14ac:dyDescent="0.25">
      <c r="A191" s="71"/>
      <c r="B191" s="71"/>
      <c r="C191" s="72"/>
      <c r="G191" s="72"/>
      <c r="H191" s="72"/>
      <c r="I191" s="72"/>
      <c r="J191" s="72"/>
      <c r="K191" s="72"/>
      <c r="L191" s="72"/>
      <c r="M191" s="72"/>
      <c r="N191" s="72"/>
      <c r="O191" s="72"/>
      <c r="P191" s="72"/>
      <c r="W191" s="71"/>
    </row>
    <row r="192" spans="1:23" ht="20.25" customHeight="1" x14ac:dyDescent="0.25">
      <c r="A192" s="71"/>
      <c r="B192" s="71"/>
      <c r="C192" s="72"/>
      <c r="G192" s="72"/>
      <c r="H192" s="72"/>
      <c r="I192" s="72"/>
      <c r="J192" s="72"/>
      <c r="K192" s="72"/>
      <c r="L192" s="72"/>
      <c r="M192" s="72"/>
      <c r="N192" s="72"/>
      <c r="O192" s="72"/>
      <c r="P192" s="72"/>
      <c r="W192" s="71"/>
    </row>
    <row r="193" spans="1:23" ht="20.25" customHeight="1" x14ac:dyDescent="0.25">
      <c r="A193" s="71"/>
      <c r="B193" s="71"/>
      <c r="C193" s="72"/>
      <c r="G193" s="72"/>
      <c r="H193" s="72"/>
      <c r="I193" s="72"/>
      <c r="J193" s="72"/>
      <c r="K193" s="72"/>
      <c r="L193" s="72"/>
      <c r="M193" s="72"/>
      <c r="N193" s="72"/>
      <c r="O193" s="72"/>
      <c r="P193" s="72"/>
      <c r="W193" s="71"/>
    </row>
    <row r="194" spans="1:23" ht="20.25" customHeight="1" x14ac:dyDescent="0.25">
      <c r="A194" s="71"/>
      <c r="B194" s="71"/>
      <c r="C194" s="72"/>
      <c r="G194" s="72"/>
      <c r="H194" s="72"/>
      <c r="I194" s="72"/>
      <c r="J194" s="72"/>
      <c r="K194" s="72"/>
      <c r="L194" s="72"/>
      <c r="M194" s="72"/>
      <c r="N194" s="72"/>
      <c r="O194" s="72"/>
      <c r="P194" s="72"/>
      <c r="W194" s="71"/>
    </row>
    <row r="195" spans="1:23" ht="20.25" customHeight="1" x14ac:dyDescent="0.25">
      <c r="A195" s="71"/>
      <c r="B195" s="71"/>
      <c r="C195" s="72"/>
      <c r="G195" s="72"/>
      <c r="H195" s="72"/>
      <c r="I195" s="72"/>
      <c r="J195" s="72"/>
      <c r="K195" s="72"/>
      <c r="L195" s="72"/>
      <c r="M195" s="72"/>
      <c r="N195" s="72"/>
      <c r="O195" s="72"/>
      <c r="P195" s="72"/>
      <c r="W195" s="71"/>
    </row>
    <row r="196" spans="1:23" ht="20.25" customHeight="1" x14ac:dyDescent="0.25">
      <c r="A196" s="71"/>
      <c r="B196" s="71"/>
      <c r="C196" s="72"/>
      <c r="G196" s="72"/>
      <c r="H196" s="72"/>
      <c r="I196" s="72"/>
      <c r="J196" s="72"/>
      <c r="K196" s="72"/>
      <c r="L196" s="72"/>
      <c r="M196" s="72"/>
      <c r="N196" s="72"/>
      <c r="O196" s="72"/>
      <c r="P196" s="72"/>
      <c r="W196" s="71"/>
    </row>
    <row r="197" spans="1:23" ht="20.25" customHeight="1" x14ac:dyDescent="0.25">
      <c r="A197" s="71"/>
      <c r="B197" s="71"/>
      <c r="C197" s="72"/>
      <c r="G197" s="72"/>
      <c r="H197" s="72"/>
      <c r="I197" s="72"/>
      <c r="J197" s="72"/>
      <c r="K197" s="72"/>
      <c r="L197" s="72"/>
      <c r="M197" s="72"/>
      <c r="N197" s="72"/>
      <c r="O197" s="72"/>
      <c r="P197" s="72"/>
      <c r="W197" s="71"/>
    </row>
    <row r="198" spans="1:23" ht="20.25" customHeight="1" x14ac:dyDescent="0.25">
      <c r="A198" s="71"/>
      <c r="B198" s="71"/>
      <c r="C198" s="72"/>
      <c r="G198" s="72"/>
      <c r="H198" s="72"/>
      <c r="I198" s="72"/>
      <c r="J198" s="72"/>
      <c r="K198" s="72"/>
      <c r="L198" s="72"/>
      <c r="M198" s="72"/>
      <c r="N198" s="72"/>
      <c r="O198" s="72"/>
      <c r="P198" s="72"/>
      <c r="W198" s="71"/>
    </row>
    <row r="199" spans="1:23" ht="20.25" customHeight="1" x14ac:dyDescent="0.25">
      <c r="A199" s="71"/>
      <c r="B199" s="71"/>
      <c r="C199" s="72"/>
      <c r="G199" s="72"/>
      <c r="H199" s="72"/>
      <c r="I199" s="72"/>
      <c r="J199" s="72"/>
      <c r="K199" s="72"/>
      <c r="L199" s="72"/>
      <c r="M199" s="72"/>
      <c r="N199" s="72"/>
      <c r="O199" s="72"/>
      <c r="P199" s="72"/>
      <c r="W199" s="71"/>
    </row>
    <row r="200" spans="1:23" ht="20.25" customHeight="1" x14ac:dyDescent="0.25">
      <c r="A200" s="71"/>
      <c r="B200" s="71"/>
      <c r="C200" s="72"/>
      <c r="G200" s="72"/>
      <c r="H200" s="72"/>
      <c r="I200" s="72"/>
      <c r="J200" s="72"/>
      <c r="K200" s="72"/>
      <c r="L200" s="72"/>
      <c r="M200" s="72"/>
      <c r="N200" s="72"/>
      <c r="O200" s="72"/>
      <c r="P200" s="72"/>
      <c r="W200" s="71"/>
    </row>
    <row r="201" spans="1:23" ht="20.25" customHeight="1" x14ac:dyDescent="0.25">
      <c r="A201" s="71"/>
      <c r="B201" s="71"/>
      <c r="C201" s="72"/>
      <c r="G201" s="72"/>
      <c r="H201" s="72"/>
      <c r="I201" s="72"/>
      <c r="J201" s="72"/>
      <c r="K201" s="72"/>
      <c r="L201" s="72"/>
      <c r="M201" s="72"/>
      <c r="N201" s="72"/>
      <c r="O201" s="72"/>
      <c r="P201" s="72"/>
      <c r="W201" s="71"/>
    </row>
    <row r="202" spans="1:23" ht="20.25" customHeight="1" x14ac:dyDescent="0.25">
      <c r="A202" s="71"/>
      <c r="B202" s="71"/>
      <c r="C202" s="72"/>
      <c r="G202" s="72"/>
      <c r="H202" s="72"/>
      <c r="I202" s="72"/>
      <c r="J202" s="72"/>
      <c r="K202" s="72"/>
      <c r="L202" s="72"/>
      <c r="M202" s="72"/>
      <c r="N202" s="72"/>
      <c r="O202" s="72"/>
      <c r="P202" s="72"/>
      <c r="W202" s="71"/>
    </row>
    <row r="203" spans="1:23" ht="20.25" customHeight="1" x14ac:dyDescent="0.25">
      <c r="A203" s="71"/>
      <c r="B203" s="71"/>
      <c r="C203" s="72"/>
      <c r="G203" s="72"/>
      <c r="H203" s="72"/>
      <c r="I203" s="72"/>
      <c r="J203" s="72"/>
      <c r="K203" s="72"/>
      <c r="L203" s="72"/>
      <c r="M203" s="72"/>
      <c r="N203" s="72"/>
      <c r="O203" s="72"/>
      <c r="P203" s="72"/>
      <c r="W203" s="71"/>
    </row>
    <row r="204" spans="1:23" ht="20.25" customHeight="1" x14ac:dyDescent="0.25">
      <c r="A204" s="71"/>
      <c r="B204" s="71"/>
      <c r="C204" s="72"/>
      <c r="G204" s="72"/>
      <c r="H204" s="72"/>
      <c r="I204" s="72"/>
      <c r="J204" s="72"/>
      <c r="K204" s="72"/>
      <c r="L204" s="72"/>
      <c r="M204" s="72"/>
      <c r="N204" s="72"/>
      <c r="O204" s="72"/>
      <c r="P204" s="72"/>
      <c r="W204" s="71"/>
    </row>
    <row r="205" spans="1:23" ht="20.25" customHeight="1" x14ac:dyDescent="0.25">
      <c r="A205" s="71"/>
      <c r="B205" s="71"/>
      <c r="C205" s="72"/>
      <c r="G205" s="72"/>
      <c r="H205" s="72"/>
      <c r="I205" s="72"/>
      <c r="J205" s="72"/>
      <c r="K205" s="72"/>
      <c r="L205" s="72"/>
      <c r="M205" s="72"/>
      <c r="N205" s="72"/>
      <c r="O205" s="72"/>
      <c r="P205" s="72"/>
      <c r="W205" s="71"/>
    </row>
    <row r="206" spans="1:23" ht="20.25" customHeight="1" x14ac:dyDescent="0.25">
      <c r="A206" s="71"/>
      <c r="B206" s="71"/>
      <c r="C206" s="72"/>
      <c r="G206" s="72"/>
      <c r="H206" s="72"/>
      <c r="I206" s="72"/>
      <c r="J206" s="72"/>
      <c r="K206" s="72"/>
      <c r="L206" s="72"/>
      <c r="M206" s="72"/>
      <c r="N206" s="72"/>
      <c r="O206" s="72"/>
      <c r="P206" s="72"/>
      <c r="W206" s="71"/>
    </row>
    <row r="207" spans="1:23" ht="20.25" customHeight="1" x14ac:dyDescent="0.25">
      <c r="A207" s="71"/>
      <c r="B207" s="71"/>
      <c r="C207" s="72"/>
      <c r="G207" s="72"/>
      <c r="H207" s="72"/>
      <c r="I207" s="72"/>
      <c r="J207" s="72"/>
      <c r="K207" s="72"/>
      <c r="L207" s="72"/>
      <c r="M207" s="72"/>
      <c r="N207" s="72"/>
      <c r="O207" s="72"/>
      <c r="P207" s="72"/>
      <c r="W207" s="71"/>
    </row>
    <row r="208" spans="1:23" ht="20.25" customHeight="1" x14ac:dyDescent="0.25">
      <c r="A208" s="71"/>
      <c r="B208" s="71"/>
      <c r="C208" s="72"/>
      <c r="G208" s="72"/>
      <c r="H208" s="72"/>
      <c r="I208" s="72"/>
      <c r="J208" s="72"/>
      <c r="K208" s="72"/>
      <c r="L208" s="72"/>
      <c r="M208" s="72"/>
      <c r="N208" s="72"/>
      <c r="O208" s="72"/>
      <c r="P208" s="72"/>
      <c r="W208" s="71"/>
    </row>
    <row r="209" spans="1:23" ht="20.25" customHeight="1" x14ac:dyDescent="0.25">
      <c r="A209" s="71"/>
      <c r="B209" s="71"/>
      <c r="C209" s="72"/>
      <c r="G209" s="72"/>
      <c r="H209" s="72"/>
      <c r="I209" s="72"/>
      <c r="J209" s="72"/>
      <c r="K209" s="72"/>
      <c r="L209" s="72"/>
      <c r="M209" s="72"/>
      <c r="N209" s="72"/>
      <c r="O209" s="72"/>
      <c r="P209" s="72"/>
      <c r="W209" s="71"/>
    </row>
    <row r="210" spans="1:23" ht="20.25" customHeight="1" x14ac:dyDescent="0.25">
      <c r="A210" s="71"/>
      <c r="B210" s="71"/>
      <c r="C210" s="72"/>
      <c r="G210" s="72"/>
      <c r="H210" s="72"/>
      <c r="I210" s="72"/>
      <c r="J210" s="72"/>
      <c r="K210" s="72"/>
      <c r="L210" s="72"/>
      <c r="M210" s="72"/>
      <c r="N210" s="72"/>
      <c r="O210" s="72"/>
      <c r="P210" s="72"/>
      <c r="W210" s="71"/>
    </row>
    <row r="211" spans="1:23" ht="20.25" customHeight="1" x14ac:dyDescent="0.25">
      <c r="A211" s="71"/>
      <c r="B211" s="71"/>
      <c r="C211" s="72"/>
      <c r="G211" s="72"/>
      <c r="H211" s="72"/>
      <c r="I211" s="72"/>
      <c r="J211" s="72"/>
      <c r="K211" s="72"/>
      <c r="L211" s="72"/>
      <c r="M211" s="72"/>
      <c r="N211" s="72"/>
      <c r="O211" s="72"/>
      <c r="P211" s="72"/>
      <c r="W211" s="71"/>
    </row>
    <row r="212" spans="1:23" ht="20.25" customHeight="1" x14ac:dyDescent="0.25">
      <c r="A212" s="71"/>
      <c r="B212" s="71"/>
      <c r="C212" s="72"/>
      <c r="G212" s="72"/>
      <c r="H212" s="72"/>
      <c r="I212" s="72"/>
      <c r="J212" s="72"/>
      <c r="K212" s="72"/>
      <c r="L212" s="72"/>
      <c r="M212" s="72"/>
      <c r="N212" s="72"/>
      <c r="O212" s="72"/>
      <c r="P212" s="72"/>
      <c r="W212" s="71"/>
    </row>
    <row r="213" spans="1:23" ht="20.25" customHeight="1" x14ac:dyDescent="0.25">
      <c r="A213" s="71"/>
      <c r="B213" s="71"/>
      <c r="C213" s="72"/>
      <c r="G213" s="72"/>
      <c r="H213" s="72"/>
      <c r="I213" s="72"/>
      <c r="J213" s="72"/>
      <c r="K213" s="72"/>
      <c r="L213" s="72"/>
      <c r="M213" s="72"/>
      <c r="N213" s="72"/>
      <c r="O213" s="72"/>
      <c r="P213" s="72"/>
      <c r="W213" s="71"/>
    </row>
    <row r="214" spans="1:23" ht="20.25" customHeight="1" x14ac:dyDescent="0.25">
      <c r="A214" s="71"/>
      <c r="B214" s="71"/>
      <c r="C214" s="72"/>
      <c r="G214" s="72"/>
      <c r="H214" s="72"/>
      <c r="I214" s="72"/>
      <c r="J214" s="72"/>
      <c r="K214" s="72"/>
      <c r="L214" s="72"/>
      <c r="M214" s="72"/>
      <c r="N214" s="72"/>
      <c r="O214" s="72"/>
      <c r="P214" s="72"/>
      <c r="W214" s="71"/>
    </row>
    <row r="215" spans="1:23" ht="20.25" customHeight="1" x14ac:dyDescent="0.25">
      <c r="A215" s="71"/>
      <c r="B215" s="71"/>
      <c r="C215" s="72"/>
      <c r="G215" s="72"/>
      <c r="H215" s="72"/>
      <c r="I215" s="72"/>
      <c r="J215" s="72"/>
      <c r="K215" s="72"/>
      <c r="L215" s="72"/>
      <c r="M215" s="72"/>
      <c r="N215" s="72"/>
      <c r="O215" s="72"/>
      <c r="P215" s="72"/>
      <c r="W215" s="71"/>
    </row>
    <row r="216" spans="1:23" ht="20.25" customHeight="1" x14ac:dyDescent="0.25">
      <c r="A216" s="71"/>
      <c r="B216" s="71"/>
      <c r="C216" s="72"/>
      <c r="G216" s="72"/>
      <c r="H216" s="72"/>
      <c r="I216" s="72"/>
      <c r="J216" s="72"/>
      <c r="K216" s="72"/>
      <c r="L216" s="72"/>
      <c r="M216" s="72"/>
      <c r="N216" s="72"/>
      <c r="O216" s="72"/>
      <c r="P216" s="72"/>
      <c r="W216" s="71"/>
    </row>
    <row r="217" spans="1:23" ht="20.25" customHeight="1" x14ac:dyDescent="0.25">
      <c r="A217" s="71"/>
      <c r="B217" s="71"/>
      <c r="C217" s="72"/>
      <c r="G217" s="72"/>
      <c r="H217" s="72"/>
      <c r="I217" s="72"/>
      <c r="J217" s="72"/>
      <c r="K217" s="72"/>
      <c r="L217" s="72"/>
      <c r="M217" s="72"/>
      <c r="N217" s="72"/>
      <c r="O217" s="72"/>
      <c r="P217" s="72"/>
      <c r="W217" s="71"/>
    </row>
    <row r="218" spans="1:23" ht="20.25" customHeight="1" x14ac:dyDescent="0.25">
      <c r="A218" s="71"/>
      <c r="B218" s="71"/>
      <c r="C218" s="72"/>
      <c r="G218" s="72"/>
      <c r="H218" s="72"/>
      <c r="I218" s="72"/>
      <c r="J218" s="72"/>
      <c r="K218" s="72"/>
      <c r="L218" s="72"/>
      <c r="M218" s="72"/>
      <c r="N218" s="72"/>
      <c r="O218" s="72"/>
      <c r="P218" s="72"/>
      <c r="W218" s="71"/>
    </row>
    <row r="219" spans="1:23" ht="20.25" customHeight="1" x14ac:dyDescent="0.25">
      <c r="A219" s="71"/>
      <c r="B219" s="71"/>
      <c r="C219" s="72"/>
      <c r="G219" s="72"/>
      <c r="H219" s="72"/>
      <c r="I219" s="72"/>
      <c r="J219" s="72"/>
      <c r="K219" s="72"/>
      <c r="L219" s="72"/>
      <c r="M219" s="72"/>
      <c r="N219" s="72"/>
      <c r="O219" s="72"/>
      <c r="P219" s="72"/>
      <c r="W219" s="71"/>
    </row>
    <row r="220" spans="1:23" ht="20.25" customHeight="1" x14ac:dyDescent="0.25">
      <c r="A220" s="71"/>
      <c r="B220" s="71"/>
      <c r="C220" s="72"/>
      <c r="G220" s="72"/>
      <c r="H220" s="72"/>
      <c r="I220" s="72"/>
      <c r="J220" s="72"/>
      <c r="K220" s="72"/>
      <c r="L220" s="72"/>
      <c r="M220" s="72"/>
      <c r="N220" s="72"/>
      <c r="O220" s="72"/>
      <c r="P220" s="72"/>
      <c r="W220" s="71"/>
    </row>
    <row r="221" spans="1:23" ht="20.25" customHeight="1" x14ac:dyDescent="0.25">
      <c r="A221" s="71"/>
      <c r="B221" s="71"/>
      <c r="C221" s="72"/>
      <c r="G221" s="72"/>
      <c r="H221" s="72"/>
      <c r="I221" s="72"/>
      <c r="J221" s="72"/>
      <c r="K221" s="72"/>
      <c r="L221" s="72"/>
      <c r="M221" s="72"/>
      <c r="N221" s="72"/>
      <c r="O221" s="72"/>
      <c r="P221" s="72"/>
      <c r="W221" s="71"/>
    </row>
    <row r="222" spans="1:23" ht="20.25" customHeight="1" x14ac:dyDescent="0.25">
      <c r="A222" s="71"/>
      <c r="B222" s="71"/>
      <c r="C222" s="72"/>
      <c r="G222" s="72"/>
      <c r="H222" s="72"/>
      <c r="I222" s="72"/>
      <c r="J222" s="72"/>
      <c r="K222" s="72"/>
      <c r="L222" s="72"/>
      <c r="M222" s="72"/>
      <c r="N222" s="72"/>
      <c r="O222" s="72"/>
      <c r="P222" s="72"/>
      <c r="W222" s="71"/>
    </row>
    <row r="223" spans="1:23" ht="20.25" customHeight="1" x14ac:dyDescent="0.25">
      <c r="A223" s="71"/>
      <c r="B223" s="71"/>
      <c r="C223" s="72"/>
      <c r="G223" s="72"/>
      <c r="H223" s="72"/>
      <c r="I223" s="72"/>
      <c r="J223" s="72"/>
      <c r="K223" s="72"/>
      <c r="L223" s="72"/>
      <c r="M223" s="72"/>
      <c r="N223" s="72"/>
      <c r="O223" s="72"/>
      <c r="P223" s="72"/>
      <c r="W223" s="71"/>
    </row>
    <row r="224" spans="1:23" ht="20.25" customHeight="1" x14ac:dyDescent="0.25">
      <c r="A224" s="71"/>
      <c r="B224" s="71"/>
      <c r="C224" s="72"/>
      <c r="G224" s="72"/>
      <c r="H224" s="72"/>
      <c r="I224" s="72"/>
      <c r="J224" s="72"/>
      <c r="K224" s="72"/>
      <c r="L224" s="72"/>
      <c r="M224" s="72"/>
      <c r="N224" s="72"/>
      <c r="O224" s="72"/>
      <c r="P224" s="72"/>
      <c r="W224" s="71"/>
    </row>
    <row r="225" spans="1:23" ht="20.25" customHeight="1" x14ac:dyDescent="0.25">
      <c r="A225" s="71"/>
      <c r="B225" s="71"/>
      <c r="C225" s="72"/>
      <c r="G225" s="72"/>
      <c r="H225" s="72"/>
      <c r="I225" s="72"/>
      <c r="J225" s="72"/>
      <c r="K225" s="72"/>
      <c r="L225" s="72"/>
      <c r="M225" s="72"/>
      <c r="N225" s="72"/>
      <c r="O225" s="72"/>
      <c r="P225" s="72"/>
      <c r="W225" s="71"/>
    </row>
    <row r="226" spans="1:23" ht="20.25" customHeight="1" x14ac:dyDescent="0.25">
      <c r="A226" s="71"/>
      <c r="B226" s="71"/>
      <c r="C226" s="72"/>
      <c r="G226" s="72"/>
      <c r="H226" s="72"/>
      <c r="I226" s="72"/>
      <c r="J226" s="72"/>
      <c r="K226" s="72"/>
      <c r="L226" s="72"/>
      <c r="M226" s="72"/>
      <c r="N226" s="72"/>
      <c r="O226" s="72"/>
      <c r="P226" s="72"/>
      <c r="W226" s="71"/>
    </row>
    <row r="227" spans="1:23" ht="20.25" customHeight="1" x14ac:dyDescent="0.25">
      <c r="A227" s="71"/>
      <c r="B227" s="71"/>
      <c r="C227" s="72"/>
      <c r="G227" s="72"/>
      <c r="H227" s="72"/>
      <c r="I227" s="72"/>
      <c r="J227" s="72"/>
      <c r="K227" s="72"/>
      <c r="L227" s="72"/>
      <c r="M227" s="72"/>
      <c r="N227" s="72"/>
      <c r="O227" s="72"/>
      <c r="P227" s="72"/>
      <c r="W227" s="71"/>
    </row>
    <row r="228" spans="1:23" ht="20.25" customHeight="1" x14ac:dyDescent="0.25">
      <c r="A228" s="71"/>
      <c r="B228" s="71"/>
      <c r="C228" s="72"/>
      <c r="G228" s="72"/>
      <c r="H228" s="72"/>
      <c r="I228" s="72"/>
      <c r="J228" s="72"/>
      <c r="K228" s="72"/>
      <c r="L228" s="72"/>
      <c r="M228" s="72"/>
      <c r="N228" s="72"/>
      <c r="O228" s="72"/>
      <c r="P228" s="72"/>
      <c r="W228" s="71"/>
    </row>
    <row r="229" spans="1:23" ht="20.25" customHeight="1" x14ac:dyDescent="0.25">
      <c r="A229" s="71"/>
      <c r="B229" s="71"/>
      <c r="C229" s="72"/>
      <c r="G229" s="72"/>
      <c r="H229" s="72"/>
      <c r="I229" s="72"/>
      <c r="J229" s="72"/>
      <c r="K229" s="72"/>
      <c r="L229" s="72"/>
      <c r="M229" s="72"/>
      <c r="N229" s="72"/>
      <c r="O229" s="72"/>
      <c r="P229" s="72"/>
      <c r="W229" s="71"/>
    </row>
    <row r="230" spans="1:23" ht="20.25" customHeight="1" x14ac:dyDescent="0.25">
      <c r="A230" s="71"/>
      <c r="B230" s="71"/>
      <c r="C230" s="72"/>
      <c r="G230" s="72"/>
      <c r="H230" s="72"/>
      <c r="I230" s="72"/>
      <c r="J230" s="72"/>
      <c r="K230" s="72"/>
      <c r="L230" s="72"/>
      <c r="M230" s="72"/>
      <c r="N230" s="72"/>
      <c r="O230" s="72"/>
      <c r="P230" s="72"/>
      <c r="W230" s="71"/>
    </row>
    <row r="231" spans="1:23" ht="20.25" customHeight="1" x14ac:dyDescent="0.25">
      <c r="A231" s="71"/>
      <c r="B231" s="71"/>
      <c r="C231" s="72"/>
      <c r="G231" s="72"/>
      <c r="H231" s="72"/>
      <c r="I231" s="72"/>
      <c r="J231" s="72"/>
      <c r="K231" s="72"/>
      <c r="L231" s="72"/>
      <c r="M231" s="72"/>
      <c r="N231" s="72"/>
      <c r="O231" s="72"/>
      <c r="P231" s="72"/>
      <c r="W231" s="71"/>
    </row>
    <row r="232" spans="1:23" ht="20.25" customHeight="1" x14ac:dyDescent="0.25">
      <c r="A232" s="71"/>
      <c r="B232" s="71"/>
      <c r="C232" s="72"/>
      <c r="G232" s="72"/>
      <c r="H232" s="72"/>
      <c r="I232" s="72"/>
      <c r="J232" s="72"/>
      <c r="K232" s="72"/>
      <c r="L232" s="72"/>
      <c r="M232" s="72"/>
      <c r="N232" s="72"/>
      <c r="O232" s="72"/>
      <c r="P232" s="72"/>
      <c r="W232" s="71"/>
    </row>
    <row r="233" spans="1:23" ht="20.25" customHeight="1" x14ac:dyDescent="0.25">
      <c r="A233" s="71"/>
      <c r="B233" s="71"/>
      <c r="C233" s="72"/>
      <c r="G233" s="72"/>
      <c r="H233" s="72"/>
      <c r="I233" s="72"/>
      <c r="J233" s="72"/>
      <c r="K233" s="72"/>
      <c r="L233" s="72"/>
      <c r="M233" s="72"/>
      <c r="N233" s="72"/>
      <c r="O233" s="72"/>
      <c r="P233" s="72"/>
      <c r="W233" s="71"/>
    </row>
    <row r="234" spans="1:23" ht="20.25" customHeight="1" x14ac:dyDescent="0.25">
      <c r="A234" s="71"/>
      <c r="B234" s="71"/>
      <c r="C234" s="72"/>
      <c r="G234" s="72"/>
      <c r="H234" s="72"/>
      <c r="I234" s="72"/>
      <c r="J234" s="72"/>
      <c r="K234" s="72"/>
      <c r="L234" s="72"/>
      <c r="M234" s="72"/>
      <c r="N234" s="72"/>
      <c r="O234" s="72"/>
      <c r="P234" s="72"/>
      <c r="W234" s="71"/>
    </row>
    <row r="235" spans="1:23" ht="20.25" customHeight="1" x14ac:dyDescent="0.25">
      <c r="A235" s="71"/>
      <c r="B235" s="71"/>
      <c r="C235" s="72"/>
      <c r="G235" s="72"/>
      <c r="H235" s="72"/>
      <c r="I235" s="72"/>
      <c r="J235" s="72"/>
      <c r="K235" s="72"/>
      <c r="L235" s="72"/>
      <c r="M235" s="72"/>
      <c r="N235" s="72"/>
      <c r="O235" s="72"/>
      <c r="P235" s="72"/>
      <c r="W235" s="71"/>
    </row>
    <row r="236" spans="1:23" ht="20.25" customHeight="1" x14ac:dyDescent="0.25">
      <c r="A236" s="71"/>
      <c r="B236" s="71"/>
      <c r="C236" s="72"/>
      <c r="G236" s="72"/>
      <c r="H236" s="72"/>
      <c r="I236" s="72"/>
      <c r="J236" s="72"/>
      <c r="K236" s="72"/>
      <c r="L236" s="72"/>
      <c r="M236" s="72"/>
      <c r="N236" s="72"/>
      <c r="O236" s="72"/>
      <c r="P236" s="72"/>
      <c r="W236" s="71"/>
    </row>
    <row r="237" spans="1:23" ht="20.25" customHeight="1" x14ac:dyDescent="0.25">
      <c r="A237" s="71"/>
      <c r="B237" s="71"/>
      <c r="C237" s="72"/>
      <c r="G237" s="72"/>
      <c r="H237" s="72"/>
      <c r="I237" s="72"/>
      <c r="J237" s="72"/>
      <c r="K237" s="72"/>
      <c r="L237" s="72"/>
      <c r="M237" s="72"/>
      <c r="N237" s="72"/>
      <c r="O237" s="72"/>
      <c r="P237" s="72"/>
      <c r="W237" s="71"/>
    </row>
    <row r="238" spans="1:23" ht="20.25" customHeight="1" x14ac:dyDescent="0.25">
      <c r="A238" s="71"/>
      <c r="B238" s="71"/>
      <c r="C238" s="72"/>
      <c r="G238" s="72"/>
      <c r="H238" s="72"/>
      <c r="I238" s="72"/>
      <c r="J238" s="72"/>
      <c r="K238" s="72"/>
      <c r="L238" s="72"/>
      <c r="M238" s="72"/>
      <c r="N238" s="72"/>
      <c r="O238" s="72"/>
      <c r="P238" s="72"/>
      <c r="W238" s="71"/>
    </row>
    <row r="239" spans="1:23" ht="20.25" customHeight="1" x14ac:dyDescent="0.25">
      <c r="A239" s="71"/>
      <c r="B239" s="71"/>
      <c r="C239" s="72"/>
      <c r="G239" s="72"/>
      <c r="H239" s="72"/>
      <c r="I239" s="72"/>
      <c r="J239" s="72"/>
      <c r="K239" s="72"/>
      <c r="L239" s="72"/>
      <c r="M239" s="72"/>
      <c r="N239" s="72"/>
      <c r="O239" s="72"/>
      <c r="P239" s="72"/>
      <c r="W239" s="71"/>
    </row>
    <row r="240" spans="1:23" ht="20.25" customHeight="1" x14ac:dyDescent="0.25">
      <c r="A240" s="71"/>
      <c r="B240" s="71"/>
      <c r="C240" s="72"/>
      <c r="G240" s="72"/>
      <c r="H240" s="72"/>
      <c r="I240" s="72"/>
      <c r="J240" s="72"/>
      <c r="K240" s="72"/>
      <c r="L240" s="72"/>
      <c r="M240" s="72"/>
      <c r="N240" s="72"/>
      <c r="O240" s="72"/>
      <c r="P240" s="72"/>
      <c r="W240" s="71"/>
    </row>
    <row r="241" spans="1:23" ht="20.25" customHeight="1" x14ac:dyDescent="0.25">
      <c r="A241" s="71"/>
      <c r="B241" s="71"/>
      <c r="C241" s="72"/>
      <c r="G241" s="72"/>
      <c r="H241" s="72"/>
      <c r="I241" s="72"/>
      <c r="J241" s="72"/>
      <c r="K241" s="72"/>
      <c r="L241" s="72"/>
      <c r="M241" s="72"/>
      <c r="N241" s="72"/>
      <c r="O241" s="72"/>
      <c r="P241" s="72"/>
      <c r="W241" s="71"/>
    </row>
    <row r="242" spans="1:23" ht="20.25" customHeight="1" x14ac:dyDescent="0.25">
      <c r="A242" s="71"/>
      <c r="B242" s="71"/>
      <c r="C242" s="72"/>
      <c r="G242" s="72"/>
      <c r="H242" s="72"/>
      <c r="I242" s="72"/>
      <c r="J242" s="72"/>
      <c r="K242" s="72"/>
      <c r="L242" s="72"/>
      <c r="M242" s="72"/>
      <c r="N242" s="72"/>
      <c r="O242" s="72"/>
      <c r="P242" s="72"/>
      <c r="W242" s="71"/>
    </row>
    <row r="243" spans="1:23" ht="20.25" customHeight="1" x14ac:dyDescent="0.25">
      <c r="A243" s="71"/>
      <c r="B243" s="71"/>
      <c r="C243" s="72"/>
      <c r="G243" s="72"/>
      <c r="H243" s="72"/>
      <c r="I243" s="72"/>
      <c r="J243" s="72"/>
      <c r="K243" s="72"/>
      <c r="L243" s="72"/>
      <c r="M243" s="72"/>
      <c r="N243" s="72"/>
      <c r="O243" s="72"/>
      <c r="P243" s="72"/>
      <c r="W243" s="71"/>
    </row>
    <row r="244" spans="1:23" ht="20.25" customHeight="1" x14ac:dyDescent="0.25">
      <c r="A244" s="71"/>
      <c r="B244" s="71"/>
      <c r="C244" s="72"/>
      <c r="G244" s="72"/>
      <c r="H244" s="72"/>
      <c r="I244" s="72"/>
      <c r="J244" s="72"/>
      <c r="K244" s="72"/>
      <c r="L244" s="72"/>
      <c r="M244" s="72"/>
      <c r="N244" s="72"/>
      <c r="O244" s="72"/>
      <c r="P244" s="72"/>
      <c r="W244" s="71"/>
    </row>
    <row r="245" spans="1:23" ht="20.25" customHeight="1" x14ac:dyDescent="0.25">
      <c r="A245" s="71"/>
      <c r="B245" s="71"/>
      <c r="C245" s="72"/>
      <c r="G245" s="72"/>
      <c r="H245" s="72"/>
      <c r="I245" s="72"/>
      <c r="J245" s="72"/>
      <c r="K245" s="72"/>
      <c r="L245" s="72"/>
      <c r="M245" s="72"/>
      <c r="N245" s="72"/>
      <c r="O245" s="72"/>
      <c r="P245" s="72"/>
      <c r="W245" s="71"/>
    </row>
    <row r="246" spans="1:23" ht="20.25" customHeight="1" x14ac:dyDescent="0.25">
      <c r="A246" s="71"/>
      <c r="B246" s="71"/>
      <c r="C246" s="72"/>
      <c r="G246" s="72"/>
      <c r="H246" s="72"/>
      <c r="I246" s="72"/>
      <c r="J246" s="72"/>
      <c r="K246" s="72"/>
      <c r="L246" s="72"/>
      <c r="M246" s="72"/>
      <c r="N246" s="72"/>
      <c r="O246" s="72"/>
      <c r="P246" s="72"/>
      <c r="W246" s="71"/>
    </row>
    <row r="247" spans="1:23" ht="20.25" customHeight="1" x14ac:dyDescent="0.25">
      <c r="A247" s="71"/>
      <c r="B247" s="71"/>
      <c r="C247" s="72"/>
      <c r="G247" s="72"/>
      <c r="H247" s="72"/>
      <c r="I247" s="72"/>
      <c r="J247" s="72"/>
      <c r="K247" s="72"/>
      <c r="L247" s="72"/>
      <c r="M247" s="72"/>
      <c r="N247" s="72"/>
      <c r="O247" s="72"/>
      <c r="P247" s="72"/>
      <c r="W247" s="71"/>
    </row>
    <row r="248" spans="1:23" ht="20.25" customHeight="1" x14ac:dyDescent="0.25">
      <c r="A248" s="71"/>
      <c r="B248" s="71"/>
      <c r="C248" s="72"/>
      <c r="G248" s="72"/>
      <c r="H248" s="72"/>
      <c r="I248" s="72"/>
      <c r="J248" s="72"/>
      <c r="K248" s="72"/>
      <c r="L248" s="72"/>
      <c r="M248" s="72"/>
      <c r="N248" s="72"/>
      <c r="O248" s="72"/>
      <c r="P248" s="72"/>
      <c r="W248" s="71"/>
    </row>
    <row r="249" spans="1:23" ht="20.25" customHeight="1" x14ac:dyDescent="0.25">
      <c r="A249" s="71"/>
      <c r="B249" s="71"/>
      <c r="C249" s="72"/>
      <c r="G249" s="72"/>
      <c r="H249" s="72"/>
      <c r="I249" s="72"/>
      <c r="J249" s="72"/>
      <c r="K249" s="72"/>
      <c r="L249" s="72"/>
      <c r="M249" s="72"/>
      <c r="N249" s="72"/>
      <c r="O249" s="72"/>
      <c r="P249" s="72"/>
      <c r="W249" s="71"/>
    </row>
    <row r="250" spans="1:23" ht="20.25" customHeight="1" x14ac:dyDescent="0.25">
      <c r="A250" s="71"/>
      <c r="B250" s="71"/>
      <c r="C250" s="72"/>
      <c r="G250" s="72"/>
      <c r="H250" s="72"/>
      <c r="I250" s="72"/>
      <c r="J250" s="72"/>
      <c r="K250" s="72"/>
      <c r="L250" s="72"/>
      <c r="M250" s="72"/>
      <c r="N250" s="72"/>
      <c r="O250" s="72"/>
      <c r="P250" s="72"/>
      <c r="W250" s="71"/>
    </row>
    <row r="251" spans="1:23" ht="20.25" customHeight="1" x14ac:dyDescent="0.25">
      <c r="A251" s="71"/>
      <c r="B251" s="71"/>
      <c r="C251" s="72"/>
      <c r="G251" s="72"/>
      <c r="H251" s="72"/>
      <c r="I251" s="72"/>
      <c r="J251" s="72"/>
      <c r="K251" s="72"/>
      <c r="L251" s="72"/>
      <c r="M251" s="72"/>
      <c r="N251" s="72"/>
      <c r="O251" s="72"/>
      <c r="P251" s="72"/>
      <c r="W251" s="71"/>
    </row>
    <row r="252" spans="1:23" ht="20.25" customHeight="1" x14ac:dyDescent="0.25">
      <c r="A252" s="71"/>
      <c r="B252" s="71"/>
      <c r="C252" s="72"/>
      <c r="G252" s="72"/>
      <c r="H252" s="72"/>
      <c r="I252" s="72"/>
      <c r="J252" s="72"/>
      <c r="K252" s="72"/>
      <c r="L252" s="72"/>
      <c r="M252" s="72"/>
      <c r="N252" s="72"/>
      <c r="O252" s="72"/>
      <c r="P252" s="72"/>
      <c r="W252" s="71"/>
    </row>
    <row r="253" spans="1:23" ht="20.25" customHeight="1" x14ac:dyDescent="0.25">
      <c r="A253" s="71"/>
      <c r="B253" s="71"/>
      <c r="C253" s="72"/>
      <c r="G253" s="72"/>
      <c r="H253" s="72"/>
      <c r="I253" s="72"/>
      <c r="J253" s="72"/>
      <c r="K253" s="72"/>
      <c r="L253" s="72"/>
      <c r="M253" s="72"/>
      <c r="N253" s="72"/>
      <c r="O253" s="72"/>
      <c r="P253" s="72"/>
      <c r="W253" s="71"/>
    </row>
    <row r="254" spans="1:23" ht="20.25" customHeight="1" x14ac:dyDescent="0.25">
      <c r="A254" s="71"/>
      <c r="B254" s="71"/>
      <c r="C254" s="72"/>
      <c r="G254" s="72"/>
      <c r="H254" s="72"/>
      <c r="I254" s="72"/>
      <c r="J254" s="72"/>
      <c r="K254" s="72"/>
      <c r="L254" s="72"/>
      <c r="M254" s="72"/>
      <c r="N254" s="72"/>
      <c r="O254" s="72"/>
      <c r="P254" s="72"/>
      <c r="W254" s="71"/>
    </row>
    <row r="255" spans="1:23" ht="20.25" customHeight="1" x14ac:dyDescent="0.25">
      <c r="A255" s="71"/>
      <c r="B255" s="71"/>
      <c r="C255" s="72"/>
      <c r="G255" s="72"/>
      <c r="H255" s="72"/>
      <c r="I255" s="72"/>
      <c r="J255" s="72"/>
      <c r="K255" s="72"/>
      <c r="L255" s="72"/>
      <c r="M255" s="72"/>
      <c r="N255" s="72"/>
      <c r="O255" s="72"/>
      <c r="P255" s="72"/>
      <c r="W255" s="71"/>
    </row>
    <row r="256" spans="1:23" ht="20.25" customHeight="1" x14ac:dyDescent="0.25">
      <c r="A256" s="71"/>
      <c r="B256" s="71"/>
      <c r="C256" s="72"/>
      <c r="G256" s="72"/>
      <c r="H256" s="72"/>
      <c r="I256" s="72"/>
      <c r="J256" s="72"/>
      <c r="K256" s="72"/>
      <c r="L256" s="72"/>
      <c r="M256" s="72"/>
      <c r="N256" s="72"/>
      <c r="O256" s="72"/>
      <c r="P256" s="72"/>
      <c r="W256" s="71"/>
    </row>
    <row r="257" spans="1:23" ht="20.25" customHeight="1" x14ac:dyDescent="0.25">
      <c r="A257" s="71"/>
      <c r="B257" s="71"/>
      <c r="C257" s="72"/>
      <c r="G257" s="72"/>
      <c r="H257" s="72"/>
      <c r="I257" s="72"/>
      <c r="J257" s="72"/>
      <c r="K257" s="72"/>
      <c r="L257" s="72"/>
      <c r="M257" s="72"/>
      <c r="N257" s="72"/>
      <c r="O257" s="72"/>
      <c r="P257" s="72"/>
      <c r="W257" s="71"/>
    </row>
    <row r="258" spans="1:23" ht="20.25" customHeight="1" x14ac:dyDescent="0.25">
      <c r="A258" s="71"/>
      <c r="B258" s="71"/>
      <c r="C258" s="72"/>
      <c r="G258" s="72"/>
      <c r="H258" s="72"/>
      <c r="I258" s="72"/>
      <c r="J258" s="72"/>
      <c r="K258" s="72"/>
      <c r="L258" s="72"/>
      <c r="M258" s="72"/>
      <c r="N258" s="72"/>
      <c r="O258" s="72"/>
      <c r="P258" s="72"/>
      <c r="W258" s="71"/>
    </row>
    <row r="259" spans="1:23" ht="20.25" customHeight="1" x14ac:dyDescent="0.25">
      <c r="A259" s="71"/>
      <c r="B259" s="71"/>
      <c r="C259" s="72"/>
      <c r="G259" s="72"/>
      <c r="H259" s="72"/>
      <c r="I259" s="72"/>
      <c r="J259" s="72"/>
      <c r="K259" s="72"/>
      <c r="L259" s="72"/>
      <c r="M259" s="72"/>
      <c r="N259" s="72"/>
      <c r="O259" s="72"/>
      <c r="P259" s="72"/>
      <c r="W259" s="71"/>
    </row>
    <row r="260" spans="1:23" ht="20.25" customHeight="1" x14ac:dyDescent="0.25">
      <c r="A260" s="71"/>
      <c r="B260" s="71"/>
      <c r="C260" s="72"/>
      <c r="G260" s="72"/>
      <c r="H260" s="72"/>
      <c r="I260" s="72"/>
      <c r="J260" s="72"/>
      <c r="K260" s="72"/>
      <c r="L260" s="72"/>
      <c r="M260" s="72"/>
      <c r="N260" s="72"/>
      <c r="O260" s="72"/>
      <c r="P260" s="72"/>
      <c r="W260" s="71"/>
    </row>
    <row r="261" spans="1:23" ht="20.25" customHeight="1" x14ac:dyDescent="0.25">
      <c r="A261" s="71"/>
      <c r="B261" s="71"/>
      <c r="C261" s="72"/>
      <c r="G261" s="72"/>
      <c r="H261" s="72"/>
      <c r="I261" s="72"/>
      <c r="J261" s="72"/>
      <c r="K261" s="72"/>
      <c r="L261" s="72"/>
      <c r="M261" s="72"/>
      <c r="N261" s="72"/>
      <c r="O261" s="72"/>
      <c r="P261" s="72"/>
      <c r="W261" s="71"/>
    </row>
    <row r="262" spans="1:23" ht="20.25" customHeight="1" x14ac:dyDescent="0.25">
      <c r="A262" s="71"/>
      <c r="B262" s="71"/>
      <c r="C262" s="72"/>
      <c r="G262" s="72"/>
      <c r="H262" s="72"/>
      <c r="I262" s="72"/>
      <c r="J262" s="72"/>
      <c r="K262" s="72"/>
      <c r="L262" s="72"/>
      <c r="M262" s="72"/>
      <c r="N262" s="72"/>
      <c r="O262" s="72"/>
      <c r="P262" s="72"/>
      <c r="W262" s="71"/>
    </row>
    <row r="263" spans="1:23" ht="20.25" customHeight="1" x14ac:dyDescent="0.25">
      <c r="A263" s="71"/>
      <c r="B263" s="71"/>
      <c r="C263" s="72"/>
      <c r="G263" s="72"/>
      <c r="H263" s="72"/>
      <c r="I263" s="72"/>
      <c r="J263" s="72"/>
      <c r="K263" s="72"/>
      <c r="L263" s="72"/>
      <c r="M263" s="72"/>
      <c r="N263" s="72"/>
      <c r="O263" s="72"/>
      <c r="P263" s="72"/>
      <c r="W263" s="71"/>
    </row>
    <row r="264" spans="1:23" ht="20.25" customHeight="1" x14ac:dyDescent="0.25">
      <c r="A264" s="71"/>
      <c r="B264" s="71"/>
      <c r="C264" s="72"/>
      <c r="G264" s="72"/>
      <c r="H264" s="72"/>
      <c r="I264" s="72"/>
      <c r="J264" s="72"/>
      <c r="K264" s="72"/>
      <c r="L264" s="72"/>
      <c r="M264" s="72"/>
      <c r="N264" s="72"/>
      <c r="O264" s="72"/>
      <c r="P264" s="72"/>
      <c r="W264" s="71"/>
    </row>
    <row r="265" spans="1:23" ht="20.25" customHeight="1" x14ac:dyDescent="0.25">
      <c r="A265" s="71"/>
      <c r="B265" s="71"/>
      <c r="C265" s="72"/>
      <c r="G265" s="72"/>
      <c r="H265" s="72"/>
      <c r="I265" s="72"/>
      <c r="J265" s="72"/>
      <c r="K265" s="72"/>
      <c r="L265" s="72"/>
      <c r="M265" s="72"/>
      <c r="N265" s="72"/>
      <c r="O265" s="72"/>
      <c r="P265" s="72"/>
      <c r="W265" s="71"/>
    </row>
    <row r="266" spans="1:23" ht="20.25" customHeight="1" x14ac:dyDescent="0.25">
      <c r="A266" s="71"/>
      <c r="B266" s="71"/>
      <c r="C266" s="72"/>
      <c r="G266" s="72"/>
      <c r="H266" s="72"/>
      <c r="I266" s="72"/>
      <c r="J266" s="72"/>
      <c r="K266" s="72"/>
      <c r="L266" s="72"/>
      <c r="M266" s="72"/>
      <c r="N266" s="72"/>
      <c r="O266" s="72"/>
      <c r="P266" s="72"/>
      <c r="W266" s="71"/>
    </row>
    <row r="267" spans="1:23" ht="20.25" customHeight="1" x14ac:dyDescent="0.25">
      <c r="A267" s="71"/>
      <c r="B267" s="71"/>
      <c r="C267" s="72"/>
      <c r="G267" s="72"/>
      <c r="H267" s="72"/>
      <c r="I267" s="72"/>
      <c r="J267" s="72"/>
      <c r="K267" s="72"/>
      <c r="L267" s="72"/>
      <c r="M267" s="72"/>
      <c r="N267" s="72"/>
      <c r="O267" s="72"/>
      <c r="P267" s="72"/>
      <c r="W267" s="71"/>
    </row>
    <row r="268" spans="1:23" ht="20.25" customHeight="1" x14ac:dyDescent="0.25">
      <c r="A268" s="71"/>
      <c r="B268" s="71"/>
      <c r="C268" s="72"/>
      <c r="G268" s="72"/>
      <c r="H268" s="72"/>
      <c r="I268" s="72"/>
      <c r="J268" s="72"/>
      <c r="K268" s="72"/>
      <c r="L268" s="72"/>
      <c r="M268" s="72"/>
      <c r="N268" s="72"/>
      <c r="O268" s="72"/>
      <c r="P268" s="72"/>
      <c r="W268" s="71"/>
    </row>
    <row r="269" spans="1:23" ht="20.25" customHeight="1" x14ac:dyDescent="0.25">
      <c r="A269" s="71"/>
      <c r="B269" s="71"/>
      <c r="C269" s="72"/>
      <c r="G269" s="72"/>
      <c r="H269" s="72"/>
      <c r="I269" s="72"/>
      <c r="J269" s="72"/>
      <c r="K269" s="72"/>
      <c r="L269" s="72"/>
      <c r="M269" s="72"/>
      <c r="N269" s="72"/>
      <c r="O269" s="72"/>
      <c r="P269" s="72"/>
      <c r="W269" s="71"/>
    </row>
    <row r="270" spans="1:23" ht="20.25" customHeight="1" x14ac:dyDescent="0.25">
      <c r="A270" s="71"/>
      <c r="B270" s="71"/>
      <c r="C270" s="72"/>
      <c r="G270" s="72"/>
      <c r="H270" s="72"/>
      <c r="I270" s="72"/>
      <c r="J270" s="72"/>
      <c r="K270" s="72"/>
      <c r="L270" s="72"/>
      <c r="M270" s="72"/>
      <c r="N270" s="72"/>
      <c r="O270" s="72"/>
      <c r="P270" s="72"/>
      <c r="W270" s="71"/>
    </row>
    <row r="271" spans="1:23" ht="20.25" customHeight="1" x14ac:dyDescent="0.25">
      <c r="A271" s="71"/>
      <c r="B271" s="71"/>
      <c r="C271" s="72"/>
      <c r="G271" s="72"/>
      <c r="H271" s="72"/>
      <c r="I271" s="72"/>
      <c r="J271" s="72"/>
      <c r="K271" s="72"/>
      <c r="L271" s="72"/>
      <c r="M271" s="72"/>
      <c r="N271" s="72"/>
      <c r="O271" s="72"/>
      <c r="P271" s="72"/>
      <c r="W271" s="71"/>
    </row>
    <row r="272" spans="1:23" ht="20.25" customHeight="1" x14ac:dyDescent="0.25">
      <c r="A272" s="71"/>
      <c r="B272" s="71"/>
      <c r="C272" s="72"/>
      <c r="G272" s="72"/>
      <c r="H272" s="72"/>
      <c r="I272" s="72"/>
      <c r="J272" s="72"/>
      <c r="K272" s="72"/>
      <c r="L272" s="72"/>
      <c r="M272" s="72"/>
      <c r="N272" s="72"/>
      <c r="O272" s="72"/>
      <c r="P272" s="72"/>
      <c r="W272" s="71"/>
    </row>
    <row r="273" spans="1:23" ht="20.25" customHeight="1" x14ac:dyDescent="0.25">
      <c r="A273" s="71"/>
      <c r="B273" s="71"/>
      <c r="C273" s="72"/>
      <c r="G273" s="72"/>
      <c r="H273" s="72"/>
      <c r="I273" s="72"/>
      <c r="J273" s="72"/>
      <c r="K273" s="72"/>
      <c r="L273" s="72"/>
      <c r="M273" s="72"/>
      <c r="N273" s="72"/>
      <c r="O273" s="72"/>
      <c r="P273" s="72"/>
      <c r="W273" s="71"/>
    </row>
    <row r="274" spans="1:23" ht="20.25" customHeight="1" x14ac:dyDescent="0.25">
      <c r="A274" s="71"/>
      <c r="B274" s="71"/>
      <c r="C274" s="72"/>
      <c r="G274" s="72"/>
      <c r="H274" s="72"/>
      <c r="I274" s="72"/>
      <c r="J274" s="72"/>
      <c r="K274" s="72"/>
      <c r="L274" s="72"/>
      <c r="M274" s="72"/>
      <c r="N274" s="72"/>
      <c r="O274" s="72"/>
      <c r="P274" s="72"/>
      <c r="W274" s="71"/>
    </row>
    <row r="275" spans="1:23" ht="20.25" customHeight="1" x14ac:dyDescent="0.25">
      <c r="A275" s="71"/>
      <c r="B275" s="71"/>
      <c r="C275" s="72"/>
      <c r="G275" s="72"/>
      <c r="H275" s="72"/>
      <c r="I275" s="72"/>
      <c r="J275" s="72"/>
      <c r="K275" s="72"/>
      <c r="L275" s="72"/>
      <c r="M275" s="72"/>
      <c r="N275" s="72"/>
      <c r="O275" s="72"/>
      <c r="P275" s="72"/>
      <c r="W275" s="71"/>
    </row>
    <row r="276" spans="1:23" ht="20.25" customHeight="1" x14ac:dyDescent="0.25">
      <c r="A276" s="71"/>
      <c r="B276" s="71"/>
      <c r="C276" s="72"/>
      <c r="G276" s="72"/>
      <c r="H276" s="72"/>
      <c r="I276" s="72"/>
      <c r="J276" s="72"/>
      <c r="K276" s="72"/>
      <c r="L276" s="72"/>
      <c r="M276" s="72"/>
      <c r="N276" s="72"/>
      <c r="O276" s="72"/>
      <c r="P276" s="72"/>
      <c r="W276" s="71"/>
    </row>
    <row r="277" spans="1:23" ht="20.25" customHeight="1" x14ac:dyDescent="0.25">
      <c r="A277" s="71"/>
      <c r="B277" s="71"/>
      <c r="C277" s="72"/>
      <c r="G277" s="72"/>
      <c r="H277" s="72"/>
      <c r="I277" s="72"/>
      <c r="J277" s="72"/>
      <c r="K277" s="72"/>
      <c r="L277" s="72"/>
      <c r="M277" s="72"/>
      <c r="N277" s="72"/>
      <c r="O277" s="72"/>
      <c r="P277" s="72"/>
      <c r="W277" s="71"/>
    </row>
    <row r="278" spans="1:23" ht="20.25" customHeight="1" x14ac:dyDescent="0.25">
      <c r="A278" s="71"/>
      <c r="B278" s="71"/>
      <c r="C278" s="72"/>
      <c r="G278" s="72"/>
      <c r="H278" s="72"/>
      <c r="I278" s="72"/>
      <c r="J278" s="72"/>
      <c r="K278" s="72"/>
      <c r="L278" s="72"/>
      <c r="M278" s="72"/>
      <c r="N278" s="72"/>
      <c r="O278" s="72"/>
      <c r="P278" s="72"/>
      <c r="W278" s="71"/>
    </row>
    <row r="279" spans="1:23" ht="20.25" customHeight="1" x14ac:dyDescent="0.25">
      <c r="A279" s="71"/>
      <c r="B279" s="71"/>
      <c r="C279" s="72"/>
      <c r="G279" s="72"/>
      <c r="H279" s="72"/>
      <c r="I279" s="72"/>
      <c r="J279" s="72"/>
      <c r="K279" s="72"/>
      <c r="L279" s="72"/>
      <c r="M279" s="72"/>
      <c r="N279" s="72"/>
      <c r="O279" s="72"/>
      <c r="P279" s="72"/>
      <c r="W279" s="71"/>
    </row>
    <row r="280" spans="1:23" ht="20.25" customHeight="1" x14ac:dyDescent="0.25">
      <c r="A280" s="71"/>
      <c r="B280" s="71"/>
      <c r="C280" s="72"/>
      <c r="G280" s="72"/>
      <c r="H280" s="72"/>
      <c r="I280" s="72"/>
      <c r="J280" s="72"/>
      <c r="K280" s="72"/>
      <c r="L280" s="72"/>
      <c r="M280" s="72"/>
      <c r="N280" s="72"/>
      <c r="O280" s="72"/>
      <c r="P280" s="72"/>
      <c r="W280" s="71"/>
    </row>
    <row r="281" spans="1:23" ht="20.25" customHeight="1" x14ac:dyDescent="0.25">
      <c r="A281" s="71"/>
      <c r="B281" s="71"/>
      <c r="C281" s="72"/>
      <c r="G281" s="72"/>
      <c r="H281" s="72"/>
      <c r="I281" s="72"/>
      <c r="J281" s="72"/>
      <c r="K281" s="72"/>
      <c r="L281" s="72"/>
      <c r="M281" s="72"/>
      <c r="N281" s="72"/>
      <c r="O281" s="72"/>
      <c r="P281" s="72"/>
      <c r="W281" s="71"/>
    </row>
    <row r="282" spans="1:23" ht="20.25" customHeight="1" x14ac:dyDescent="0.25">
      <c r="A282" s="71"/>
      <c r="B282" s="71"/>
      <c r="C282" s="72"/>
      <c r="G282" s="72"/>
      <c r="H282" s="72"/>
      <c r="I282" s="72"/>
      <c r="J282" s="72"/>
      <c r="K282" s="72"/>
      <c r="L282" s="72"/>
      <c r="M282" s="72"/>
      <c r="N282" s="72"/>
      <c r="O282" s="72"/>
      <c r="P282" s="72"/>
      <c r="W282" s="71"/>
    </row>
    <row r="283" spans="1:23" ht="20.25" customHeight="1" x14ac:dyDescent="0.25">
      <c r="A283" s="71"/>
      <c r="B283" s="71"/>
      <c r="C283" s="72"/>
      <c r="G283" s="72"/>
      <c r="H283" s="72"/>
      <c r="I283" s="72"/>
      <c r="J283" s="72"/>
      <c r="K283" s="72"/>
      <c r="L283" s="72"/>
      <c r="M283" s="72"/>
      <c r="N283" s="72"/>
      <c r="O283" s="72"/>
      <c r="P283" s="72"/>
      <c r="W283" s="71"/>
    </row>
  </sheetData>
  <sheetProtection password="CB4D" sheet="1" formatCells="0" formatColumns="0" formatRows="0" selectLockedCells="1" sort="0" autoFilter="0"/>
  <mergeCells count="5">
    <mergeCell ref="R1:V1"/>
    <mergeCell ref="A1:C1"/>
    <mergeCell ref="D1:J1"/>
    <mergeCell ref="N1:O1"/>
    <mergeCell ref="K1:M1"/>
  </mergeCells>
  <conditionalFormatting sqref="A3:P150 R3:W150">
    <cfRule type="expression" dxfId="149" priority="17">
      <formula>ROW()-NumberOfTeams=2</formula>
    </cfRule>
  </conditionalFormatting>
  <conditionalFormatting sqref="A3:B150">
    <cfRule type="expression" dxfId="148" priority="11">
      <formula>IF($O3 &lt;= NumberofTeamsAdvancing,TRUE,FALSE)</formula>
    </cfRule>
  </conditionalFormatting>
  <conditionalFormatting sqref="C3:P150 R3:W150">
    <cfRule type="expression" dxfId="147" priority="21">
      <formula>IF($P3&lt;&gt;"",TRUE,FALSE)</formula>
    </cfRule>
  </conditionalFormatting>
  <conditionalFormatting sqref="P3:P150">
    <cfRule type="duplicateValues" dxfId="146" priority="309"/>
  </conditionalFormatting>
  <conditionalFormatting sqref="Q3:Q150">
    <cfRule type="cellIs" dxfId="145" priority="322" stopIfTrue="1" operator="equal">
      <formula>"Yes"</formula>
    </cfRule>
    <cfRule type="cellIs" dxfId="144" priority="323" stopIfTrue="1" operator="equal">
      <formula>"Alt"</formula>
    </cfRule>
  </conditionalFormatting>
  <dataValidations count="2">
    <dataValidation type="list" allowBlank="1" showInputMessage="1" showErrorMessage="1" sqref="P3:P150" xr:uid="{00000000-0002-0000-0600-000000000000}">
      <formula1>Awards</formula1>
    </dataValidation>
    <dataValidation type="list" allowBlank="1" showInputMessage="1" showErrorMessage="1" sqref="Q3:Q150" xr:uid="{00000000-0002-0000-0600-000001000000}">
      <formula1>"Yes,No,Alt"</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7" id="{00000000-000E-0000-0600-000007000000}">
            <xm:f>COUNTA(AwardList!$A$2:$A$35)=COUNTA($O$3:$O$288)</xm:f>
            <x14:dxf>
              <fill>
                <patternFill patternType="solid">
                  <fgColor rgb="FF00B050"/>
                  <bgColor rgb="FF00B050"/>
                </patternFill>
              </fill>
            </x14:dxf>
          </x14:cfRule>
          <xm:sqref>O2</xm:sqref>
        </x14:conditionalFormatting>
        <x14:conditionalFormatting xmlns:xm="http://schemas.microsoft.com/office/excel/2006/main">
          <x14:cfRule type="expression" priority="8" id="{00000000-000E-0000-0600-000008000000}">
            <xm:f>COUNTIF($P:$P,"Yes")=Meta!$B$13</xm:f>
            <x14:dxf>
              <fill>
                <patternFill patternType="solid">
                  <fgColor rgb="FF00FF00"/>
                  <bgColor rgb="FF00FF00"/>
                </patternFill>
              </fill>
            </x14:dxf>
          </x14:cfRule>
          <xm:sqref>P2</xm:sqref>
        </x14:conditionalFormatting>
        <x14:conditionalFormatting xmlns:xm="http://schemas.microsoft.com/office/excel/2006/main">
          <x14:cfRule type="expression" priority="9" id="{00000000-000E-0000-0600-000009000000}">
            <xm:f>AND(J1=1,IF(VLOOKUP("Robot Game 1st Place",AwardList!$C$2:$C$7,1,FALSE)="Robot Game 1st Place", TRUE, FALSE))</xm:f>
            <x14:dxf>
              <fill>
                <patternFill patternType="solid">
                  <fgColor rgb="FFC9B037"/>
                  <bgColor rgb="FFC9B037"/>
                </patternFill>
              </fill>
            </x14:dxf>
          </x14:cfRule>
          <x14:cfRule type="expression" priority="10" id="{00000000-000E-0000-0600-00000A000000}">
            <xm:f>AND(J1=2,IF(VLOOKUP("Robot Game 2nd Place",AwardList!$C$2:$C$7,1,FALSE)="Robot Game 2nd Place", TRUE, FALSE))</xm:f>
            <x14:dxf>
              <fill>
                <patternFill patternType="solid">
                  <fgColor rgb="FFD7D7D7"/>
                  <bgColor rgb="FFD7D7D7"/>
                </patternFill>
              </fill>
            </x14:dxf>
          </x14:cfRule>
          <x14:cfRule type="expression" priority="324" id="{00000000-000E-0000-0600-000044010000}">
            <xm:f>AND(J1=3,IF(VLOOKUP("Robot Game 3rd Place",AwardList!$C$2:$C$7,1,FALSE)="Robot Game 3rd Place", TRUE, FALSE))</xm:f>
            <x14:dxf>
              <fill>
                <patternFill patternType="solid">
                  <fgColor rgb="FFAD8A56"/>
                  <bgColor rgb="FFAD8A56"/>
                </patternFill>
              </fill>
            </x14:dxf>
          </x14:cfRule>
          <xm:sqref>J1:J100</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rgb="FF00B050"/>
  </sheetPr>
  <dimension ref="A1:F241"/>
  <sheetViews>
    <sheetView zoomScaleNormal="100" workbookViewId="0">
      <pane ySplit="1" topLeftCell="A2" activePane="bottomLeft" state="frozen"/>
      <selection pane="bottomLeft" activeCell="A2" sqref="A2"/>
    </sheetView>
  </sheetViews>
  <sheetFormatPr defaultColWidth="8.85546875" defaultRowHeight="30" customHeight="1" x14ac:dyDescent="0.25"/>
  <cols>
    <col min="1" max="1" width="16.7109375" style="39" customWidth="1"/>
    <col min="2" max="2" width="32.7109375" style="39" customWidth="1"/>
    <col min="3" max="5" width="7.42578125" style="39" customWidth="1"/>
    <col min="6" max="6" width="10.42578125" style="43" customWidth="1"/>
    <col min="7" max="11" width="8.85546875" style="5" customWidth="1"/>
    <col min="12" max="16384" width="8.85546875" style="5"/>
  </cols>
  <sheetData>
    <row r="1" spans="1:6" s="41" customFormat="1" ht="150" customHeight="1" x14ac:dyDescent="0.25">
      <c r="A1" s="58" t="s">
        <v>27</v>
      </c>
      <c r="B1" s="58" t="s">
        <v>28</v>
      </c>
      <c r="C1" s="65" t="s">
        <v>110</v>
      </c>
      <c r="D1" s="65" t="s">
        <v>111</v>
      </c>
      <c r="E1" s="65" t="s">
        <v>112</v>
      </c>
      <c r="F1" s="59" t="s">
        <v>113</v>
      </c>
    </row>
    <row r="2" spans="1:6" ht="21" customHeight="1" x14ac:dyDescent="0.25">
      <c r="A2" s="69">
        <v>24277</v>
      </c>
      <c r="B2" s="104" t="str">
        <f>INDEX(OfficialTeamList[Team Name],MATCH(RobotGameScores[[#This Row],[Team Number]], OfficialTeamList[Team Number],0))</f>
        <v>Norfolk Collegiate O.A.K.S.</v>
      </c>
      <c r="C2" s="70">
        <v>211</v>
      </c>
      <c r="D2" s="70">
        <v>134</v>
      </c>
      <c r="E2" s="70">
        <v>214</v>
      </c>
      <c r="F2" s="74">
        <f t="shared" ref="F2:F8" si="0">MAX(C2:E2)</f>
        <v>214</v>
      </c>
    </row>
    <row r="3" spans="1:6" ht="21" customHeight="1" x14ac:dyDescent="0.25">
      <c r="A3" s="69">
        <v>26034</v>
      </c>
      <c r="B3" s="104" t="str">
        <f>INDEX(OfficialTeamList[Team Name],MATCH(RobotGameScores[[#This Row],[Team Number]], OfficialTeamList[Team Number],0))</f>
        <v>OLMC White Team</v>
      </c>
      <c r="C3" s="70">
        <v>300</v>
      </c>
      <c r="D3" s="70">
        <v>287</v>
      </c>
      <c r="E3" s="70">
        <v>277</v>
      </c>
      <c r="F3" s="74">
        <f t="shared" si="0"/>
        <v>300</v>
      </c>
    </row>
    <row r="4" spans="1:6" ht="21" customHeight="1" x14ac:dyDescent="0.25">
      <c r="A4" s="69">
        <v>60801</v>
      </c>
      <c r="B4" s="104" t="str">
        <f>INDEX(OfficialTeamList[Team Name],MATCH(RobotGameScores[[#This Row],[Team Number]], OfficialTeamList[Team Number],0))</f>
        <v>ESPs</v>
      </c>
      <c r="C4" s="70">
        <v>249</v>
      </c>
      <c r="D4" s="70">
        <v>286</v>
      </c>
      <c r="E4" s="70">
        <v>195</v>
      </c>
      <c r="F4" s="74">
        <f t="shared" si="0"/>
        <v>286</v>
      </c>
    </row>
    <row r="5" spans="1:6" ht="21" customHeight="1" x14ac:dyDescent="0.25">
      <c r="A5" s="69">
        <v>67083</v>
      </c>
      <c r="B5" s="104" t="str">
        <f>INDEX(OfficialTeamList[Team Name],MATCH(RobotGameScores[[#This Row],[Team Number]], OfficialTeamList[Team Number],0))</f>
        <v>Wired Dolphins</v>
      </c>
      <c r="C5" s="70">
        <v>110</v>
      </c>
      <c r="D5" s="70">
        <v>229</v>
      </c>
      <c r="E5" s="70">
        <v>272</v>
      </c>
      <c r="F5" s="74">
        <f t="shared" si="0"/>
        <v>272</v>
      </c>
    </row>
    <row r="6" spans="1:6" ht="21" customHeight="1" x14ac:dyDescent="0.25">
      <c r="A6" s="69">
        <v>67801</v>
      </c>
      <c r="B6" s="104" t="str">
        <f>INDEX(OfficialTeamList[Team Name],MATCH(RobotGameScores[[#This Row],[Team Number]], OfficialTeamList[Team Number],0))</f>
        <v>Scorpion Tech Force</v>
      </c>
      <c r="C6" s="70">
        <v>297</v>
      </c>
      <c r="D6" s="70">
        <v>169</v>
      </c>
      <c r="E6" s="70">
        <v>210</v>
      </c>
      <c r="F6" s="74">
        <f t="shared" si="0"/>
        <v>297</v>
      </c>
    </row>
    <row r="7" spans="1:6" ht="21" customHeight="1" x14ac:dyDescent="0.25">
      <c r="A7" s="69">
        <v>68850</v>
      </c>
      <c r="B7" s="104" t="str">
        <f>INDEX(OfficialTeamList[Team Name],MATCH(RobotGameScores[[#This Row],[Team Number]], OfficialTeamList[Team Number],0))</f>
        <v>MCH Marvels</v>
      </c>
      <c r="C7" s="70">
        <v>256</v>
      </c>
      <c r="D7" s="70">
        <v>289</v>
      </c>
      <c r="E7" s="70">
        <v>134</v>
      </c>
      <c r="F7" s="74">
        <f t="shared" si="0"/>
        <v>289</v>
      </c>
    </row>
    <row r="8" spans="1:6" ht="21" customHeight="1" x14ac:dyDescent="0.25">
      <c r="A8" s="69">
        <v>71673</v>
      </c>
      <c r="B8" s="104" t="str">
        <f>INDEX(OfficialTeamList[Team Name],MATCH(RobotGameScores[[#This Row],[Team Number]], OfficialTeamList[Team Number],0))</f>
        <v>SMS Eaglebots 1</v>
      </c>
      <c r="C8" s="70">
        <v>88</v>
      </c>
      <c r="D8" s="70">
        <v>158</v>
      </c>
      <c r="E8" s="70">
        <v>249</v>
      </c>
      <c r="F8" s="74">
        <f t="shared" si="0"/>
        <v>249</v>
      </c>
    </row>
    <row r="9" spans="1:6" ht="21" customHeight="1" x14ac:dyDescent="0.25">
      <c r="A9" s="69"/>
      <c r="B9" s="69"/>
      <c r="C9" s="69"/>
      <c r="D9" s="69"/>
      <c r="E9" s="69"/>
      <c r="F9" s="84"/>
    </row>
    <row r="10" spans="1:6" ht="21" customHeight="1" x14ac:dyDescent="0.25">
      <c r="A10" s="69"/>
      <c r="B10" s="69"/>
      <c r="C10" s="69"/>
      <c r="D10" s="69"/>
      <c r="E10" s="69"/>
      <c r="F10" s="84"/>
    </row>
    <row r="11" spans="1:6" ht="21" customHeight="1" x14ac:dyDescent="0.25">
      <c r="A11" s="69"/>
      <c r="B11" s="69"/>
      <c r="C11" s="69"/>
      <c r="D11" s="69"/>
      <c r="E11" s="69"/>
      <c r="F11" s="84"/>
    </row>
    <row r="12" spans="1:6" ht="21" customHeight="1" x14ac:dyDescent="0.25">
      <c r="A12" s="69"/>
      <c r="B12" s="69"/>
      <c r="C12" s="69"/>
      <c r="D12" s="69"/>
      <c r="E12" s="69"/>
      <c r="F12" s="84"/>
    </row>
    <row r="13" spans="1:6" ht="21" customHeight="1" x14ac:dyDescent="0.25">
      <c r="A13" s="69"/>
      <c r="B13" s="69"/>
      <c r="C13" s="69"/>
      <c r="D13" s="69"/>
      <c r="E13" s="69"/>
      <c r="F13" s="84"/>
    </row>
    <row r="14" spans="1:6" ht="21" customHeight="1" x14ac:dyDescent="0.25">
      <c r="A14" s="69"/>
      <c r="B14" s="69"/>
      <c r="C14" s="69"/>
      <c r="D14" s="69"/>
      <c r="E14" s="69"/>
      <c r="F14" s="84"/>
    </row>
    <row r="15" spans="1:6" ht="21" customHeight="1" x14ac:dyDescent="0.25">
      <c r="A15" s="69"/>
      <c r="B15" s="69"/>
      <c r="C15" s="69"/>
      <c r="D15" s="69"/>
      <c r="E15" s="69"/>
      <c r="F15" s="84"/>
    </row>
    <row r="16" spans="1:6" ht="21" customHeight="1" x14ac:dyDescent="0.25">
      <c r="A16" s="69"/>
      <c r="B16" s="69"/>
      <c r="C16" s="69"/>
      <c r="D16" s="69"/>
      <c r="E16" s="69"/>
      <c r="F16" s="84"/>
    </row>
    <row r="17" spans="1:6" ht="21" customHeight="1" x14ac:dyDescent="0.25">
      <c r="A17" s="69"/>
      <c r="B17" s="69"/>
      <c r="C17" s="69"/>
      <c r="D17" s="69"/>
      <c r="E17" s="69"/>
      <c r="F17" s="84"/>
    </row>
    <row r="18" spans="1:6" ht="21" customHeight="1" x14ac:dyDescent="0.25">
      <c r="A18" s="69"/>
      <c r="B18" s="69"/>
      <c r="C18" s="69"/>
      <c r="D18" s="69"/>
      <c r="E18" s="69"/>
      <c r="F18" s="84"/>
    </row>
    <row r="19" spans="1:6" ht="21" customHeight="1" x14ac:dyDescent="0.25">
      <c r="A19" s="69"/>
      <c r="B19" s="69"/>
      <c r="C19" s="69"/>
      <c r="D19" s="69"/>
      <c r="E19" s="69"/>
      <c r="F19" s="84"/>
    </row>
    <row r="20" spans="1:6" ht="21" customHeight="1" x14ac:dyDescent="0.25">
      <c r="A20" s="69"/>
      <c r="B20" s="69"/>
      <c r="C20" s="69"/>
      <c r="D20" s="69"/>
      <c r="E20" s="69"/>
      <c r="F20" s="84"/>
    </row>
    <row r="21" spans="1:6" ht="21" customHeight="1" x14ac:dyDescent="0.25">
      <c r="A21" s="69"/>
      <c r="B21" s="69"/>
      <c r="C21" s="69"/>
      <c r="D21" s="69"/>
      <c r="E21" s="69"/>
      <c r="F21" s="84"/>
    </row>
    <row r="22" spans="1:6" ht="21" customHeight="1" x14ac:dyDescent="0.25">
      <c r="A22" s="69"/>
      <c r="B22" s="69"/>
      <c r="C22" s="69"/>
      <c r="D22" s="69"/>
      <c r="E22" s="69"/>
      <c r="F22" s="84"/>
    </row>
    <row r="23" spans="1:6" ht="21" customHeight="1" x14ac:dyDescent="0.25">
      <c r="A23" s="69"/>
      <c r="B23" s="69"/>
      <c r="C23" s="69"/>
      <c r="D23" s="69"/>
      <c r="E23" s="69"/>
      <c r="F23" s="84"/>
    </row>
    <row r="24" spans="1:6" ht="21" customHeight="1" x14ac:dyDescent="0.25">
      <c r="A24" s="69"/>
      <c r="B24" s="69"/>
      <c r="C24" s="69"/>
      <c r="D24" s="69"/>
      <c r="E24" s="69"/>
      <c r="F24" s="84"/>
    </row>
    <row r="25" spans="1:6" ht="21" customHeight="1" x14ac:dyDescent="0.25">
      <c r="A25" s="69"/>
      <c r="B25" s="69"/>
      <c r="C25" s="69"/>
      <c r="D25" s="69"/>
      <c r="E25" s="69"/>
      <c r="F25" s="84"/>
    </row>
    <row r="26" spans="1:6" ht="21" customHeight="1" x14ac:dyDescent="0.25">
      <c r="A26" s="69"/>
      <c r="B26" s="69"/>
      <c r="C26" s="69"/>
      <c r="D26" s="69"/>
      <c r="E26" s="69"/>
      <c r="F26" s="84"/>
    </row>
    <row r="27" spans="1:6" ht="21" customHeight="1" x14ac:dyDescent="0.25">
      <c r="A27" s="69"/>
      <c r="B27" s="69"/>
      <c r="C27" s="69"/>
      <c r="D27" s="69"/>
      <c r="E27" s="69"/>
      <c r="F27" s="84"/>
    </row>
    <row r="28" spans="1:6" ht="21" customHeight="1" x14ac:dyDescent="0.25">
      <c r="A28" s="69"/>
      <c r="B28" s="69"/>
      <c r="C28" s="69"/>
      <c r="D28" s="69"/>
      <c r="E28" s="69"/>
      <c r="F28" s="84"/>
    </row>
    <row r="29" spans="1:6" ht="21" customHeight="1" x14ac:dyDescent="0.25">
      <c r="A29" s="69"/>
      <c r="B29" s="69"/>
      <c r="C29" s="69"/>
      <c r="D29" s="69"/>
      <c r="E29" s="69"/>
      <c r="F29" s="84"/>
    </row>
    <row r="30" spans="1:6" ht="21" customHeight="1" x14ac:dyDescent="0.25">
      <c r="A30" s="69"/>
      <c r="B30" s="69"/>
      <c r="C30" s="69"/>
      <c r="D30" s="69"/>
      <c r="E30" s="69"/>
      <c r="F30" s="84"/>
    </row>
    <row r="31" spans="1:6" ht="21" customHeight="1" x14ac:dyDescent="0.25">
      <c r="A31" s="69"/>
      <c r="B31" s="69"/>
      <c r="C31" s="69"/>
      <c r="D31" s="69"/>
      <c r="E31" s="69"/>
      <c r="F31" s="84"/>
    </row>
    <row r="32" spans="1:6" ht="21" customHeight="1" x14ac:dyDescent="0.25">
      <c r="A32" s="69"/>
      <c r="B32" s="69"/>
      <c r="C32" s="69"/>
      <c r="D32" s="69"/>
      <c r="E32" s="69"/>
      <c r="F32" s="84"/>
    </row>
    <row r="33" spans="1:6" ht="21" customHeight="1" x14ac:dyDescent="0.25">
      <c r="A33" s="69"/>
      <c r="B33" s="69"/>
      <c r="C33" s="69"/>
      <c r="D33" s="69"/>
      <c r="E33" s="69"/>
      <c r="F33" s="84"/>
    </row>
    <row r="34" spans="1:6" ht="21" customHeight="1" x14ac:dyDescent="0.25">
      <c r="A34" s="69"/>
      <c r="B34" s="69"/>
      <c r="C34" s="69"/>
      <c r="D34" s="69"/>
      <c r="E34" s="69"/>
      <c r="F34" s="84"/>
    </row>
    <row r="35" spans="1:6" ht="21" customHeight="1" x14ac:dyDescent="0.25">
      <c r="A35" s="69"/>
      <c r="B35" s="69"/>
      <c r="C35" s="69"/>
      <c r="D35" s="69"/>
      <c r="E35" s="69"/>
      <c r="F35" s="84"/>
    </row>
    <row r="36" spans="1:6" ht="21" customHeight="1" x14ac:dyDescent="0.25">
      <c r="A36" s="69"/>
      <c r="B36" s="69"/>
      <c r="C36" s="69"/>
      <c r="D36" s="69"/>
      <c r="E36" s="69"/>
      <c r="F36" s="84"/>
    </row>
    <row r="37" spans="1:6" ht="21" customHeight="1" x14ac:dyDescent="0.25">
      <c r="F37" s="85"/>
    </row>
    <row r="38" spans="1:6" ht="21" customHeight="1" x14ac:dyDescent="0.25">
      <c r="F38" s="85"/>
    </row>
    <row r="39" spans="1:6" ht="21" customHeight="1" x14ac:dyDescent="0.25">
      <c r="F39" s="85"/>
    </row>
    <row r="40" spans="1:6" ht="21" customHeight="1" x14ac:dyDescent="0.25">
      <c r="F40" s="85"/>
    </row>
    <row r="41" spans="1:6" ht="21" customHeight="1" x14ac:dyDescent="0.25">
      <c r="F41" s="85"/>
    </row>
    <row r="42" spans="1:6" ht="21" customHeight="1" x14ac:dyDescent="0.25">
      <c r="F42" s="85"/>
    </row>
    <row r="43" spans="1:6" ht="21" customHeight="1" x14ac:dyDescent="0.25">
      <c r="A43" s="75"/>
      <c r="B43" s="75"/>
      <c r="C43" s="75"/>
      <c r="D43" s="75"/>
      <c r="E43" s="75"/>
      <c r="F43" s="76"/>
    </row>
    <row r="44" spans="1:6" ht="21" customHeight="1" x14ac:dyDescent="0.25">
      <c r="A44" s="75"/>
      <c r="B44" s="75"/>
      <c r="C44" s="75"/>
      <c r="D44" s="75"/>
      <c r="E44" s="75"/>
      <c r="F44" s="76"/>
    </row>
    <row r="45" spans="1:6" ht="21" customHeight="1" x14ac:dyDescent="0.25">
      <c r="A45" s="75"/>
      <c r="B45" s="75"/>
      <c r="C45" s="75"/>
      <c r="D45" s="75"/>
      <c r="E45" s="75"/>
      <c r="F45" s="76"/>
    </row>
    <row r="46" spans="1:6" ht="21" customHeight="1" x14ac:dyDescent="0.25">
      <c r="A46" s="75"/>
      <c r="B46" s="75"/>
      <c r="C46" s="75"/>
      <c r="D46" s="75"/>
      <c r="E46" s="75"/>
      <c r="F46" s="76"/>
    </row>
    <row r="47" spans="1:6" ht="21" customHeight="1" x14ac:dyDescent="0.25">
      <c r="A47" s="75"/>
      <c r="B47" s="75"/>
      <c r="C47" s="75"/>
      <c r="D47" s="75"/>
      <c r="E47" s="75"/>
      <c r="F47" s="76"/>
    </row>
    <row r="48" spans="1:6" ht="21" customHeight="1" x14ac:dyDescent="0.25">
      <c r="A48" s="75"/>
      <c r="B48" s="75"/>
      <c r="C48" s="75"/>
      <c r="D48" s="75"/>
      <c r="E48" s="75"/>
      <c r="F48" s="76"/>
    </row>
    <row r="49" spans="1:6" ht="21" customHeight="1" x14ac:dyDescent="0.25">
      <c r="A49" s="75"/>
      <c r="B49" s="75"/>
      <c r="C49" s="75"/>
      <c r="D49" s="75"/>
      <c r="E49" s="75"/>
      <c r="F49" s="76"/>
    </row>
    <row r="50" spans="1:6" ht="21" customHeight="1" x14ac:dyDescent="0.25">
      <c r="A50" s="75"/>
      <c r="B50" s="75"/>
      <c r="C50" s="75"/>
      <c r="D50" s="75"/>
      <c r="E50" s="75"/>
      <c r="F50" s="76"/>
    </row>
    <row r="51" spans="1:6" ht="21" customHeight="1" x14ac:dyDescent="0.25">
      <c r="A51" s="75"/>
      <c r="B51" s="75"/>
      <c r="C51" s="75"/>
      <c r="D51" s="75"/>
      <c r="E51" s="75"/>
      <c r="F51" s="76"/>
    </row>
    <row r="52" spans="1:6" ht="21" customHeight="1" x14ac:dyDescent="0.25">
      <c r="A52" s="75"/>
      <c r="B52" s="75"/>
      <c r="C52" s="75"/>
      <c r="D52" s="75"/>
      <c r="E52" s="75"/>
      <c r="F52" s="76"/>
    </row>
    <row r="53" spans="1:6" ht="21" customHeight="1" x14ac:dyDescent="0.25">
      <c r="A53" s="75"/>
      <c r="B53" s="75"/>
      <c r="C53" s="75"/>
      <c r="D53" s="75"/>
      <c r="E53" s="75"/>
      <c r="F53" s="76"/>
    </row>
    <row r="54" spans="1:6" ht="21" customHeight="1" x14ac:dyDescent="0.25">
      <c r="A54" s="75"/>
      <c r="B54" s="75"/>
      <c r="C54" s="75"/>
      <c r="D54" s="75"/>
      <c r="E54" s="75"/>
      <c r="F54" s="76"/>
    </row>
    <row r="55" spans="1:6" ht="21" customHeight="1" x14ac:dyDescent="0.25">
      <c r="A55" s="75"/>
      <c r="B55" s="75"/>
      <c r="C55" s="75"/>
      <c r="D55" s="75"/>
      <c r="E55" s="75"/>
      <c r="F55" s="76"/>
    </row>
    <row r="56" spans="1:6" ht="21" customHeight="1" x14ac:dyDescent="0.25">
      <c r="A56" s="75"/>
      <c r="B56" s="75"/>
      <c r="C56" s="75"/>
      <c r="D56" s="75"/>
      <c r="E56" s="75"/>
      <c r="F56" s="76"/>
    </row>
    <row r="57" spans="1:6" ht="21" customHeight="1" x14ac:dyDescent="0.25">
      <c r="A57" s="75"/>
      <c r="B57" s="75"/>
      <c r="C57" s="75"/>
      <c r="D57" s="75"/>
      <c r="E57" s="75"/>
      <c r="F57" s="76"/>
    </row>
    <row r="58" spans="1:6" ht="21" customHeight="1" x14ac:dyDescent="0.25">
      <c r="A58" s="75"/>
      <c r="B58" s="75"/>
      <c r="C58" s="75"/>
      <c r="D58" s="75"/>
      <c r="E58" s="75"/>
      <c r="F58" s="76"/>
    </row>
    <row r="59" spans="1:6" ht="21" customHeight="1" x14ac:dyDescent="0.25">
      <c r="A59" s="75"/>
      <c r="B59" s="75"/>
      <c r="C59" s="75"/>
      <c r="D59" s="75"/>
      <c r="E59" s="75"/>
      <c r="F59" s="76"/>
    </row>
    <row r="60" spans="1:6" ht="21" customHeight="1" x14ac:dyDescent="0.25">
      <c r="A60" s="75"/>
      <c r="B60" s="75"/>
      <c r="C60" s="75"/>
      <c r="D60" s="75"/>
      <c r="E60" s="75"/>
      <c r="F60" s="76"/>
    </row>
    <row r="61" spans="1:6" ht="21" customHeight="1" x14ac:dyDescent="0.25">
      <c r="A61" s="75"/>
      <c r="B61" s="75"/>
      <c r="C61" s="75"/>
      <c r="D61" s="75"/>
      <c r="E61" s="75"/>
      <c r="F61" s="76"/>
    </row>
    <row r="62" spans="1:6" ht="21" customHeight="1" x14ac:dyDescent="0.25">
      <c r="A62" s="75"/>
      <c r="B62" s="75"/>
      <c r="C62" s="75"/>
      <c r="D62" s="75"/>
      <c r="E62" s="75"/>
      <c r="F62" s="76"/>
    </row>
    <row r="63" spans="1:6" ht="21" customHeight="1" x14ac:dyDescent="0.25">
      <c r="A63" s="75"/>
      <c r="B63" s="75"/>
      <c r="C63" s="75"/>
      <c r="D63" s="75"/>
      <c r="E63" s="75"/>
      <c r="F63" s="76"/>
    </row>
    <row r="64" spans="1:6" ht="21" customHeight="1" x14ac:dyDescent="0.25">
      <c r="A64" s="75"/>
      <c r="B64" s="75"/>
      <c r="C64" s="75"/>
      <c r="D64" s="75"/>
      <c r="E64" s="75"/>
      <c r="F64" s="76"/>
    </row>
    <row r="65" spans="1:6" ht="21" customHeight="1" x14ac:dyDescent="0.25">
      <c r="A65" s="75"/>
      <c r="B65" s="75"/>
      <c r="C65" s="75"/>
      <c r="D65" s="75"/>
      <c r="E65" s="75"/>
      <c r="F65" s="76"/>
    </row>
    <row r="66" spans="1:6" ht="21" customHeight="1" x14ac:dyDescent="0.25">
      <c r="A66" s="75"/>
      <c r="B66" s="75"/>
      <c r="C66" s="75"/>
      <c r="D66" s="75"/>
      <c r="E66" s="75"/>
      <c r="F66" s="76"/>
    </row>
    <row r="67" spans="1:6" ht="21" customHeight="1" x14ac:dyDescent="0.25">
      <c r="A67" s="75"/>
      <c r="B67" s="75"/>
      <c r="C67" s="75"/>
      <c r="D67" s="75"/>
      <c r="E67" s="75"/>
      <c r="F67" s="76"/>
    </row>
    <row r="68" spans="1:6" ht="21" customHeight="1" x14ac:dyDescent="0.25">
      <c r="A68" s="75"/>
      <c r="B68" s="75"/>
      <c r="C68" s="75"/>
      <c r="D68" s="75"/>
      <c r="E68" s="75"/>
      <c r="F68" s="76"/>
    </row>
    <row r="69" spans="1:6" ht="21" customHeight="1" x14ac:dyDescent="0.25">
      <c r="A69" s="75"/>
      <c r="B69" s="75"/>
      <c r="C69" s="75"/>
      <c r="D69" s="75"/>
      <c r="E69" s="75"/>
      <c r="F69" s="76"/>
    </row>
    <row r="70" spans="1:6" ht="21" customHeight="1" x14ac:dyDescent="0.25">
      <c r="A70" s="75"/>
      <c r="B70" s="75"/>
      <c r="C70" s="75"/>
      <c r="D70" s="75"/>
      <c r="E70" s="75"/>
      <c r="F70" s="76"/>
    </row>
    <row r="71" spans="1:6" ht="21" customHeight="1" x14ac:dyDescent="0.25">
      <c r="A71" s="75"/>
      <c r="B71" s="75"/>
      <c r="C71" s="75"/>
      <c r="D71" s="75"/>
      <c r="E71" s="75"/>
      <c r="F71" s="76"/>
    </row>
    <row r="72" spans="1:6" ht="21" customHeight="1" x14ac:dyDescent="0.25">
      <c r="A72" s="75"/>
      <c r="B72" s="75"/>
      <c r="C72" s="75"/>
      <c r="D72" s="75"/>
      <c r="E72" s="75"/>
      <c r="F72" s="76"/>
    </row>
    <row r="73" spans="1:6" ht="21" customHeight="1" x14ac:dyDescent="0.25">
      <c r="A73" s="75"/>
      <c r="B73" s="75"/>
      <c r="C73" s="75"/>
      <c r="D73" s="75"/>
      <c r="E73" s="75"/>
      <c r="F73" s="76"/>
    </row>
    <row r="74" spans="1:6" ht="21" customHeight="1" x14ac:dyDescent="0.25">
      <c r="A74" s="75"/>
      <c r="B74" s="75"/>
      <c r="C74" s="75"/>
      <c r="D74" s="75"/>
      <c r="E74" s="75"/>
      <c r="F74" s="76"/>
    </row>
    <row r="75" spans="1:6" ht="21" customHeight="1" x14ac:dyDescent="0.25">
      <c r="A75" s="75"/>
      <c r="B75" s="75"/>
      <c r="C75" s="75"/>
      <c r="D75" s="75"/>
      <c r="E75" s="75"/>
      <c r="F75" s="76"/>
    </row>
    <row r="76" spans="1:6" ht="21" customHeight="1" x14ac:dyDescent="0.25">
      <c r="A76" s="75"/>
      <c r="B76" s="75"/>
      <c r="C76" s="75"/>
      <c r="D76" s="75"/>
      <c r="E76" s="75"/>
      <c r="F76" s="76"/>
    </row>
    <row r="77" spans="1:6" ht="21" customHeight="1" x14ac:dyDescent="0.25">
      <c r="A77" s="75"/>
      <c r="B77" s="75"/>
      <c r="C77" s="75"/>
      <c r="D77" s="75"/>
      <c r="E77" s="75"/>
      <c r="F77" s="76"/>
    </row>
    <row r="78" spans="1:6" ht="21" customHeight="1" x14ac:dyDescent="0.25">
      <c r="A78" s="75"/>
      <c r="B78" s="75"/>
      <c r="C78" s="75"/>
      <c r="D78" s="75"/>
      <c r="E78" s="75"/>
      <c r="F78" s="76"/>
    </row>
    <row r="79" spans="1:6" ht="21" customHeight="1" x14ac:dyDescent="0.25">
      <c r="A79" s="75"/>
      <c r="B79" s="75"/>
      <c r="C79" s="75"/>
      <c r="D79" s="75"/>
      <c r="E79" s="75"/>
      <c r="F79" s="76"/>
    </row>
    <row r="80" spans="1:6" ht="21" customHeight="1" x14ac:dyDescent="0.25">
      <c r="A80" s="75"/>
      <c r="B80" s="75"/>
      <c r="C80" s="75"/>
      <c r="D80" s="75"/>
      <c r="E80" s="75"/>
      <c r="F80" s="76"/>
    </row>
    <row r="81" spans="1:6" ht="21" customHeight="1" x14ac:dyDescent="0.25">
      <c r="A81" s="75"/>
      <c r="B81" s="75"/>
      <c r="C81" s="75"/>
      <c r="D81" s="75"/>
      <c r="E81" s="75"/>
      <c r="F81" s="76"/>
    </row>
    <row r="82" spans="1:6" ht="21" customHeight="1" x14ac:dyDescent="0.25">
      <c r="A82" s="75"/>
      <c r="B82" s="75"/>
      <c r="C82" s="75"/>
      <c r="D82" s="75"/>
      <c r="E82" s="75"/>
      <c r="F82" s="76"/>
    </row>
    <row r="83" spans="1:6" ht="21" customHeight="1" x14ac:dyDescent="0.25">
      <c r="A83" s="75"/>
      <c r="B83" s="75"/>
      <c r="C83" s="75"/>
      <c r="D83" s="75"/>
      <c r="E83" s="75"/>
      <c r="F83" s="76"/>
    </row>
    <row r="84" spans="1:6" ht="21" customHeight="1" x14ac:dyDescent="0.25">
      <c r="A84" s="75"/>
      <c r="B84" s="75"/>
      <c r="C84" s="75"/>
      <c r="D84" s="75"/>
      <c r="E84" s="75"/>
      <c r="F84" s="76"/>
    </row>
    <row r="85" spans="1:6" ht="21" customHeight="1" x14ac:dyDescent="0.25">
      <c r="A85" s="75"/>
      <c r="B85" s="75"/>
      <c r="C85" s="75"/>
      <c r="D85" s="75"/>
      <c r="E85" s="75"/>
      <c r="F85" s="76"/>
    </row>
    <row r="86" spans="1:6" ht="21" customHeight="1" x14ac:dyDescent="0.25">
      <c r="A86" s="75"/>
      <c r="B86" s="75"/>
      <c r="C86" s="75"/>
      <c r="D86" s="75"/>
      <c r="E86" s="75"/>
      <c r="F86" s="76"/>
    </row>
    <row r="87" spans="1:6" ht="21" customHeight="1" x14ac:dyDescent="0.25">
      <c r="A87" s="75"/>
      <c r="B87" s="75"/>
      <c r="C87" s="75"/>
      <c r="D87" s="75"/>
      <c r="E87" s="75"/>
      <c r="F87" s="76"/>
    </row>
    <row r="88" spans="1:6" ht="21" customHeight="1" x14ac:dyDescent="0.25">
      <c r="A88" s="75"/>
      <c r="B88" s="75"/>
      <c r="C88" s="75"/>
      <c r="D88" s="75"/>
      <c r="E88" s="75"/>
      <c r="F88" s="76"/>
    </row>
    <row r="89" spans="1:6" ht="21" customHeight="1" x14ac:dyDescent="0.25">
      <c r="A89" s="75"/>
      <c r="B89" s="75"/>
      <c r="C89" s="75"/>
      <c r="D89" s="75"/>
      <c r="E89" s="75"/>
      <c r="F89" s="76"/>
    </row>
    <row r="90" spans="1:6" ht="21" customHeight="1" x14ac:dyDescent="0.25">
      <c r="A90" s="75"/>
      <c r="B90" s="75"/>
      <c r="C90" s="75"/>
      <c r="D90" s="75"/>
      <c r="E90" s="75"/>
      <c r="F90" s="76"/>
    </row>
    <row r="91" spans="1:6" ht="21" customHeight="1" x14ac:dyDescent="0.25">
      <c r="A91" s="75"/>
      <c r="B91" s="75"/>
      <c r="C91" s="75"/>
      <c r="D91" s="75"/>
      <c r="E91" s="75"/>
      <c r="F91" s="76"/>
    </row>
    <row r="92" spans="1:6" ht="21" customHeight="1" x14ac:dyDescent="0.25">
      <c r="A92" s="75"/>
      <c r="B92" s="75"/>
      <c r="C92" s="75"/>
      <c r="D92" s="75"/>
      <c r="E92" s="75"/>
      <c r="F92" s="76"/>
    </row>
    <row r="93" spans="1:6" ht="21" customHeight="1" x14ac:dyDescent="0.25">
      <c r="A93" s="75"/>
      <c r="B93" s="75"/>
      <c r="C93" s="75"/>
      <c r="D93" s="75"/>
      <c r="E93" s="75"/>
      <c r="F93" s="76"/>
    </row>
    <row r="94" spans="1:6" ht="21" customHeight="1" x14ac:dyDescent="0.25">
      <c r="A94" s="75"/>
      <c r="B94" s="75"/>
      <c r="C94" s="75"/>
      <c r="D94" s="75"/>
      <c r="E94" s="75"/>
      <c r="F94" s="76"/>
    </row>
    <row r="95" spans="1:6" ht="21" customHeight="1" x14ac:dyDescent="0.25">
      <c r="A95" s="75"/>
      <c r="B95" s="75"/>
      <c r="C95" s="75"/>
      <c r="D95" s="75"/>
      <c r="E95" s="75"/>
      <c r="F95" s="76"/>
    </row>
    <row r="96" spans="1:6" ht="21" customHeight="1" x14ac:dyDescent="0.25">
      <c r="A96" s="75"/>
      <c r="B96" s="75"/>
      <c r="C96" s="75"/>
      <c r="D96" s="75"/>
      <c r="E96" s="75"/>
      <c r="F96" s="76"/>
    </row>
    <row r="97" spans="1:6" ht="21" customHeight="1" x14ac:dyDescent="0.25">
      <c r="A97" s="75"/>
      <c r="B97" s="75"/>
      <c r="C97" s="75"/>
      <c r="D97" s="75"/>
      <c r="E97" s="75"/>
      <c r="F97" s="76"/>
    </row>
    <row r="98" spans="1:6" ht="21" customHeight="1" x14ac:dyDescent="0.25">
      <c r="A98" s="75"/>
      <c r="B98" s="75"/>
      <c r="C98" s="75"/>
      <c r="D98" s="75"/>
      <c r="E98" s="75"/>
      <c r="F98" s="76"/>
    </row>
    <row r="99" spans="1:6" ht="21" customHeight="1" x14ac:dyDescent="0.25">
      <c r="A99" s="75"/>
      <c r="B99" s="75"/>
      <c r="C99" s="75"/>
      <c r="D99" s="75"/>
      <c r="E99" s="75"/>
      <c r="F99" s="76"/>
    </row>
    <row r="100" spans="1:6" ht="21" customHeight="1" x14ac:dyDescent="0.25">
      <c r="A100" s="75"/>
      <c r="B100" s="75"/>
      <c r="C100" s="75"/>
      <c r="D100" s="75"/>
      <c r="E100" s="75"/>
      <c r="F100" s="76"/>
    </row>
    <row r="101" spans="1:6" ht="21" customHeight="1" x14ac:dyDescent="0.25">
      <c r="A101" s="75"/>
      <c r="B101" s="75"/>
      <c r="C101" s="75"/>
      <c r="D101" s="75"/>
      <c r="E101" s="75"/>
      <c r="F101" s="76"/>
    </row>
    <row r="102" spans="1:6" ht="21" customHeight="1" x14ac:dyDescent="0.25">
      <c r="A102" s="75"/>
      <c r="B102" s="75"/>
      <c r="C102" s="75"/>
      <c r="D102" s="75"/>
      <c r="E102" s="75"/>
      <c r="F102" s="76"/>
    </row>
    <row r="103" spans="1:6" ht="21" customHeight="1" x14ac:dyDescent="0.25">
      <c r="A103" s="75"/>
      <c r="B103" s="75"/>
      <c r="C103" s="75"/>
      <c r="D103" s="75"/>
      <c r="E103" s="75"/>
      <c r="F103" s="76"/>
    </row>
    <row r="104" spans="1:6" ht="21" customHeight="1" x14ac:dyDescent="0.25">
      <c r="A104" s="75"/>
      <c r="B104" s="75"/>
      <c r="C104" s="75"/>
      <c r="D104" s="75"/>
      <c r="E104" s="75"/>
      <c r="F104" s="76"/>
    </row>
    <row r="105" spans="1:6" ht="21" customHeight="1" x14ac:dyDescent="0.25">
      <c r="A105" s="75"/>
      <c r="B105" s="75"/>
      <c r="C105" s="75"/>
      <c r="D105" s="75"/>
      <c r="E105" s="75"/>
      <c r="F105" s="76"/>
    </row>
    <row r="106" spans="1:6" ht="21" customHeight="1" x14ac:dyDescent="0.25">
      <c r="A106" s="75"/>
      <c r="B106" s="75"/>
      <c r="C106" s="75"/>
      <c r="D106" s="75"/>
      <c r="E106" s="75"/>
      <c r="F106" s="76"/>
    </row>
    <row r="107" spans="1:6" ht="21" customHeight="1" x14ac:dyDescent="0.25">
      <c r="A107" s="75"/>
      <c r="B107" s="75"/>
      <c r="C107" s="75"/>
      <c r="D107" s="75"/>
      <c r="E107" s="75"/>
      <c r="F107" s="76"/>
    </row>
    <row r="108" spans="1:6" ht="21" customHeight="1" x14ac:dyDescent="0.25">
      <c r="A108" s="75"/>
      <c r="B108" s="75"/>
      <c r="C108" s="75"/>
      <c r="D108" s="75"/>
      <c r="E108" s="75"/>
      <c r="F108" s="76"/>
    </row>
    <row r="109" spans="1:6" ht="21" customHeight="1" x14ac:dyDescent="0.25">
      <c r="A109" s="75"/>
      <c r="B109" s="75"/>
      <c r="C109" s="75"/>
      <c r="D109" s="75"/>
      <c r="E109" s="75"/>
      <c r="F109" s="76"/>
    </row>
    <row r="110" spans="1:6" ht="21" customHeight="1" x14ac:dyDescent="0.25">
      <c r="A110" s="75"/>
      <c r="B110" s="75"/>
      <c r="C110" s="75"/>
      <c r="D110" s="75"/>
      <c r="E110" s="75"/>
      <c r="F110" s="76"/>
    </row>
    <row r="111" spans="1:6" ht="21" customHeight="1" x14ac:dyDescent="0.25">
      <c r="A111" s="75"/>
      <c r="B111" s="75"/>
      <c r="C111" s="75"/>
      <c r="D111" s="75"/>
      <c r="E111" s="75"/>
      <c r="F111" s="76"/>
    </row>
    <row r="112" spans="1:6" ht="21" customHeight="1" x14ac:dyDescent="0.25">
      <c r="A112" s="75"/>
      <c r="B112" s="75"/>
      <c r="C112" s="75"/>
      <c r="D112" s="75"/>
      <c r="E112" s="75"/>
      <c r="F112" s="76"/>
    </row>
    <row r="113" spans="1:6" ht="21" customHeight="1" x14ac:dyDescent="0.25">
      <c r="A113" s="75"/>
      <c r="B113" s="75"/>
      <c r="C113" s="75"/>
      <c r="D113" s="75"/>
      <c r="E113" s="75"/>
      <c r="F113" s="76"/>
    </row>
    <row r="114" spans="1:6" ht="21" customHeight="1" x14ac:dyDescent="0.25">
      <c r="A114" s="75"/>
      <c r="B114" s="75"/>
      <c r="C114" s="75"/>
      <c r="D114" s="75"/>
      <c r="E114" s="75"/>
      <c r="F114" s="76"/>
    </row>
    <row r="115" spans="1:6" ht="21" customHeight="1" x14ac:dyDescent="0.25">
      <c r="A115" s="75"/>
      <c r="B115" s="75"/>
      <c r="C115" s="75"/>
      <c r="D115" s="75"/>
      <c r="E115" s="75"/>
      <c r="F115" s="76"/>
    </row>
    <row r="116" spans="1:6" ht="21" customHeight="1" x14ac:dyDescent="0.25">
      <c r="A116" s="75"/>
      <c r="B116" s="75"/>
      <c r="C116" s="75"/>
      <c r="D116" s="75"/>
      <c r="E116" s="75"/>
      <c r="F116" s="76"/>
    </row>
    <row r="117" spans="1:6" ht="21" customHeight="1" x14ac:dyDescent="0.25">
      <c r="A117" s="75"/>
      <c r="B117" s="75"/>
      <c r="C117" s="75"/>
      <c r="D117" s="75"/>
      <c r="E117" s="75"/>
      <c r="F117" s="76"/>
    </row>
    <row r="118" spans="1:6" ht="21" customHeight="1" x14ac:dyDescent="0.25">
      <c r="A118" s="75"/>
      <c r="B118" s="75"/>
      <c r="C118" s="75"/>
      <c r="D118" s="75"/>
      <c r="E118" s="75"/>
      <c r="F118" s="76"/>
    </row>
    <row r="119" spans="1:6" ht="21" customHeight="1" x14ac:dyDescent="0.25">
      <c r="A119" s="75"/>
      <c r="B119" s="75"/>
      <c r="C119" s="75"/>
      <c r="D119" s="75"/>
      <c r="E119" s="75"/>
      <c r="F119" s="76"/>
    </row>
    <row r="120" spans="1:6" ht="21" customHeight="1" x14ac:dyDescent="0.25">
      <c r="A120" s="75"/>
      <c r="B120" s="75"/>
      <c r="C120" s="75"/>
      <c r="D120" s="75"/>
      <c r="E120" s="75"/>
      <c r="F120" s="76"/>
    </row>
    <row r="121" spans="1:6" ht="21" customHeight="1" x14ac:dyDescent="0.25">
      <c r="A121" s="75"/>
      <c r="B121" s="75"/>
      <c r="C121" s="75"/>
      <c r="D121" s="75"/>
      <c r="E121" s="75"/>
      <c r="F121" s="76"/>
    </row>
    <row r="122" spans="1:6" ht="21" customHeight="1" x14ac:dyDescent="0.25">
      <c r="A122" s="75"/>
      <c r="B122" s="75"/>
      <c r="C122" s="75"/>
      <c r="D122" s="75"/>
      <c r="E122" s="75"/>
      <c r="F122" s="76"/>
    </row>
    <row r="123" spans="1:6" ht="21" customHeight="1" x14ac:dyDescent="0.25">
      <c r="A123" s="75"/>
      <c r="B123" s="75"/>
      <c r="C123" s="75"/>
      <c r="D123" s="75"/>
      <c r="E123" s="75"/>
      <c r="F123" s="76"/>
    </row>
    <row r="124" spans="1:6" ht="21" customHeight="1" x14ac:dyDescent="0.25">
      <c r="A124" s="75"/>
      <c r="B124" s="75"/>
      <c r="C124" s="75"/>
      <c r="D124" s="75"/>
      <c r="E124" s="75"/>
      <c r="F124" s="76"/>
    </row>
    <row r="125" spans="1:6" ht="21" customHeight="1" x14ac:dyDescent="0.25">
      <c r="A125" s="75"/>
      <c r="B125" s="75"/>
      <c r="C125" s="75"/>
      <c r="D125" s="75"/>
      <c r="E125" s="75"/>
      <c r="F125" s="76"/>
    </row>
    <row r="126" spans="1:6" ht="21" customHeight="1" x14ac:dyDescent="0.25">
      <c r="A126" s="75"/>
      <c r="B126" s="75"/>
      <c r="C126" s="75"/>
      <c r="D126" s="75"/>
      <c r="E126" s="75"/>
      <c r="F126" s="76"/>
    </row>
    <row r="127" spans="1:6" ht="21" customHeight="1" x14ac:dyDescent="0.25">
      <c r="A127" s="75"/>
      <c r="B127" s="75"/>
      <c r="C127" s="75"/>
      <c r="D127" s="75"/>
      <c r="E127" s="75"/>
      <c r="F127" s="76"/>
    </row>
    <row r="128" spans="1:6" ht="21" customHeight="1" x14ac:dyDescent="0.25">
      <c r="A128" s="75"/>
      <c r="B128" s="75"/>
      <c r="C128" s="75"/>
      <c r="D128" s="75"/>
      <c r="E128" s="75"/>
      <c r="F128" s="76"/>
    </row>
    <row r="129" spans="1:6" ht="21" customHeight="1" x14ac:dyDescent="0.25">
      <c r="A129" s="75"/>
      <c r="B129" s="75"/>
      <c r="C129" s="75"/>
      <c r="D129" s="75"/>
      <c r="E129" s="75"/>
      <c r="F129" s="76"/>
    </row>
    <row r="130" spans="1:6" ht="21" customHeight="1" x14ac:dyDescent="0.25">
      <c r="A130" s="75"/>
      <c r="B130" s="75"/>
      <c r="C130" s="75"/>
      <c r="D130" s="75"/>
      <c r="E130" s="75"/>
      <c r="F130" s="76"/>
    </row>
    <row r="131" spans="1:6" ht="21" customHeight="1" x14ac:dyDescent="0.25">
      <c r="A131" s="75"/>
      <c r="B131" s="75"/>
      <c r="C131" s="75"/>
      <c r="D131" s="75"/>
      <c r="E131" s="75"/>
      <c r="F131" s="76"/>
    </row>
    <row r="132" spans="1:6" ht="21" customHeight="1" x14ac:dyDescent="0.25">
      <c r="A132" s="75"/>
      <c r="B132" s="75"/>
      <c r="C132" s="75"/>
      <c r="D132" s="75"/>
      <c r="E132" s="75"/>
      <c r="F132" s="76"/>
    </row>
    <row r="133" spans="1:6" ht="21" customHeight="1" x14ac:dyDescent="0.25">
      <c r="A133" s="75"/>
      <c r="B133" s="75"/>
      <c r="C133" s="75"/>
      <c r="D133" s="75"/>
      <c r="E133" s="75"/>
      <c r="F133" s="76"/>
    </row>
    <row r="134" spans="1:6" ht="21" customHeight="1" x14ac:dyDescent="0.25">
      <c r="A134" s="75"/>
      <c r="B134" s="75"/>
      <c r="C134" s="75"/>
      <c r="D134" s="75"/>
      <c r="E134" s="75"/>
      <c r="F134" s="76"/>
    </row>
    <row r="135" spans="1:6" ht="21" customHeight="1" x14ac:dyDescent="0.25">
      <c r="A135" s="75"/>
      <c r="B135" s="75"/>
      <c r="C135" s="75"/>
      <c r="D135" s="75"/>
      <c r="E135" s="75"/>
      <c r="F135" s="76"/>
    </row>
    <row r="136" spans="1:6" ht="21" customHeight="1" x14ac:dyDescent="0.25">
      <c r="A136" s="75"/>
      <c r="B136" s="75"/>
      <c r="C136" s="75"/>
      <c r="D136" s="75"/>
      <c r="E136" s="75"/>
      <c r="F136" s="76"/>
    </row>
    <row r="137" spans="1:6" ht="21" customHeight="1" x14ac:dyDescent="0.25">
      <c r="A137" s="75"/>
      <c r="B137" s="75"/>
      <c r="C137" s="75"/>
      <c r="D137" s="75"/>
      <c r="E137" s="75"/>
      <c r="F137" s="76"/>
    </row>
    <row r="138" spans="1:6" ht="21" customHeight="1" x14ac:dyDescent="0.25">
      <c r="A138" s="75"/>
      <c r="B138" s="75"/>
      <c r="C138" s="75"/>
      <c r="D138" s="75"/>
      <c r="E138" s="75"/>
      <c r="F138" s="76"/>
    </row>
    <row r="139" spans="1:6" ht="21" customHeight="1" x14ac:dyDescent="0.25">
      <c r="A139" s="75"/>
      <c r="B139" s="75"/>
      <c r="C139" s="75"/>
      <c r="D139" s="75"/>
      <c r="E139" s="75"/>
      <c r="F139" s="76"/>
    </row>
    <row r="140" spans="1:6" ht="21" customHeight="1" x14ac:dyDescent="0.25">
      <c r="A140" s="75"/>
      <c r="B140" s="75"/>
      <c r="C140" s="75"/>
      <c r="D140" s="75"/>
      <c r="E140" s="75"/>
      <c r="F140" s="76"/>
    </row>
    <row r="141" spans="1:6" ht="21" customHeight="1" x14ac:dyDescent="0.25">
      <c r="A141" s="75"/>
      <c r="B141" s="75"/>
      <c r="C141" s="75"/>
      <c r="D141" s="75"/>
      <c r="E141" s="75"/>
      <c r="F141" s="76"/>
    </row>
    <row r="142" spans="1:6" ht="21" customHeight="1" x14ac:dyDescent="0.25">
      <c r="A142" s="75"/>
      <c r="B142" s="75"/>
      <c r="C142" s="75"/>
      <c r="D142" s="75"/>
      <c r="E142" s="75"/>
      <c r="F142" s="76"/>
    </row>
    <row r="143" spans="1:6" ht="21" customHeight="1" x14ac:dyDescent="0.25">
      <c r="A143" s="75"/>
      <c r="B143" s="75"/>
      <c r="C143" s="75"/>
      <c r="D143" s="75"/>
      <c r="E143" s="75"/>
      <c r="F143" s="76"/>
    </row>
    <row r="144" spans="1:6" ht="21" customHeight="1" x14ac:dyDescent="0.25">
      <c r="A144" s="75"/>
      <c r="B144" s="75"/>
      <c r="C144" s="75"/>
      <c r="D144" s="75"/>
      <c r="E144" s="75"/>
      <c r="F144" s="76"/>
    </row>
    <row r="145" spans="1:6" ht="21" customHeight="1" x14ac:dyDescent="0.25">
      <c r="A145" s="75"/>
      <c r="B145" s="75"/>
      <c r="C145" s="75"/>
      <c r="D145" s="75"/>
      <c r="E145" s="75"/>
      <c r="F145" s="76"/>
    </row>
    <row r="146" spans="1:6" ht="21" customHeight="1" x14ac:dyDescent="0.25">
      <c r="A146" s="75"/>
      <c r="B146" s="75"/>
      <c r="C146" s="75"/>
      <c r="D146" s="75"/>
      <c r="E146" s="75"/>
      <c r="F146" s="76"/>
    </row>
    <row r="147" spans="1:6" ht="21" customHeight="1" x14ac:dyDescent="0.25">
      <c r="A147" s="75"/>
      <c r="B147" s="75"/>
      <c r="C147" s="75"/>
      <c r="D147" s="75"/>
      <c r="E147" s="75"/>
      <c r="F147" s="76"/>
    </row>
    <row r="148" spans="1:6" ht="21" customHeight="1" x14ac:dyDescent="0.25">
      <c r="A148" s="75"/>
      <c r="B148" s="75"/>
      <c r="C148" s="75"/>
      <c r="D148" s="75"/>
      <c r="E148" s="75"/>
      <c r="F148" s="76"/>
    </row>
    <row r="149" spans="1:6" ht="21" customHeight="1" x14ac:dyDescent="0.25">
      <c r="A149" s="75"/>
      <c r="B149" s="75"/>
      <c r="C149" s="75"/>
      <c r="D149" s="75"/>
      <c r="E149" s="75"/>
      <c r="F149" s="76"/>
    </row>
    <row r="150" spans="1:6" ht="21" customHeight="1" x14ac:dyDescent="0.25">
      <c r="A150" s="75"/>
      <c r="B150" s="75"/>
      <c r="C150" s="75"/>
      <c r="D150" s="75"/>
      <c r="E150" s="75"/>
      <c r="F150" s="76"/>
    </row>
    <row r="151" spans="1:6" ht="21" customHeight="1" x14ac:dyDescent="0.25">
      <c r="A151" s="75"/>
      <c r="B151" s="75"/>
      <c r="C151" s="75"/>
      <c r="D151" s="75"/>
      <c r="E151" s="75"/>
      <c r="F151" s="76"/>
    </row>
    <row r="152" spans="1:6" ht="21" customHeight="1" x14ac:dyDescent="0.25">
      <c r="A152" s="75"/>
      <c r="B152" s="75"/>
      <c r="C152" s="75"/>
      <c r="D152" s="75"/>
      <c r="E152" s="75"/>
      <c r="F152" s="76"/>
    </row>
    <row r="153" spans="1:6" ht="21" customHeight="1" x14ac:dyDescent="0.25">
      <c r="A153" s="75"/>
      <c r="B153" s="75"/>
      <c r="C153" s="75"/>
      <c r="D153" s="75"/>
      <c r="E153" s="75"/>
      <c r="F153" s="76"/>
    </row>
    <row r="154" spans="1:6" ht="21" customHeight="1" x14ac:dyDescent="0.25">
      <c r="A154" s="75"/>
      <c r="B154" s="75"/>
      <c r="C154" s="75"/>
      <c r="D154" s="75"/>
      <c r="E154" s="75"/>
      <c r="F154" s="76"/>
    </row>
    <row r="155" spans="1:6" ht="21" customHeight="1" x14ac:dyDescent="0.25">
      <c r="A155" s="75"/>
      <c r="B155" s="75"/>
      <c r="C155" s="75"/>
      <c r="D155" s="75"/>
      <c r="E155" s="75"/>
      <c r="F155" s="76"/>
    </row>
    <row r="156" spans="1:6" ht="21" customHeight="1" x14ac:dyDescent="0.25"/>
    <row r="157" spans="1:6" ht="21" customHeight="1" x14ac:dyDescent="0.25"/>
    <row r="158" spans="1:6" ht="21" customHeight="1" x14ac:dyDescent="0.25"/>
    <row r="159" spans="1:6" ht="21" customHeight="1" x14ac:dyDescent="0.25"/>
    <row r="160" spans="1:6"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sheetData>
  <sheetProtection password="CB4D" sheet="1" formatCells="0" formatColumns="0" formatRows="0" selectLockedCells="1" sort="0" autoFilter="0"/>
  <pageMargins left="0.7" right="0.7" top="0.75" bottom="0.75" header="0.3" footer="0.3"/>
  <pageSetup paperSize="9" orientation="portrait"/>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016DB6"/>
    <pageSetUpPr fitToPage="1"/>
  </sheetPr>
  <dimension ref="A1:P235"/>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27</v>
      </c>
      <c r="B1" s="56" t="s">
        <v>81</v>
      </c>
      <c r="C1" s="57" t="s">
        <v>28</v>
      </c>
      <c r="D1" s="64" t="s">
        <v>114</v>
      </c>
      <c r="E1" s="64" t="s">
        <v>115</v>
      </c>
      <c r="F1" s="64" t="s">
        <v>116</v>
      </c>
      <c r="G1" s="64" t="s">
        <v>117</v>
      </c>
      <c r="H1" s="64" t="s">
        <v>118</v>
      </c>
      <c r="I1" s="64" t="s">
        <v>119</v>
      </c>
      <c r="J1" s="64" t="s">
        <v>120</v>
      </c>
      <c r="K1" s="64" t="s">
        <v>121</v>
      </c>
      <c r="L1" s="64" t="s">
        <v>122</v>
      </c>
      <c r="M1" s="64" t="s">
        <v>123</v>
      </c>
      <c r="N1" s="101" t="s">
        <v>124</v>
      </c>
      <c r="O1" s="102" t="s">
        <v>99</v>
      </c>
    </row>
    <row r="2" spans="1:15" ht="21" customHeight="1" x14ac:dyDescent="0.25">
      <c r="A2" s="69">
        <v>24277</v>
      </c>
      <c r="B2" s="69">
        <f>INDEX(OfficialTeamList[Pod Number],MATCH(InnovationProjectResults[[#This Row],[Team Number]], OfficialTeamList[Team Number],0))</f>
        <v>1</v>
      </c>
      <c r="C2" s="104" t="str">
        <f>INDEX(OfficialTeamList[Team Name],MATCH(InnovationProjectResults[[#This Row],[Team Number]], OfficialTeamList[Team Number],0))</f>
        <v>Norfolk Collegiate O.A.K.S.</v>
      </c>
      <c r="D2" s="70">
        <v>2</v>
      </c>
      <c r="E2" s="70">
        <v>4</v>
      </c>
      <c r="F2" s="70">
        <v>2</v>
      </c>
      <c r="G2" s="70">
        <v>2</v>
      </c>
      <c r="H2" s="70">
        <v>2</v>
      </c>
      <c r="I2" s="70">
        <v>2</v>
      </c>
      <c r="J2" s="70">
        <v>3</v>
      </c>
      <c r="K2" s="70">
        <v>2</v>
      </c>
      <c r="L2" s="70">
        <v>3</v>
      </c>
      <c r="M2" s="70">
        <v>2</v>
      </c>
      <c r="N2" s="83">
        <f>SUM(InnovationProjectResults[[#This Row],[Identify - Define]:[Communicate - Fun (CV)]])</f>
        <v>24</v>
      </c>
      <c r="O2" s="73">
        <f>_xlfn.RANK.EQ(InnovationProjectResults[[#This Row],[Innovation Project Score]],InnovationProjectResults[Innovation Project Score],0)</f>
        <v>6</v>
      </c>
    </row>
    <row r="3" spans="1:15" ht="21" customHeight="1" x14ac:dyDescent="0.25">
      <c r="A3" s="69">
        <v>26034</v>
      </c>
      <c r="B3" s="69">
        <f>INDEX(OfficialTeamList[Pod Number],MATCH(InnovationProjectResults[[#This Row],[Team Number]], OfficialTeamList[Team Number],0))</f>
        <v>0</v>
      </c>
      <c r="C3" s="104" t="str">
        <f>INDEX(OfficialTeamList[Team Name],MATCH(InnovationProjectResults[[#This Row],[Team Number]], OfficialTeamList[Team Number],0))</f>
        <v>OLMC White Team</v>
      </c>
      <c r="D3" s="70">
        <v>4</v>
      </c>
      <c r="E3" s="70">
        <v>3</v>
      </c>
      <c r="F3" s="70">
        <v>3</v>
      </c>
      <c r="G3" s="70">
        <v>2</v>
      </c>
      <c r="H3" s="70">
        <v>2</v>
      </c>
      <c r="I3" s="70">
        <v>2</v>
      </c>
      <c r="J3" s="70">
        <v>4</v>
      </c>
      <c r="K3" s="70">
        <v>3</v>
      </c>
      <c r="L3" s="70">
        <v>2</v>
      </c>
      <c r="M3" s="70">
        <v>4</v>
      </c>
      <c r="N3" s="83">
        <f>SUM(InnovationProjectResults[[#This Row],[Identify - Define]:[Communicate - Fun (CV)]])</f>
        <v>29</v>
      </c>
      <c r="O3" s="73">
        <f>_xlfn.RANK.EQ(InnovationProjectResults[[#This Row],[Innovation Project Score]],InnovationProjectResults[Innovation Project Score],0)</f>
        <v>3</v>
      </c>
    </row>
    <row r="4" spans="1:15" ht="21" customHeight="1" x14ac:dyDescent="0.25">
      <c r="A4" s="69">
        <v>60801</v>
      </c>
      <c r="B4" s="69">
        <f>INDEX(OfficialTeamList[Pod Number],MATCH(InnovationProjectResults[[#This Row],[Team Number]], OfficialTeamList[Team Number],0))</f>
        <v>0</v>
      </c>
      <c r="C4" s="104" t="str">
        <f>INDEX(OfficialTeamList[Team Name],MATCH(InnovationProjectResults[[#This Row],[Team Number]], OfficialTeamList[Team Number],0))</f>
        <v>ESPs</v>
      </c>
      <c r="D4" s="70">
        <v>3</v>
      </c>
      <c r="E4" s="70">
        <v>3</v>
      </c>
      <c r="F4" s="70">
        <v>4</v>
      </c>
      <c r="G4" s="70">
        <v>2</v>
      </c>
      <c r="H4" s="70">
        <v>3</v>
      </c>
      <c r="I4" s="70">
        <v>4</v>
      </c>
      <c r="J4" s="70">
        <v>4</v>
      </c>
      <c r="K4" s="70">
        <v>4</v>
      </c>
      <c r="L4" s="70">
        <v>3</v>
      </c>
      <c r="M4" s="70">
        <v>1</v>
      </c>
      <c r="N4" s="83">
        <f>SUM(InnovationProjectResults[[#This Row],[Identify - Define]:[Communicate - Fun (CV)]])</f>
        <v>31</v>
      </c>
      <c r="O4" s="73">
        <f>_xlfn.RANK.EQ(InnovationProjectResults[[#This Row],[Innovation Project Score]],InnovationProjectResults[Innovation Project Score],0)</f>
        <v>1</v>
      </c>
    </row>
    <row r="5" spans="1:15" ht="21" customHeight="1" x14ac:dyDescent="0.25">
      <c r="A5" s="69">
        <v>67083</v>
      </c>
      <c r="B5" s="69">
        <f>INDEX(OfficialTeamList[Pod Number],MATCH(InnovationProjectResults[[#This Row],[Team Number]], OfficialTeamList[Team Number],0))</f>
        <v>0</v>
      </c>
      <c r="C5" s="104" t="str">
        <f>INDEX(OfficialTeamList[Team Name],MATCH(InnovationProjectResults[[#This Row],[Team Number]], OfficialTeamList[Team Number],0))</f>
        <v>Wired Dolphins</v>
      </c>
      <c r="D5" s="70">
        <v>3</v>
      </c>
      <c r="E5" s="70">
        <v>2</v>
      </c>
      <c r="F5" s="70">
        <v>1</v>
      </c>
      <c r="G5" s="70">
        <v>3</v>
      </c>
      <c r="H5" s="70">
        <v>3</v>
      </c>
      <c r="I5" s="70">
        <v>3</v>
      </c>
      <c r="J5" s="70">
        <v>3</v>
      </c>
      <c r="K5" s="70">
        <v>2</v>
      </c>
      <c r="L5" s="70">
        <v>4</v>
      </c>
      <c r="M5" s="70">
        <v>2</v>
      </c>
      <c r="N5" s="83">
        <f>SUM(InnovationProjectResults[[#This Row],[Identify - Define]:[Communicate - Fun (CV)]])</f>
        <v>26</v>
      </c>
      <c r="O5" s="73">
        <f>_xlfn.RANK.EQ(InnovationProjectResults[[#This Row],[Innovation Project Score]],InnovationProjectResults[Innovation Project Score],0)</f>
        <v>5</v>
      </c>
    </row>
    <row r="6" spans="1:15" ht="21" customHeight="1" x14ac:dyDescent="0.25">
      <c r="A6" s="69">
        <v>67801</v>
      </c>
      <c r="B6" s="69">
        <f>INDEX(OfficialTeamList[Pod Number],MATCH(InnovationProjectResults[[#This Row],[Team Number]], OfficialTeamList[Team Number],0))</f>
        <v>0</v>
      </c>
      <c r="C6" s="104" t="str">
        <f>INDEX(OfficialTeamList[Team Name],MATCH(InnovationProjectResults[[#This Row],[Team Number]], OfficialTeamList[Team Number],0))</f>
        <v>Scorpion Tech Force</v>
      </c>
      <c r="D6" s="70">
        <v>4</v>
      </c>
      <c r="E6" s="70">
        <v>2</v>
      </c>
      <c r="F6" s="70">
        <v>4</v>
      </c>
      <c r="G6" s="70">
        <v>4</v>
      </c>
      <c r="H6" s="70">
        <v>3</v>
      </c>
      <c r="I6" s="70">
        <v>3</v>
      </c>
      <c r="J6" s="70">
        <v>3</v>
      </c>
      <c r="K6" s="70">
        <v>3</v>
      </c>
      <c r="L6" s="70">
        <v>3</v>
      </c>
      <c r="M6" s="70">
        <v>2</v>
      </c>
      <c r="N6" s="83">
        <f>SUM(InnovationProjectResults[[#This Row],[Identify - Define]:[Communicate - Fun (CV)]])</f>
        <v>31</v>
      </c>
      <c r="O6" s="73">
        <f>_xlfn.RANK.EQ(InnovationProjectResults[[#This Row],[Innovation Project Score]],InnovationProjectResults[Innovation Project Score],0)</f>
        <v>1</v>
      </c>
    </row>
    <row r="7" spans="1:15" ht="21" customHeight="1" x14ac:dyDescent="0.25">
      <c r="A7" s="69">
        <v>68850</v>
      </c>
      <c r="B7" s="69">
        <f>INDEX(OfficialTeamList[Pod Number],MATCH(InnovationProjectResults[[#This Row],[Team Number]], OfficialTeamList[Team Number],0))</f>
        <v>0</v>
      </c>
      <c r="C7" s="104" t="str">
        <f>INDEX(OfficialTeamList[Team Name],MATCH(InnovationProjectResults[[#This Row],[Team Number]], OfficialTeamList[Team Number],0))</f>
        <v>MCH Marvels</v>
      </c>
      <c r="D7" s="70">
        <v>2</v>
      </c>
      <c r="E7" s="70">
        <v>3</v>
      </c>
      <c r="F7" s="70">
        <v>2</v>
      </c>
      <c r="G7" s="70">
        <v>1</v>
      </c>
      <c r="H7" s="70">
        <v>3</v>
      </c>
      <c r="I7" s="70">
        <v>1</v>
      </c>
      <c r="J7" s="70">
        <v>2</v>
      </c>
      <c r="K7" s="70">
        <v>2</v>
      </c>
      <c r="L7" s="70">
        <v>1</v>
      </c>
      <c r="M7" s="70">
        <v>2</v>
      </c>
      <c r="N7" s="83">
        <f>SUM(InnovationProjectResults[[#This Row],[Identify - Define]:[Communicate - Fun (CV)]])</f>
        <v>19</v>
      </c>
      <c r="O7" s="73">
        <f>_xlfn.RANK.EQ(InnovationProjectResults[[#This Row],[Innovation Project Score]],InnovationProjectResults[Innovation Project Score],0)</f>
        <v>7</v>
      </c>
    </row>
    <row r="8" spans="1:15" ht="21" customHeight="1" x14ac:dyDescent="0.25">
      <c r="A8" s="69">
        <v>71673</v>
      </c>
      <c r="B8" s="69">
        <f>INDEX(OfficialTeamList[Pod Number],MATCH(InnovationProjectResults[[#This Row],[Team Number]], OfficialTeamList[Team Number],0))</f>
        <v>0</v>
      </c>
      <c r="C8" s="104" t="str">
        <f>INDEX(OfficialTeamList[Team Name],MATCH(InnovationProjectResults[[#This Row],[Team Number]], OfficialTeamList[Team Number],0))</f>
        <v>SMS Eaglebots 1</v>
      </c>
      <c r="D8" s="70">
        <v>2</v>
      </c>
      <c r="E8" s="70">
        <v>3</v>
      </c>
      <c r="F8" s="70">
        <v>3</v>
      </c>
      <c r="G8" s="70">
        <v>1</v>
      </c>
      <c r="H8" s="70">
        <v>1</v>
      </c>
      <c r="I8" s="70">
        <v>3</v>
      </c>
      <c r="J8" s="70">
        <v>4</v>
      </c>
      <c r="K8" s="70">
        <v>4</v>
      </c>
      <c r="L8" s="70">
        <v>3</v>
      </c>
      <c r="M8" s="70">
        <v>3</v>
      </c>
      <c r="N8" s="83">
        <f>SUM(InnovationProjectResults[[#This Row],[Identify - Define]:[Communicate - Fun (CV)]])</f>
        <v>27</v>
      </c>
      <c r="O8" s="73">
        <f>_xlfn.RANK.EQ(InnovationProjectResults[[#This Row],[Innovation Project Score]],InnovationProjectResults[Innovation Project Score],0)</f>
        <v>4</v>
      </c>
    </row>
    <row r="9" spans="1:15" ht="21" customHeight="1" x14ac:dyDescent="0.25"/>
    <row r="10" spans="1:15" ht="21" customHeight="1" x14ac:dyDescent="0.25"/>
    <row r="11" spans="1:15" ht="21" customHeight="1" x14ac:dyDescent="0.25"/>
    <row r="12" spans="1:15" ht="21" customHeight="1" x14ac:dyDescent="0.25"/>
    <row r="13" spans="1:15" ht="21" customHeight="1" x14ac:dyDescent="0.25"/>
    <row r="14" spans="1:15" ht="21" customHeight="1" x14ac:dyDescent="0.25"/>
    <row r="15" spans="1:15" ht="21" customHeight="1" x14ac:dyDescent="0.25"/>
    <row r="16" spans="1:15" ht="21" customHeight="1" x14ac:dyDescent="0.25"/>
    <row r="17" ht="21" customHeight="1" x14ac:dyDescent="0.25"/>
    <row r="18" ht="21" customHeight="1" x14ac:dyDescent="0.25"/>
    <row r="19" ht="21" customHeight="1" x14ac:dyDescent="0.25"/>
    <row r="20" ht="21" customHeight="1" x14ac:dyDescent="0.25"/>
    <row r="21" ht="21" customHeight="1" x14ac:dyDescent="0.25"/>
    <row r="22" ht="21" customHeight="1" x14ac:dyDescent="0.25"/>
    <row r="23" ht="21" customHeight="1" x14ac:dyDescent="0.25"/>
    <row r="24" ht="21" customHeight="1" x14ac:dyDescent="0.25"/>
    <row r="25" ht="21" customHeight="1" x14ac:dyDescent="0.25"/>
    <row r="26" ht="21" customHeight="1" x14ac:dyDescent="0.25"/>
    <row r="27" ht="21" customHeight="1" x14ac:dyDescent="0.25"/>
    <row r="28" ht="21" customHeight="1" x14ac:dyDescent="0.25"/>
    <row r="29" ht="21" customHeight="1" x14ac:dyDescent="0.25"/>
    <row r="30" ht="21" customHeight="1" x14ac:dyDescent="0.25"/>
    <row r="31" ht="21" customHeight="1" x14ac:dyDescent="0.25"/>
    <row r="32"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row r="40" ht="21" customHeight="1" x14ac:dyDescent="0.25"/>
    <row r="41" ht="21" customHeight="1" x14ac:dyDescent="0.25"/>
    <row r="42" ht="21" customHeight="1" x14ac:dyDescent="0.25"/>
    <row r="43" ht="21" customHeight="1" x14ac:dyDescent="0.25"/>
    <row r="44" ht="21" customHeight="1" x14ac:dyDescent="0.25"/>
    <row r="45" ht="21" customHeight="1" x14ac:dyDescent="0.25"/>
    <row r="46" ht="21" customHeight="1" x14ac:dyDescent="0.25"/>
    <row r="47" ht="21" customHeight="1" x14ac:dyDescent="0.25"/>
    <row r="48" ht="21" customHeight="1" x14ac:dyDescent="0.25"/>
    <row r="49" ht="21" customHeight="1" x14ac:dyDescent="0.25"/>
    <row r="50" ht="21" customHeight="1" x14ac:dyDescent="0.25"/>
    <row r="51" ht="21" customHeight="1" x14ac:dyDescent="0.25"/>
    <row r="52" ht="21" customHeight="1" x14ac:dyDescent="0.25"/>
    <row r="53" ht="21" customHeight="1" x14ac:dyDescent="0.25"/>
    <row r="54" ht="21" customHeight="1" x14ac:dyDescent="0.25"/>
    <row r="55" ht="21" customHeight="1" x14ac:dyDescent="0.25"/>
    <row r="56" ht="21" customHeight="1" x14ac:dyDescent="0.25"/>
    <row r="57" ht="21" customHeight="1" x14ac:dyDescent="0.25"/>
    <row r="58" ht="21" customHeight="1" x14ac:dyDescent="0.25"/>
    <row r="59" ht="21" customHeight="1" x14ac:dyDescent="0.25"/>
    <row r="60" ht="21" customHeight="1" x14ac:dyDescent="0.25"/>
    <row r="61" ht="21" customHeight="1" x14ac:dyDescent="0.25"/>
    <row r="62" ht="21" customHeight="1" x14ac:dyDescent="0.25"/>
    <row r="63" ht="21" customHeight="1" x14ac:dyDescent="0.25"/>
    <row r="64" ht="21" customHeight="1" x14ac:dyDescent="0.25"/>
    <row r="65" ht="21" customHeight="1" x14ac:dyDescent="0.25"/>
    <row r="66" ht="21" customHeight="1" x14ac:dyDescent="0.25"/>
    <row r="67" ht="21" customHeight="1" x14ac:dyDescent="0.25"/>
    <row r="68" ht="21" customHeight="1" x14ac:dyDescent="0.25"/>
    <row r="69" ht="21" customHeight="1" x14ac:dyDescent="0.25"/>
    <row r="70" ht="21" customHeight="1" x14ac:dyDescent="0.25"/>
    <row r="71" ht="21" customHeight="1" x14ac:dyDescent="0.25"/>
    <row r="72" ht="21" customHeight="1" x14ac:dyDescent="0.25"/>
    <row r="73" ht="21" customHeight="1" x14ac:dyDescent="0.25"/>
    <row r="74" ht="21" customHeight="1" x14ac:dyDescent="0.25"/>
    <row r="75" ht="21" customHeight="1" x14ac:dyDescent="0.25"/>
    <row r="76" ht="21" customHeight="1" x14ac:dyDescent="0.25"/>
    <row r="77" ht="21" customHeight="1" x14ac:dyDescent="0.25"/>
    <row r="78" ht="21" customHeight="1" x14ac:dyDescent="0.25"/>
    <row r="79" ht="21" customHeight="1" x14ac:dyDescent="0.25"/>
    <row r="80" ht="21" customHeight="1" x14ac:dyDescent="0.25"/>
    <row r="81" ht="21" customHeight="1" x14ac:dyDescent="0.25"/>
    <row r="82" ht="21" customHeight="1" x14ac:dyDescent="0.25"/>
    <row r="83" ht="21" customHeight="1" x14ac:dyDescent="0.25"/>
    <row r="84" ht="21" customHeight="1" x14ac:dyDescent="0.25"/>
    <row r="85" ht="21" customHeight="1" x14ac:dyDescent="0.25"/>
    <row r="86" ht="21" customHeight="1" x14ac:dyDescent="0.25"/>
    <row r="87" ht="21" customHeight="1" x14ac:dyDescent="0.25"/>
    <row r="88" ht="21" customHeight="1" x14ac:dyDescent="0.25"/>
    <row r="89" ht="21" customHeight="1" x14ac:dyDescent="0.25"/>
    <row r="90" ht="21" customHeight="1" x14ac:dyDescent="0.25"/>
    <row r="91" ht="21" customHeight="1" x14ac:dyDescent="0.25"/>
    <row r="92" ht="21" customHeight="1" x14ac:dyDescent="0.25"/>
    <row r="93" ht="21" customHeight="1" x14ac:dyDescent="0.25"/>
    <row r="94" ht="21" customHeight="1" x14ac:dyDescent="0.25"/>
    <row r="95" ht="21" customHeight="1" x14ac:dyDescent="0.25"/>
    <row r="96" ht="21" customHeight="1" x14ac:dyDescent="0.25"/>
    <row r="97" ht="21" customHeight="1" x14ac:dyDescent="0.25"/>
    <row r="98" ht="21" customHeight="1" x14ac:dyDescent="0.25"/>
    <row r="99" ht="21" customHeight="1" x14ac:dyDescent="0.25"/>
    <row r="100" ht="21" customHeight="1" x14ac:dyDescent="0.25"/>
    <row r="101" ht="21" customHeight="1" x14ac:dyDescent="0.25"/>
    <row r="102" ht="21" customHeight="1" x14ac:dyDescent="0.25"/>
    <row r="103" ht="21" customHeight="1" x14ac:dyDescent="0.25"/>
    <row r="104" ht="21" customHeight="1" x14ac:dyDescent="0.25"/>
    <row r="105" ht="21" customHeight="1" x14ac:dyDescent="0.25"/>
    <row r="106" ht="21" customHeight="1" x14ac:dyDescent="0.25"/>
    <row r="107" ht="21" customHeight="1" x14ac:dyDescent="0.25"/>
    <row r="108" ht="21" customHeight="1" x14ac:dyDescent="0.25"/>
    <row r="109" ht="21" customHeight="1" x14ac:dyDescent="0.25"/>
    <row r="110" ht="21" customHeight="1" x14ac:dyDescent="0.25"/>
    <row r="111" ht="21" customHeight="1" x14ac:dyDescent="0.25"/>
    <row r="112"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sheetData>
  <sheetProtection password="CB4D" sheet="1" formatCells="0" formatColumns="0" formatRows="0" selectLockedCells="1" sort="0" autoFilter="0"/>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92D050"/>
    <pageSetUpPr fitToPage="1"/>
  </sheetPr>
  <dimension ref="A1:P273"/>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27</v>
      </c>
      <c r="B1" s="56" t="s">
        <v>81</v>
      </c>
      <c r="C1" s="57" t="s">
        <v>28</v>
      </c>
      <c r="D1" s="63" t="s">
        <v>125</v>
      </c>
      <c r="E1" s="63" t="s">
        <v>115</v>
      </c>
      <c r="F1" s="63" t="s">
        <v>126</v>
      </c>
      <c r="G1" s="63" t="s">
        <v>127</v>
      </c>
      <c r="H1" s="63" t="s">
        <v>128</v>
      </c>
      <c r="I1" s="63" t="s">
        <v>129</v>
      </c>
      <c r="J1" s="63" t="s">
        <v>130</v>
      </c>
      <c r="K1" s="63" t="s">
        <v>131</v>
      </c>
      <c r="L1" s="63" t="s">
        <v>122</v>
      </c>
      <c r="M1" s="63" t="s">
        <v>123</v>
      </c>
      <c r="N1" s="61" t="s">
        <v>106</v>
      </c>
      <c r="O1" s="62" t="s">
        <v>100</v>
      </c>
    </row>
    <row r="2" spans="1:15" ht="21" customHeight="1" x14ac:dyDescent="0.25">
      <c r="A2" s="69">
        <v>24277</v>
      </c>
      <c r="B2" s="69">
        <f>INDEX(OfficialTeamList[Pod Number],MATCH(RobotDesignResults[[#This Row],[Team Number]], OfficialTeamList[Team Number],0))</f>
        <v>1</v>
      </c>
      <c r="C2" s="104" t="str">
        <f>INDEX(OfficialTeamList[Team Name],MATCH(RobotDesignResults[[#This Row],[Team Number]], OfficialTeamList[Team Number],0))</f>
        <v>Norfolk Collegiate O.A.K.S.</v>
      </c>
      <c r="D2" s="70">
        <v>3</v>
      </c>
      <c r="E2" s="70">
        <v>1</v>
      </c>
      <c r="F2" s="70">
        <v>1</v>
      </c>
      <c r="G2" s="70">
        <v>2</v>
      </c>
      <c r="H2" s="70">
        <v>2</v>
      </c>
      <c r="I2" s="70">
        <v>4</v>
      </c>
      <c r="J2" s="70">
        <v>3</v>
      </c>
      <c r="K2" s="70">
        <v>1</v>
      </c>
      <c r="L2" s="70">
        <v>2</v>
      </c>
      <c r="M2" s="70">
        <v>1</v>
      </c>
      <c r="N2" s="83">
        <f>SUM(RobotDesignResults[[#This Row],[Identify - Strategy]:[Communicate - Fun (CV)]])</f>
        <v>20</v>
      </c>
      <c r="O2" s="73">
        <f>_xlfn.RANK.EQ(RobotDesignResults[[#This Row],[Robot Design Score]],RobotDesignResults[Robot Design Score],0)</f>
        <v>7</v>
      </c>
    </row>
    <row r="3" spans="1:15" ht="21" customHeight="1" x14ac:dyDescent="0.25">
      <c r="A3" s="69">
        <v>26034</v>
      </c>
      <c r="B3" s="69">
        <f>INDEX(OfficialTeamList[Pod Number],MATCH(RobotDesignResults[[#This Row],[Team Number]], OfficialTeamList[Team Number],0))</f>
        <v>0</v>
      </c>
      <c r="C3" s="104" t="str">
        <f>INDEX(OfficialTeamList[Team Name],MATCH(RobotDesignResults[[#This Row],[Team Number]], OfficialTeamList[Team Number],0))</f>
        <v>OLMC White Team</v>
      </c>
      <c r="D3" s="70">
        <v>3</v>
      </c>
      <c r="E3" s="70">
        <v>1</v>
      </c>
      <c r="F3" s="70">
        <v>2</v>
      </c>
      <c r="G3" s="70">
        <v>3</v>
      </c>
      <c r="H3" s="70">
        <v>2</v>
      </c>
      <c r="I3" s="70">
        <v>2</v>
      </c>
      <c r="J3" s="70">
        <v>2</v>
      </c>
      <c r="K3" s="70">
        <v>2</v>
      </c>
      <c r="L3" s="70">
        <v>2</v>
      </c>
      <c r="M3" s="70">
        <v>3</v>
      </c>
      <c r="N3" s="83">
        <f>SUM(RobotDesignResults[[#This Row],[Identify - Strategy]:[Communicate - Fun (CV)]])</f>
        <v>22</v>
      </c>
      <c r="O3" s="73">
        <f>_xlfn.RANK.EQ(RobotDesignResults[[#This Row],[Robot Design Score]],RobotDesignResults[Robot Design Score],0)</f>
        <v>5</v>
      </c>
    </row>
    <row r="4" spans="1:15" ht="21" customHeight="1" x14ac:dyDescent="0.25">
      <c r="A4" s="69">
        <v>60801</v>
      </c>
      <c r="B4" s="69">
        <f>INDEX(OfficialTeamList[Pod Number],MATCH(RobotDesignResults[[#This Row],[Team Number]], OfficialTeamList[Team Number],0))</f>
        <v>0</v>
      </c>
      <c r="C4" s="104" t="str">
        <f>INDEX(OfficialTeamList[Team Name],MATCH(RobotDesignResults[[#This Row],[Team Number]], OfficialTeamList[Team Number],0))</f>
        <v>ESPs</v>
      </c>
      <c r="D4" s="70">
        <v>2</v>
      </c>
      <c r="E4" s="70">
        <v>1</v>
      </c>
      <c r="F4" s="70">
        <v>2</v>
      </c>
      <c r="G4" s="70">
        <v>3</v>
      </c>
      <c r="H4" s="70">
        <v>1</v>
      </c>
      <c r="I4" s="70">
        <v>2</v>
      </c>
      <c r="J4" s="70">
        <v>1</v>
      </c>
      <c r="K4" s="70">
        <v>3</v>
      </c>
      <c r="L4" s="70">
        <v>4</v>
      </c>
      <c r="M4" s="70">
        <v>4</v>
      </c>
      <c r="N4" s="83">
        <f>SUM(RobotDesignResults[[#This Row],[Identify - Strategy]:[Communicate - Fun (CV)]])</f>
        <v>23</v>
      </c>
      <c r="O4" s="73">
        <f>_xlfn.RANK.EQ(RobotDesignResults[[#This Row],[Robot Design Score]],RobotDesignResults[Robot Design Score],0)</f>
        <v>4</v>
      </c>
    </row>
    <row r="5" spans="1:15" ht="21" customHeight="1" x14ac:dyDescent="0.25">
      <c r="A5" s="69">
        <v>67083</v>
      </c>
      <c r="B5" s="69">
        <f>INDEX(OfficialTeamList[Pod Number],MATCH(RobotDesignResults[[#This Row],[Team Number]], OfficialTeamList[Team Number],0))</f>
        <v>0</v>
      </c>
      <c r="C5" s="104" t="str">
        <f>INDEX(OfficialTeamList[Team Name],MATCH(RobotDesignResults[[#This Row],[Team Number]], OfficialTeamList[Team Number],0))</f>
        <v>Wired Dolphins</v>
      </c>
      <c r="D5" s="70">
        <v>3</v>
      </c>
      <c r="E5" s="70">
        <v>2</v>
      </c>
      <c r="F5" s="70">
        <v>2</v>
      </c>
      <c r="G5" s="70">
        <v>2</v>
      </c>
      <c r="H5" s="70">
        <v>4</v>
      </c>
      <c r="I5" s="70">
        <v>2</v>
      </c>
      <c r="J5" s="70">
        <v>3</v>
      </c>
      <c r="K5" s="70">
        <v>4</v>
      </c>
      <c r="L5" s="70">
        <v>3</v>
      </c>
      <c r="M5" s="70">
        <v>3</v>
      </c>
      <c r="N5" s="83">
        <f>SUM(RobotDesignResults[[#This Row],[Identify - Strategy]:[Communicate - Fun (CV)]])</f>
        <v>28</v>
      </c>
      <c r="O5" s="73">
        <f>_xlfn.RANK.EQ(RobotDesignResults[[#This Row],[Robot Design Score]],RobotDesignResults[Robot Design Score],0)</f>
        <v>2</v>
      </c>
    </row>
    <row r="6" spans="1:15" ht="21" customHeight="1" x14ac:dyDescent="0.25">
      <c r="A6" s="69">
        <v>67801</v>
      </c>
      <c r="B6" s="69">
        <f>INDEX(OfficialTeamList[Pod Number],MATCH(RobotDesignResults[[#This Row],[Team Number]], OfficialTeamList[Team Number],0))</f>
        <v>0</v>
      </c>
      <c r="C6" s="104" t="str">
        <f>INDEX(OfficialTeamList[Team Name],MATCH(RobotDesignResults[[#This Row],[Team Number]], OfficialTeamList[Team Number],0))</f>
        <v>Scorpion Tech Force</v>
      </c>
      <c r="D6" s="70">
        <v>3</v>
      </c>
      <c r="E6" s="70">
        <v>2</v>
      </c>
      <c r="F6" s="70">
        <v>4</v>
      </c>
      <c r="G6" s="70">
        <v>1</v>
      </c>
      <c r="H6" s="70">
        <v>1</v>
      </c>
      <c r="I6" s="70">
        <v>1</v>
      </c>
      <c r="J6" s="70">
        <v>1</v>
      </c>
      <c r="K6" s="70">
        <v>3</v>
      </c>
      <c r="L6" s="70">
        <v>4</v>
      </c>
      <c r="M6" s="70">
        <v>1</v>
      </c>
      <c r="N6" s="83">
        <f>SUM(RobotDesignResults[[#This Row],[Identify - Strategy]:[Communicate - Fun (CV)]])</f>
        <v>21</v>
      </c>
      <c r="O6" s="73">
        <f>_xlfn.RANK.EQ(RobotDesignResults[[#This Row],[Robot Design Score]],RobotDesignResults[Robot Design Score],0)</f>
        <v>6</v>
      </c>
    </row>
    <row r="7" spans="1:15" ht="21" customHeight="1" x14ac:dyDescent="0.25">
      <c r="A7" s="69">
        <v>68850</v>
      </c>
      <c r="B7" s="69">
        <f>INDEX(OfficialTeamList[Pod Number],MATCH(RobotDesignResults[[#This Row],[Team Number]], OfficialTeamList[Team Number],0))</f>
        <v>0</v>
      </c>
      <c r="C7" s="104" t="str">
        <f>INDEX(OfficialTeamList[Team Name],MATCH(RobotDesignResults[[#This Row],[Team Number]], OfficialTeamList[Team Number],0))</f>
        <v>MCH Marvels</v>
      </c>
      <c r="D7" s="70">
        <v>1</v>
      </c>
      <c r="E7" s="70">
        <v>3</v>
      </c>
      <c r="F7" s="70">
        <v>2</v>
      </c>
      <c r="G7" s="70">
        <v>2</v>
      </c>
      <c r="H7" s="70">
        <v>3</v>
      </c>
      <c r="I7" s="70">
        <v>3</v>
      </c>
      <c r="J7" s="70">
        <v>3</v>
      </c>
      <c r="K7" s="70">
        <v>2</v>
      </c>
      <c r="L7" s="70">
        <v>3</v>
      </c>
      <c r="M7" s="70">
        <v>3</v>
      </c>
      <c r="N7" s="83">
        <f>SUM(RobotDesignResults[[#This Row],[Identify - Strategy]:[Communicate - Fun (CV)]])</f>
        <v>25</v>
      </c>
      <c r="O7" s="73">
        <f>_xlfn.RANK.EQ(RobotDesignResults[[#This Row],[Robot Design Score]],RobotDesignResults[Robot Design Score],0)</f>
        <v>3</v>
      </c>
    </row>
    <row r="8" spans="1:15" ht="21" customHeight="1" x14ac:dyDescent="0.25">
      <c r="A8" s="69">
        <v>71673</v>
      </c>
      <c r="B8" s="69">
        <f>INDEX(OfficialTeamList[Pod Number],MATCH(RobotDesignResults[[#This Row],[Team Number]], OfficialTeamList[Team Number],0))</f>
        <v>0</v>
      </c>
      <c r="C8" s="104" t="str">
        <f>INDEX(OfficialTeamList[Team Name],MATCH(RobotDesignResults[[#This Row],[Team Number]], OfficialTeamList[Team Number],0))</f>
        <v>SMS Eaglebots 1</v>
      </c>
      <c r="D8" s="70">
        <v>3</v>
      </c>
      <c r="E8" s="70">
        <v>1</v>
      </c>
      <c r="F8" s="70">
        <v>3</v>
      </c>
      <c r="G8" s="70">
        <v>2</v>
      </c>
      <c r="H8" s="70">
        <v>4</v>
      </c>
      <c r="I8" s="70">
        <v>4</v>
      </c>
      <c r="J8" s="70">
        <v>3</v>
      </c>
      <c r="K8" s="70">
        <v>4</v>
      </c>
      <c r="L8" s="70">
        <v>3</v>
      </c>
      <c r="M8" s="70">
        <v>4</v>
      </c>
      <c r="N8" s="83">
        <f>SUM(RobotDesignResults[[#This Row],[Identify - Strategy]:[Communicate - Fun (CV)]])</f>
        <v>31</v>
      </c>
      <c r="O8" s="73">
        <f>_xlfn.RANK.EQ(RobotDesignResults[[#This Row],[Robot Design Score]],RobotDesignResults[Robot Design Score],0)</f>
        <v>1</v>
      </c>
    </row>
    <row r="9" spans="1:15" ht="21" customHeight="1" x14ac:dyDescent="0.25"/>
    <row r="10" spans="1:15" ht="21" customHeight="1" x14ac:dyDescent="0.25"/>
    <row r="11" spans="1:15" ht="21" customHeight="1" x14ac:dyDescent="0.25"/>
    <row r="12" spans="1:15" ht="21" customHeight="1" x14ac:dyDescent="0.25"/>
    <row r="13" spans="1:15" ht="21" customHeight="1" x14ac:dyDescent="0.25"/>
    <row r="14" spans="1:15" ht="21" customHeight="1" x14ac:dyDescent="0.25"/>
    <row r="15" spans="1:15" ht="21" customHeight="1" x14ac:dyDescent="0.25"/>
    <row r="16" spans="1:15" ht="21" customHeight="1" x14ac:dyDescent="0.25"/>
    <row r="17" ht="21" customHeight="1" x14ac:dyDescent="0.25"/>
    <row r="18" ht="21" customHeight="1" x14ac:dyDescent="0.25"/>
    <row r="19" ht="21" customHeight="1" x14ac:dyDescent="0.25"/>
    <row r="20" ht="21" customHeight="1" x14ac:dyDescent="0.25"/>
    <row r="21" ht="21" customHeight="1" x14ac:dyDescent="0.25"/>
    <row r="22" ht="21" customHeight="1" x14ac:dyDescent="0.25"/>
    <row r="23" ht="21" customHeight="1" x14ac:dyDescent="0.25"/>
    <row r="24" ht="21" customHeight="1" x14ac:dyDescent="0.25"/>
    <row r="25" ht="21" customHeight="1" x14ac:dyDescent="0.25"/>
    <row r="26" ht="21" customHeight="1" x14ac:dyDescent="0.25"/>
    <row r="27" ht="21" customHeight="1" x14ac:dyDescent="0.25"/>
    <row r="28" ht="21" customHeight="1" x14ac:dyDescent="0.25"/>
    <row r="29" ht="21" customHeight="1" x14ac:dyDescent="0.25"/>
    <row r="30" ht="21" customHeight="1" x14ac:dyDescent="0.25"/>
    <row r="31" ht="21" customHeight="1" x14ac:dyDescent="0.25"/>
    <row r="32"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row r="40" ht="21" customHeight="1" x14ac:dyDescent="0.25"/>
    <row r="41" ht="21" customHeight="1" x14ac:dyDescent="0.25"/>
    <row r="42" ht="21" customHeight="1" x14ac:dyDescent="0.25"/>
    <row r="43" ht="21" customHeight="1" x14ac:dyDescent="0.25"/>
    <row r="44" ht="21" customHeight="1" x14ac:dyDescent="0.25"/>
    <row r="45" ht="21" customHeight="1" x14ac:dyDescent="0.25"/>
    <row r="46" ht="21" customHeight="1" x14ac:dyDescent="0.25"/>
    <row r="47" ht="21" customHeight="1" x14ac:dyDescent="0.25"/>
    <row r="48" ht="21" customHeight="1" x14ac:dyDescent="0.25"/>
    <row r="49" ht="21" customHeight="1" x14ac:dyDescent="0.25"/>
    <row r="50" ht="21" customHeight="1" x14ac:dyDescent="0.25"/>
    <row r="51" ht="21" customHeight="1" x14ac:dyDescent="0.25"/>
    <row r="52" ht="21" customHeight="1" x14ac:dyDescent="0.25"/>
    <row r="53" ht="21" customHeight="1" x14ac:dyDescent="0.25"/>
    <row r="54" ht="21" customHeight="1" x14ac:dyDescent="0.25"/>
    <row r="55" ht="21" customHeight="1" x14ac:dyDescent="0.25"/>
    <row r="56" ht="21" customHeight="1" x14ac:dyDescent="0.25"/>
    <row r="57" ht="21" customHeight="1" x14ac:dyDescent="0.25"/>
    <row r="58" ht="21" customHeight="1" x14ac:dyDescent="0.25"/>
    <row r="59" ht="21" customHeight="1" x14ac:dyDescent="0.25"/>
    <row r="60" ht="21" customHeight="1" x14ac:dyDescent="0.25"/>
    <row r="61" ht="21" customHeight="1" x14ac:dyDescent="0.25"/>
    <row r="62" ht="21" customHeight="1" x14ac:dyDescent="0.25"/>
    <row r="63" ht="21" customHeight="1" x14ac:dyDescent="0.25"/>
    <row r="64" ht="21" customHeight="1" x14ac:dyDescent="0.25"/>
    <row r="65" ht="21" customHeight="1" x14ac:dyDescent="0.25"/>
    <row r="66" ht="21" customHeight="1" x14ac:dyDescent="0.25"/>
    <row r="67" ht="21" customHeight="1" x14ac:dyDescent="0.25"/>
    <row r="68" ht="21" customHeight="1" x14ac:dyDescent="0.25"/>
    <row r="69" ht="21" customHeight="1" x14ac:dyDescent="0.25"/>
    <row r="70" ht="21" customHeight="1" x14ac:dyDescent="0.25"/>
    <row r="71" ht="21" customHeight="1" x14ac:dyDescent="0.25"/>
    <row r="72" ht="21" customHeight="1" x14ac:dyDescent="0.25"/>
    <row r="73" ht="21" customHeight="1" x14ac:dyDescent="0.25"/>
    <row r="74" ht="21" customHeight="1" x14ac:dyDescent="0.25"/>
    <row r="75" ht="21" customHeight="1" x14ac:dyDescent="0.25"/>
    <row r="76" ht="21" customHeight="1" x14ac:dyDescent="0.25"/>
    <row r="77" ht="21" customHeight="1" x14ac:dyDescent="0.25"/>
    <row r="78" ht="21" customHeight="1" x14ac:dyDescent="0.25"/>
    <row r="79" ht="21" customHeight="1" x14ac:dyDescent="0.25"/>
    <row r="80" ht="21" customHeight="1" x14ac:dyDescent="0.25"/>
    <row r="81" ht="21" customHeight="1" x14ac:dyDescent="0.25"/>
    <row r="82" ht="21" customHeight="1" x14ac:dyDescent="0.25"/>
    <row r="83" ht="21" customHeight="1" x14ac:dyDescent="0.25"/>
    <row r="84" ht="21" customHeight="1" x14ac:dyDescent="0.25"/>
    <row r="85" ht="21" customHeight="1" x14ac:dyDescent="0.25"/>
    <row r="86" ht="21" customHeight="1" x14ac:dyDescent="0.25"/>
    <row r="87" ht="21" customHeight="1" x14ac:dyDescent="0.25"/>
    <row r="88" ht="21" customHeight="1" x14ac:dyDescent="0.25"/>
    <row r="89" ht="21" customHeight="1" x14ac:dyDescent="0.25"/>
    <row r="90" ht="21" customHeight="1" x14ac:dyDescent="0.25"/>
    <row r="91" ht="21" customHeight="1" x14ac:dyDescent="0.25"/>
    <row r="92" ht="21" customHeight="1" x14ac:dyDescent="0.25"/>
    <row r="93" ht="21" customHeight="1" x14ac:dyDescent="0.25"/>
    <row r="94" ht="21" customHeight="1" x14ac:dyDescent="0.25"/>
    <row r="95" ht="21" customHeight="1" x14ac:dyDescent="0.25"/>
    <row r="96" ht="21" customHeight="1" x14ac:dyDescent="0.25"/>
    <row r="97" ht="21" customHeight="1" x14ac:dyDescent="0.25"/>
    <row r="98" ht="21" customHeight="1" x14ac:dyDescent="0.25"/>
    <row r="99" ht="21" customHeight="1" x14ac:dyDescent="0.25"/>
    <row r="100" ht="21" customHeight="1" x14ac:dyDescent="0.25"/>
    <row r="101" ht="21" customHeight="1" x14ac:dyDescent="0.25"/>
    <row r="102" ht="21" customHeight="1" x14ac:dyDescent="0.25"/>
    <row r="103" ht="21" customHeight="1" x14ac:dyDescent="0.25"/>
    <row r="104" ht="21" customHeight="1" x14ac:dyDescent="0.25"/>
    <row r="105" ht="21" customHeight="1" x14ac:dyDescent="0.25"/>
    <row r="106" ht="21" customHeight="1" x14ac:dyDescent="0.25"/>
    <row r="107" ht="21" customHeight="1" x14ac:dyDescent="0.25"/>
    <row r="108" ht="21" customHeight="1" x14ac:dyDescent="0.25"/>
    <row r="109" ht="21" customHeight="1" x14ac:dyDescent="0.25"/>
    <row r="110" ht="21" customHeight="1" x14ac:dyDescent="0.25"/>
    <row r="111" ht="21" customHeight="1" x14ac:dyDescent="0.25"/>
    <row r="112"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sheetData>
  <sheetProtection password="CB4D" sheet="1" formatCells="0" formatColumns="0" formatRows="0" selectLockedCells="1" sort="0" autoFilter="0"/>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rgb="FFFF0000"/>
    <pageSetUpPr fitToPage="1"/>
  </sheetPr>
  <dimension ref="A1:Z255"/>
  <sheetViews>
    <sheetView zoomScaleNormal="100" zoomScalePageLayoutView="140" workbookViewId="0">
      <pane ySplit="1" topLeftCell="A2" activePane="bottomLeft" state="frozen"/>
      <selection pane="bottomLeft" activeCell="N2" sqref="N2"/>
    </sheetView>
  </sheetViews>
  <sheetFormatPr defaultColWidth="8.42578125" defaultRowHeight="30" customHeight="1" x14ac:dyDescent="0.25"/>
  <cols>
    <col min="1" max="1" width="16.7109375" customWidth="1"/>
    <col min="2" max="2" width="8.7109375" customWidth="1"/>
    <col min="3" max="3" width="32.7109375" customWidth="1"/>
    <col min="4" max="4" width="7" style="42" customWidth="1"/>
    <col min="5" max="6" width="5.85546875" style="42" customWidth="1"/>
    <col min="7" max="7" width="6.28515625" style="42" customWidth="1"/>
    <col min="8" max="13" width="5.85546875" style="42" customWidth="1"/>
    <col min="14" max="14" width="8.28515625" bestFit="1" customWidth="1"/>
    <col min="15" max="18" width="7.42578125" customWidth="1"/>
    <col min="19" max="19" width="10.42578125" customWidth="1"/>
    <col min="20" max="20" width="15.42578125" customWidth="1"/>
    <col min="21" max="21" width="8.42578125" style="40" customWidth="1"/>
    <col min="24" max="26" width="13" hidden="1" customWidth="1"/>
  </cols>
  <sheetData>
    <row r="1" spans="1:25" ht="150" customHeight="1" x14ac:dyDescent="0.25">
      <c r="A1" s="56" t="s">
        <v>27</v>
      </c>
      <c r="B1" s="56" t="s">
        <v>81</v>
      </c>
      <c r="C1" s="57" t="s">
        <v>28</v>
      </c>
      <c r="D1" s="66" t="s">
        <v>132</v>
      </c>
      <c r="E1" s="66" t="s">
        <v>133</v>
      </c>
      <c r="F1" s="66" t="s">
        <v>134</v>
      </c>
      <c r="G1" s="66" t="s">
        <v>135</v>
      </c>
      <c r="H1" s="66" t="s">
        <v>136</v>
      </c>
      <c r="I1" s="66" t="s">
        <v>137</v>
      </c>
      <c r="J1" s="66" t="s">
        <v>138</v>
      </c>
      <c r="K1" s="66" t="s">
        <v>139</v>
      </c>
      <c r="L1" s="66" t="s">
        <v>140</v>
      </c>
      <c r="M1" s="66" t="s">
        <v>141</v>
      </c>
      <c r="N1" s="67" t="s">
        <v>142</v>
      </c>
      <c r="O1" s="67" t="s">
        <v>143</v>
      </c>
      <c r="P1" s="67" t="s">
        <v>144</v>
      </c>
      <c r="Q1" s="67" t="s">
        <v>145</v>
      </c>
      <c r="R1" s="68" t="s">
        <v>146</v>
      </c>
      <c r="S1" s="68" t="s">
        <v>104</v>
      </c>
      <c r="T1" s="68" t="s">
        <v>98</v>
      </c>
      <c r="Y1" s="33"/>
    </row>
    <row r="2" spans="1:25" ht="21" customHeight="1" x14ac:dyDescent="0.25">
      <c r="A2" s="69">
        <v>24277</v>
      </c>
      <c r="B2" s="69">
        <f>INDEX(OfficialTeamList[Pod Number],MATCH(CoreValuesResults[[#This Row],[Team Number]], OfficialTeamList[Team Number],0))</f>
        <v>1</v>
      </c>
      <c r="C2" s="104" t="str">
        <f>INDEX(OfficialTeamList[Team Name],MATCH(CoreValuesResults[[#This Row],[Team Number]], OfficialTeamList[Team Number],0))</f>
        <v>Norfolk Collegiate O.A.K.S.</v>
      </c>
      <c r="D2" s="77">
        <f>INDEX(InnovationProjectResults[Identify - Research (CV)],MATCH(CoreValuesResults[[#This Row],[Team Number]],InnovationProjectResults[Team Number],0))</f>
        <v>4</v>
      </c>
      <c r="E2" s="77">
        <f>INDEX(InnovationProjectResults[Design - Teamwork (CV)],MATCH(CoreValuesResults[[#This Row],[Team Number]],InnovationProjectResults[Team Number],0))</f>
        <v>2</v>
      </c>
      <c r="F2" s="77">
        <f>INDEX(InnovationProjectResults[Create - Innovation (CV)],MATCH(CoreValuesResults[[#This Row],[Team Number]],InnovationProjectResults[Team Number],0))</f>
        <v>2</v>
      </c>
      <c r="G2" s="77">
        <f>INDEX(InnovationProjectResults[Communicate - Impact (CV)],MATCH(CoreValuesResults[[#This Row],[Team Number]],InnovationProjectResults[Team Number],0))</f>
        <v>3</v>
      </c>
      <c r="H2" s="77">
        <f>INDEX(InnovationProjectResults[Communicate - Fun (CV)],MATCH(CoreValuesResults[[#This Row],[Team Number]],InnovationProjectResults[Team Number],0))</f>
        <v>2</v>
      </c>
      <c r="I2" s="77">
        <f>INDEX(RobotDesignResults[Identify - Research (CV)],MATCH(CoreValuesResults[[#This Row],[Team Number]],RobotDesignResults[Team Number],0))</f>
        <v>1</v>
      </c>
      <c r="J2" s="77">
        <f>INDEX(RobotDesignResults[Design - Ideas (CV)],MATCH(CoreValuesResults[[#This Row],[Team Number]],RobotDesignResults[Team Number],0))</f>
        <v>1</v>
      </c>
      <c r="K2" s="77">
        <f>INDEX(RobotDesignResults[Iterate - Improvements (CV)],MATCH(CoreValuesResults[[#This Row],[Team Number]],RobotDesignResults[Team Number],0))</f>
        <v>1</v>
      </c>
      <c r="L2" s="77">
        <f>INDEX(RobotDesignResults[Communicate - Impact (CV)],MATCH(CoreValuesResults[[#This Row],[Team Number]],RobotDesignResults[Team Number],0))</f>
        <v>2</v>
      </c>
      <c r="M2" s="77">
        <f>INDEX(RobotDesignResults[Communicate - Fun (CV)],MATCH(CoreValuesResults[[#This Row],[Team Number]],RobotDesignResults[Team Number],0))</f>
        <v>1</v>
      </c>
      <c r="N2" s="86">
        <v>2</v>
      </c>
      <c r="O2" s="86">
        <v>4</v>
      </c>
      <c r="P2" s="86">
        <v>3</v>
      </c>
      <c r="Q2" s="69">
        <f>SUM(CoreValuesResults[[#This Row],[Gracious Professionalism 1]:[Gracious Professionalism 3]])</f>
        <v>9</v>
      </c>
      <c r="R2" s="69">
        <f t="shared" ref="R2:R8" si="0">SUM(N2:Q2)</f>
        <v>18</v>
      </c>
      <c r="S2" s="83">
        <f>SUM(CoreValuesResults[[#This Row],[Identify - Research (CV-IP)]:[Communicate - Fun (CV-RD)]],CoreValuesResults[[#This Row],[Gracious Professionalism Score]])</f>
        <v>37</v>
      </c>
      <c r="T2" s="73">
        <f>_xlfn.RANK.EQ(CoreValuesResults[[#This Row],[Core Values Score]],CoreValuesResults[Core Values Score],0)</f>
        <v>6</v>
      </c>
    </row>
    <row r="3" spans="1:25" ht="21" customHeight="1" x14ac:dyDescent="0.25">
      <c r="A3" s="69">
        <v>26034</v>
      </c>
      <c r="B3" s="69">
        <f>INDEX(OfficialTeamList[Pod Number],MATCH(CoreValuesResults[[#This Row],[Team Number]], OfficialTeamList[Team Number],0))</f>
        <v>0</v>
      </c>
      <c r="C3" s="104" t="str">
        <f>INDEX(OfficialTeamList[Team Name],MATCH(CoreValuesResults[[#This Row],[Team Number]], OfficialTeamList[Team Number],0))</f>
        <v>OLMC White Team</v>
      </c>
      <c r="D3" s="77">
        <f>INDEX(InnovationProjectResults[Identify - Research (CV)],MATCH(CoreValuesResults[[#This Row],[Team Number]],InnovationProjectResults[Team Number],0))</f>
        <v>3</v>
      </c>
      <c r="E3" s="77">
        <f>INDEX(InnovationProjectResults[Design - Teamwork (CV)],MATCH(CoreValuesResults[[#This Row],[Team Number]],InnovationProjectResults[Team Number],0))</f>
        <v>2</v>
      </c>
      <c r="F3" s="77">
        <f>INDEX(InnovationProjectResults[Create - Innovation (CV)],MATCH(CoreValuesResults[[#This Row],[Team Number]],InnovationProjectResults[Team Number],0))</f>
        <v>2</v>
      </c>
      <c r="G3" s="77">
        <f>INDEX(InnovationProjectResults[Communicate - Impact (CV)],MATCH(CoreValuesResults[[#This Row],[Team Number]],InnovationProjectResults[Team Number],0))</f>
        <v>2</v>
      </c>
      <c r="H3" s="77">
        <f>INDEX(InnovationProjectResults[Communicate - Fun (CV)],MATCH(CoreValuesResults[[#This Row],[Team Number]],InnovationProjectResults[Team Number],0))</f>
        <v>4</v>
      </c>
      <c r="I3" s="77">
        <f>INDEX(RobotDesignResults[Identify - Research (CV)],MATCH(CoreValuesResults[[#This Row],[Team Number]],RobotDesignResults[Team Number],0))</f>
        <v>1</v>
      </c>
      <c r="J3" s="77">
        <f>INDEX(RobotDesignResults[Design - Ideas (CV)],MATCH(CoreValuesResults[[#This Row],[Team Number]],RobotDesignResults[Team Number],0))</f>
        <v>2</v>
      </c>
      <c r="K3" s="77">
        <f>INDEX(RobotDesignResults[Iterate - Improvements (CV)],MATCH(CoreValuesResults[[#This Row],[Team Number]],RobotDesignResults[Team Number],0))</f>
        <v>2</v>
      </c>
      <c r="L3" s="77">
        <f>INDEX(RobotDesignResults[Communicate - Impact (CV)],MATCH(CoreValuesResults[[#This Row],[Team Number]],RobotDesignResults[Team Number],0))</f>
        <v>2</v>
      </c>
      <c r="M3" s="77">
        <f>INDEX(RobotDesignResults[Communicate - Fun (CV)],MATCH(CoreValuesResults[[#This Row],[Team Number]],RobotDesignResults[Team Number],0))</f>
        <v>3</v>
      </c>
      <c r="N3" s="86">
        <v>2</v>
      </c>
      <c r="O3" s="86">
        <v>3</v>
      </c>
      <c r="P3" s="86">
        <v>3</v>
      </c>
      <c r="Q3" s="69">
        <f>SUM(CoreValuesResults[[#This Row],[Gracious Professionalism 1]:[Gracious Professionalism 3]])</f>
        <v>8</v>
      </c>
      <c r="R3" s="69">
        <f t="shared" si="0"/>
        <v>16</v>
      </c>
      <c r="S3" s="83">
        <f>SUM(CoreValuesResults[[#This Row],[Identify - Research (CV-IP)]:[Communicate - Fun (CV-RD)]],CoreValuesResults[[#This Row],[Gracious Professionalism Score]])</f>
        <v>39</v>
      </c>
      <c r="T3" s="73">
        <f>_xlfn.RANK.EQ(CoreValuesResults[[#This Row],[Core Values Score]],CoreValuesResults[Core Values Score],0)</f>
        <v>5</v>
      </c>
    </row>
    <row r="4" spans="1:25" ht="21" customHeight="1" x14ac:dyDescent="0.25">
      <c r="A4" s="69">
        <v>60801</v>
      </c>
      <c r="B4" s="69">
        <f>INDEX(OfficialTeamList[Pod Number],MATCH(CoreValuesResults[[#This Row],[Team Number]], OfficialTeamList[Team Number],0))</f>
        <v>0</v>
      </c>
      <c r="C4" s="104" t="str">
        <f>INDEX(OfficialTeamList[Team Name],MATCH(CoreValuesResults[[#This Row],[Team Number]], OfficialTeamList[Team Number],0))</f>
        <v>ESPs</v>
      </c>
      <c r="D4" s="77">
        <f>INDEX(InnovationProjectResults[Identify - Research (CV)],MATCH(CoreValuesResults[[#This Row],[Team Number]],InnovationProjectResults[Team Number],0))</f>
        <v>3</v>
      </c>
      <c r="E4" s="77">
        <f>INDEX(InnovationProjectResults[Design - Teamwork (CV)],MATCH(CoreValuesResults[[#This Row],[Team Number]],InnovationProjectResults[Team Number],0))</f>
        <v>2</v>
      </c>
      <c r="F4" s="77">
        <f>INDEX(InnovationProjectResults[Create - Innovation (CV)],MATCH(CoreValuesResults[[#This Row],[Team Number]],InnovationProjectResults[Team Number],0))</f>
        <v>3</v>
      </c>
      <c r="G4" s="77">
        <f>INDEX(InnovationProjectResults[Communicate - Impact (CV)],MATCH(CoreValuesResults[[#This Row],[Team Number]],InnovationProjectResults[Team Number],0))</f>
        <v>3</v>
      </c>
      <c r="H4" s="77">
        <f>INDEX(InnovationProjectResults[Communicate - Fun (CV)],MATCH(CoreValuesResults[[#This Row],[Team Number]],InnovationProjectResults[Team Number],0))</f>
        <v>1</v>
      </c>
      <c r="I4" s="77">
        <f>INDEX(RobotDesignResults[Identify - Research (CV)],MATCH(CoreValuesResults[[#This Row],[Team Number]],RobotDesignResults[Team Number],0))</f>
        <v>1</v>
      </c>
      <c r="J4" s="77">
        <f>INDEX(RobotDesignResults[Design - Ideas (CV)],MATCH(CoreValuesResults[[#This Row],[Team Number]],RobotDesignResults[Team Number],0))</f>
        <v>2</v>
      </c>
      <c r="K4" s="77">
        <f>INDEX(RobotDesignResults[Iterate - Improvements (CV)],MATCH(CoreValuesResults[[#This Row],[Team Number]],RobotDesignResults[Team Number],0))</f>
        <v>3</v>
      </c>
      <c r="L4" s="77">
        <f>INDEX(RobotDesignResults[Communicate - Impact (CV)],MATCH(CoreValuesResults[[#This Row],[Team Number]],RobotDesignResults[Team Number],0))</f>
        <v>4</v>
      </c>
      <c r="M4" s="77">
        <f>INDEX(RobotDesignResults[Communicate - Fun (CV)],MATCH(CoreValuesResults[[#This Row],[Team Number]],RobotDesignResults[Team Number],0))</f>
        <v>4</v>
      </c>
      <c r="N4" s="86">
        <v>3</v>
      </c>
      <c r="O4" s="86">
        <v>3</v>
      </c>
      <c r="P4" s="86">
        <v>3</v>
      </c>
      <c r="Q4" s="69">
        <f>SUM(CoreValuesResults[[#This Row],[Gracious Professionalism 1]:[Gracious Professionalism 3]])</f>
        <v>9</v>
      </c>
      <c r="R4" s="69">
        <f t="shared" si="0"/>
        <v>18</v>
      </c>
      <c r="S4" s="83">
        <f>SUM(CoreValuesResults[[#This Row],[Identify - Research (CV-IP)]:[Communicate - Fun (CV-RD)]],CoreValuesResults[[#This Row],[Gracious Professionalism Score]])</f>
        <v>44</v>
      </c>
      <c r="T4" s="73">
        <f>_xlfn.RANK.EQ(CoreValuesResults[[#This Row],[Core Values Score]],CoreValuesResults[Core Values Score],0)</f>
        <v>1</v>
      </c>
    </row>
    <row r="5" spans="1:25" ht="21" customHeight="1" x14ac:dyDescent="0.25">
      <c r="A5" s="69">
        <v>67083</v>
      </c>
      <c r="B5" s="69">
        <f>INDEX(OfficialTeamList[Pod Number],MATCH(CoreValuesResults[[#This Row],[Team Number]], OfficialTeamList[Team Number],0))</f>
        <v>0</v>
      </c>
      <c r="C5" s="104" t="str">
        <f>INDEX(OfficialTeamList[Team Name],MATCH(CoreValuesResults[[#This Row],[Team Number]], OfficialTeamList[Team Number],0))</f>
        <v>Wired Dolphins</v>
      </c>
      <c r="D5" s="77">
        <f>INDEX(InnovationProjectResults[Identify - Research (CV)],MATCH(CoreValuesResults[[#This Row],[Team Number]],InnovationProjectResults[Team Number],0))</f>
        <v>2</v>
      </c>
      <c r="E5" s="77">
        <f>INDEX(InnovationProjectResults[Design - Teamwork (CV)],MATCH(CoreValuesResults[[#This Row],[Team Number]],InnovationProjectResults[Team Number],0))</f>
        <v>3</v>
      </c>
      <c r="F5" s="77">
        <f>INDEX(InnovationProjectResults[Create - Innovation (CV)],MATCH(CoreValuesResults[[#This Row],[Team Number]],InnovationProjectResults[Team Number],0))</f>
        <v>3</v>
      </c>
      <c r="G5" s="77">
        <f>INDEX(InnovationProjectResults[Communicate - Impact (CV)],MATCH(CoreValuesResults[[#This Row],[Team Number]],InnovationProjectResults[Team Number],0))</f>
        <v>4</v>
      </c>
      <c r="H5" s="77">
        <f>INDEX(InnovationProjectResults[Communicate - Fun (CV)],MATCH(CoreValuesResults[[#This Row],[Team Number]],InnovationProjectResults[Team Number],0))</f>
        <v>2</v>
      </c>
      <c r="I5" s="77">
        <f>INDEX(RobotDesignResults[Identify - Research (CV)],MATCH(CoreValuesResults[[#This Row],[Team Number]],RobotDesignResults[Team Number],0))</f>
        <v>2</v>
      </c>
      <c r="J5" s="77">
        <f>INDEX(RobotDesignResults[Design - Ideas (CV)],MATCH(CoreValuesResults[[#This Row],[Team Number]],RobotDesignResults[Team Number],0))</f>
        <v>2</v>
      </c>
      <c r="K5" s="77">
        <f>INDEX(RobotDesignResults[Iterate - Improvements (CV)],MATCH(CoreValuesResults[[#This Row],[Team Number]],RobotDesignResults[Team Number],0))</f>
        <v>4</v>
      </c>
      <c r="L5" s="77">
        <f>INDEX(RobotDesignResults[Communicate - Impact (CV)],MATCH(CoreValuesResults[[#This Row],[Team Number]],RobotDesignResults[Team Number],0))</f>
        <v>3</v>
      </c>
      <c r="M5" s="77">
        <f>INDEX(RobotDesignResults[Communicate - Fun (CV)],MATCH(CoreValuesResults[[#This Row],[Team Number]],RobotDesignResults[Team Number],0))</f>
        <v>3</v>
      </c>
      <c r="N5" s="86">
        <v>3</v>
      </c>
      <c r="O5" s="86">
        <v>2</v>
      </c>
      <c r="P5" s="86">
        <v>3</v>
      </c>
      <c r="Q5" s="69">
        <f>SUM(CoreValuesResults[[#This Row],[Gracious Professionalism 1]:[Gracious Professionalism 3]])</f>
        <v>8</v>
      </c>
      <c r="R5" s="69">
        <f t="shared" si="0"/>
        <v>16</v>
      </c>
      <c r="S5" s="83">
        <f>SUM(CoreValuesResults[[#This Row],[Identify - Research (CV-IP)]:[Communicate - Fun (CV-RD)]],CoreValuesResults[[#This Row],[Gracious Professionalism Score]])</f>
        <v>44</v>
      </c>
      <c r="T5" s="73">
        <f>_xlfn.RANK.EQ(CoreValuesResults[[#This Row],[Core Values Score]],CoreValuesResults[Core Values Score],0)</f>
        <v>1</v>
      </c>
    </row>
    <row r="6" spans="1:25" ht="21" customHeight="1" x14ac:dyDescent="0.25">
      <c r="A6" s="69">
        <v>67801</v>
      </c>
      <c r="B6" s="69">
        <f>INDEX(OfficialTeamList[Pod Number],MATCH(CoreValuesResults[[#This Row],[Team Number]], OfficialTeamList[Team Number],0))</f>
        <v>0</v>
      </c>
      <c r="C6" s="104" t="str">
        <f>INDEX(OfficialTeamList[Team Name],MATCH(CoreValuesResults[[#This Row],[Team Number]], OfficialTeamList[Team Number],0))</f>
        <v>Scorpion Tech Force</v>
      </c>
      <c r="D6" s="77">
        <f>INDEX(InnovationProjectResults[Identify - Research (CV)],MATCH(CoreValuesResults[[#This Row],[Team Number]],InnovationProjectResults[Team Number],0))</f>
        <v>2</v>
      </c>
      <c r="E6" s="77">
        <f>INDEX(InnovationProjectResults[Design - Teamwork (CV)],MATCH(CoreValuesResults[[#This Row],[Team Number]],InnovationProjectResults[Team Number],0))</f>
        <v>4</v>
      </c>
      <c r="F6" s="77">
        <f>INDEX(InnovationProjectResults[Create - Innovation (CV)],MATCH(CoreValuesResults[[#This Row],[Team Number]],InnovationProjectResults[Team Number],0))</f>
        <v>3</v>
      </c>
      <c r="G6" s="77">
        <f>INDEX(InnovationProjectResults[Communicate - Impact (CV)],MATCH(CoreValuesResults[[#This Row],[Team Number]],InnovationProjectResults[Team Number],0))</f>
        <v>3</v>
      </c>
      <c r="H6" s="77">
        <f>INDEX(InnovationProjectResults[Communicate - Fun (CV)],MATCH(CoreValuesResults[[#This Row],[Team Number]],InnovationProjectResults[Team Number],0))</f>
        <v>2</v>
      </c>
      <c r="I6" s="77">
        <f>INDEX(RobotDesignResults[Identify - Research (CV)],MATCH(CoreValuesResults[[#This Row],[Team Number]],RobotDesignResults[Team Number],0))</f>
        <v>2</v>
      </c>
      <c r="J6" s="77">
        <f>INDEX(RobotDesignResults[Design - Ideas (CV)],MATCH(CoreValuesResults[[#This Row],[Team Number]],RobotDesignResults[Team Number],0))</f>
        <v>4</v>
      </c>
      <c r="K6" s="77">
        <f>INDEX(RobotDesignResults[Iterate - Improvements (CV)],MATCH(CoreValuesResults[[#This Row],[Team Number]],RobotDesignResults[Team Number],0))</f>
        <v>3</v>
      </c>
      <c r="L6" s="77">
        <f>INDEX(RobotDesignResults[Communicate - Impact (CV)],MATCH(CoreValuesResults[[#This Row],[Team Number]],RobotDesignResults[Team Number],0))</f>
        <v>4</v>
      </c>
      <c r="M6" s="77">
        <f>INDEX(RobotDesignResults[Communicate - Fun (CV)],MATCH(CoreValuesResults[[#This Row],[Team Number]],RobotDesignResults[Team Number],0))</f>
        <v>1</v>
      </c>
      <c r="N6" s="86">
        <v>2</v>
      </c>
      <c r="O6" s="86">
        <v>2</v>
      </c>
      <c r="P6" s="86">
        <v>3</v>
      </c>
      <c r="Q6" s="69">
        <f>SUM(CoreValuesResults[[#This Row],[Gracious Professionalism 1]:[Gracious Professionalism 3]])</f>
        <v>7</v>
      </c>
      <c r="R6" s="69">
        <f t="shared" si="0"/>
        <v>14</v>
      </c>
      <c r="S6" s="83">
        <f>SUM(CoreValuesResults[[#This Row],[Identify - Research (CV-IP)]:[Communicate - Fun (CV-RD)]],CoreValuesResults[[#This Row],[Gracious Professionalism Score]])</f>
        <v>42</v>
      </c>
      <c r="T6" s="73">
        <f>_xlfn.RANK.EQ(CoreValuesResults[[#This Row],[Core Values Score]],CoreValuesResults[Core Values Score],0)</f>
        <v>4</v>
      </c>
    </row>
    <row r="7" spans="1:25" ht="21" customHeight="1" x14ac:dyDescent="0.25">
      <c r="A7" s="69">
        <v>68850</v>
      </c>
      <c r="B7" s="69">
        <f>INDEX(OfficialTeamList[Pod Number],MATCH(CoreValuesResults[[#This Row],[Team Number]], OfficialTeamList[Team Number],0))</f>
        <v>0</v>
      </c>
      <c r="C7" s="104" t="str">
        <f>INDEX(OfficialTeamList[Team Name],MATCH(CoreValuesResults[[#This Row],[Team Number]], OfficialTeamList[Team Number],0))</f>
        <v>MCH Marvels</v>
      </c>
      <c r="D7" s="77">
        <f>INDEX(InnovationProjectResults[Identify - Research (CV)],MATCH(CoreValuesResults[[#This Row],[Team Number]],InnovationProjectResults[Team Number],0))</f>
        <v>3</v>
      </c>
      <c r="E7" s="77">
        <f>INDEX(InnovationProjectResults[Design - Teamwork (CV)],MATCH(CoreValuesResults[[#This Row],[Team Number]],InnovationProjectResults[Team Number],0))</f>
        <v>1</v>
      </c>
      <c r="F7" s="77">
        <f>INDEX(InnovationProjectResults[Create - Innovation (CV)],MATCH(CoreValuesResults[[#This Row],[Team Number]],InnovationProjectResults[Team Number],0))</f>
        <v>3</v>
      </c>
      <c r="G7" s="77">
        <f>INDEX(InnovationProjectResults[Communicate - Impact (CV)],MATCH(CoreValuesResults[[#This Row],[Team Number]],InnovationProjectResults[Team Number],0))</f>
        <v>1</v>
      </c>
      <c r="H7" s="77">
        <f>INDEX(InnovationProjectResults[Communicate - Fun (CV)],MATCH(CoreValuesResults[[#This Row],[Team Number]],InnovationProjectResults[Team Number],0))</f>
        <v>2</v>
      </c>
      <c r="I7" s="77">
        <f>INDEX(RobotDesignResults[Identify - Research (CV)],MATCH(CoreValuesResults[[#This Row],[Team Number]],RobotDesignResults[Team Number],0))</f>
        <v>3</v>
      </c>
      <c r="J7" s="77">
        <f>INDEX(RobotDesignResults[Design - Ideas (CV)],MATCH(CoreValuesResults[[#This Row],[Team Number]],RobotDesignResults[Team Number],0))</f>
        <v>2</v>
      </c>
      <c r="K7" s="77">
        <f>INDEX(RobotDesignResults[Iterate - Improvements (CV)],MATCH(CoreValuesResults[[#This Row],[Team Number]],RobotDesignResults[Team Number],0))</f>
        <v>2</v>
      </c>
      <c r="L7" s="77">
        <f>INDEX(RobotDesignResults[Communicate - Impact (CV)],MATCH(CoreValuesResults[[#This Row],[Team Number]],RobotDesignResults[Team Number],0))</f>
        <v>3</v>
      </c>
      <c r="M7" s="77">
        <f>INDEX(RobotDesignResults[Communicate - Fun (CV)],MATCH(CoreValuesResults[[#This Row],[Team Number]],RobotDesignResults[Team Number],0))</f>
        <v>3</v>
      </c>
      <c r="N7" s="86">
        <v>2</v>
      </c>
      <c r="O7" s="86">
        <v>2</v>
      </c>
      <c r="P7" s="86">
        <v>3</v>
      </c>
      <c r="Q7" s="69">
        <f>SUM(CoreValuesResults[[#This Row],[Gracious Professionalism 1]:[Gracious Professionalism 3]])</f>
        <v>7</v>
      </c>
      <c r="R7" s="69">
        <f t="shared" si="0"/>
        <v>14</v>
      </c>
      <c r="S7" s="83">
        <f>SUM(CoreValuesResults[[#This Row],[Identify - Research (CV-IP)]:[Communicate - Fun (CV-RD)]],CoreValuesResults[[#This Row],[Gracious Professionalism Score]])</f>
        <v>37</v>
      </c>
      <c r="T7" s="73">
        <f>_xlfn.RANK.EQ(CoreValuesResults[[#This Row],[Core Values Score]],CoreValuesResults[Core Values Score],0)</f>
        <v>6</v>
      </c>
    </row>
    <row r="8" spans="1:25" ht="21" customHeight="1" x14ac:dyDescent="0.25">
      <c r="A8" s="69">
        <v>71673</v>
      </c>
      <c r="B8" s="69">
        <f>INDEX(OfficialTeamList[Pod Number],MATCH(CoreValuesResults[[#This Row],[Team Number]], OfficialTeamList[Team Number],0))</f>
        <v>0</v>
      </c>
      <c r="C8" s="104" t="str">
        <f>INDEX(OfficialTeamList[Team Name],MATCH(CoreValuesResults[[#This Row],[Team Number]], OfficialTeamList[Team Number],0))</f>
        <v>SMS Eaglebots 1</v>
      </c>
      <c r="D8" s="77">
        <f>INDEX(InnovationProjectResults[Identify - Research (CV)],MATCH(CoreValuesResults[[#This Row],[Team Number]],InnovationProjectResults[Team Number],0))</f>
        <v>3</v>
      </c>
      <c r="E8" s="77">
        <f>INDEX(InnovationProjectResults[Design - Teamwork (CV)],MATCH(CoreValuesResults[[#This Row],[Team Number]],InnovationProjectResults[Team Number],0))</f>
        <v>1</v>
      </c>
      <c r="F8" s="77">
        <f>INDEX(InnovationProjectResults[Create - Innovation (CV)],MATCH(CoreValuesResults[[#This Row],[Team Number]],InnovationProjectResults[Team Number],0))</f>
        <v>1</v>
      </c>
      <c r="G8" s="77">
        <f>INDEX(InnovationProjectResults[Communicate - Impact (CV)],MATCH(CoreValuesResults[[#This Row],[Team Number]],InnovationProjectResults[Team Number],0))</f>
        <v>3</v>
      </c>
      <c r="H8" s="77">
        <f>INDEX(InnovationProjectResults[Communicate - Fun (CV)],MATCH(CoreValuesResults[[#This Row],[Team Number]],InnovationProjectResults[Team Number],0))</f>
        <v>3</v>
      </c>
      <c r="I8" s="77">
        <f>INDEX(RobotDesignResults[Identify - Research (CV)],MATCH(CoreValuesResults[[#This Row],[Team Number]],RobotDesignResults[Team Number],0))</f>
        <v>1</v>
      </c>
      <c r="J8" s="77">
        <f>INDEX(RobotDesignResults[Design - Ideas (CV)],MATCH(CoreValuesResults[[#This Row],[Team Number]],RobotDesignResults[Team Number],0))</f>
        <v>3</v>
      </c>
      <c r="K8" s="77">
        <f>INDEX(RobotDesignResults[Iterate - Improvements (CV)],MATCH(CoreValuesResults[[#This Row],[Team Number]],RobotDesignResults[Team Number],0))</f>
        <v>4</v>
      </c>
      <c r="L8" s="77">
        <f>INDEX(RobotDesignResults[Communicate - Impact (CV)],MATCH(CoreValuesResults[[#This Row],[Team Number]],RobotDesignResults[Team Number],0))</f>
        <v>3</v>
      </c>
      <c r="M8" s="77">
        <f>INDEX(RobotDesignResults[Communicate - Fun (CV)],MATCH(CoreValuesResults[[#This Row],[Team Number]],RobotDesignResults[Team Number],0))</f>
        <v>4</v>
      </c>
      <c r="N8" s="86">
        <v>3</v>
      </c>
      <c r="O8" s="86">
        <v>3</v>
      </c>
      <c r="P8" s="86">
        <v>3</v>
      </c>
      <c r="Q8" s="69">
        <f>SUM(CoreValuesResults[[#This Row],[Gracious Professionalism 1]:[Gracious Professionalism 3]])</f>
        <v>9</v>
      </c>
      <c r="R8" s="69">
        <f t="shared" si="0"/>
        <v>18</v>
      </c>
      <c r="S8" s="83">
        <f>SUM(CoreValuesResults[[#This Row],[Identify - Research (CV-IP)]:[Communicate - Fun (CV-RD)]],CoreValuesResults[[#This Row],[Gracious Professionalism Score]])</f>
        <v>44</v>
      </c>
      <c r="T8" s="73">
        <f>_xlfn.RANK.EQ(CoreValuesResults[[#This Row],[Core Values Score]],CoreValuesResults[Core Values Score],0)</f>
        <v>1</v>
      </c>
    </row>
    <row r="9" spans="1:25" ht="21" customHeight="1" x14ac:dyDescent="0.25"/>
    <row r="10" spans="1:25" ht="21" customHeight="1" x14ac:dyDescent="0.25"/>
    <row r="11" spans="1:25" ht="21" customHeight="1" x14ac:dyDescent="0.25"/>
    <row r="12" spans="1:25" ht="21" customHeight="1" x14ac:dyDescent="0.25"/>
    <row r="13" spans="1:25" ht="21" customHeight="1" x14ac:dyDescent="0.25"/>
    <row r="14" spans="1:25" ht="21" customHeight="1" x14ac:dyDescent="0.25"/>
    <row r="15" spans="1:25" ht="21" customHeight="1" x14ac:dyDescent="0.25"/>
    <row r="16" spans="1:25" ht="21" customHeight="1" x14ac:dyDescent="0.25"/>
    <row r="17" ht="21" customHeight="1" x14ac:dyDescent="0.25"/>
    <row r="18" ht="21" customHeight="1" x14ac:dyDescent="0.25"/>
    <row r="19" ht="21" customHeight="1" x14ac:dyDescent="0.25"/>
    <row r="20" ht="21" customHeight="1" x14ac:dyDescent="0.25"/>
    <row r="21" ht="21" customHeight="1" x14ac:dyDescent="0.25"/>
    <row r="22" ht="21" customHeight="1" x14ac:dyDescent="0.25"/>
    <row r="23" ht="21" customHeight="1" x14ac:dyDescent="0.25"/>
    <row r="24" ht="21" customHeight="1" x14ac:dyDescent="0.25"/>
    <row r="25" ht="21" customHeight="1" x14ac:dyDescent="0.25"/>
    <row r="26" ht="21" customHeight="1" x14ac:dyDescent="0.25"/>
    <row r="27" ht="21" customHeight="1" x14ac:dyDescent="0.25"/>
    <row r="28" ht="21" customHeight="1" x14ac:dyDescent="0.25"/>
    <row r="29" ht="21" customHeight="1" x14ac:dyDescent="0.25"/>
    <row r="30" ht="21" customHeight="1" x14ac:dyDescent="0.25"/>
    <row r="31" ht="21" customHeight="1" x14ac:dyDescent="0.25"/>
    <row r="32"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row r="40" ht="21" customHeight="1" x14ac:dyDescent="0.25"/>
    <row r="41" ht="21" customHeight="1" x14ac:dyDescent="0.25"/>
    <row r="42" ht="21" customHeight="1" x14ac:dyDescent="0.25"/>
    <row r="43" ht="21" customHeight="1" x14ac:dyDescent="0.25"/>
    <row r="44" ht="21" customHeight="1" x14ac:dyDescent="0.25"/>
    <row r="45" ht="21" customHeight="1" x14ac:dyDescent="0.25"/>
    <row r="46" ht="21" customHeight="1" x14ac:dyDescent="0.25"/>
    <row r="47" ht="21" customHeight="1" x14ac:dyDescent="0.25"/>
    <row r="48" ht="21" customHeight="1" x14ac:dyDescent="0.25"/>
    <row r="49" ht="21" customHeight="1" x14ac:dyDescent="0.25"/>
    <row r="50" ht="21" customHeight="1" x14ac:dyDescent="0.25"/>
    <row r="51" ht="21" customHeight="1" x14ac:dyDescent="0.25"/>
    <row r="52" ht="21" customHeight="1" x14ac:dyDescent="0.25"/>
    <row r="53" ht="21" customHeight="1" x14ac:dyDescent="0.25"/>
    <row r="54" ht="21" customHeight="1" x14ac:dyDescent="0.25"/>
    <row r="55" ht="21" customHeight="1" x14ac:dyDescent="0.25"/>
    <row r="56" ht="21" customHeight="1" x14ac:dyDescent="0.25"/>
    <row r="57" ht="21" customHeight="1" x14ac:dyDescent="0.25"/>
    <row r="58" ht="21" customHeight="1" x14ac:dyDescent="0.25"/>
    <row r="59" ht="21" customHeight="1" x14ac:dyDescent="0.25"/>
    <row r="60" ht="21" customHeight="1" x14ac:dyDescent="0.25"/>
    <row r="61" ht="21" customHeight="1" x14ac:dyDescent="0.25"/>
    <row r="62" ht="21" customHeight="1" x14ac:dyDescent="0.25"/>
    <row r="63" ht="21" customHeight="1" x14ac:dyDescent="0.25"/>
    <row r="64" ht="21" customHeight="1" x14ac:dyDescent="0.25"/>
    <row r="65" ht="21" customHeight="1" x14ac:dyDescent="0.25"/>
    <row r="66" ht="21" customHeight="1" x14ac:dyDescent="0.25"/>
    <row r="67" ht="21" customHeight="1" x14ac:dyDescent="0.25"/>
    <row r="68" ht="21" customHeight="1" x14ac:dyDescent="0.25"/>
    <row r="69" ht="21" customHeight="1" x14ac:dyDescent="0.25"/>
    <row r="70" ht="21" customHeight="1" x14ac:dyDescent="0.25"/>
    <row r="71" ht="21" customHeight="1" x14ac:dyDescent="0.25"/>
    <row r="72" ht="21" customHeight="1" x14ac:dyDescent="0.25"/>
    <row r="73" ht="21" customHeight="1" x14ac:dyDescent="0.25"/>
    <row r="74" ht="21" customHeight="1" x14ac:dyDescent="0.25"/>
    <row r="75" ht="21" customHeight="1" x14ac:dyDescent="0.25"/>
    <row r="76" ht="21" customHeight="1" x14ac:dyDescent="0.25"/>
    <row r="77" ht="21" customHeight="1" x14ac:dyDescent="0.25"/>
    <row r="78" ht="21" customHeight="1" x14ac:dyDescent="0.25"/>
    <row r="79" ht="21" customHeight="1" x14ac:dyDescent="0.25"/>
    <row r="80" ht="21" customHeight="1" x14ac:dyDescent="0.25"/>
    <row r="81" ht="21" customHeight="1" x14ac:dyDescent="0.25"/>
    <row r="82" ht="21" customHeight="1" x14ac:dyDescent="0.25"/>
    <row r="83" ht="21" customHeight="1" x14ac:dyDescent="0.25"/>
    <row r="84" ht="21" customHeight="1" x14ac:dyDescent="0.25"/>
    <row r="85" ht="21" customHeight="1" x14ac:dyDescent="0.25"/>
    <row r="86" ht="21" customHeight="1" x14ac:dyDescent="0.25"/>
    <row r="87" ht="21" customHeight="1" x14ac:dyDescent="0.25"/>
    <row r="88" ht="21" customHeight="1" x14ac:dyDescent="0.25"/>
    <row r="89" ht="21" customHeight="1" x14ac:dyDescent="0.25"/>
    <row r="90" ht="21" customHeight="1" x14ac:dyDescent="0.25"/>
    <row r="91" ht="21" customHeight="1" x14ac:dyDescent="0.25"/>
    <row r="92" ht="21" customHeight="1" x14ac:dyDescent="0.25"/>
    <row r="93" ht="21" customHeight="1" x14ac:dyDescent="0.25"/>
    <row r="94" ht="21" customHeight="1" x14ac:dyDescent="0.25"/>
    <row r="95" ht="21" customHeight="1" x14ac:dyDescent="0.25"/>
    <row r="96" ht="21" customHeight="1" x14ac:dyDescent="0.25"/>
    <row r="97" ht="21" customHeight="1" x14ac:dyDescent="0.25"/>
    <row r="98" ht="21" customHeight="1" x14ac:dyDescent="0.25"/>
    <row r="99" ht="21" customHeight="1" x14ac:dyDescent="0.25"/>
    <row r="100" ht="21" customHeight="1" x14ac:dyDescent="0.25"/>
    <row r="101" ht="21" customHeight="1" x14ac:dyDescent="0.25"/>
    <row r="102" ht="21" customHeight="1" x14ac:dyDescent="0.25"/>
    <row r="103" ht="21" customHeight="1" x14ac:dyDescent="0.25"/>
    <row r="104" ht="21" customHeight="1" x14ac:dyDescent="0.25"/>
    <row r="105" ht="21" customHeight="1" x14ac:dyDescent="0.25"/>
    <row r="106" ht="21" customHeight="1" x14ac:dyDescent="0.25"/>
    <row r="107" ht="21" customHeight="1" x14ac:dyDescent="0.25"/>
    <row r="108" ht="21" customHeight="1" x14ac:dyDescent="0.25"/>
    <row r="109" ht="21" customHeight="1" x14ac:dyDescent="0.25"/>
    <row r="110" ht="21" customHeight="1" x14ac:dyDescent="0.25"/>
    <row r="111" ht="21" customHeight="1" x14ac:dyDescent="0.25"/>
    <row r="112"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sheetData>
  <sheetProtection password="CB4D" sheet="1" formatCells="0" formatColumns="0" formatRows="0" selectLockedCells="1" sort="0" autoFilter="0"/>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147</v>
      </c>
      <c r="B1" s="26" t="s">
        <v>148</v>
      </c>
      <c r="C1" s="26" t="s">
        <v>149</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password="CB4D" sheet="1" formatCells="0" formatColumns="0" formatRows="0" selectLockedCells="1" sort="0" autoFilter="0"/>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20" width="9.140625" style="5" customWidth="1"/>
    <col min="21" max="16384" width="9.140625" style="5"/>
  </cols>
  <sheetData>
    <row r="2" spans="2:10" ht="20.25" customHeight="1" x14ac:dyDescent="0.25">
      <c r="B2" s="5" t="s">
        <v>150</v>
      </c>
      <c r="G2" s="5" t="s">
        <v>151</v>
      </c>
    </row>
    <row r="3" spans="2:10" ht="39.950000000000003" customHeight="1" x14ac:dyDescent="0.25">
      <c r="B3" s="10" t="s">
        <v>27</v>
      </c>
      <c r="C3" s="10" t="s">
        <v>28</v>
      </c>
      <c r="D3" s="11" t="s">
        <v>102</v>
      </c>
      <c r="E3" s="11" t="s">
        <v>152</v>
      </c>
      <c r="G3" s="20" t="s">
        <v>27</v>
      </c>
      <c r="H3" s="20" t="s">
        <v>28</v>
      </c>
      <c r="I3" s="21" t="s">
        <v>102</v>
      </c>
      <c r="J3" s="21" t="s">
        <v>152</v>
      </c>
    </row>
    <row r="4" spans="2:10" ht="20.25" customHeight="1" x14ac:dyDescent="0.25">
      <c r="C4" s="5" t="str">
        <f>IF(ISNA(INDEX(OfficialTeamList[Team Name],MATCH(ChampionsDelib[[#This Row],[Team Number]], OfficialTeamList[Team Number],0))),"",INDEX(OfficialTeamList[Team Name],MATCH(ChampionsDelib[[#This Row],[Team Number]], OfficialTeamList[Team Number],0)))</f>
        <v/>
      </c>
      <c r="D4" s="5" t="e">
        <f>IF(ISNA(INDEX(TournamentData[Champion''s Rank],MATCH(ChampionsDelib[[#This Row],[Team Number]],TournamentData[Team Number],0))),NumberOfTeams+1,INDEX(TournamentData[Champion''s Rank],MATCH(ChampionsDelib[[#This Row],[Team Number]],TournamentData[Team Number],0)))</f>
        <v>#REF!</v>
      </c>
      <c r="H4" s="5" t="str">
        <f>IF(ISNA(INDEX(OfficialTeamList[Team Name],MATCH(RobotGameDelib[[#This Row],[Team Number]], OfficialTeamList[Team Number],0))),"",INDEX(OfficialTeamList[Team Name],MATCH(RobotGameDelib[[#This Row],[Team Number]], OfficialTeamList[Team Number],0)))</f>
        <v/>
      </c>
      <c r="I4" s="5" t="e">
        <f>IF(ISNA(INDEX(TournamentData[Champion''s Rank],MATCH(RobotGameDelib[[#This Row],[Team Number]],TournamentData[Team Number],0))),NumberOfTeams+1,INDEX(TournamentData[Champion''s Rank],MATCH(RobotGameDelib[[#This Row],[Team Number]],TournamentData[Team Number],0)))</f>
        <v>#REF!</v>
      </c>
    </row>
    <row r="5" spans="2:10" ht="20.25" customHeight="1" x14ac:dyDescent="0.25">
      <c r="C5" s="5" t="str">
        <f>IF(ISNA(INDEX(OfficialTeamList[Team Name],MATCH(ChampionsDelib[[#This Row],[Team Number]], OfficialTeamList[Team Number],0))),"",INDEX(OfficialTeamList[Team Name],MATCH(ChampionsDelib[[#This Row],[Team Number]], OfficialTeamList[Team Number],0)))</f>
        <v/>
      </c>
      <c r="D5" s="5" t="e">
        <f>IF(ISNA(INDEX(TournamentData[Champion''s Rank],MATCH(ChampionsDelib[[#This Row],[Team Number]],TournamentData[Team Number],0))),NumberOfTeams+1,INDEX(TournamentData[Champion''s Rank],MATCH(ChampionsDelib[[#This Row],[Team Number]],TournamentData[Team Number],0)))</f>
        <v>#REF!</v>
      </c>
      <c r="H5" s="5" t="str">
        <f>IF(ISNA(INDEX(OfficialTeamList[Team Name],MATCH(RobotGameDelib[[#This Row],[Team Number]], OfficialTeamList[Team Number],0))),"",INDEX(OfficialTeamList[Team Name],MATCH(RobotGameDelib[[#This Row],[Team Number]], OfficialTeamList[Team Number],0)))</f>
        <v/>
      </c>
      <c r="I5" s="5" t="e">
        <f>IF(ISNA(INDEX(TournamentData[Champion''s Rank],MATCH(RobotGameDelib[[#This Row],[Team Number]],TournamentData[Team Number],0))),NumberOfTeams+1,INDEX(TournamentData[Champion''s Rank],MATCH(RobotGameDelib[[#This Row],[Team Number]],TournamentData[Team Number],0)))</f>
        <v>#REF!</v>
      </c>
    </row>
    <row r="6" spans="2:10" ht="20.25" customHeight="1" x14ac:dyDescent="0.25">
      <c r="C6" s="5" t="str">
        <f>IF(ISNA(INDEX(OfficialTeamList[Team Name],MATCH(ChampionsDelib[[#This Row],[Team Number]], OfficialTeamList[Team Number],0))),"",INDEX(OfficialTeamList[Team Name],MATCH(ChampionsDelib[[#This Row],[Team Number]], OfficialTeamList[Team Number],0)))</f>
        <v/>
      </c>
      <c r="D6" s="5" t="e">
        <f>IF(ISNA(INDEX(TournamentData[Champion''s Rank],MATCH(ChampionsDelib[[#This Row],[Team Number]],TournamentData[Team Number],0))),NumberOfTeams+1,INDEX(TournamentData[Champion''s Rank],MATCH(ChampionsDelib[[#This Row],[Team Number]],TournamentData[Team Number],0)))</f>
        <v>#REF!</v>
      </c>
      <c r="H6" s="5" t="str">
        <f>IF(ISNA(INDEX(OfficialTeamList[Team Name],MATCH(RobotGameDelib[[#This Row],[Team Number]], OfficialTeamList[Team Number],0))),"",INDEX(OfficialTeamList[Team Name],MATCH(RobotGameDelib[[#This Row],[Team Number]], OfficialTeamList[Team Number],0)))</f>
        <v/>
      </c>
      <c r="I6" s="5" t="e">
        <f>IF(ISNA(INDEX(TournamentData[Champion''s Rank],MATCH(RobotGameDelib[[#This Row],[Team Number]],TournamentData[Team Number],0))),NumberOfTeams+1,INDEX(TournamentData[Champion''s Rank],MATCH(RobotGameDelib[[#This Row],[Team Number]],TournamentData[Team Number],0)))</f>
        <v>#REF!</v>
      </c>
    </row>
    <row r="7" spans="2:10" ht="20.25" customHeight="1" x14ac:dyDescent="0.25">
      <c r="C7" s="5" t="str">
        <f>IF(ISNA(INDEX(OfficialTeamList[Team Name],MATCH(ChampionsDelib[[#This Row],[Team Number]], OfficialTeamList[Team Number],0))),"",INDEX(OfficialTeamList[Team Name],MATCH(ChampionsDelib[[#This Row],[Team Number]], OfficialTeamList[Team Number],0)))</f>
        <v/>
      </c>
      <c r="D7" s="5" t="e">
        <f>IF(ISNA(INDEX(TournamentData[Champion''s Rank],MATCH(ChampionsDelib[[#This Row],[Team Number]],TournamentData[Team Number],0))),NumberOfTeams+1,INDEX(TournamentData[Champion''s Rank],MATCH(ChampionsDelib[[#This Row],[Team Number]],TournamentData[Team Number],0)))</f>
        <v>#REF!</v>
      </c>
      <c r="H7" s="5" t="str">
        <f>IF(ISNA(INDEX(OfficialTeamList[Team Name],MATCH(RobotGameDelib[[#This Row],[Team Number]], OfficialTeamList[Team Number],0))),"",INDEX(OfficialTeamList[Team Name],MATCH(RobotGameDelib[[#This Row],[Team Number]], OfficialTeamList[Team Number],0)))</f>
        <v/>
      </c>
      <c r="I7" s="5" t="e">
        <f>IF(ISNA(INDEX(TournamentData[Champion''s Rank],MATCH(RobotGameDelib[[#This Row],[Team Number]],TournamentData[Team Number],0))),NumberOfTeams+1,INDEX(TournamentData[Champion''s Rank],MATCH(RobotGameDelib[[#This Row],[Team Number]],TournamentData[Team Number],0)))</f>
        <v>#REF!</v>
      </c>
    </row>
    <row r="8" spans="2:10" ht="20.25" customHeight="1" x14ac:dyDescent="0.25">
      <c r="C8" s="5" t="str">
        <f>IF(ISNA(INDEX(OfficialTeamList[Team Name],MATCH(ChampionsDelib[[#This Row],[Team Number]], OfficialTeamList[Team Number],0))),"",INDEX(OfficialTeamList[Team Name],MATCH(ChampionsDelib[[#This Row],[Team Number]], OfficialTeamList[Team Number],0)))</f>
        <v/>
      </c>
      <c r="D8" s="5" t="e">
        <f>IF(ISNA(INDEX(TournamentData[Champion''s Rank],MATCH(ChampionsDelib[[#This Row],[Team Number]],TournamentData[Team Number],0))),NumberOfTeams+1,INDEX(TournamentData[Champion''s Rank],MATCH(ChampionsDelib[[#This Row],[Team Number]],TournamentData[Team Number],0)))</f>
        <v>#REF!</v>
      </c>
      <c r="H8" s="5" t="str">
        <f>IF(ISNA(INDEX(OfficialTeamList[Team Name],MATCH(RobotGameDelib[[#This Row],[Team Number]], OfficialTeamList[Team Number],0))),"",INDEX(OfficialTeamList[Team Name],MATCH(RobotGameDelib[[#This Row],[Team Number]], OfficialTeamList[Team Number],0)))</f>
        <v/>
      </c>
      <c r="I8" s="5" t="e">
        <f>IF(ISNA(INDEX(TournamentData[Champion''s Rank],MATCH(RobotGameDelib[[#This Row],[Team Number]],TournamentData[Team Number],0))),NumberOfTeams+1,INDEX(TournamentData[Champion''s Rank],MATCH(RobotGameDelib[[#This Row],[Team Number]],TournamentData[Team Number],0)))</f>
        <v>#REF!</v>
      </c>
    </row>
    <row r="9" spans="2:10" ht="20.25" customHeight="1" x14ac:dyDescent="0.25">
      <c r="C9" s="5" t="str">
        <f>IF(ISNA(INDEX(OfficialTeamList[Team Name],MATCH(ChampionsDelib[[#This Row],[Team Number]], OfficialTeamList[Team Number],0))),"",INDEX(OfficialTeamList[Team Name],MATCH(ChampionsDelib[[#This Row],[Team Number]], OfficialTeamList[Team Number],0)))</f>
        <v/>
      </c>
      <c r="D9" s="5" t="e">
        <f>IF(ISNA(INDEX(TournamentData[Champion''s Rank],MATCH(ChampionsDelib[[#This Row],[Team Number]],TournamentData[Team Number],0))),NumberOfTeams+1,INDEX(TournamentData[Champion''s Rank],MATCH(ChampionsDelib[[#This Row],[Team Number]],TournamentData[Team Number],0)))</f>
        <v>#REF!</v>
      </c>
      <c r="H9" s="5" t="str">
        <f>IF(ISNA(INDEX(OfficialTeamList[Team Name],MATCH(RobotGameDelib[[#This Row],[Team Number]], OfficialTeamList[Team Number],0))),"",INDEX(OfficialTeamList[Team Name],MATCH(RobotGameDelib[[#This Row],[Team Number]], OfficialTeamList[Team Number],0)))</f>
        <v/>
      </c>
      <c r="I9" s="5" t="e">
        <f>IF(ISNA(INDEX(TournamentData[Champion''s Rank],MATCH(RobotGameDelib[[#This Row],[Team Number]],TournamentData[Team Number],0))),NumberOfTeams+1,INDEX(TournamentData[Champion''s Rank],MATCH(RobotGameDelib[[#This Row],[Team Number]],TournamentData[Team Number],0)))</f>
        <v>#REF!</v>
      </c>
    </row>
    <row r="10" spans="2:10" ht="20.25" customHeight="1" x14ac:dyDescent="0.25">
      <c r="C10" s="5" t="str">
        <f>IF(ISNA(INDEX(OfficialTeamList[Team Name],MATCH(ChampionsDelib[[#This Row],[Team Number]], OfficialTeamList[Team Number],0))),"",INDEX(OfficialTeamList[Team Name],MATCH(ChampionsDelib[[#This Row],[Team Number]], OfficialTeamList[Team Number],0)))</f>
        <v/>
      </c>
      <c r="D10" s="5" t="e">
        <f>IF(ISNA(INDEX(TournamentData[Champion''s Rank],MATCH(ChampionsDelib[[#This Row],[Team Number]],TournamentData[Team Number],0))),NumberOfTeams+1,INDEX(TournamentData[Champion''s Rank],MATCH(ChampionsDelib[[#This Row],[Team Number]],TournamentData[Team Number],0)))</f>
        <v>#REF!</v>
      </c>
      <c r="H10" s="5" t="str">
        <f>IF(ISNA(INDEX(OfficialTeamList[Team Name],MATCH(RobotGameDelib[[#This Row],[Team Number]], OfficialTeamList[Team Number],0))),"",INDEX(OfficialTeamList[Team Name],MATCH(RobotGameDelib[[#This Row],[Team Number]], OfficialTeamList[Team Number],0)))</f>
        <v/>
      </c>
      <c r="I10" s="5" t="e">
        <f>IF(ISNA(INDEX(TournamentData[Champion''s Rank],MATCH(RobotGameDelib[[#This Row],[Team Number]],TournamentData[Team Number],0))),NumberOfTeams+1,INDEX(TournamentData[Champion''s Rank],MATCH(RobotGameDelib[[#This Row],[Team Number]],TournamentData[Team Number],0)))</f>
        <v>#REF!</v>
      </c>
    </row>
    <row r="11" spans="2:10" ht="20.25" customHeight="1" x14ac:dyDescent="0.25">
      <c r="C11" s="5" t="str">
        <f>IF(ISNA(INDEX(OfficialTeamList[Team Name],MATCH(ChampionsDelib[[#This Row],[Team Number]], OfficialTeamList[Team Number],0))),"",INDEX(OfficialTeamList[Team Name],MATCH(ChampionsDelib[[#This Row],[Team Number]], OfficialTeamList[Team Number],0)))</f>
        <v/>
      </c>
      <c r="D11" s="5" t="e">
        <f>IF(ISNA(INDEX(TournamentData[Champion''s Rank],MATCH(ChampionsDelib[[#This Row],[Team Number]],TournamentData[Team Number],0))),NumberOfTeams+1,INDEX(TournamentData[Champion''s Rank],MATCH(ChampionsDelib[[#This Row],[Team Number]],TournamentData[Team Number],0)))</f>
        <v>#REF!</v>
      </c>
      <c r="H11" s="5" t="str">
        <f>IF(ISNA(INDEX(OfficialTeamList[Team Name],MATCH(RobotGameDelib[[#This Row],[Team Number]], OfficialTeamList[Team Number],0))),"",INDEX(OfficialTeamList[Team Name],MATCH(RobotGameDelib[[#This Row],[Team Number]], OfficialTeamList[Team Number],0)))</f>
        <v/>
      </c>
      <c r="I11" s="5" t="e">
        <f>IF(ISNA(INDEX(TournamentData[Champion''s Rank],MATCH(RobotGameDelib[[#This Row],[Team Number]],TournamentData[Team Number],0))),NumberOfTeams+1,INDEX(TournamentData[Champion''s Rank],MATCH(RobotGameDelib[[#This Row],[Team Number]],TournamentData[Team Number],0)))</f>
        <v>#REF!</v>
      </c>
    </row>
    <row r="12" spans="2:10" ht="20.25" customHeight="1" x14ac:dyDescent="0.25">
      <c r="C12" s="5" t="str">
        <f>IF(ISNA(INDEX(OfficialTeamList[Team Name],MATCH(ChampionsDelib[[#This Row],[Team Number]], OfficialTeamList[Team Number],0))),"",INDEX(OfficialTeamList[Team Name],MATCH(ChampionsDelib[[#This Row],[Team Number]], OfficialTeamList[Team Number],0)))</f>
        <v/>
      </c>
      <c r="D12" s="5" t="e">
        <f>IF(ISNA(INDEX(TournamentData[Champion''s Rank],MATCH(ChampionsDelib[[#This Row],[Team Number]],TournamentData[Team Number],0))),NumberOfTeams+1,INDEX(TournamentData[Champion''s Rank],MATCH(ChampionsDelib[[#This Row],[Team Number]],TournamentData[Team Number],0)))</f>
        <v>#REF!</v>
      </c>
      <c r="H12" s="5" t="str">
        <f>IF(ISNA(INDEX(OfficialTeamList[Team Name],MATCH(RobotGameDelib[[#This Row],[Team Number]], OfficialTeamList[Team Number],0))),"",INDEX(OfficialTeamList[Team Name],MATCH(RobotGameDelib[[#This Row],[Team Number]], OfficialTeamList[Team Number],0)))</f>
        <v/>
      </c>
      <c r="I12" s="5" t="e">
        <f>IF(ISNA(INDEX(TournamentData[Champion''s Rank],MATCH(RobotGameDelib[[#This Row],[Team Number]],TournamentData[Team Number],0))),NumberOfTeams+1,INDEX(TournamentData[Champion''s Rank],MATCH(RobotGameDelib[[#This Row],[Team Number]],TournamentData[Team Number],0)))</f>
        <v>#REF!</v>
      </c>
    </row>
    <row r="13" spans="2:10" ht="20.25" customHeight="1" x14ac:dyDescent="0.25">
      <c r="C13" s="5" t="str">
        <f>IF(ISNA(INDEX(OfficialTeamList[Team Name],MATCH(ChampionsDelib[[#This Row],[Team Number]], OfficialTeamList[Team Number],0))),"",INDEX(OfficialTeamList[Team Name],MATCH(ChampionsDelib[[#This Row],[Team Number]], OfficialTeamList[Team Number],0)))</f>
        <v/>
      </c>
      <c r="D13" s="5" t="e">
        <f>IF(ISNA(INDEX(TournamentData[Champion''s Rank],MATCH(ChampionsDelib[[#This Row],[Team Number]],TournamentData[Team Number],0))),NumberOfTeams+1,INDEX(TournamentData[Champion''s Rank],MATCH(ChampionsDelib[[#This Row],[Team Number]],TournamentData[Team Number],0)))</f>
        <v>#REF!</v>
      </c>
      <c r="H13" s="5" t="str">
        <f>IF(ISNA(INDEX(OfficialTeamList[Team Name],MATCH(RobotGameDelib[[#This Row],[Team Number]], OfficialTeamList[Team Number],0))),"",INDEX(OfficialTeamList[Team Name],MATCH(RobotGameDelib[[#This Row],[Team Number]], OfficialTeamList[Team Number],0)))</f>
        <v/>
      </c>
      <c r="I13" s="5" t="e">
        <f>IF(ISNA(INDEX(TournamentData[Champion''s Rank],MATCH(RobotGameDelib[[#This Row],[Team Number]],TournamentData[Team Number],0))),NumberOfTeams+1,INDEX(TournamentData[Champion''s Rank],MATCH(RobotGameDelib[[#This Row],[Team Number]],TournamentData[Team Number],0)))</f>
        <v>#REF!</v>
      </c>
    </row>
    <row r="14" spans="2:10" ht="20.25" customHeight="1" x14ac:dyDescent="0.25">
      <c r="C14" s="5" t="str">
        <f>IF(ISNA(INDEX(OfficialTeamList[Team Name],MATCH(ChampionsDelib[[#This Row],[Team Number]], OfficialTeamList[Team Number],0))),"",INDEX(OfficialTeamList[Team Name],MATCH(ChampionsDelib[[#This Row],[Team Number]], OfficialTeamList[Team Number],0)))</f>
        <v/>
      </c>
      <c r="D14" s="5" t="e">
        <f>IF(ISNA(INDEX(TournamentData[Champion''s Rank],MATCH(ChampionsDelib[[#This Row],[Team Number]],TournamentData[Team Number],0))),NumberOfTeams+1,INDEX(TournamentData[Champion''s Rank],MATCH(ChampionsDelib[[#This Row],[Team Number]],TournamentData[Team Number],0)))</f>
        <v>#REF!</v>
      </c>
      <c r="H14" s="5" t="str">
        <f>IF(ISNA(INDEX(OfficialTeamList[Team Name],MATCH(RobotGameDelib[[#This Row],[Team Number]], OfficialTeamList[Team Number],0))),"",INDEX(OfficialTeamList[Team Name],MATCH(RobotGameDelib[[#This Row],[Team Number]], OfficialTeamList[Team Number],0)))</f>
        <v/>
      </c>
      <c r="I14" s="5" t="e">
        <f>IF(ISNA(INDEX(TournamentData[Champion''s Rank],MATCH(RobotGameDelib[[#This Row],[Team Number]],TournamentData[Team Number],0))),NumberOfTeams+1,INDEX(TournamentData[Champion''s Rank],MATCH(RobotGameDelib[[#This Row],[Team Number]],TournamentData[Team Number],0)))</f>
        <v>#REF!</v>
      </c>
    </row>
    <row r="15" spans="2:10" ht="20.25" customHeight="1" x14ac:dyDescent="0.25">
      <c r="C15" s="5" t="str">
        <f>IF(ISNA(INDEX(OfficialTeamList[Team Name],MATCH(ChampionsDelib[[#This Row],[Team Number]], OfficialTeamList[Team Number],0))),"",INDEX(OfficialTeamList[Team Name],MATCH(ChampionsDelib[[#This Row],[Team Number]], OfficialTeamList[Team Number],0)))</f>
        <v/>
      </c>
      <c r="D15" s="5" t="e">
        <f>IF(ISNA(INDEX(TournamentData[Champion''s Rank],MATCH(ChampionsDelib[[#This Row],[Team Number]],TournamentData[Team Number],0))),NumberOfTeams+1,INDEX(TournamentData[Champion''s Rank],MATCH(ChampionsDelib[[#This Row],[Team Number]],TournamentData[Team Number],0)))</f>
        <v>#REF!</v>
      </c>
      <c r="H15" s="5" t="str">
        <f>IF(ISNA(INDEX(OfficialTeamList[Team Name],MATCH(RobotGameDelib[[#This Row],[Team Number]], OfficialTeamList[Team Number],0))),"",INDEX(OfficialTeamList[Team Name],MATCH(RobotGameDelib[[#This Row],[Team Number]], OfficialTeamList[Team Number],0)))</f>
        <v/>
      </c>
      <c r="I15" s="5" t="e">
        <f>IF(ISNA(INDEX(TournamentData[Champion''s Rank],MATCH(RobotGameDelib[[#This Row],[Team Number]],TournamentData[Team Number],0))),NumberOfTeams+1,INDEX(TournamentData[Champion''s Rank],MATCH(RobotGameDelib[[#This Row],[Team Number]],TournamentData[Team Number],0)))</f>
        <v>#REF!</v>
      </c>
    </row>
    <row r="16" spans="2:10" ht="20.25" customHeight="1" x14ac:dyDescent="0.25">
      <c r="C16" s="5" t="str">
        <f>IF(ISNA(INDEX(OfficialTeamList[Team Name],MATCH(ChampionsDelib[[#This Row],[Team Number]], OfficialTeamList[Team Number],0))),"",INDEX(OfficialTeamList[Team Name],MATCH(ChampionsDelib[[#This Row],[Team Number]], OfficialTeamList[Team Number],0)))</f>
        <v/>
      </c>
      <c r="D16" s="5" t="e">
        <f>IF(ISNA(INDEX(TournamentData[Champion''s Rank],MATCH(ChampionsDelib[[#This Row],[Team Number]],TournamentData[Team Number],0))),NumberOfTeams+1,INDEX(TournamentData[Champion''s Rank],MATCH(ChampionsDelib[[#This Row],[Team Number]],TournamentData[Team Number],0)))</f>
        <v>#REF!</v>
      </c>
      <c r="H16" s="5" t="str">
        <f>IF(ISNA(INDEX(OfficialTeamList[Team Name],MATCH(RobotGameDelib[[#This Row],[Team Number]], OfficialTeamList[Team Number],0))),"",INDEX(OfficialTeamList[Team Name],MATCH(RobotGameDelib[[#This Row],[Team Number]], OfficialTeamList[Team Number],0)))</f>
        <v/>
      </c>
      <c r="I16" s="5" t="e">
        <f>IF(ISNA(INDEX(TournamentData[Champion''s Rank],MATCH(RobotGameDelib[[#This Row],[Team Number]],TournamentData[Team Number],0))),NumberOfTeams+1,INDEX(TournamentData[Champion''s Rank],MATCH(RobotGameDelib[[#This Row],[Team Number]],TournamentData[Team Number],0)))</f>
        <v>#REF!</v>
      </c>
    </row>
    <row r="17" spans="2:15" ht="20.25" customHeight="1" x14ac:dyDescent="0.25">
      <c r="C17" s="5" t="str">
        <f>IF(ISNA(INDEX(OfficialTeamList[Team Name],MATCH(ChampionsDelib[[#This Row],[Team Number]], OfficialTeamList[Team Number],0))),"",INDEX(OfficialTeamList[Team Name],MATCH(ChampionsDelib[[#This Row],[Team Number]], OfficialTeamList[Team Number],0)))</f>
        <v/>
      </c>
      <c r="D17" s="5" t="e">
        <f>IF(ISNA(INDEX(TournamentData[Champion''s Rank],MATCH(ChampionsDelib[[#This Row],[Team Number]],TournamentData[Team Number],0))),NumberOfTeams+1,INDEX(TournamentData[Champion''s Rank],MATCH(ChampionsDelib[[#This Row],[Team Number]],TournamentData[Team Number],0)))</f>
        <v>#REF!</v>
      </c>
      <c r="H17" s="5" t="str">
        <f>IF(ISNA(INDEX(OfficialTeamList[Team Name],MATCH(RobotGameDelib[[#This Row],[Team Number]], OfficialTeamList[Team Number],0))),"",INDEX(OfficialTeamList[Team Name],MATCH(RobotGameDelib[[#This Row],[Team Number]], OfficialTeamList[Team Number],0)))</f>
        <v/>
      </c>
      <c r="I17" s="5" t="e">
        <f>IF(ISNA(INDEX(TournamentData[Champion''s Rank],MATCH(RobotGameDelib[[#This Row],[Team Number]],TournamentData[Team Number],0))),NumberOfTeams+1,INDEX(TournamentData[Champion''s Rank],MATCH(RobotGameDelib[[#This Row],[Team Number]],TournamentData[Team Number],0)))</f>
        <v>#REF!</v>
      </c>
    </row>
    <row r="18" spans="2:15" ht="20.25" customHeight="1" x14ac:dyDescent="0.25">
      <c r="C18" s="5" t="str">
        <f>IF(ISNA(INDEX(OfficialTeamList[Team Name],MATCH(ChampionsDelib[[#This Row],[Team Number]], OfficialTeamList[Team Number],0))),"",INDEX(OfficialTeamList[Team Name],MATCH(ChampionsDelib[[#This Row],[Team Number]], OfficialTeamList[Team Number],0)))</f>
        <v/>
      </c>
      <c r="D18" s="5" t="e">
        <f>IF(ISNA(INDEX(TournamentData[Champion''s Rank],MATCH(ChampionsDelib[[#This Row],[Team Number]],TournamentData[Team Number],0))),NumberOfTeams+1,INDEX(TournamentData[Champion''s Rank],MATCH(ChampionsDelib[[#This Row],[Team Number]],TournamentData[Team Number],0)))</f>
        <v>#REF!</v>
      </c>
      <c r="H18" s="5" t="str">
        <f>IF(ISNA(INDEX(OfficialTeamList[Team Name],MATCH(RobotGameDelib[[#This Row],[Team Number]], OfficialTeamList[Team Number],0))),"",INDEX(OfficialTeamList[Team Name],MATCH(RobotGameDelib[[#This Row],[Team Number]], OfficialTeamList[Team Number],0)))</f>
        <v/>
      </c>
      <c r="I18" s="5" t="e">
        <f>IF(ISNA(INDEX(TournamentData[Champion''s Rank],MATCH(RobotGameDelib[[#This Row],[Team Number]],TournamentData[Team Number],0))),NumberOfTeams+1,INDEX(TournamentData[Champion''s Rank],MATCH(RobotGameDelib[[#This Row],[Team Number]],TournamentData[Team Number],0)))</f>
        <v>#REF!</v>
      </c>
    </row>
    <row r="20" spans="2:15" ht="20.25" customHeight="1" x14ac:dyDescent="0.25">
      <c r="B20" s="5" t="s">
        <v>65</v>
      </c>
      <c r="G20" s="5" t="s">
        <v>66</v>
      </c>
      <c r="L20" s="5" t="s">
        <v>64</v>
      </c>
    </row>
    <row r="21" spans="2:15" ht="39.950000000000003" customHeight="1" x14ac:dyDescent="0.25">
      <c r="B21" s="14" t="s">
        <v>27</v>
      </c>
      <c r="C21" s="14" t="s">
        <v>28</v>
      </c>
      <c r="D21" s="15" t="s">
        <v>98</v>
      </c>
      <c r="E21" s="15" t="s">
        <v>152</v>
      </c>
      <c r="G21" s="18" t="s">
        <v>27</v>
      </c>
      <c r="H21" s="18" t="s">
        <v>28</v>
      </c>
      <c r="I21" s="19" t="s">
        <v>100</v>
      </c>
      <c r="J21" s="19" t="s">
        <v>152</v>
      </c>
      <c r="L21" s="16" t="s">
        <v>27</v>
      </c>
      <c r="M21" s="16" t="s">
        <v>28</v>
      </c>
      <c r="N21" s="17" t="s">
        <v>99</v>
      </c>
      <c r="O21" s="17" t="s">
        <v>152</v>
      </c>
    </row>
    <row r="22" spans="2:15" ht="20.25" customHeight="1" x14ac:dyDescent="0.25">
      <c r="C22" s="5" t="str">
        <f>IF(ISNA(INDEX(OfficialTeamList[Team Name],MATCH(CoreValuesDelib[[#This Row],[Team Number]], OfficialTeamList[Team Number],0))),"",INDEX(OfficialTeamList[Team Name],MATCH(CoreValuesDelib[[#This Row],[Team Number]], OfficialTeamList[Team Number],0)))</f>
        <v/>
      </c>
      <c r="D22" s="5" t="e">
        <f>IF(ISNA(INDEX(CoreValuesResults[Core Values Rank],MATCH(CoreValuesDelib[[#This Row],[Team Number]],CoreValuesResults[Team Number],0))),NumberOfTeams+1,INDEX(CoreValuesResults[Core Values Rank],MATCH(CoreValuesDelib[[#This Row],[Team Number]],CoreValuesResults[Team Number],0)))</f>
        <v>#REF!</v>
      </c>
      <c r="H22" s="5" t="str">
        <f>IF(ISNA(INDEX(OfficialTeamList[Team Name],MATCH(RobotDesignDelib[[#This Row],[Team Number]], OfficialTeamList[Team Number],0))),"",INDEX(OfficialTeamList[Team Name],MATCH(RobotDesignDelib[[#This Row],[Team Number]], OfficialTeamList[Team Number],0)))</f>
        <v/>
      </c>
      <c r="I22" s="5" t="e">
        <f>IF(ISNA(INDEX(RobotDesignResults[Robot Design Rank],MATCH(RobotDesignDelib[[#This Row],[Team Number]],RobotDesignResults[Team Number],0))),NumberOfTeams+1,INDEX(RobotDesignResults[Robot Design Rank],MATCH(RobotDesignDelib[[#This Row],[Team Number]],RobotDesignResults[Team Number],0)))</f>
        <v>#REF!</v>
      </c>
      <c r="M22" s="5" t="str">
        <f>IF(ISNA(INDEX(OfficialTeamList[Team Name],MATCH(InnovationProjectDelib[[#This Row],[Team Number]], OfficialTeamList[Team Number],0))),"",INDEX(OfficialTeamList[Team Name],MATCH(InnovationProjectDelib[[#This Row],[Team Number]], OfficialTeamList[Team Number],0)))</f>
        <v/>
      </c>
      <c r="N2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3" spans="2:15" ht="20.25" customHeight="1" x14ac:dyDescent="0.25">
      <c r="C23" s="5" t="str">
        <f>IF(ISNA(INDEX(OfficialTeamList[Team Name],MATCH(CoreValuesDelib[[#This Row],[Team Number]], OfficialTeamList[Team Number],0))),"",INDEX(OfficialTeamList[Team Name],MATCH(CoreValuesDelib[[#This Row],[Team Number]], OfficialTeamList[Team Number],0)))</f>
        <v/>
      </c>
      <c r="D23" s="5" t="e">
        <f>IF(ISNA(INDEX(CoreValuesResults[Core Values Rank],MATCH(CoreValuesDelib[[#This Row],[Team Number]],CoreValuesResults[Team Number],0))),NumberOfTeams+1,INDEX(CoreValuesResults[Core Values Rank],MATCH(CoreValuesDelib[[#This Row],[Team Number]],CoreValuesResults[Team Number],0)))</f>
        <v>#REF!</v>
      </c>
      <c r="H23" s="5" t="str">
        <f>IF(ISNA(INDEX(OfficialTeamList[Team Name],MATCH(RobotDesignDelib[[#This Row],[Team Number]], OfficialTeamList[Team Number],0))),"",INDEX(OfficialTeamList[Team Name],MATCH(RobotDesignDelib[[#This Row],[Team Number]], OfficialTeamList[Team Number],0)))</f>
        <v/>
      </c>
      <c r="I23" s="5" t="e">
        <f>IF(ISNA(INDEX(RobotDesignResults[Robot Design Rank],MATCH(RobotDesignDelib[[#This Row],[Team Number]],RobotDesignResults[Team Number],0))),NumberOfTeams+1,INDEX(RobotDesignResults[Robot Design Rank],MATCH(RobotDesignDelib[[#This Row],[Team Number]],RobotDesignResults[Team Number],0)))</f>
        <v>#REF!</v>
      </c>
      <c r="M23" s="5" t="str">
        <f>IF(ISNA(INDEX(OfficialTeamList[Team Name],MATCH(InnovationProjectDelib[[#This Row],[Team Number]], OfficialTeamList[Team Number],0))),"",INDEX(OfficialTeamList[Team Name],MATCH(InnovationProjectDelib[[#This Row],[Team Number]], OfficialTeamList[Team Number],0)))</f>
        <v/>
      </c>
      <c r="N2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4" spans="2:15" ht="20.25" customHeight="1" x14ac:dyDescent="0.25">
      <c r="C24" s="5" t="str">
        <f>IF(ISNA(INDEX(OfficialTeamList[Team Name],MATCH(CoreValuesDelib[[#This Row],[Team Number]], OfficialTeamList[Team Number],0))),"",INDEX(OfficialTeamList[Team Name],MATCH(CoreValuesDelib[[#This Row],[Team Number]], OfficialTeamList[Team Number],0)))</f>
        <v/>
      </c>
      <c r="D24" s="5" t="e">
        <f>IF(ISNA(INDEX(CoreValuesResults[Core Values Rank],MATCH(CoreValuesDelib[[#This Row],[Team Number]],CoreValuesResults[Team Number],0))),NumberOfTeams+1,INDEX(CoreValuesResults[Core Values Rank],MATCH(CoreValuesDelib[[#This Row],[Team Number]],CoreValuesResults[Team Number],0)))</f>
        <v>#REF!</v>
      </c>
      <c r="H24" s="5" t="str">
        <f>IF(ISNA(INDEX(OfficialTeamList[Team Name],MATCH(RobotDesignDelib[[#This Row],[Team Number]], OfficialTeamList[Team Number],0))),"",INDEX(OfficialTeamList[Team Name],MATCH(RobotDesignDelib[[#This Row],[Team Number]], OfficialTeamList[Team Number],0)))</f>
        <v/>
      </c>
      <c r="I24" s="5" t="e">
        <f>IF(ISNA(INDEX(RobotDesignResults[Robot Design Rank],MATCH(RobotDesignDelib[[#This Row],[Team Number]],RobotDesignResults[Team Number],0))),NumberOfTeams+1,INDEX(RobotDesignResults[Robot Design Rank],MATCH(RobotDesignDelib[[#This Row],[Team Number]],RobotDesignResults[Team Number],0)))</f>
        <v>#REF!</v>
      </c>
      <c r="M24" s="5" t="str">
        <f>IF(ISNA(INDEX(OfficialTeamList[Team Name],MATCH(InnovationProjectDelib[[#This Row],[Team Number]], OfficialTeamList[Team Number],0))),"",INDEX(OfficialTeamList[Team Name],MATCH(InnovationProjectDelib[[#This Row],[Team Number]], OfficialTeamList[Team Number],0)))</f>
        <v/>
      </c>
      <c r="N2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5" spans="2:15" ht="20.25" customHeight="1" x14ac:dyDescent="0.25">
      <c r="C25" s="5" t="str">
        <f>IF(ISNA(INDEX(OfficialTeamList[Team Name],MATCH(CoreValuesDelib[[#This Row],[Team Number]], OfficialTeamList[Team Number],0))),"",INDEX(OfficialTeamList[Team Name],MATCH(CoreValuesDelib[[#This Row],[Team Number]], OfficialTeamList[Team Number],0)))</f>
        <v/>
      </c>
      <c r="D25" s="5" t="e">
        <f>IF(ISNA(INDEX(CoreValuesResults[Core Values Rank],MATCH(CoreValuesDelib[[#This Row],[Team Number]],CoreValuesResults[Team Number],0))),NumberOfTeams+1,INDEX(CoreValuesResults[Core Values Rank],MATCH(CoreValuesDelib[[#This Row],[Team Number]],CoreValuesResults[Team Number],0)))</f>
        <v>#REF!</v>
      </c>
      <c r="H25" s="5" t="str">
        <f>IF(ISNA(INDEX(OfficialTeamList[Team Name],MATCH(RobotDesignDelib[[#This Row],[Team Number]], OfficialTeamList[Team Number],0))),"",INDEX(OfficialTeamList[Team Name],MATCH(RobotDesignDelib[[#This Row],[Team Number]], OfficialTeamList[Team Number],0)))</f>
        <v/>
      </c>
      <c r="I25" s="5" t="e">
        <f>IF(ISNA(INDEX(RobotDesignResults[Robot Design Rank],MATCH(RobotDesignDelib[[#This Row],[Team Number]],RobotDesignResults[Team Number],0))),NumberOfTeams+1,INDEX(RobotDesignResults[Robot Design Rank],MATCH(RobotDesignDelib[[#This Row],[Team Number]],RobotDesignResults[Team Number],0)))</f>
        <v>#REF!</v>
      </c>
      <c r="M25" s="5" t="str">
        <f>IF(ISNA(INDEX(OfficialTeamList[Team Name],MATCH(InnovationProjectDelib[[#This Row],[Team Number]], OfficialTeamList[Team Number],0))),"",INDEX(OfficialTeamList[Team Name],MATCH(InnovationProjectDelib[[#This Row],[Team Number]], OfficialTeamList[Team Number],0)))</f>
        <v/>
      </c>
      <c r="N2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6" spans="2:15" ht="20.25" customHeight="1" x14ac:dyDescent="0.25">
      <c r="C26" s="5" t="str">
        <f>IF(ISNA(INDEX(OfficialTeamList[Team Name],MATCH(CoreValuesDelib[[#This Row],[Team Number]], OfficialTeamList[Team Number],0))),"",INDEX(OfficialTeamList[Team Name],MATCH(CoreValuesDelib[[#This Row],[Team Number]], OfficialTeamList[Team Number],0)))</f>
        <v/>
      </c>
      <c r="D26" s="5" t="e">
        <f>IF(ISNA(INDEX(CoreValuesResults[Core Values Rank],MATCH(CoreValuesDelib[[#This Row],[Team Number]],CoreValuesResults[Team Number],0))),NumberOfTeams+1,INDEX(CoreValuesResults[Core Values Rank],MATCH(CoreValuesDelib[[#This Row],[Team Number]],CoreValuesResults[Team Number],0)))</f>
        <v>#REF!</v>
      </c>
      <c r="H26" s="5" t="str">
        <f>IF(ISNA(INDEX(OfficialTeamList[Team Name],MATCH(RobotDesignDelib[[#This Row],[Team Number]], OfficialTeamList[Team Number],0))),"",INDEX(OfficialTeamList[Team Name],MATCH(RobotDesignDelib[[#This Row],[Team Number]], OfficialTeamList[Team Number],0)))</f>
        <v/>
      </c>
      <c r="I26" s="5" t="e">
        <f>IF(ISNA(INDEX(RobotDesignResults[Robot Design Rank],MATCH(RobotDesignDelib[[#This Row],[Team Number]],RobotDesignResults[Team Number],0))),NumberOfTeams+1,INDEX(RobotDesignResults[Robot Design Rank],MATCH(RobotDesignDelib[[#This Row],[Team Number]],RobotDesignResults[Team Number],0)))</f>
        <v>#REF!</v>
      </c>
      <c r="M26" s="5" t="str">
        <f>IF(ISNA(INDEX(OfficialTeamList[Team Name],MATCH(InnovationProjectDelib[[#This Row],[Team Number]], OfficialTeamList[Team Number],0))),"",INDEX(OfficialTeamList[Team Name],MATCH(InnovationProjectDelib[[#This Row],[Team Number]], OfficialTeamList[Team Number],0)))</f>
        <v/>
      </c>
      <c r="N2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7" spans="2:15" ht="20.25" customHeight="1" x14ac:dyDescent="0.25">
      <c r="C27" s="5" t="str">
        <f>IF(ISNA(INDEX(OfficialTeamList[Team Name],MATCH(CoreValuesDelib[[#This Row],[Team Number]], OfficialTeamList[Team Number],0))),"",INDEX(OfficialTeamList[Team Name],MATCH(CoreValuesDelib[[#This Row],[Team Number]], OfficialTeamList[Team Number],0)))</f>
        <v/>
      </c>
      <c r="D27" s="5" t="e">
        <f>IF(ISNA(INDEX(CoreValuesResults[Core Values Rank],MATCH(CoreValuesDelib[[#This Row],[Team Number]],CoreValuesResults[Team Number],0))),NumberOfTeams+1,INDEX(CoreValuesResults[Core Values Rank],MATCH(CoreValuesDelib[[#This Row],[Team Number]],CoreValuesResults[Team Number],0)))</f>
        <v>#REF!</v>
      </c>
      <c r="H27" s="5" t="str">
        <f>IF(ISNA(INDEX(OfficialTeamList[Team Name],MATCH(RobotDesignDelib[[#This Row],[Team Number]], OfficialTeamList[Team Number],0))),"",INDEX(OfficialTeamList[Team Name],MATCH(RobotDesignDelib[[#This Row],[Team Number]], OfficialTeamList[Team Number],0)))</f>
        <v/>
      </c>
      <c r="I27" s="5" t="e">
        <f>IF(ISNA(INDEX(RobotDesignResults[Robot Design Rank],MATCH(RobotDesignDelib[[#This Row],[Team Number]],RobotDesignResults[Team Number],0))),NumberOfTeams+1,INDEX(RobotDesignResults[Robot Design Rank],MATCH(RobotDesignDelib[[#This Row],[Team Number]],RobotDesignResults[Team Number],0)))</f>
        <v>#REF!</v>
      </c>
      <c r="M27" s="5" t="str">
        <f>IF(ISNA(INDEX(OfficialTeamList[Team Name],MATCH(InnovationProjectDelib[[#This Row],[Team Number]], OfficialTeamList[Team Number],0))),"",INDEX(OfficialTeamList[Team Name],MATCH(InnovationProjectDelib[[#This Row],[Team Number]], OfficialTeamList[Team Number],0)))</f>
        <v/>
      </c>
      <c r="N27"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8" spans="2:15" ht="20.25" customHeight="1" x14ac:dyDescent="0.25">
      <c r="C28" s="5" t="str">
        <f>IF(ISNA(INDEX(OfficialTeamList[Team Name],MATCH(CoreValuesDelib[[#This Row],[Team Number]], OfficialTeamList[Team Number],0))),"",INDEX(OfficialTeamList[Team Name],MATCH(CoreValuesDelib[[#This Row],[Team Number]], OfficialTeamList[Team Number],0)))</f>
        <v/>
      </c>
      <c r="D28" s="5" t="e">
        <f>IF(ISNA(INDEX(CoreValuesResults[Core Values Rank],MATCH(CoreValuesDelib[[#This Row],[Team Number]],CoreValuesResults[Team Number],0))),NumberOfTeams+1,INDEX(CoreValuesResults[Core Values Rank],MATCH(CoreValuesDelib[[#This Row],[Team Number]],CoreValuesResults[Team Number],0)))</f>
        <v>#REF!</v>
      </c>
      <c r="H28" s="5" t="str">
        <f>IF(ISNA(INDEX(OfficialTeamList[Team Name],MATCH(RobotDesignDelib[[#This Row],[Team Number]], OfficialTeamList[Team Number],0))),"",INDEX(OfficialTeamList[Team Name],MATCH(RobotDesignDelib[[#This Row],[Team Number]], OfficialTeamList[Team Number],0)))</f>
        <v/>
      </c>
      <c r="I28" s="5" t="e">
        <f>IF(ISNA(INDEX(RobotDesignResults[Robot Design Rank],MATCH(RobotDesignDelib[[#This Row],[Team Number]],RobotDesignResults[Team Number],0))),NumberOfTeams+1,INDEX(RobotDesignResults[Robot Design Rank],MATCH(RobotDesignDelib[[#This Row],[Team Number]],RobotDesignResults[Team Number],0)))</f>
        <v>#REF!</v>
      </c>
      <c r="M28" s="5" t="str">
        <f>IF(ISNA(INDEX(OfficialTeamList[Team Name],MATCH(InnovationProjectDelib[[#This Row],[Team Number]], OfficialTeamList[Team Number],0))),"",INDEX(OfficialTeamList[Team Name],MATCH(InnovationProjectDelib[[#This Row],[Team Number]], OfficialTeamList[Team Number],0)))</f>
        <v/>
      </c>
      <c r="N28"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9" spans="2:15" ht="20.25" customHeight="1" x14ac:dyDescent="0.25">
      <c r="C29" s="5" t="str">
        <f>IF(ISNA(INDEX(OfficialTeamList[Team Name],MATCH(CoreValuesDelib[[#This Row],[Team Number]], OfficialTeamList[Team Number],0))),"",INDEX(OfficialTeamList[Team Name],MATCH(CoreValuesDelib[[#This Row],[Team Number]], OfficialTeamList[Team Number],0)))</f>
        <v/>
      </c>
      <c r="D29" s="5" t="e">
        <f>IF(ISNA(INDEX(CoreValuesResults[Core Values Rank],MATCH(CoreValuesDelib[[#This Row],[Team Number]],CoreValuesResults[Team Number],0))),NumberOfTeams+1,INDEX(CoreValuesResults[Core Values Rank],MATCH(CoreValuesDelib[[#This Row],[Team Number]],CoreValuesResults[Team Number],0)))</f>
        <v>#REF!</v>
      </c>
      <c r="H29" s="5" t="str">
        <f>IF(ISNA(INDEX(OfficialTeamList[Team Name],MATCH(RobotDesignDelib[[#This Row],[Team Number]], OfficialTeamList[Team Number],0))),"",INDEX(OfficialTeamList[Team Name],MATCH(RobotDesignDelib[[#This Row],[Team Number]], OfficialTeamList[Team Number],0)))</f>
        <v/>
      </c>
      <c r="I29" s="5" t="e">
        <f>IF(ISNA(INDEX(RobotDesignResults[Robot Design Rank],MATCH(RobotDesignDelib[[#This Row],[Team Number]],RobotDesignResults[Team Number],0))),NumberOfTeams+1,INDEX(RobotDesignResults[Robot Design Rank],MATCH(RobotDesignDelib[[#This Row],[Team Number]],RobotDesignResults[Team Number],0)))</f>
        <v>#REF!</v>
      </c>
      <c r="M29" s="5" t="str">
        <f>IF(ISNA(INDEX(OfficialTeamList[Team Name],MATCH(InnovationProjectDelib[[#This Row],[Team Number]], OfficialTeamList[Team Number],0))),"",INDEX(OfficialTeamList[Team Name],MATCH(InnovationProjectDelib[[#This Row],[Team Number]], OfficialTeamList[Team Number],0)))</f>
        <v/>
      </c>
      <c r="N29"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0" spans="2:15" ht="20.25" customHeight="1" x14ac:dyDescent="0.25">
      <c r="C30" s="5" t="str">
        <f>IF(ISNA(INDEX(OfficialTeamList[Team Name],MATCH(CoreValuesDelib[[#This Row],[Team Number]], OfficialTeamList[Team Number],0))),"",INDEX(OfficialTeamList[Team Name],MATCH(CoreValuesDelib[[#This Row],[Team Number]], OfficialTeamList[Team Number],0)))</f>
        <v/>
      </c>
      <c r="D30" s="5" t="e">
        <f>IF(ISNA(INDEX(CoreValuesResults[Core Values Rank],MATCH(CoreValuesDelib[[#This Row],[Team Number]],CoreValuesResults[Team Number],0))),NumberOfTeams+1,INDEX(CoreValuesResults[Core Values Rank],MATCH(CoreValuesDelib[[#This Row],[Team Number]],CoreValuesResults[Team Number],0)))</f>
        <v>#REF!</v>
      </c>
      <c r="H30" s="5" t="str">
        <f>IF(ISNA(INDEX(OfficialTeamList[Team Name],MATCH(RobotDesignDelib[[#This Row],[Team Number]], OfficialTeamList[Team Number],0))),"",INDEX(OfficialTeamList[Team Name],MATCH(RobotDesignDelib[[#This Row],[Team Number]], OfficialTeamList[Team Number],0)))</f>
        <v/>
      </c>
      <c r="I30" s="5" t="e">
        <f>IF(ISNA(INDEX(RobotDesignResults[Robot Design Rank],MATCH(RobotDesignDelib[[#This Row],[Team Number]],RobotDesignResults[Team Number],0))),NumberOfTeams+1,INDEX(RobotDesignResults[Robot Design Rank],MATCH(RobotDesignDelib[[#This Row],[Team Number]],RobotDesignResults[Team Number],0)))</f>
        <v>#REF!</v>
      </c>
      <c r="M30" s="5" t="str">
        <f>IF(ISNA(INDEX(OfficialTeamList[Team Name],MATCH(InnovationProjectDelib[[#This Row],[Team Number]], OfficialTeamList[Team Number],0))),"",INDEX(OfficialTeamList[Team Name],MATCH(InnovationProjectDelib[[#This Row],[Team Number]], OfficialTeamList[Team Number],0)))</f>
        <v/>
      </c>
      <c r="N30"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1" spans="2:15" ht="20.25" customHeight="1" x14ac:dyDescent="0.25">
      <c r="C31" s="5" t="str">
        <f>IF(ISNA(INDEX(OfficialTeamList[Team Name],MATCH(CoreValuesDelib[[#This Row],[Team Number]], OfficialTeamList[Team Number],0))),"",INDEX(OfficialTeamList[Team Name],MATCH(CoreValuesDelib[[#This Row],[Team Number]], OfficialTeamList[Team Number],0)))</f>
        <v/>
      </c>
      <c r="D31" s="5" t="e">
        <f>IF(ISNA(INDEX(CoreValuesResults[Core Values Rank],MATCH(CoreValuesDelib[[#This Row],[Team Number]],CoreValuesResults[Team Number],0))),NumberOfTeams+1,INDEX(CoreValuesResults[Core Values Rank],MATCH(CoreValuesDelib[[#This Row],[Team Number]],CoreValuesResults[Team Number],0)))</f>
        <v>#REF!</v>
      </c>
      <c r="H31" s="5" t="str">
        <f>IF(ISNA(INDEX(OfficialTeamList[Team Name],MATCH(RobotDesignDelib[[#This Row],[Team Number]], OfficialTeamList[Team Number],0))),"",INDEX(OfficialTeamList[Team Name],MATCH(RobotDesignDelib[[#This Row],[Team Number]], OfficialTeamList[Team Number],0)))</f>
        <v/>
      </c>
      <c r="I31" s="5" t="e">
        <f>IF(ISNA(INDEX(RobotDesignResults[Robot Design Rank],MATCH(RobotDesignDelib[[#This Row],[Team Number]],RobotDesignResults[Team Number],0))),NumberOfTeams+1,INDEX(RobotDesignResults[Robot Design Rank],MATCH(RobotDesignDelib[[#This Row],[Team Number]],RobotDesignResults[Team Number],0)))</f>
        <v>#REF!</v>
      </c>
      <c r="M31" s="5" t="str">
        <f>IF(ISNA(INDEX(OfficialTeamList[Team Name],MATCH(InnovationProjectDelib[[#This Row],[Team Number]], OfficialTeamList[Team Number],0))),"",INDEX(OfficialTeamList[Team Name],MATCH(InnovationProjectDelib[[#This Row],[Team Number]], OfficialTeamList[Team Number],0)))</f>
        <v/>
      </c>
      <c r="N31"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2" spans="2:15" ht="20.25" customHeight="1" x14ac:dyDescent="0.25">
      <c r="C32" s="5" t="str">
        <f>IF(ISNA(INDEX(OfficialTeamList[Team Name],MATCH(CoreValuesDelib[[#This Row],[Team Number]], OfficialTeamList[Team Number],0))),"",INDEX(OfficialTeamList[Team Name],MATCH(CoreValuesDelib[[#This Row],[Team Number]], OfficialTeamList[Team Number],0)))</f>
        <v/>
      </c>
      <c r="D32" s="5" t="e">
        <f>IF(ISNA(INDEX(CoreValuesResults[Core Values Rank],MATCH(CoreValuesDelib[[#This Row],[Team Number]],CoreValuesResults[Team Number],0))),NumberOfTeams+1,INDEX(CoreValuesResults[Core Values Rank],MATCH(CoreValuesDelib[[#This Row],[Team Number]],CoreValuesResults[Team Number],0)))</f>
        <v>#REF!</v>
      </c>
      <c r="H32" s="5" t="str">
        <f>IF(ISNA(INDEX(OfficialTeamList[Team Name],MATCH(RobotDesignDelib[[#This Row],[Team Number]], OfficialTeamList[Team Number],0))),"",INDEX(OfficialTeamList[Team Name],MATCH(RobotDesignDelib[[#This Row],[Team Number]], OfficialTeamList[Team Number],0)))</f>
        <v/>
      </c>
      <c r="I32" s="5" t="e">
        <f>IF(ISNA(INDEX(RobotDesignResults[Robot Design Rank],MATCH(RobotDesignDelib[[#This Row],[Team Number]],RobotDesignResults[Team Number],0))),NumberOfTeams+1,INDEX(RobotDesignResults[Robot Design Rank],MATCH(RobotDesignDelib[[#This Row],[Team Number]],RobotDesignResults[Team Number],0)))</f>
        <v>#REF!</v>
      </c>
      <c r="M32" s="5" t="str">
        <f>IF(ISNA(INDEX(OfficialTeamList[Team Name],MATCH(InnovationProjectDelib[[#This Row],[Team Number]], OfficialTeamList[Team Number],0))),"",INDEX(OfficialTeamList[Team Name],MATCH(InnovationProjectDelib[[#This Row],[Team Number]], OfficialTeamList[Team Number],0)))</f>
        <v/>
      </c>
      <c r="N3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3" spans="2:15" ht="20.25" customHeight="1" x14ac:dyDescent="0.25">
      <c r="C33" s="5" t="str">
        <f>IF(ISNA(INDEX(OfficialTeamList[Team Name],MATCH(CoreValuesDelib[[#This Row],[Team Number]], OfficialTeamList[Team Number],0))),"",INDEX(OfficialTeamList[Team Name],MATCH(CoreValuesDelib[[#This Row],[Team Number]], OfficialTeamList[Team Number],0)))</f>
        <v/>
      </c>
      <c r="D33" s="5" t="e">
        <f>IF(ISNA(INDEX(CoreValuesResults[Core Values Rank],MATCH(CoreValuesDelib[[#This Row],[Team Number]],CoreValuesResults[Team Number],0))),NumberOfTeams+1,INDEX(CoreValuesResults[Core Values Rank],MATCH(CoreValuesDelib[[#This Row],[Team Number]],CoreValuesResults[Team Number],0)))</f>
        <v>#REF!</v>
      </c>
      <c r="H33" s="5" t="str">
        <f>IF(ISNA(INDEX(OfficialTeamList[Team Name],MATCH(RobotDesignDelib[[#This Row],[Team Number]], OfficialTeamList[Team Number],0))),"",INDEX(OfficialTeamList[Team Name],MATCH(RobotDesignDelib[[#This Row],[Team Number]], OfficialTeamList[Team Number],0)))</f>
        <v/>
      </c>
      <c r="I33" s="5" t="e">
        <f>IF(ISNA(INDEX(RobotDesignResults[Robot Design Rank],MATCH(RobotDesignDelib[[#This Row],[Team Number]],RobotDesignResults[Team Number],0))),NumberOfTeams+1,INDEX(RobotDesignResults[Robot Design Rank],MATCH(RobotDesignDelib[[#This Row],[Team Number]],RobotDesignResults[Team Number],0)))</f>
        <v>#REF!</v>
      </c>
      <c r="M33" s="5" t="str">
        <f>IF(ISNA(INDEX(OfficialTeamList[Team Name],MATCH(InnovationProjectDelib[[#This Row],[Team Number]], OfficialTeamList[Team Number],0))),"",INDEX(OfficialTeamList[Team Name],MATCH(InnovationProjectDelib[[#This Row],[Team Number]], OfficialTeamList[Team Number],0)))</f>
        <v/>
      </c>
      <c r="N3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4" spans="2:15" ht="20.25" customHeight="1" x14ac:dyDescent="0.25">
      <c r="C34" s="5" t="str">
        <f>IF(ISNA(INDEX(OfficialTeamList[Team Name],MATCH(CoreValuesDelib[[#This Row],[Team Number]], OfficialTeamList[Team Number],0))),"",INDEX(OfficialTeamList[Team Name],MATCH(CoreValuesDelib[[#This Row],[Team Number]], OfficialTeamList[Team Number],0)))</f>
        <v/>
      </c>
      <c r="D34" s="5" t="e">
        <f>IF(ISNA(INDEX(CoreValuesResults[Core Values Rank],MATCH(CoreValuesDelib[[#This Row],[Team Number]],CoreValuesResults[Team Number],0))),NumberOfTeams+1,INDEX(CoreValuesResults[Core Values Rank],MATCH(CoreValuesDelib[[#This Row],[Team Number]],CoreValuesResults[Team Number],0)))</f>
        <v>#REF!</v>
      </c>
      <c r="H34" s="5" t="str">
        <f>IF(ISNA(INDEX(OfficialTeamList[Team Name],MATCH(RobotDesignDelib[[#This Row],[Team Number]], OfficialTeamList[Team Number],0))),"",INDEX(OfficialTeamList[Team Name],MATCH(RobotDesignDelib[[#This Row],[Team Number]], OfficialTeamList[Team Number],0)))</f>
        <v/>
      </c>
      <c r="I34" s="5" t="e">
        <f>IF(ISNA(INDEX(RobotDesignResults[Robot Design Rank],MATCH(RobotDesignDelib[[#This Row],[Team Number]],RobotDesignResults[Team Number],0))),NumberOfTeams+1,INDEX(RobotDesignResults[Robot Design Rank],MATCH(RobotDesignDelib[[#This Row],[Team Number]],RobotDesignResults[Team Number],0)))</f>
        <v>#REF!</v>
      </c>
      <c r="M34" s="5" t="str">
        <f>IF(ISNA(INDEX(OfficialTeamList[Team Name],MATCH(InnovationProjectDelib[[#This Row],[Team Number]], OfficialTeamList[Team Number],0))),"",INDEX(OfficialTeamList[Team Name],MATCH(InnovationProjectDelib[[#This Row],[Team Number]], OfficialTeamList[Team Number],0)))</f>
        <v/>
      </c>
      <c r="N3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5" spans="2:15" ht="20.25" customHeight="1" x14ac:dyDescent="0.25">
      <c r="C35" s="5" t="str">
        <f>IF(ISNA(INDEX(OfficialTeamList[Team Name],MATCH(CoreValuesDelib[[#This Row],[Team Number]], OfficialTeamList[Team Number],0))),"",INDEX(OfficialTeamList[Team Name],MATCH(CoreValuesDelib[[#This Row],[Team Number]], OfficialTeamList[Team Number],0)))</f>
        <v/>
      </c>
      <c r="D35" s="5" t="e">
        <f>IF(ISNA(INDEX(CoreValuesResults[Core Values Rank],MATCH(CoreValuesDelib[[#This Row],[Team Number]],CoreValuesResults[Team Number],0))),NumberOfTeams+1,INDEX(CoreValuesResults[Core Values Rank],MATCH(CoreValuesDelib[[#This Row],[Team Number]],CoreValuesResults[Team Number],0)))</f>
        <v>#REF!</v>
      </c>
      <c r="H35" s="5" t="str">
        <f>IF(ISNA(INDEX(OfficialTeamList[Team Name],MATCH(RobotDesignDelib[[#This Row],[Team Number]], OfficialTeamList[Team Number],0))),"",INDEX(OfficialTeamList[Team Name],MATCH(RobotDesignDelib[[#This Row],[Team Number]], OfficialTeamList[Team Number],0)))</f>
        <v/>
      </c>
      <c r="I35" s="5" t="e">
        <f>IF(ISNA(INDEX(RobotDesignResults[Robot Design Rank],MATCH(RobotDesignDelib[[#This Row],[Team Number]],RobotDesignResults[Team Number],0))),NumberOfTeams+1,INDEX(RobotDesignResults[Robot Design Rank],MATCH(RobotDesignDelib[[#This Row],[Team Number]],RobotDesignResults[Team Number],0)))</f>
        <v>#REF!</v>
      </c>
      <c r="M35" s="5" t="str">
        <f>IF(ISNA(INDEX(OfficialTeamList[Team Name],MATCH(InnovationProjectDelib[[#This Row],[Team Number]], OfficialTeamList[Team Number],0))),"",INDEX(OfficialTeamList[Team Name],MATCH(InnovationProjectDelib[[#This Row],[Team Number]], OfficialTeamList[Team Number],0)))</f>
        <v/>
      </c>
      <c r="N3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6" spans="2:15" ht="20.25" customHeight="1" x14ac:dyDescent="0.25">
      <c r="C36" s="5" t="str">
        <f>IF(ISNA(INDEX(OfficialTeamList[Team Name],MATCH(CoreValuesDelib[[#This Row],[Team Number]], OfficialTeamList[Team Number],0))),"",INDEX(OfficialTeamList[Team Name],MATCH(CoreValuesDelib[[#This Row],[Team Number]], OfficialTeamList[Team Number],0)))</f>
        <v/>
      </c>
      <c r="D36" s="5" t="e">
        <f>IF(ISNA(INDEX(CoreValuesResults[Core Values Rank],MATCH(CoreValuesDelib[[#This Row],[Team Number]],CoreValuesResults[Team Number],0))),NumberOfTeams+1,INDEX(CoreValuesResults[Core Values Rank],MATCH(CoreValuesDelib[[#This Row],[Team Number]],CoreValuesResults[Team Number],0)))</f>
        <v>#REF!</v>
      </c>
      <c r="H36" s="5" t="str">
        <f>IF(ISNA(INDEX(OfficialTeamList[Team Name],MATCH(RobotDesignDelib[[#This Row],[Team Number]], OfficialTeamList[Team Number],0))),"",INDEX(OfficialTeamList[Team Name],MATCH(RobotDesignDelib[[#This Row],[Team Number]], OfficialTeamList[Team Number],0)))</f>
        <v/>
      </c>
      <c r="I36" s="5" t="e">
        <f>IF(ISNA(INDEX(RobotDesignResults[Robot Design Rank],MATCH(RobotDesignDelib[[#This Row],[Team Number]],RobotDesignResults[Team Number],0))),NumberOfTeams+1,INDEX(RobotDesignResults[Robot Design Rank],MATCH(RobotDesignDelib[[#This Row],[Team Number]],RobotDesignResults[Team Number],0)))</f>
        <v>#REF!</v>
      </c>
      <c r="M36" s="5" t="str">
        <f>IF(ISNA(INDEX(OfficialTeamList[Team Name],MATCH(InnovationProjectDelib[[#This Row],[Team Number]], OfficialTeamList[Team Number],0))),"",INDEX(OfficialTeamList[Team Name],MATCH(InnovationProjectDelib[[#This Row],[Team Number]], OfficialTeamList[Team Number],0)))</f>
        <v/>
      </c>
      <c r="N3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8" spans="2:15" ht="20.25" customHeight="1" x14ac:dyDescent="0.25">
      <c r="B38" s="5" t="s">
        <v>153</v>
      </c>
      <c r="G38" s="5" t="s">
        <v>154</v>
      </c>
      <c r="L38" s="5" t="s">
        <v>155</v>
      </c>
    </row>
    <row r="39" spans="2:15" ht="39.950000000000003" customHeight="1" x14ac:dyDescent="0.25">
      <c r="B39" s="12" t="s">
        <v>27</v>
      </c>
      <c r="C39" s="12" t="s">
        <v>28</v>
      </c>
      <c r="D39" s="13" t="s">
        <v>102</v>
      </c>
      <c r="E39" s="13" t="s">
        <v>152</v>
      </c>
      <c r="G39" s="12" t="s">
        <v>27</v>
      </c>
      <c r="H39" s="12" t="s">
        <v>28</v>
      </c>
      <c r="I39" s="13" t="s">
        <v>102</v>
      </c>
      <c r="J39" s="13" t="s">
        <v>152</v>
      </c>
      <c r="L39" s="12" t="s">
        <v>27</v>
      </c>
      <c r="M39" s="12" t="s">
        <v>28</v>
      </c>
      <c r="N39" s="13" t="s">
        <v>102</v>
      </c>
      <c r="O39" s="13" t="s">
        <v>152</v>
      </c>
    </row>
    <row r="40" spans="2:15" ht="20.25" customHeight="1" x14ac:dyDescent="0.25">
      <c r="C40" s="5" t="str">
        <f>IF(ISNA(INDEX(OfficialTeamList[Team Name],MATCH(BreakthroughDelib[[#This Row],[Team Number]], OfficialTeamList[Team Number],0))),"",INDEX(OfficialTeamList[Team Name],MATCH(BreakthroughDelib[[#This Row],[Team Number]], OfficialTeamList[Team Number],0)))</f>
        <v/>
      </c>
      <c r="D40" s="5" t="e">
        <f>IF(ISNA(INDEX(TournamentData[Champion''s Rank],MATCH(BreakthroughDelib[[#This Row],[Team Number]],TournamentData[Team Number],0))),NumberOfTeams+1,INDEX(TournamentData[Champion''s Rank],MATCH(BreakthroughDelib[[#This Row],[Team Number]],TournamentData[Team Number],0)))</f>
        <v>#REF!</v>
      </c>
      <c r="H40" s="5" t="str">
        <f>IF(ISNA(INDEX(OfficialTeamList[Team Name],MATCH(RookiAllStarDelib[[#This Row],[Team Number]], OfficialTeamList[Team Number],0))),"",INDEX(OfficialTeamList[Team Name],MATCH(RookiAllStarDelib[[#This Row],[Team Number]], OfficialTeamList[Team Number],0)))</f>
        <v/>
      </c>
      <c r="I40" s="5" t="e">
        <f>IF(ISNA(INDEX(TournamentData[Champion''s Rank],MATCH(RookiAllStarDelib[[#This Row],[Team Number]],TournamentData[Team Number],0))),NumberOfTeams+1,INDEX(TournamentData[Champion''s Rank],MATCH(RookiAllStarDelib[[#This Row],[Team Number]],TournamentData[Team Number],0)))</f>
        <v>#REF!</v>
      </c>
      <c r="M40" s="5" t="str">
        <f>IF(ISNA(INDEX(OfficialTeamList[Team Name],MATCH(MotivateDelib[[#This Row],[Team Number]], OfficialTeamList[Team Number],0))),"",INDEX(OfficialTeamList[Team Name],MATCH(MotivateDelib[[#This Row],[Team Number]], OfficialTeamList[Team Number],0)))</f>
        <v/>
      </c>
      <c r="N40" s="5" t="e">
        <f>IF(ISNA(INDEX(TournamentData[Champion''s Rank],MATCH(MotivateDelib[[#This Row],[Team Number]],TournamentData[Team Number],0))),NumberOfTeams+1,INDEX(TournamentData[Champion''s Rank],MATCH(MotivateDelib[[#This Row],[Team Number]],TournamentData[Team Number],0)))</f>
        <v>#REF!</v>
      </c>
    </row>
    <row r="41" spans="2:15" ht="20.25" customHeight="1" x14ac:dyDescent="0.25">
      <c r="C41" s="5" t="str">
        <f>IF(ISNA(INDEX(OfficialTeamList[Team Name],MATCH(BreakthroughDelib[[#This Row],[Team Number]], OfficialTeamList[Team Number],0))),"",INDEX(OfficialTeamList[Team Name],MATCH(BreakthroughDelib[[#This Row],[Team Number]], OfficialTeamList[Team Number],0)))</f>
        <v/>
      </c>
      <c r="D41" s="5" t="e">
        <f>IF(ISNA(INDEX(TournamentData[Champion''s Rank],MATCH(BreakthroughDelib[[#This Row],[Team Number]],TournamentData[Team Number],0))),NumberOfTeams+1,INDEX(TournamentData[Champion''s Rank],MATCH(BreakthroughDelib[[#This Row],[Team Number]],TournamentData[Team Number],0)))</f>
        <v>#REF!</v>
      </c>
      <c r="H41" s="5" t="str">
        <f>IF(ISNA(INDEX(OfficialTeamList[Team Name],MATCH(RookiAllStarDelib[[#This Row],[Team Number]], OfficialTeamList[Team Number],0))),"",INDEX(OfficialTeamList[Team Name],MATCH(RookiAllStarDelib[[#This Row],[Team Number]], OfficialTeamList[Team Number],0)))</f>
        <v/>
      </c>
      <c r="I41" s="5" t="e">
        <f>IF(ISNA(INDEX(TournamentData[Champion''s Rank],MATCH(RookiAllStarDelib[[#This Row],[Team Number]],TournamentData[Team Number],0))),NumberOfTeams+1,INDEX(TournamentData[Champion''s Rank],MATCH(RookiAllStarDelib[[#This Row],[Team Number]],TournamentData[Team Number],0)))</f>
        <v>#REF!</v>
      </c>
      <c r="M41" s="5" t="str">
        <f>IF(ISNA(INDEX(OfficialTeamList[Team Name],MATCH(MotivateDelib[[#This Row],[Team Number]], OfficialTeamList[Team Number],0))),"",INDEX(OfficialTeamList[Team Name],MATCH(MotivateDelib[[#This Row],[Team Number]], OfficialTeamList[Team Number],0)))</f>
        <v/>
      </c>
      <c r="N41" s="5" t="e">
        <f>IF(ISNA(INDEX(TournamentData[Champion''s Rank],MATCH(MotivateDelib[[#This Row],[Team Number]],TournamentData[Team Number],0))),NumberOfTeams+1,INDEX(TournamentData[Champion''s Rank],MATCH(MotivateDelib[[#This Row],[Team Number]],TournamentData[Team Number],0)))</f>
        <v>#REF!</v>
      </c>
    </row>
    <row r="42" spans="2:15" ht="20.25" customHeight="1" x14ac:dyDescent="0.25">
      <c r="C42" s="5" t="str">
        <f>IF(ISNA(INDEX(OfficialTeamList[Team Name],MATCH(BreakthroughDelib[[#This Row],[Team Number]], OfficialTeamList[Team Number],0))),"",INDEX(OfficialTeamList[Team Name],MATCH(BreakthroughDelib[[#This Row],[Team Number]], OfficialTeamList[Team Number],0)))</f>
        <v/>
      </c>
      <c r="D42" s="5" t="e">
        <f>IF(ISNA(INDEX(TournamentData[Champion''s Rank],MATCH(BreakthroughDelib[[#This Row],[Team Number]],TournamentData[Team Number],0))),NumberOfTeams+1,INDEX(TournamentData[Champion''s Rank],MATCH(BreakthroughDelib[[#This Row],[Team Number]],TournamentData[Team Number],0)))</f>
        <v>#REF!</v>
      </c>
      <c r="H42" s="5" t="str">
        <f>IF(ISNA(INDEX(OfficialTeamList[Team Name],MATCH(RookiAllStarDelib[[#This Row],[Team Number]], OfficialTeamList[Team Number],0))),"",INDEX(OfficialTeamList[Team Name],MATCH(RookiAllStarDelib[[#This Row],[Team Number]], OfficialTeamList[Team Number],0)))</f>
        <v/>
      </c>
      <c r="I42" s="5" t="e">
        <f>IF(ISNA(INDEX(TournamentData[Champion''s Rank],MATCH(RookiAllStarDelib[[#This Row],[Team Number]],TournamentData[Team Number],0))),NumberOfTeams+1,INDEX(TournamentData[Champion''s Rank],MATCH(RookiAllStarDelib[[#This Row],[Team Number]],TournamentData[Team Number],0)))</f>
        <v>#REF!</v>
      </c>
      <c r="M42" s="5" t="str">
        <f>IF(ISNA(INDEX(OfficialTeamList[Team Name],MATCH(MotivateDelib[[#This Row],[Team Number]], OfficialTeamList[Team Number],0))),"",INDEX(OfficialTeamList[Team Name],MATCH(MotivateDelib[[#This Row],[Team Number]], OfficialTeamList[Team Number],0)))</f>
        <v/>
      </c>
      <c r="N42" s="5" t="e">
        <f>IF(ISNA(INDEX(TournamentData[Champion''s Rank],MATCH(MotivateDelib[[#This Row],[Team Number]],TournamentData[Team Number],0))),NumberOfTeams+1,INDEX(TournamentData[Champion''s Rank],MATCH(MotivateDelib[[#This Row],[Team Number]],TournamentData[Team Number],0)))</f>
        <v>#REF!</v>
      </c>
    </row>
    <row r="43" spans="2:15" ht="20.25" customHeight="1" x14ac:dyDescent="0.25">
      <c r="C43" s="5" t="str">
        <f>IF(ISNA(INDEX(OfficialTeamList[Team Name],MATCH(BreakthroughDelib[[#This Row],[Team Number]], OfficialTeamList[Team Number],0))),"",INDEX(OfficialTeamList[Team Name],MATCH(BreakthroughDelib[[#This Row],[Team Number]], OfficialTeamList[Team Number],0)))</f>
        <v/>
      </c>
      <c r="D43" s="5" t="e">
        <f>IF(ISNA(INDEX(TournamentData[Champion''s Rank],MATCH(BreakthroughDelib[[#This Row],[Team Number]],TournamentData[Team Number],0))),NumberOfTeams+1,INDEX(TournamentData[Champion''s Rank],MATCH(BreakthroughDelib[[#This Row],[Team Number]],TournamentData[Team Number],0)))</f>
        <v>#REF!</v>
      </c>
      <c r="H43" s="5" t="str">
        <f>IF(ISNA(INDEX(OfficialTeamList[Team Name],MATCH(RookiAllStarDelib[[#This Row],[Team Number]], OfficialTeamList[Team Number],0))),"",INDEX(OfficialTeamList[Team Name],MATCH(RookiAllStarDelib[[#This Row],[Team Number]], OfficialTeamList[Team Number],0)))</f>
        <v/>
      </c>
      <c r="I43" s="5" t="e">
        <f>IF(ISNA(INDEX(TournamentData[Champion''s Rank],MATCH(RookiAllStarDelib[[#This Row],[Team Number]],TournamentData[Team Number],0))),NumberOfTeams+1,INDEX(TournamentData[Champion''s Rank],MATCH(RookiAllStarDelib[[#This Row],[Team Number]],TournamentData[Team Number],0)))</f>
        <v>#REF!</v>
      </c>
      <c r="M43" s="5" t="str">
        <f>IF(ISNA(INDEX(OfficialTeamList[Team Name],MATCH(MotivateDelib[[#This Row],[Team Number]], OfficialTeamList[Team Number],0))),"",INDEX(OfficialTeamList[Team Name],MATCH(MotivateDelib[[#This Row],[Team Number]], OfficialTeamList[Team Number],0)))</f>
        <v/>
      </c>
      <c r="N43" s="5" t="e">
        <f>IF(ISNA(INDEX(TournamentData[Champion''s Rank],MATCH(MotivateDelib[[#This Row],[Team Number]],TournamentData[Team Number],0))),NumberOfTeams+1,INDEX(TournamentData[Champion''s Rank],MATCH(MotivateDelib[[#This Row],[Team Number]],TournamentData[Team Number],0)))</f>
        <v>#REF!</v>
      </c>
    </row>
    <row r="44" spans="2:15" ht="20.25" customHeight="1" x14ac:dyDescent="0.25">
      <c r="C44" s="5" t="str">
        <f>IF(ISNA(INDEX(OfficialTeamList[Team Name],MATCH(BreakthroughDelib[[#This Row],[Team Number]], OfficialTeamList[Team Number],0))),"",INDEX(OfficialTeamList[Team Name],MATCH(BreakthroughDelib[[#This Row],[Team Number]], OfficialTeamList[Team Number],0)))</f>
        <v/>
      </c>
      <c r="D44" s="5" t="e">
        <f>IF(ISNA(INDEX(TournamentData[Champion''s Rank],MATCH(BreakthroughDelib[[#This Row],[Team Number]],TournamentData[Team Number],0))),NumberOfTeams+1,INDEX(TournamentData[Champion''s Rank],MATCH(BreakthroughDelib[[#This Row],[Team Number]],TournamentData[Team Number],0)))</f>
        <v>#REF!</v>
      </c>
      <c r="H44" s="5" t="str">
        <f>IF(ISNA(INDEX(OfficialTeamList[Team Name],MATCH(RookiAllStarDelib[[#This Row],[Team Number]], OfficialTeamList[Team Number],0))),"",INDEX(OfficialTeamList[Team Name],MATCH(RookiAllStarDelib[[#This Row],[Team Number]], OfficialTeamList[Team Number],0)))</f>
        <v/>
      </c>
      <c r="I44" s="5" t="e">
        <f>IF(ISNA(INDEX(TournamentData[Champion''s Rank],MATCH(RookiAllStarDelib[[#This Row],[Team Number]],TournamentData[Team Number],0))),NumberOfTeams+1,INDEX(TournamentData[Champion''s Rank],MATCH(RookiAllStarDelib[[#This Row],[Team Number]],TournamentData[Team Number],0)))</f>
        <v>#REF!</v>
      </c>
      <c r="M44" s="5" t="str">
        <f>IF(ISNA(INDEX(OfficialTeamList[Team Name],MATCH(MotivateDelib[[#This Row],[Team Number]], OfficialTeamList[Team Number],0))),"",INDEX(OfficialTeamList[Team Name],MATCH(MotivateDelib[[#This Row],[Team Number]], OfficialTeamList[Team Number],0)))</f>
        <v/>
      </c>
      <c r="N44" s="5" t="e">
        <f>IF(ISNA(INDEX(TournamentData[Champion''s Rank],MATCH(MotivateDelib[[#This Row],[Team Number]],TournamentData[Team Number],0))),NumberOfTeams+1,INDEX(TournamentData[Champion''s Rank],MATCH(MotivateDelib[[#This Row],[Team Number]],TournamentData[Team Number],0)))</f>
        <v>#REF!</v>
      </c>
    </row>
    <row r="45" spans="2:15" ht="20.25" customHeight="1" x14ac:dyDescent="0.25">
      <c r="C45" s="5" t="str">
        <f>IF(ISNA(INDEX(OfficialTeamList[Team Name],MATCH(BreakthroughDelib[[#This Row],[Team Number]], OfficialTeamList[Team Number],0))),"",INDEX(OfficialTeamList[Team Name],MATCH(BreakthroughDelib[[#This Row],[Team Number]], OfficialTeamList[Team Number],0)))</f>
        <v/>
      </c>
      <c r="D45" s="5" t="e">
        <f>IF(ISNA(INDEX(TournamentData[Champion''s Rank],MATCH(BreakthroughDelib[[#This Row],[Team Number]],TournamentData[Team Number],0))),NumberOfTeams+1,INDEX(TournamentData[Champion''s Rank],MATCH(BreakthroughDelib[[#This Row],[Team Number]],TournamentData[Team Number],0)))</f>
        <v>#REF!</v>
      </c>
      <c r="H45" s="5" t="str">
        <f>IF(ISNA(INDEX(OfficialTeamList[Team Name],MATCH(RookiAllStarDelib[[#This Row],[Team Number]], OfficialTeamList[Team Number],0))),"",INDEX(OfficialTeamList[Team Name],MATCH(RookiAllStarDelib[[#This Row],[Team Number]], OfficialTeamList[Team Number],0)))</f>
        <v/>
      </c>
      <c r="I45" s="5" t="e">
        <f>IF(ISNA(INDEX(TournamentData[Champion''s Rank],MATCH(RookiAllStarDelib[[#This Row],[Team Number]],TournamentData[Team Number],0))),NumberOfTeams+1,INDEX(TournamentData[Champion''s Rank],MATCH(RookiAllStarDelib[[#This Row],[Team Number]],TournamentData[Team Number],0)))</f>
        <v>#REF!</v>
      </c>
      <c r="M45" s="5" t="str">
        <f>IF(ISNA(INDEX(OfficialTeamList[Team Name],MATCH(MotivateDelib[[#This Row],[Team Number]], OfficialTeamList[Team Number],0))),"",INDEX(OfficialTeamList[Team Name],MATCH(MotivateDelib[[#This Row],[Team Number]], OfficialTeamList[Team Number],0)))</f>
        <v/>
      </c>
      <c r="N45" s="5" t="e">
        <f>IF(ISNA(INDEX(TournamentData[Champion''s Rank],MATCH(MotivateDelib[[#This Row],[Team Number]],TournamentData[Team Number],0))),NumberOfTeams+1,INDEX(TournamentData[Champion''s Rank],MATCH(MotivateDelib[[#This Row],[Team Number]],TournamentData[Team Number],0)))</f>
        <v>#REF!</v>
      </c>
    </row>
    <row r="46" spans="2:15" ht="20.25" customHeight="1" x14ac:dyDescent="0.25">
      <c r="C46" s="5" t="str">
        <f>IF(ISNA(INDEX(OfficialTeamList[Team Name],MATCH(BreakthroughDelib[[#This Row],[Team Number]], OfficialTeamList[Team Number],0))),"",INDEX(OfficialTeamList[Team Name],MATCH(BreakthroughDelib[[#This Row],[Team Number]], OfficialTeamList[Team Number],0)))</f>
        <v/>
      </c>
      <c r="D46" s="5" t="e">
        <f>IF(ISNA(INDEX(TournamentData[Champion''s Rank],MATCH(BreakthroughDelib[[#This Row],[Team Number]],TournamentData[Team Number],0))),NumberOfTeams+1,INDEX(TournamentData[Champion''s Rank],MATCH(BreakthroughDelib[[#This Row],[Team Number]],TournamentData[Team Number],0)))</f>
        <v>#REF!</v>
      </c>
      <c r="H46" s="5" t="str">
        <f>IF(ISNA(INDEX(OfficialTeamList[Team Name],MATCH(RookiAllStarDelib[[#This Row],[Team Number]], OfficialTeamList[Team Number],0))),"",INDEX(OfficialTeamList[Team Name],MATCH(RookiAllStarDelib[[#This Row],[Team Number]], OfficialTeamList[Team Number],0)))</f>
        <v/>
      </c>
      <c r="I46" s="5" t="e">
        <f>IF(ISNA(INDEX(TournamentData[Champion''s Rank],MATCH(RookiAllStarDelib[[#This Row],[Team Number]],TournamentData[Team Number],0))),NumberOfTeams+1,INDEX(TournamentData[Champion''s Rank],MATCH(RookiAllStarDelib[[#This Row],[Team Number]],TournamentData[Team Number],0)))</f>
        <v>#REF!</v>
      </c>
      <c r="M46" s="5" t="str">
        <f>IF(ISNA(INDEX(OfficialTeamList[Team Name],MATCH(MotivateDelib[[#This Row],[Team Number]], OfficialTeamList[Team Number],0))),"",INDEX(OfficialTeamList[Team Name],MATCH(MotivateDelib[[#This Row],[Team Number]], OfficialTeamList[Team Number],0)))</f>
        <v/>
      </c>
      <c r="N46" s="5" t="e">
        <f>IF(ISNA(INDEX(TournamentData[Champion''s Rank],MATCH(MotivateDelib[[#This Row],[Team Number]],TournamentData[Team Number],0))),NumberOfTeams+1,INDEX(TournamentData[Champion''s Rank],MATCH(MotivateDelib[[#This Row],[Team Number]],TournamentData[Team Number],0)))</f>
        <v>#REF!</v>
      </c>
    </row>
    <row r="47" spans="2:15" ht="20.25" customHeight="1" x14ac:dyDescent="0.25">
      <c r="C47" s="5" t="str">
        <f>IF(ISNA(INDEX(OfficialTeamList[Team Name],MATCH(BreakthroughDelib[[#This Row],[Team Number]], OfficialTeamList[Team Number],0))),"",INDEX(OfficialTeamList[Team Name],MATCH(BreakthroughDelib[[#This Row],[Team Number]], OfficialTeamList[Team Number],0)))</f>
        <v/>
      </c>
      <c r="D47" s="5" t="e">
        <f>IF(ISNA(INDEX(TournamentData[Champion''s Rank],MATCH(BreakthroughDelib[[#This Row],[Team Number]],TournamentData[Team Number],0))),NumberOfTeams+1,INDEX(TournamentData[Champion''s Rank],MATCH(BreakthroughDelib[[#This Row],[Team Number]],TournamentData[Team Number],0)))</f>
        <v>#REF!</v>
      </c>
      <c r="H47" s="5" t="str">
        <f>IF(ISNA(INDEX(OfficialTeamList[Team Name],MATCH(RookiAllStarDelib[[#This Row],[Team Number]], OfficialTeamList[Team Number],0))),"",INDEX(OfficialTeamList[Team Name],MATCH(RookiAllStarDelib[[#This Row],[Team Number]], OfficialTeamList[Team Number],0)))</f>
        <v/>
      </c>
      <c r="I47" s="5" t="e">
        <f>IF(ISNA(INDEX(TournamentData[Champion''s Rank],MATCH(RookiAllStarDelib[[#This Row],[Team Number]],TournamentData[Team Number],0))),NumberOfTeams+1,INDEX(TournamentData[Champion''s Rank],MATCH(RookiAllStarDelib[[#This Row],[Team Number]],TournamentData[Team Number],0)))</f>
        <v>#REF!</v>
      </c>
      <c r="M47" s="5" t="str">
        <f>IF(ISNA(INDEX(OfficialTeamList[Team Name],MATCH(MotivateDelib[[#This Row],[Team Number]], OfficialTeamList[Team Number],0))),"",INDEX(OfficialTeamList[Team Name],MATCH(MotivateDelib[[#This Row],[Team Number]], OfficialTeamList[Team Number],0)))</f>
        <v/>
      </c>
      <c r="N47" s="5" t="e">
        <f>IF(ISNA(INDEX(TournamentData[Champion''s Rank],MATCH(MotivateDelib[[#This Row],[Team Number]],TournamentData[Team Number],0))),NumberOfTeams+1,INDEX(TournamentData[Champion''s Rank],MATCH(MotivateDelib[[#This Row],[Team Number]],TournamentData[Team Number],0)))</f>
        <v>#REF!</v>
      </c>
    </row>
    <row r="48" spans="2:15" ht="20.25" customHeight="1" x14ac:dyDescent="0.25">
      <c r="C48" s="5" t="str">
        <f>IF(ISNA(INDEX(OfficialTeamList[Team Name],MATCH(BreakthroughDelib[[#This Row],[Team Number]], OfficialTeamList[Team Number],0))),"",INDEX(OfficialTeamList[Team Name],MATCH(BreakthroughDelib[[#This Row],[Team Number]], OfficialTeamList[Team Number],0)))</f>
        <v/>
      </c>
      <c r="D48" s="5" t="e">
        <f>IF(ISNA(INDEX(TournamentData[Champion''s Rank],MATCH(BreakthroughDelib[[#This Row],[Team Number]],TournamentData[Team Number],0))),NumberOfTeams+1,INDEX(TournamentData[Champion''s Rank],MATCH(BreakthroughDelib[[#This Row],[Team Number]],TournamentData[Team Number],0)))</f>
        <v>#REF!</v>
      </c>
      <c r="H48" s="5" t="str">
        <f>IF(ISNA(INDEX(OfficialTeamList[Team Name],MATCH(RookiAllStarDelib[[#This Row],[Team Number]], OfficialTeamList[Team Number],0))),"",INDEX(OfficialTeamList[Team Name],MATCH(RookiAllStarDelib[[#This Row],[Team Number]], OfficialTeamList[Team Number],0)))</f>
        <v/>
      </c>
      <c r="I48" s="5" t="e">
        <f>IF(ISNA(INDEX(TournamentData[Champion''s Rank],MATCH(RookiAllStarDelib[[#This Row],[Team Number]],TournamentData[Team Number],0))),NumberOfTeams+1,INDEX(TournamentData[Champion''s Rank],MATCH(RookiAllStarDelib[[#This Row],[Team Number]],TournamentData[Team Number],0)))</f>
        <v>#REF!</v>
      </c>
      <c r="M48" s="5" t="str">
        <f>IF(ISNA(INDEX(OfficialTeamList[Team Name],MATCH(MotivateDelib[[#This Row],[Team Number]], OfficialTeamList[Team Number],0))),"",INDEX(OfficialTeamList[Team Name],MATCH(MotivateDelib[[#This Row],[Team Number]], OfficialTeamList[Team Number],0)))</f>
        <v/>
      </c>
      <c r="N48" s="5" t="e">
        <f>IF(ISNA(INDEX(TournamentData[Champion''s Rank],MATCH(MotivateDelib[[#This Row],[Team Number]],TournamentData[Team Number],0))),NumberOfTeams+1,INDEX(TournamentData[Champion''s Rank],MATCH(MotivateDelib[[#This Row],[Team Number]],TournamentData[Team Number],0)))</f>
        <v>#REF!</v>
      </c>
    </row>
    <row r="49" spans="3:14" ht="20.25" customHeight="1" x14ac:dyDescent="0.25">
      <c r="C49" s="5" t="str">
        <f>IF(ISNA(INDEX(OfficialTeamList[Team Name],MATCH(BreakthroughDelib[[#This Row],[Team Number]], OfficialTeamList[Team Number],0))),"",INDEX(OfficialTeamList[Team Name],MATCH(BreakthroughDelib[[#This Row],[Team Number]], OfficialTeamList[Team Number],0)))</f>
        <v/>
      </c>
      <c r="D49" s="5" t="e">
        <f>IF(ISNA(INDEX(TournamentData[Champion''s Rank],MATCH(BreakthroughDelib[[#This Row],[Team Number]],TournamentData[Team Number],0))),NumberOfTeams+1,INDEX(TournamentData[Champion''s Rank],MATCH(BreakthroughDelib[[#This Row],[Team Number]],TournamentData[Team Number],0)))</f>
        <v>#REF!</v>
      </c>
      <c r="H49" s="5" t="str">
        <f>IF(ISNA(INDEX(OfficialTeamList[Team Name],MATCH(RookiAllStarDelib[[#This Row],[Team Number]], OfficialTeamList[Team Number],0))),"",INDEX(OfficialTeamList[Team Name],MATCH(RookiAllStarDelib[[#This Row],[Team Number]], OfficialTeamList[Team Number],0)))</f>
        <v/>
      </c>
      <c r="I49" s="5" t="e">
        <f>IF(ISNA(INDEX(TournamentData[Champion''s Rank],MATCH(RookiAllStarDelib[[#This Row],[Team Number]],TournamentData[Team Number],0))),NumberOfTeams+1,INDEX(TournamentData[Champion''s Rank],MATCH(RookiAllStarDelib[[#This Row],[Team Number]],TournamentData[Team Number],0)))</f>
        <v>#REF!</v>
      </c>
      <c r="M49" s="5" t="str">
        <f>IF(ISNA(INDEX(OfficialTeamList[Team Name],MATCH(MotivateDelib[[#This Row],[Team Number]], OfficialTeamList[Team Number],0))),"",INDEX(OfficialTeamList[Team Name],MATCH(MotivateDelib[[#This Row],[Team Number]], OfficialTeamList[Team Number],0)))</f>
        <v/>
      </c>
      <c r="N49" s="5" t="e">
        <f>IF(ISNA(INDEX(TournamentData[Champion''s Rank],MATCH(MotivateDelib[[#This Row],[Team Number]],TournamentData[Team Number],0))),NumberOfTeams+1,INDEX(TournamentData[Champion''s Rank],MATCH(MotivateDelib[[#This Row],[Team Number]],TournamentData[Team Number],0)))</f>
        <v>#REF!</v>
      </c>
    </row>
    <row r="50" spans="3:14" ht="20.25" customHeight="1" x14ac:dyDescent="0.25">
      <c r="C50" s="5" t="str">
        <f>IF(ISNA(INDEX(OfficialTeamList[Team Name],MATCH(BreakthroughDelib[[#This Row],[Team Number]], OfficialTeamList[Team Number],0))),"",INDEX(OfficialTeamList[Team Name],MATCH(BreakthroughDelib[[#This Row],[Team Number]], OfficialTeamList[Team Number],0)))</f>
        <v/>
      </c>
      <c r="D50" s="5" t="e">
        <f>IF(ISNA(INDEX(TournamentData[Champion''s Rank],MATCH(BreakthroughDelib[[#This Row],[Team Number]],TournamentData[Team Number],0))),NumberOfTeams+1,INDEX(TournamentData[Champion''s Rank],MATCH(BreakthroughDelib[[#This Row],[Team Number]],TournamentData[Team Number],0)))</f>
        <v>#REF!</v>
      </c>
      <c r="H50" s="5" t="str">
        <f>IF(ISNA(INDEX(OfficialTeamList[Team Name],MATCH(RookiAllStarDelib[[#This Row],[Team Number]], OfficialTeamList[Team Number],0))),"",INDEX(OfficialTeamList[Team Name],MATCH(RookiAllStarDelib[[#This Row],[Team Number]], OfficialTeamList[Team Number],0)))</f>
        <v/>
      </c>
      <c r="I50" s="5" t="e">
        <f>IF(ISNA(INDEX(TournamentData[Champion''s Rank],MATCH(RookiAllStarDelib[[#This Row],[Team Number]],TournamentData[Team Number],0))),NumberOfTeams+1,INDEX(TournamentData[Champion''s Rank],MATCH(RookiAllStarDelib[[#This Row],[Team Number]],TournamentData[Team Number],0)))</f>
        <v>#REF!</v>
      </c>
      <c r="M50" s="5" t="str">
        <f>IF(ISNA(INDEX(OfficialTeamList[Team Name],MATCH(MotivateDelib[[#This Row],[Team Number]], OfficialTeamList[Team Number],0))),"",INDEX(OfficialTeamList[Team Name],MATCH(MotivateDelib[[#This Row],[Team Number]], OfficialTeamList[Team Number],0)))</f>
        <v/>
      </c>
      <c r="N50" s="5" t="e">
        <f>IF(ISNA(INDEX(TournamentData[Champion''s Rank],MATCH(MotivateDelib[[#This Row],[Team Number]],TournamentData[Team Number],0))),NumberOfTeams+1,INDEX(TournamentData[Champion''s Rank],MATCH(MotivateDelib[[#This Row],[Team Number]],TournamentData[Team Number],0)))</f>
        <v>#REF!</v>
      </c>
    </row>
    <row r="51" spans="3:14" ht="20.25" customHeight="1" x14ac:dyDescent="0.25">
      <c r="C51" s="5" t="str">
        <f>IF(ISNA(INDEX(OfficialTeamList[Team Name],MATCH(BreakthroughDelib[[#This Row],[Team Number]], OfficialTeamList[Team Number],0))),"",INDEX(OfficialTeamList[Team Name],MATCH(BreakthroughDelib[[#This Row],[Team Number]], OfficialTeamList[Team Number],0)))</f>
        <v/>
      </c>
      <c r="D51" s="5" t="e">
        <f>IF(ISNA(INDEX(TournamentData[Champion''s Rank],MATCH(BreakthroughDelib[[#This Row],[Team Number]],TournamentData[Team Number],0))),NumberOfTeams+1,INDEX(TournamentData[Champion''s Rank],MATCH(BreakthroughDelib[[#This Row],[Team Number]],TournamentData[Team Number],0)))</f>
        <v>#REF!</v>
      </c>
      <c r="H51" s="5" t="str">
        <f>IF(ISNA(INDEX(OfficialTeamList[Team Name],MATCH(RookiAllStarDelib[[#This Row],[Team Number]], OfficialTeamList[Team Number],0))),"",INDEX(OfficialTeamList[Team Name],MATCH(RookiAllStarDelib[[#This Row],[Team Number]], OfficialTeamList[Team Number],0)))</f>
        <v/>
      </c>
      <c r="I51" s="5" t="e">
        <f>IF(ISNA(INDEX(TournamentData[Champion''s Rank],MATCH(RookiAllStarDelib[[#This Row],[Team Number]],TournamentData[Team Number],0))),NumberOfTeams+1,INDEX(TournamentData[Champion''s Rank],MATCH(RookiAllStarDelib[[#This Row],[Team Number]],TournamentData[Team Number],0)))</f>
        <v>#REF!</v>
      </c>
      <c r="M51" s="5" t="str">
        <f>IF(ISNA(INDEX(OfficialTeamList[Team Name],MATCH(MotivateDelib[[#This Row],[Team Number]], OfficialTeamList[Team Number],0))),"",INDEX(OfficialTeamList[Team Name],MATCH(MotivateDelib[[#This Row],[Team Number]], OfficialTeamList[Team Number],0)))</f>
        <v/>
      </c>
      <c r="N51" s="5" t="e">
        <f>IF(ISNA(INDEX(TournamentData[Champion''s Rank],MATCH(MotivateDelib[[#This Row],[Team Number]],TournamentData[Team Number],0))),NumberOfTeams+1,INDEX(TournamentData[Champion''s Rank],MATCH(MotivateDelib[[#This Row],[Team Number]],TournamentData[Team Number],0)))</f>
        <v>#REF!</v>
      </c>
    </row>
    <row r="52" spans="3:14" ht="20.25" customHeight="1" x14ac:dyDescent="0.25">
      <c r="C52" s="5" t="str">
        <f>IF(ISNA(INDEX(OfficialTeamList[Team Name],MATCH(BreakthroughDelib[[#This Row],[Team Number]], OfficialTeamList[Team Number],0))),"",INDEX(OfficialTeamList[Team Name],MATCH(BreakthroughDelib[[#This Row],[Team Number]], OfficialTeamList[Team Number],0)))</f>
        <v/>
      </c>
      <c r="D52" s="5" t="e">
        <f>IF(ISNA(INDEX(TournamentData[Champion''s Rank],MATCH(BreakthroughDelib[[#This Row],[Team Number]],TournamentData[Team Number],0))),NumberOfTeams+1,INDEX(TournamentData[Champion''s Rank],MATCH(BreakthroughDelib[[#This Row],[Team Number]],TournamentData[Team Number],0)))</f>
        <v>#REF!</v>
      </c>
      <c r="H52" s="5" t="str">
        <f>IF(ISNA(INDEX(OfficialTeamList[Team Name],MATCH(RookiAllStarDelib[[#This Row],[Team Number]], OfficialTeamList[Team Number],0))),"",INDEX(OfficialTeamList[Team Name],MATCH(RookiAllStarDelib[[#This Row],[Team Number]], OfficialTeamList[Team Number],0)))</f>
        <v/>
      </c>
      <c r="I52" s="5" t="e">
        <f>IF(ISNA(INDEX(TournamentData[Champion''s Rank],MATCH(RookiAllStarDelib[[#This Row],[Team Number]],TournamentData[Team Number],0))),NumberOfTeams+1,INDEX(TournamentData[Champion''s Rank],MATCH(RookiAllStarDelib[[#This Row],[Team Number]],TournamentData[Team Number],0)))</f>
        <v>#REF!</v>
      </c>
      <c r="M52" s="5" t="str">
        <f>IF(ISNA(INDEX(OfficialTeamList[Team Name],MATCH(MotivateDelib[[#This Row],[Team Number]], OfficialTeamList[Team Number],0))),"",INDEX(OfficialTeamList[Team Name],MATCH(MotivateDelib[[#This Row],[Team Number]], OfficialTeamList[Team Number],0)))</f>
        <v/>
      </c>
      <c r="N52" s="5" t="e">
        <f>IF(ISNA(INDEX(TournamentData[Champion''s Rank],MATCH(MotivateDelib[[#This Row],[Team Number]],TournamentData[Team Number],0))),NumberOfTeams+1,INDEX(TournamentData[Champion''s Rank],MATCH(MotivateDelib[[#This Row],[Team Number]],TournamentData[Team Number],0)))</f>
        <v>#REF!</v>
      </c>
    </row>
    <row r="53" spans="3:14" ht="20.25" customHeight="1" x14ac:dyDescent="0.25">
      <c r="C53" s="5" t="str">
        <f>IF(ISNA(INDEX(OfficialTeamList[Team Name],MATCH(BreakthroughDelib[[#This Row],[Team Number]], OfficialTeamList[Team Number],0))),"",INDEX(OfficialTeamList[Team Name],MATCH(BreakthroughDelib[[#This Row],[Team Number]], OfficialTeamList[Team Number],0)))</f>
        <v/>
      </c>
      <c r="D53" s="5" t="e">
        <f>IF(ISNA(INDEX(TournamentData[Champion''s Rank],MATCH(BreakthroughDelib[[#This Row],[Team Number]],TournamentData[Team Number],0))),NumberOfTeams+1,INDEX(TournamentData[Champion''s Rank],MATCH(BreakthroughDelib[[#This Row],[Team Number]],TournamentData[Team Number],0)))</f>
        <v>#REF!</v>
      </c>
      <c r="H53" s="5" t="str">
        <f>IF(ISNA(INDEX(OfficialTeamList[Team Name],MATCH(RookiAllStarDelib[[#This Row],[Team Number]], OfficialTeamList[Team Number],0))),"",INDEX(OfficialTeamList[Team Name],MATCH(RookiAllStarDelib[[#This Row],[Team Number]], OfficialTeamList[Team Number],0)))</f>
        <v/>
      </c>
      <c r="I53" s="5" t="e">
        <f>IF(ISNA(INDEX(TournamentData[Champion''s Rank],MATCH(RookiAllStarDelib[[#This Row],[Team Number]],TournamentData[Team Number],0))),NumberOfTeams+1,INDEX(TournamentData[Champion''s Rank],MATCH(RookiAllStarDelib[[#This Row],[Team Number]],TournamentData[Team Number],0)))</f>
        <v>#REF!</v>
      </c>
      <c r="M53" s="5" t="str">
        <f>IF(ISNA(INDEX(OfficialTeamList[Team Name],MATCH(MotivateDelib[[#This Row],[Team Number]], OfficialTeamList[Team Number],0))),"",INDEX(OfficialTeamList[Team Name],MATCH(MotivateDelib[[#This Row],[Team Number]], OfficialTeamList[Team Number],0)))</f>
        <v/>
      </c>
      <c r="N53" s="5" t="e">
        <f>IF(ISNA(INDEX(TournamentData[Champion''s Rank],MATCH(MotivateDelib[[#This Row],[Team Number]],TournamentData[Team Number],0))),NumberOfTeams+1,INDEX(TournamentData[Champion''s Rank],MATCH(MotivateDelib[[#This Row],[Team Number]],TournamentData[Team Number],0)))</f>
        <v>#REF!</v>
      </c>
    </row>
    <row r="54" spans="3:14" ht="20.25" customHeight="1" x14ac:dyDescent="0.25">
      <c r="C54" s="5" t="str">
        <f>IF(ISNA(INDEX(OfficialTeamList[Team Name],MATCH(BreakthroughDelib[[#This Row],[Team Number]], OfficialTeamList[Team Number],0))),"",INDEX(OfficialTeamList[Team Name],MATCH(BreakthroughDelib[[#This Row],[Team Number]], OfficialTeamList[Team Number],0)))</f>
        <v/>
      </c>
      <c r="D54" s="5" t="e">
        <f>IF(ISNA(INDEX(TournamentData[Champion''s Rank],MATCH(BreakthroughDelib[[#This Row],[Team Number]],TournamentData[Team Number],0))),NumberOfTeams+1,INDEX(TournamentData[Champion''s Rank],MATCH(BreakthroughDelib[[#This Row],[Team Number]],TournamentData[Team Number],0)))</f>
        <v>#REF!</v>
      </c>
      <c r="H54" s="5" t="str">
        <f>IF(ISNA(INDEX(OfficialTeamList[Team Name],MATCH(RookiAllStarDelib[[#This Row],[Team Number]], OfficialTeamList[Team Number],0))),"",INDEX(OfficialTeamList[Team Name],MATCH(RookiAllStarDelib[[#This Row],[Team Number]], OfficialTeamList[Team Number],0)))</f>
        <v/>
      </c>
      <c r="I54" s="5" t="e">
        <f>IF(ISNA(INDEX(TournamentData[Champion''s Rank],MATCH(RookiAllStarDelib[[#This Row],[Team Number]],TournamentData[Team Number],0))),NumberOfTeams+1,INDEX(TournamentData[Champion''s Rank],MATCH(RookiAllStarDelib[[#This Row],[Team Number]],TournamentData[Team Number],0)))</f>
        <v>#REF!</v>
      </c>
      <c r="M54" s="5" t="str">
        <f>IF(ISNA(INDEX(OfficialTeamList[Team Name],MATCH(MotivateDelib[[#This Row],[Team Number]], OfficialTeamList[Team Number],0))),"",INDEX(OfficialTeamList[Team Name],MATCH(MotivateDelib[[#This Row],[Team Number]], OfficialTeamList[Team Number],0)))</f>
        <v/>
      </c>
      <c r="N54" s="5" t="e">
        <f>IF(ISNA(INDEX(TournamentData[Champion''s Rank],MATCH(MotivateDelib[[#This Row],[Team Number]],TournamentData[Team Number],0))),NumberOfTeams+1,INDEX(TournamentData[Champion''s Rank],MATCH(MotivateDelib[[#This Row],[Team Number]],TournamentData[Team Number],0)))</f>
        <v>#REF!</v>
      </c>
    </row>
  </sheetData>
  <sheetProtection password="CB4D" sheet="1" formatCells="0" formatColumns="0" formatRows="0" selectLockedCells="1"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Instructions</vt:lpstr>
      <vt:lpstr>Team and Program Information</vt:lpstr>
      <vt:lpstr>Data Validation</vt:lpstr>
      <vt:lpstr>Meta</vt:lpstr>
      <vt:lpstr>AwardList</vt:lpstr>
      <vt:lpstr>Pod Analysis</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2025-11-22T23:36:02Z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